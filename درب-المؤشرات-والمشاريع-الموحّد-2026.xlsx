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استراتيجية والمستهدفات" sheetId="1" state="visible" r:id="rId1"/>
    <sheet xmlns:r="http://schemas.openxmlformats.org/officeDocument/2006/relationships" name="اللوحة الموجزة" sheetId="2" state="visible" r:id="rId2"/>
    <sheet xmlns:r="http://schemas.openxmlformats.org/officeDocument/2006/relationships" name="مراجعة وحوكمة المؤشرات" sheetId="3" state="visible" r:id="rId3"/>
    <sheet xmlns:r="http://schemas.openxmlformats.org/officeDocument/2006/relationships" name="بطاقة تعريف المؤشرات" sheetId="4" state="visible" r:id="rId4"/>
    <sheet xmlns:r="http://schemas.openxmlformats.org/officeDocument/2006/relationships" name="بيانات الباوربي" sheetId="5" state="visible" r:id="rId5"/>
    <sheet xmlns:r="http://schemas.openxmlformats.org/officeDocument/2006/relationships" name="الإدارة التنفيذية" sheetId="6" state="visible" r:id="rId6"/>
    <sheet xmlns:r="http://schemas.openxmlformats.org/officeDocument/2006/relationships" name="الامتياز التجاري" sheetId="7" state="visible" r:id="rId7"/>
    <sheet xmlns:r="http://schemas.openxmlformats.org/officeDocument/2006/relationships" name="التشغيل والمحطات" sheetId="8" state="visible" r:id="rId8"/>
    <sheet xmlns:r="http://schemas.openxmlformats.org/officeDocument/2006/relationships" name="الاستثمار" sheetId="9" state="visible" r:id="rId9"/>
    <sheet xmlns:r="http://schemas.openxmlformats.org/officeDocument/2006/relationships" name="العقار" sheetId="10" state="visible" r:id="rId10"/>
    <sheet xmlns:r="http://schemas.openxmlformats.org/officeDocument/2006/relationships" name="التقنية الرقمية" sheetId="11" state="visible" r:id="rId11"/>
    <sheet xmlns:r="http://schemas.openxmlformats.org/officeDocument/2006/relationships" name="الموارد البشرية" sheetId="12" state="visible" r:id="rId12"/>
    <sheet xmlns:r="http://schemas.openxmlformats.org/officeDocument/2006/relationships" name="التسويق" sheetId="13" state="visible" r:id="rId13"/>
    <sheet xmlns:r="http://schemas.openxmlformats.org/officeDocument/2006/relationships" name="الجودة" sheetId="14" state="visible" r:id="rId14"/>
    <sheet xmlns:r="http://schemas.openxmlformats.org/officeDocument/2006/relationships" name="الإدارة القانونية" sheetId="15" state="visible" r:id="rId15"/>
    <sheet xmlns:r="http://schemas.openxmlformats.org/officeDocument/2006/relationships" name="الإدارة المالية" sheetId="16" state="visible" r:id="rId16"/>
    <sheet xmlns:r="http://schemas.openxmlformats.org/officeDocument/2006/relationships" name="سجل المشاريع" sheetId="17" state="visible" r:id="rId17"/>
    <sheet xmlns:r="http://schemas.openxmlformats.org/officeDocument/2006/relationships" name="قاعدة المؤشرات" sheetId="18" state="hidden" r:id="rId18"/>
  </sheets>
  <definedNames>
    <definedName name="_xlnm._FilterDatabase" localSheetId="3" hidden="1">'بطاقة تعريف المؤشرات'!$A$2:$N$185</definedName>
    <definedName name="_xlnm._FilterDatabase" localSheetId="4" hidden="1">'بيانات الباوربي'!$A$1:$R$184</definedName>
    <definedName name="_xlnm._FilterDatabase" localSheetId="5" hidden="1">'الإدارة التنفيذية'!$A$3:$O$13</definedName>
    <definedName name="_xlnm._FilterDatabase" localSheetId="6" hidden="1">'الامتياز التجاري'!$A$3:$O$33</definedName>
    <definedName name="_xlnm._FilterDatabase" localSheetId="7" hidden="1">'التشغيل والمحطات'!$A$3:$O$19</definedName>
    <definedName name="_xlnm._FilterDatabase" localSheetId="8" hidden="1">'الاستثمار'!$A$3:$O$27</definedName>
    <definedName name="_xlnm._FilterDatabase" localSheetId="9" hidden="1">'العقار'!$A$3:$O$19</definedName>
    <definedName name="_xlnm._FilterDatabase" localSheetId="10" hidden="1">'التقنية الرقمية'!$A$3:$O$12</definedName>
    <definedName name="_xlnm._FilterDatabase" localSheetId="11" hidden="1">'الموارد البشرية'!$A$3:$O$20</definedName>
    <definedName name="_xlnm._FilterDatabase" localSheetId="12" hidden="1">'التسويق'!$A$3:$O$18</definedName>
    <definedName name="_xlnm._FilterDatabase" localSheetId="13" hidden="1">'الجودة'!$A$3:$O$17</definedName>
    <definedName name="_xlnm._FilterDatabase" localSheetId="14" hidden="1">'الإدارة القانونية'!$A$3:$O$11</definedName>
    <definedName name="_xlnm._FilterDatabase" localSheetId="15" hidden="1">'الإدارة المالية'!$A$3:$O$27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24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444444"/>
      <sz val="8"/>
    </font>
    <font>
      <name val="Tajawal"/>
      <b val="1"/>
      <color rgb="003FB27F"/>
      <sz val="8"/>
    </font>
  </fonts>
  <fills count="8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2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9" fontId="23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9" fontId="6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9" fontId="6" fillId="5" borderId="1" applyAlignment="1" applyProtection="1" pivotButton="0" quotePrefix="0" xfId="0">
      <alignment horizontal="center" vertical="center"/>
      <protection locked="0" hidden="0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  <xf numFmtId="9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" t="inlineStr"/>
      <c r="B5" s="4" t="inlineStr">
        <is>
          <t>النمو</t>
        </is>
      </c>
      <c r="C5" s="5" t="inlineStr">
        <is>
          <t>التوسع في المواقع وزيادة الوصول وتنمية الإيراد.</t>
        </is>
      </c>
      <c r="D5" s="6" t="inlineStr"/>
    </row>
    <row r="6" ht="24" customHeight="1">
      <c r="A6" s="7" t="inlineStr"/>
      <c r="B6" s="8" t="inlineStr">
        <is>
          <t>التوسع في المواقع</t>
        </is>
      </c>
      <c r="C6" s="9" t="inlineStr">
        <is>
          <t>افتتاح وتشغيل محطات جديدة.</t>
        </is>
      </c>
      <c r="D6" s="10" t="inlineStr">
        <is>
          <t>التشغيل 85 · الامتياز 150 محطة</t>
        </is>
      </c>
    </row>
    <row r="7" ht="24" customHeight="1">
      <c r="A7" s="7" t="inlineStr"/>
      <c r="B7" s="8" t="inlineStr">
        <is>
          <t>الامتياز والعقود</t>
        </is>
      </c>
      <c r="C7" s="9" t="inlineStr">
        <is>
          <t>تنمية الإيراد عبر الامتياز والاستثمار.</t>
        </is>
      </c>
      <c r="D7" s="10" t="inlineStr">
        <is>
          <t>الامتياز 167 · الاستثمار 190 عقد</t>
        </is>
      </c>
    </row>
    <row r="8" ht="24" customHeight="1">
      <c r="A8" s="7" t="inlineStr"/>
      <c r="B8" s="8" t="inlineStr">
        <is>
          <t>زيادة وصول العملاء</t>
        </is>
      </c>
      <c r="C8" s="9" t="inlineStr">
        <is>
          <t>رفع المبيعات والتغطية الجغرافية.</t>
        </is>
      </c>
      <c r="D8" s="10" t="inlineStr">
        <is>
          <t>718.8M لتر · 13 منطقة · 59 مدينة</t>
        </is>
      </c>
    </row>
    <row r="9" ht="24" customHeight="1">
      <c r="A9" s="3" t="inlineStr"/>
      <c r="B9" s="4" t="inlineStr">
        <is>
          <t>الابتكار</t>
        </is>
      </c>
      <c r="C9" s="5" t="inlineStr">
        <is>
          <t>مشاريع جديدة وتحول تقني وهوية وتانكي.</t>
        </is>
      </c>
      <c r="D9" s="6" t="inlineStr"/>
    </row>
    <row r="10" ht="24" customHeight="1">
      <c r="A10" s="7" t="inlineStr"/>
      <c r="B10" s="8" t="inlineStr">
        <is>
          <t>التحول التقني</t>
        </is>
      </c>
      <c r="C10" s="9" t="inlineStr">
        <is>
          <t>أتمتة 164 محطة · D365 · جاهزية الأنظمة.</t>
        </is>
      </c>
      <c r="D10" s="10" t="inlineStr">
        <is>
          <t>أتمتة 90% · جاهزية 99%</t>
        </is>
      </c>
    </row>
    <row r="11" ht="24" customHeight="1">
      <c r="A11" s="7" t="inlineStr"/>
      <c r="B11" s="8" t="inlineStr">
        <is>
          <t>ساحات درب وتانكي</t>
        </is>
      </c>
      <c r="C11" s="9" t="inlineStr">
        <is>
          <t>تشغيل ساحات درب ونمو تطبيق تانكي (التسويق).</t>
        </is>
      </c>
      <c r="D11" s="10" t="inlineStr">
        <is>
          <t>تأجير ساحة ≥80% · تانكي تصاعدي</t>
        </is>
      </c>
    </row>
    <row r="12" ht="24" customHeight="1">
      <c r="A12" s="3" t="inlineStr"/>
      <c r="B12" s="4" t="inlineStr">
        <is>
          <t>الاستدامة</t>
        </is>
      </c>
      <c r="C12" s="5" t="inlineStr">
        <is>
          <t>جودة التشغيل وتجربة العميل والموظفين.</t>
        </is>
      </c>
      <c r="D12" s="6" t="inlineStr"/>
    </row>
    <row r="13" ht="24" customHeight="1">
      <c r="A13" s="7" t="inlineStr"/>
      <c r="B13" s="8" t="inlineStr">
        <is>
          <t>تجربة العميل وجودة التشغيل</t>
        </is>
      </c>
      <c r="C13" s="9" t="inlineStr">
        <is>
          <t>رضا وأمن سيبراني وجاهزية.</t>
        </is>
      </c>
      <c r="D13" s="10" t="inlineStr">
        <is>
          <t>CSAT 90% · جاهزية 99%</t>
        </is>
      </c>
    </row>
    <row r="14" ht="24" customHeight="1">
      <c r="A14" s="7" t="inlineStr"/>
      <c r="B14" s="8" t="inlineStr">
        <is>
          <t>منظومة التأجير</t>
        </is>
      </c>
      <c r="C14" s="9" t="inlineStr">
        <is>
          <t>الإشغال والتحصيل واستدامة المستأجرين.</t>
        </is>
      </c>
      <c r="D14" s="10" t="inlineStr">
        <is>
          <t>إشغال ≥60% · 246 علامة</t>
        </is>
      </c>
    </row>
    <row r="15" ht="24" customHeight="1">
      <c r="A15" s="7" t="inlineStr"/>
      <c r="B15" s="8" t="inlineStr">
        <is>
          <t>الاستثمار في الموظفين</t>
        </is>
      </c>
      <c r="C15" s="9" t="inlineStr">
        <is>
          <t>التوطين والتدريب والاستبقاء.</t>
        </is>
      </c>
      <c r="D15" s="10" t="inlineStr">
        <is>
          <t>6 دورات · استبقاء 90% · سعودة</t>
        </is>
      </c>
    </row>
    <row r="17">
      <c r="B17" s="11" t="inlineStr">
        <is>
          <t>الخارطة التنفيذية — المشاريع (أداء حي)</t>
        </is>
      </c>
      <c r="C17" s="12" t="n"/>
      <c r="D17" s="12" t="n"/>
      <c r="E17" s="13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9" t="inlineStr">
        <is>
          <t>التوسع في المواقع</t>
        </is>
      </c>
      <c r="C19" s="14" t="inlineStr">
        <is>
          <t>النمو</t>
        </is>
      </c>
      <c r="D19" s="15">
        <f>COUNTIF('قاعدة المؤشرات'!$E$2:$E$184,"التوسع في المواقع")</f>
        <v/>
      </c>
      <c r="E19" s="16">
        <f>IFERROR(AVERAGEIFS('قاعدة المؤشرات'!$G$2:$G$184,'قاعدة المؤشرات'!$E$2:$E$184,"التوسع في المواقع"),"—")</f>
        <v/>
      </c>
    </row>
    <row r="20">
      <c r="B20" s="9" t="inlineStr">
        <is>
          <t>الامتياز التجاري</t>
        </is>
      </c>
      <c r="C20" s="14" t="inlineStr">
        <is>
          <t>النمو</t>
        </is>
      </c>
      <c r="D20" s="15">
        <f>COUNTIF('قاعدة المؤشرات'!$E$2:$E$184,"الامتياز التجاري")</f>
        <v/>
      </c>
      <c r="E20" s="16">
        <f>IFERROR(AVERAGEIFS('قاعدة المؤشرات'!$G$2:$G$184,'قاعدة المؤشرات'!$E$2:$E$184,"الامتياز التجاري"),"—")</f>
        <v/>
      </c>
    </row>
    <row r="21">
      <c r="B21" s="9" t="inlineStr">
        <is>
          <t>زيادة وصول العملاء</t>
        </is>
      </c>
      <c r="C21" s="14" t="inlineStr">
        <is>
          <t>النمو</t>
        </is>
      </c>
      <c r="D21" s="15">
        <f>COUNTIF('قاعدة المؤشرات'!$E$2:$E$184,"زيادة وصول العملاء")</f>
        <v/>
      </c>
      <c r="E21" s="16">
        <f>IFERROR(AVERAGEIFS('قاعدة المؤشرات'!$G$2:$G$184,'قاعدة المؤشرات'!$E$2:$E$184,"زيادة وصول العملاء"),"—")</f>
        <v/>
      </c>
    </row>
    <row r="22">
      <c r="B22" s="9" t="inlineStr">
        <is>
          <t>إطلاق مشاريع جديدة</t>
        </is>
      </c>
      <c r="C22" s="14" t="inlineStr">
        <is>
          <t>الابتكار</t>
        </is>
      </c>
      <c r="D22" s="15">
        <f>COUNTIF('قاعدة المؤشرات'!$E$2:$E$184,"إطلاق مشاريع جديدة")</f>
        <v/>
      </c>
      <c r="E22" s="16">
        <f>IFERROR(AVERAGEIFS('قاعدة المؤشرات'!$G$2:$G$184,'قاعدة المؤشرات'!$E$2:$E$184,"إطلاق مشاريع جديدة"),"—")</f>
        <v/>
      </c>
    </row>
    <row r="23">
      <c r="B23" s="9" t="inlineStr">
        <is>
          <t>تطوير التصاميم والهوية</t>
        </is>
      </c>
      <c r="C23" s="14" t="inlineStr">
        <is>
          <t>الابتكار</t>
        </is>
      </c>
      <c r="D23" s="15">
        <f>COUNTIF('قاعدة المؤشرات'!$E$2:$E$184,"تطوير التصاميم والهوية")</f>
        <v/>
      </c>
      <c r="E23" s="16">
        <f>IFERROR(AVERAGEIFS('قاعدة المؤشرات'!$G$2:$G$184,'قاعدة المؤشرات'!$E$2:$E$184,"تطوير التصاميم والهوية"),"—")</f>
        <v/>
      </c>
    </row>
    <row r="24">
      <c r="B24" s="9" t="inlineStr">
        <is>
          <t>التحول التقني</t>
        </is>
      </c>
      <c r="C24" s="14" t="inlineStr">
        <is>
          <t>الابتكار</t>
        </is>
      </c>
      <c r="D24" s="15">
        <f>COUNTIF('قاعدة المؤشرات'!$E$2:$E$184,"التحول التقني")</f>
        <v/>
      </c>
      <c r="E24" s="16">
        <f>IFERROR(AVERAGEIFS('قاعدة المؤشرات'!$G$2:$G$184,'قاعدة المؤشرات'!$E$2:$E$184,"التحول التقني"),"—")</f>
        <v/>
      </c>
    </row>
    <row r="25">
      <c r="B25" s="9" t="inlineStr">
        <is>
          <t>ساحات درب</t>
        </is>
      </c>
      <c r="C25" s="14" t="inlineStr">
        <is>
          <t>الابتكار</t>
        </is>
      </c>
      <c r="D25" s="15">
        <f>COUNTIF('قاعدة المؤشرات'!$E$2:$E$184,"ساحات درب")</f>
        <v/>
      </c>
      <c r="E25" s="16">
        <f>IFERROR(AVERAGEIFS('قاعدة المؤشرات'!$G$2:$G$184,'قاعدة المؤشرات'!$E$2:$E$184,"ساحات درب"),"—")</f>
        <v/>
      </c>
    </row>
    <row r="26">
      <c r="B26" s="9" t="inlineStr">
        <is>
          <t>تطبيق «تانكي»</t>
        </is>
      </c>
      <c r="C26" s="14" t="inlineStr">
        <is>
          <t>الابتكار</t>
        </is>
      </c>
      <c r="D26" s="15">
        <f>COUNTIF('قاعدة المؤشرات'!$E$2:$E$184,"تطبيق «تانكي»")</f>
        <v/>
      </c>
      <c r="E26" s="16">
        <f>IFERROR(AVERAGEIFS('قاعدة المؤشرات'!$G$2:$G$184,'قاعدة المؤشرات'!$E$2:$E$184,"تطبيق «تانكي»"),"—")</f>
        <v/>
      </c>
    </row>
    <row r="27">
      <c r="B27" s="9" t="inlineStr">
        <is>
          <t>تعزيز تجربة العملاء</t>
        </is>
      </c>
      <c r="C27" s="14" t="inlineStr">
        <is>
          <t>الاستدامة</t>
        </is>
      </c>
      <c r="D27" s="15">
        <f>COUNTIF('قاعدة المؤشرات'!$E$2:$E$184,"تعزيز تجربة العملاء")</f>
        <v/>
      </c>
      <c r="E27" s="16">
        <f>IFERROR(AVERAGEIFS('قاعدة المؤشرات'!$G$2:$G$184,'قاعدة المؤشرات'!$E$2:$E$184,"تعزيز تجربة العملاء"),"—")</f>
        <v/>
      </c>
    </row>
    <row r="28">
      <c r="B28" s="9" t="inlineStr">
        <is>
          <t>جودة التشغيل</t>
        </is>
      </c>
      <c r="C28" s="14" t="inlineStr">
        <is>
          <t>الاستدامة</t>
        </is>
      </c>
      <c r="D28" s="15">
        <f>COUNTIF('قاعدة المؤشرات'!$E$2:$E$184,"جودة التشغيل")</f>
        <v/>
      </c>
      <c r="E28" s="16">
        <f>IFERROR(AVERAGEIFS('قاعدة المؤشرات'!$G$2:$G$184,'قاعدة المؤشرات'!$E$2:$E$184,"جودة التشغيل"),"—")</f>
        <v/>
      </c>
    </row>
    <row r="29">
      <c r="B29" s="9" t="inlineStr">
        <is>
          <t>منظومة التأجير</t>
        </is>
      </c>
      <c r="C29" s="14" t="inlineStr">
        <is>
          <t>الاستدامة</t>
        </is>
      </c>
      <c r="D29" s="15">
        <f>COUNTIF('قاعدة المؤشرات'!$E$2:$E$184,"منظومة التأجير")</f>
        <v/>
      </c>
      <c r="E29" s="16">
        <f>IFERROR(AVERAGEIFS('قاعدة المؤشرات'!$G$2:$G$184,'قاعدة المؤشرات'!$E$2:$E$184,"منظومة التأجير"),"—")</f>
        <v/>
      </c>
    </row>
    <row r="30">
      <c r="B30" s="9" t="inlineStr">
        <is>
          <t>الاستثمار في الموظفين</t>
        </is>
      </c>
      <c r="C30" s="14" t="inlineStr">
        <is>
          <t>الاستدامة</t>
        </is>
      </c>
      <c r="D30" s="15">
        <f>COUNTIF('قاعدة المؤشرات'!$E$2:$E$184,"الاستثمار في الموظفين")</f>
        <v/>
      </c>
      <c r="E30" s="16">
        <f>IFERROR(AVERAGEIFS('قاعدة المؤشرات'!$G$2:$G$184,'قاعدة المؤشرات'!$E$2:$E$184,"الاستثمار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18" t="inlineStr">
        <is>
          <t>الإنجاز العام (موزون)</t>
        </is>
      </c>
      <c r="C4" s="19" t="inlineStr">
        <is>
          <t>✅ محقق</t>
        </is>
      </c>
      <c r="D4" s="19" t="inlineStr">
        <is>
          <t>🟡 قريب</t>
        </is>
      </c>
      <c r="E4" s="19" t="inlineStr">
        <is>
          <t>🔴 تحت الهدف</t>
        </is>
      </c>
    </row>
    <row r="5">
      <c r="B5" s="20">
        <f>IFERROR(SUMPRODUCT(I9:I19,H9:H19)/SUMPRODUCT(I9:I19,J9:J19),0)</f>
        <v/>
      </c>
      <c r="C5" s="21">
        <f>COUNTIFS('قاعدة المؤشرات'!$H$2:$H$184,"✅ محقق",'قاعدة المؤشرات'!$B$2:$B$184,"&lt;&gt;الإدارة التنفيذية")</f>
        <v/>
      </c>
      <c r="D5" s="21">
        <f>COUNTIFS('قاعدة المؤشرات'!$H$2:$H$184,"🟡 قريب",'قاعدة المؤشرات'!$B$2:$B$184,"&lt;&gt;الإدارة التنفيذية")</f>
        <v/>
      </c>
      <c r="E5" s="21">
        <f>COUNTIFS('قاعدة المؤشرات'!$H$2:$H$184,"🔴 تحت الهدف",'قاعدة المؤشرات'!$B$2:$B$184,"&lt;&gt;الإدارة التنفيذية")</f>
        <v/>
      </c>
    </row>
    <row r="7">
      <c r="B7" s="11" t="inlineStr">
        <is>
          <t>الأداء حسب الإدارة (موزون)</t>
        </is>
      </c>
      <c r="C7" s="13" t="n"/>
      <c r="D7" s="11" t="inlineStr">
        <is>
          <t>حسب الركيزة</t>
        </is>
      </c>
      <c r="E7" s="13" t="n"/>
    </row>
    <row r="8">
      <c r="B8" s="19" t="inlineStr">
        <is>
          <t>الإدارة</t>
        </is>
      </c>
      <c r="C8" s="19" t="inlineStr">
        <is>
          <t>الأداء</t>
        </is>
      </c>
      <c r="D8" s="19" t="inlineStr">
        <is>
          <t>الركيزة</t>
        </is>
      </c>
      <c r="E8" s="19" t="inlineStr">
        <is>
          <t>الأداء</t>
        </is>
      </c>
    </row>
    <row r="9">
      <c r="B9" s="22" t="inlineStr">
        <is>
          <t>الإدارة التنفيذية</t>
        </is>
      </c>
      <c r="C9" s="16">
        <f>IFERROR(SUMIF('قاعدة المؤشرات'!$B$2:$B$184,"الإدارة التنفيذية",'قاعدة المؤشرات'!$J$2:$J$184)/SUMIF('قاعدة المؤشرات'!$B$2:$B$184,"الإدارة التنفيذية",'قاعدة المؤشرات'!$K$2:$K$184),"—")</f>
        <v/>
      </c>
      <c r="D9" s="22" t="inlineStr">
        <is>
          <t>النمو</t>
        </is>
      </c>
      <c r="E9" s="16">
        <f>IFERROR(AVERAGEIFS('قاعدة المؤشرات'!$G$2:$G$184,'قاعدة المؤشرات'!$D$2:$D$184,"النمو"),"—")</f>
        <v/>
      </c>
      <c r="H9" s="23">
        <f>IFERROR(SUMIF('قاعدة المؤشرات'!$B$2:$B$184,"الإدارة التنفيذية",'قاعدة المؤشرات'!$J$2:$J$184)/SUMIF('قاعدة المؤشرات'!$B$2:$B$184,"الإدارة التنفيذية",'قاعدة المؤشرات'!$K$2:$K$184),0)</f>
        <v/>
      </c>
      <c r="I9" s="23" t="n">
        <v>0</v>
      </c>
      <c r="J9" s="23">
        <f>IF(SUMIF('قاعدة المؤشرات'!$B$2:$B$184,"الإدارة التنفيذية",'قاعدة المؤشرات'!$K$2:$K$184)=0,0,1)</f>
        <v/>
      </c>
    </row>
    <row r="10">
      <c r="B10" s="22" t="inlineStr">
        <is>
          <t>الامتياز التجاري</t>
        </is>
      </c>
      <c r="C10" s="16">
        <f>IFERROR(SUMIF('قاعدة المؤشرات'!$B$2:$B$184,"الامتياز التجاري",'قاعدة المؤشرات'!$J$2:$J$184)/SUMIF('قاعدة المؤشرات'!$B$2:$B$184,"الامتياز التجاري",'قاعدة المؤشرات'!$K$2:$K$184),"—")</f>
        <v/>
      </c>
      <c r="D10" s="22" t="inlineStr">
        <is>
          <t>الابتكار</t>
        </is>
      </c>
      <c r="E10" s="16">
        <f>IFERROR(AVERAGEIFS('قاعدة المؤشرات'!$G$2:$G$184,'قاعدة المؤشرات'!$D$2:$D$184,"الابتكار"),"—")</f>
        <v/>
      </c>
      <c r="H10" s="23">
        <f>IFERROR(SUMIF('قاعدة المؤشرات'!$B$2:$B$184,"الامتياز التجاري",'قاعدة المؤشرات'!$J$2:$J$184)/SUMIF('قاعدة المؤشرات'!$B$2:$B$184,"الامتياز التجاري",'قاعدة المؤشرات'!$K$2:$K$184),0)</f>
        <v/>
      </c>
      <c r="I10" s="23" t="n">
        <v>0.17</v>
      </c>
      <c r="J10" s="23">
        <f>IF(SUMIF('قاعدة المؤشرات'!$B$2:$B$184,"الامتياز التجاري",'قاعدة المؤشرات'!$K$2:$K$184)=0,0,1)</f>
        <v/>
      </c>
    </row>
    <row r="11">
      <c r="B11" s="22" t="inlineStr">
        <is>
          <t>التشغيل والمحطات</t>
        </is>
      </c>
      <c r="C11" s="16">
        <f>IFERROR(SUMIF('قاعدة المؤشرات'!$B$2:$B$184,"التشغيل والمحطات",'قاعدة المؤشرات'!$J$2:$J$184)/SUMIF('قاعدة المؤشرات'!$B$2:$B$184,"التشغيل والمحطات",'قاعدة المؤشرات'!$K$2:$K$184),"—")</f>
        <v/>
      </c>
      <c r="D11" s="22" t="inlineStr">
        <is>
          <t>الاستدامة</t>
        </is>
      </c>
      <c r="E11" s="16">
        <f>IFERROR(AVERAGEIFS('قاعدة المؤشرات'!$G$2:$G$184,'قاعدة المؤشرات'!$D$2:$D$184,"الاستدامة"),"—")</f>
        <v/>
      </c>
      <c r="H11" s="23">
        <f>IFERROR(SUMIF('قاعدة المؤشرات'!$B$2:$B$184,"التشغيل والمحطات",'قاعدة المؤشرات'!$J$2:$J$184)/SUMIF('قاعدة المؤشرات'!$B$2:$B$184,"التشغيل والمحطات",'قاعدة المؤشرات'!$K$2:$K$184),0)</f>
        <v/>
      </c>
      <c r="I11" s="23" t="n">
        <v>0.15</v>
      </c>
      <c r="J11" s="23">
        <f>IF(SUMIF('قاعدة المؤشرات'!$B$2:$B$184,"التشغيل والمحطات",'قاعدة المؤشرات'!$K$2:$K$184)=0,0,1)</f>
        <v/>
      </c>
    </row>
    <row r="12">
      <c r="B12" s="22" t="inlineStr">
        <is>
          <t>الاستثمار</t>
        </is>
      </c>
      <c r="C12" s="16">
        <f>IFERROR(SUMIF('قاعدة المؤشرات'!$B$2:$B$184,"الاستثمار",'قاعدة المؤشرات'!$J$2:$J$184)/SUMIF('قاعدة المؤشرات'!$B$2:$B$184,"الاستثمار",'قاعدة المؤشرات'!$K$2:$K$184),"—")</f>
        <v/>
      </c>
      <c r="H12" s="23">
        <f>IFERROR(SUMIF('قاعدة المؤشرات'!$B$2:$B$184,"الاستثمار",'قاعدة المؤشرات'!$J$2:$J$184)/SUMIF('قاعدة المؤشرات'!$B$2:$B$184,"الاستثمار",'قاعدة المؤشرات'!$K$2:$K$184),0)</f>
        <v/>
      </c>
      <c r="I12" s="23" t="n">
        <v>0.14</v>
      </c>
      <c r="J12" s="23">
        <f>IF(SUMIF('قاعدة المؤشرات'!$B$2:$B$184,"الاستثمار",'قاعدة المؤشرات'!$K$2:$K$184)=0,0,1)</f>
        <v/>
      </c>
    </row>
    <row r="13">
      <c r="B13" s="22" t="inlineStr">
        <is>
          <t>العقار</t>
        </is>
      </c>
      <c r="C13" s="16">
        <f>IFERROR(SUMIF('قاعدة المؤشرات'!$B$2:$B$184,"العقار",'قاعدة المؤشرات'!$J$2:$J$184)/SUMIF('قاعدة المؤشرات'!$B$2:$B$184,"العقار",'قاعدة المؤشرات'!$K$2:$K$184),"—")</f>
        <v/>
      </c>
      <c r="D13" s="18" t="inlineStr">
        <is>
          <t>حسب منظور BSC</t>
        </is>
      </c>
      <c r="E13" s="13" t="n"/>
      <c r="H13" s="23">
        <f>IFERROR(SUMIF('قاعدة المؤشرات'!$B$2:$B$184,"العقار",'قاعدة المؤشرات'!$J$2:$J$184)/SUMIF('قاعدة المؤشرات'!$B$2:$B$184,"العقار",'قاعدة المؤشرات'!$K$2:$K$184),0)</f>
        <v/>
      </c>
      <c r="I13" s="23" t="n">
        <v>0.12</v>
      </c>
      <c r="J13" s="23">
        <f>IF(SUMIF('قاعدة المؤشرات'!$B$2:$B$184,"العقار",'قاعدة المؤشرات'!$K$2:$K$184)=0,0,1)</f>
        <v/>
      </c>
    </row>
    <row r="14">
      <c r="B14" s="22" t="inlineStr">
        <is>
          <t>التقنية الرقمية</t>
        </is>
      </c>
      <c r="C14" s="16">
        <f>IFERROR(SUMIF('قاعدة المؤشرات'!$B$2:$B$184,"التقنية الرقمية",'قاعدة المؤشرات'!$J$2:$J$184)/SUMIF('قاعدة المؤشرات'!$B$2:$B$184,"التقنية الرقمية",'قاعدة المؤشرات'!$K$2:$K$184),"—")</f>
        <v/>
      </c>
      <c r="D14" s="22" t="inlineStr">
        <is>
          <t>مالي</t>
        </is>
      </c>
      <c r="E14" s="16">
        <f>IFERROR(AVERAGEIFS('قاعدة المؤشرات'!$G$2:$G$184,'قاعدة المؤشرات'!$F$2:$F$184,"مالي"),"—")</f>
        <v/>
      </c>
      <c r="H14" s="23">
        <f>IFERROR(SUMIF('قاعدة المؤشرات'!$B$2:$B$184,"التقنية الرقمية",'قاعدة المؤشرات'!$J$2:$J$184)/SUMIF('قاعدة المؤشرات'!$B$2:$B$184,"التقنية الرقمية",'قاعدة المؤشرات'!$K$2:$K$184),0)</f>
        <v/>
      </c>
      <c r="I14" s="23" t="n">
        <v>0.06</v>
      </c>
      <c r="J14" s="23">
        <f>IF(SUMIF('قاعدة المؤشرات'!$B$2:$B$184,"التقنية الرقمية",'قاعدة المؤشرات'!$K$2:$K$184)=0,0,1)</f>
        <v/>
      </c>
    </row>
    <row r="15">
      <c r="B15" s="22" t="inlineStr">
        <is>
          <t>الموارد البشرية</t>
        </is>
      </c>
      <c r="C15" s="16">
        <f>IFERROR(SUMIF('قاعدة المؤشرات'!$B$2:$B$184,"الموارد البشرية",'قاعدة المؤشرات'!$J$2:$J$184)/SUMIF('قاعدة المؤشرات'!$B$2:$B$184,"الموارد البشرية",'قاعدة المؤشرات'!$K$2:$K$184),"—")</f>
        <v/>
      </c>
      <c r="D15" s="22" t="inlineStr">
        <is>
          <t>العملاء</t>
        </is>
      </c>
      <c r="E15" s="16">
        <f>IFERROR(AVERAGEIFS('قاعدة المؤشرات'!$G$2:$G$184,'قاعدة المؤشرات'!$F$2:$F$184,"العملاء"),"—")</f>
        <v/>
      </c>
      <c r="H15" s="23">
        <f>IFERROR(SUMIF('قاعدة المؤشرات'!$B$2:$B$184,"الموارد البشرية",'قاعدة المؤشرات'!$J$2:$J$184)/SUMIF('قاعدة المؤشرات'!$B$2:$B$184,"الموارد البشرية",'قاعدة المؤشرات'!$K$2:$K$184),0)</f>
        <v/>
      </c>
      <c r="I15" s="23" t="n">
        <v>0.06</v>
      </c>
      <c r="J15" s="23">
        <f>IF(SUMIF('قاعدة المؤشرات'!$B$2:$B$184,"الموارد البشرية",'قاعدة المؤشرات'!$K$2:$K$184)=0,0,1)</f>
        <v/>
      </c>
    </row>
    <row r="16">
      <c r="B16" s="22" t="inlineStr">
        <is>
          <t>التسويق</t>
        </is>
      </c>
      <c r="C16" s="16">
        <f>IFERROR(SUMIF('قاعدة المؤشرات'!$B$2:$B$184,"التسويق",'قاعدة المؤشرات'!$J$2:$J$184)/SUMIF('قاعدة المؤشرات'!$B$2:$B$184,"التسويق",'قاعدة المؤشرات'!$K$2:$K$184),"—")</f>
        <v/>
      </c>
      <c r="D16" s="22" t="inlineStr">
        <is>
          <t>العمليات الداخلية</t>
        </is>
      </c>
      <c r="E16" s="16">
        <f>IFERROR(AVERAGEIFS('قاعدة المؤشرات'!$G$2:$G$184,'قاعدة المؤشرات'!$F$2:$F$184,"العمليات الداخلية"),"—")</f>
        <v/>
      </c>
      <c r="H16" s="23">
        <f>IFERROR(SUMIF('قاعدة المؤشرات'!$B$2:$B$184,"التسويق",'قاعدة المؤشرات'!$J$2:$J$184)/SUMIF('قاعدة المؤشرات'!$B$2:$B$184,"التسويق",'قاعدة المؤشرات'!$K$2:$K$184),0)</f>
        <v/>
      </c>
      <c r="I16" s="23" t="n">
        <v>0.08</v>
      </c>
      <c r="J16" s="23">
        <f>IF(SUMIF('قاعدة المؤشرات'!$B$2:$B$184,"التسويق",'قاعدة المؤشرات'!$K$2:$K$184)=0,0,1)</f>
        <v/>
      </c>
    </row>
    <row r="17">
      <c r="B17" s="22" t="inlineStr">
        <is>
          <t>الجودة</t>
        </is>
      </c>
      <c r="C17" s="16">
        <f>IFERROR(SUMIF('قاعدة المؤشرات'!$B$2:$B$184,"الجودة",'قاعدة المؤشرات'!$J$2:$J$184)/SUMIF('قاعدة المؤشرات'!$B$2:$B$184,"الجودة",'قاعدة المؤشرات'!$K$2:$K$184),"—")</f>
        <v/>
      </c>
      <c r="D17" s="22" t="inlineStr">
        <is>
          <t>التعلّم والنمو</t>
        </is>
      </c>
      <c r="E17" s="16">
        <f>IFERROR(AVERAGEIFS('قاعدة المؤشرات'!$G$2:$G$184,'قاعدة المؤشرات'!$F$2:$F$184,"التعلّم والنمو"),"—")</f>
        <v/>
      </c>
      <c r="H17" s="23">
        <f>IFERROR(SUMIF('قاعدة المؤشرات'!$B$2:$B$184,"الجودة",'قاعدة المؤشرات'!$J$2:$J$184)/SUMIF('قاعدة المؤشرات'!$B$2:$B$184,"الجودة",'قاعدة المؤشرات'!$K$2:$K$184),0)</f>
        <v/>
      </c>
      <c r="I17" s="23" t="n">
        <v>0.07000000000000001</v>
      </c>
      <c r="J17" s="23">
        <f>IF(SUMIF('قاعدة المؤشرات'!$B$2:$B$184,"الجودة",'قاعدة المؤشرات'!$K$2:$K$184)=0,0,1)</f>
        <v/>
      </c>
    </row>
    <row r="18">
      <c r="B18" s="22" t="inlineStr">
        <is>
          <t>الإدارة القانونية</t>
        </is>
      </c>
      <c r="C18" s="16">
        <f>IFERROR(SUMIF('قاعدة المؤشرات'!$B$2:$B$184,"الإدارة القانونية",'قاعدة المؤشرات'!$J$2:$J$184)/SUMIF('قاعدة المؤشرات'!$B$2:$B$184,"الإدارة القانونية",'قاعدة المؤشرات'!$K$2:$K$184),"—")</f>
        <v/>
      </c>
      <c r="H18" s="23">
        <f>IFERROR(SUMIF('قاعدة المؤشرات'!$B$2:$B$184,"الإدارة القانونية",'قاعدة المؤشرات'!$J$2:$J$184)/SUMIF('قاعدة المؤشرات'!$B$2:$B$184,"الإدارة القانونية",'قاعدة المؤشرات'!$K$2:$K$184),0)</f>
        <v/>
      </c>
      <c r="I18" s="23" t="n">
        <v>0.05</v>
      </c>
      <c r="J18" s="23">
        <f>IF(SUMIF('قاعدة المؤشرات'!$B$2:$B$184,"الإدارة القانونية",'قاعدة المؤشرات'!$K$2:$K$184)=0,0,1)</f>
        <v/>
      </c>
    </row>
    <row r="19">
      <c r="B19" s="22" t="inlineStr">
        <is>
          <t>الإدارة المالية</t>
        </is>
      </c>
      <c r="C19" s="16">
        <f>IFERROR(SUMIF('قاعدة المؤشرات'!$B$2:$B$184,"الإدارة المالية",'قاعدة المؤشرات'!$J$2:$J$184)/SUMIF('قاعدة المؤشرات'!$B$2:$B$184,"الإدارة المالية",'قاعدة المؤشرات'!$K$2:$K$184),"—")</f>
        <v/>
      </c>
      <c r="H19" s="23">
        <f>IFERROR(SUMIF('قاعدة المؤشرات'!$B$2:$B$184,"الإدارة المالية",'قاعدة المؤشرات'!$J$2:$J$184)/SUMIF('قاعدة المؤشرات'!$B$2:$B$184,"الإدارة المالية",'قاعدة المؤشرات'!$K$2:$K$184),0)</f>
        <v/>
      </c>
      <c r="I19" s="23" t="n">
        <v>0.1</v>
      </c>
      <c r="J19" s="23">
        <f>IF(SUMIF('قاعدة المؤشرات'!$B$2:$B$184,"الإدارة المالية",'قاعدة المؤشرات'!$K$2:$K$184)=0,0,1)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24" t="inlineStr">
        <is>
          <t>أ) لكل إدارة: العدد · مجموع الأوزان · النوع</t>
        </is>
      </c>
      <c r="B3" s="12" t="n"/>
      <c r="C3" s="12" t="n"/>
      <c r="D3" s="12" t="n"/>
      <c r="E3" s="12" t="n"/>
      <c r="F3" s="12" t="n"/>
      <c r="G3" s="13" t="n"/>
    </row>
    <row r="4">
      <c r="A4" s="25" t="inlineStr">
        <is>
          <t>#</t>
        </is>
      </c>
      <c r="B4" s="25" t="inlineStr">
        <is>
          <t>الإدارة</t>
        </is>
      </c>
      <c r="C4" s="25" t="inlineStr">
        <is>
          <t>عدد المؤشرات</t>
        </is>
      </c>
      <c r="D4" s="25" t="inlineStr">
        <is>
          <t>مجموع الأوزان</t>
        </is>
      </c>
      <c r="E4" s="25" t="inlineStr">
        <is>
          <t>🎯 نتيجة</t>
        </is>
      </c>
      <c r="F4" s="25" t="inlineStr">
        <is>
          <t>⚙️ نشاط</t>
        </is>
      </c>
      <c r="G4" s="25" t="inlineStr">
        <is>
          <t>🔧 تشغيلي</t>
        </is>
      </c>
    </row>
    <row r="5">
      <c r="A5" s="23" t="n">
        <v>1</v>
      </c>
      <c r="B5" s="26" t="inlineStr">
        <is>
          <t>الإدارة التنفيذية</t>
        </is>
      </c>
      <c r="C5" s="23" t="n">
        <v>10</v>
      </c>
      <c r="D5" s="27" t="n">
        <v>1</v>
      </c>
      <c r="E5" s="23" t="n">
        <v>5</v>
      </c>
      <c r="F5" s="23" t="n">
        <v>1</v>
      </c>
      <c r="G5" s="23" t="n">
        <v>4</v>
      </c>
    </row>
    <row r="6">
      <c r="A6" s="23" t="n">
        <v>2</v>
      </c>
      <c r="B6" s="26" t="inlineStr">
        <is>
          <t>الامتياز التجاري</t>
        </is>
      </c>
      <c r="C6" s="23" t="n">
        <v>30</v>
      </c>
      <c r="D6" s="27" t="n">
        <v>1</v>
      </c>
      <c r="E6" s="23" t="n">
        <v>19</v>
      </c>
      <c r="F6" s="23" t="n">
        <v>5</v>
      </c>
      <c r="G6" s="23" t="n">
        <v>6</v>
      </c>
    </row>
    <row r="7">
      <c r="A7" s="23" t="n">
        <v>3</v>
      </c>
      <c r="B7" s="26" t="inlineStr">
        <is>
          <t>التشغيل والمحطات</t>
        </is>
      </c>
      <c r="C7" s="23" t="n">
        <v>16</v>
      </c>
      <c r="D7" s="27" t="n">
        <v>1</v>
      </c>
      <c r="E7" s="23" t="n">
        <v>9</v>
      </c>
      <c r="F7" s="23" t="n">
        <v>1</v>
      </c>
      <c r="G7" s="23" t="n">
        <v>6</v>
      </c>
    </row>
    <row r="8">
      <c r="A8" s="23" t="n">
        <v>4</v>
      </c>
      <c r="B8" s="26" t="inlineStr">
        <is>
          <t>الاستثمار</t>
        </is>
      </c>
      <c r="C8" s="23" t="n">
        <v>24</v>
      </c>
      <c r="D8" s="27" t="n">
        <v>1</v>
      </c>
      <c r="E8" s="23" t="n">
        <v>4</v>
      </c>
      <c r="F8" s="23" t="n">
        <v>3</v>
      </c>
      <c r="G8" s="23" t="n">
        <v>17</v>
      </c>
    </row>
    <row r="9">
      <c r="A9" s="23" t="n">
        <v>5</v>
      </c>
      <c r="B9" s="26" t="inlineStr">
        <is>
          <t>العقار</t>
        </is>
      </c>
      <c r="C9" s="23" t="n">
        <v>16</v>
      </c>
      <c r="D9" s="27" t="n">
        <v>1</v>
      </c>
      <c r="E9" s="23" t="n">
        <v>8</v>
      </c>
      <c r="F9" s="23" t="n">
        <v>1</v>
      </c>
      <c r="G9" s="23" t="n">
        <v>7</v>
      </c>
    </row>
    <row r="10">
      <c r="A10" s="23" t="n">
        <v>6</v>
      </c>
      <c r="B10" s="26" t="inlineStr">
        <is>
          <t>التقنية الرقمية</t>
        </is>
      </c>
      <c r="C10" s="23" t="n">
        <v>9</v>
      </c>
      <c r="D10" s="27" t="n">
        <v>1</v>
      </c>
      <c r="E10" s="23" t="n">
        <v>5</v>
      </c>
      <c r="F10" s="23" t="n">
        <v>0</v>
      </c>
      <c r="G10" s="23" t="n">
        <v>4</v>
      </c>
    </row>
    <row r="11">
      <c r="A11" s="23" t="n">
        <v>7</v>
      </c>
      <c r="B11" s="26" t="inlineStr">
        <is>
          <t>الموارد البشرية</t>
        </is>
      </c>
      <c r="C11" s="23" t="n">
        <v>17</v>
      </c>
      <c r="D11" s="27" t="n">
        <v>1</v>
      </c>
      <c r="E11" s="23" t="n">
        <v>5</v>
      </c>
      <c r="F11" s="23" t="n">
        <v>4</v>
      </c>
      <c r="G11" s="23" t="n">
        <v>8</v>
      </c>
    </row>
    <row r="12">
      <c r="A12" s="23" t="n">
        <v>8</v>
      </c>
      <c r="B12" s="26" t="inlineStr">
        <is>
          <t>التسويق</t>
        </is>
      </c>
      <c r="C12" s="23" t="n">
        <v>15</v>
      </c>
      <c r="D12" s="27" t="n">
        <v>1</v>
      </c>
      <c r="E12" s="23" t="n">
        <v>4</v>
      </c>
      <c r="F12" s="23" t="n">
        <v>3</v>
      </c>
      <c r="G12" s="23" t="n">
        <v>8</v>
      </c>
    </row>
    <row r="13">
      <c r="A13" s="23" t="n">
        <v>9</v>
      </c>
      <c r="B13" s="26" t="inlineStr">
        <is>
          <t>الجودة</t>
        </is>
      </c>
      <c r="C13" s="23" t="n">
        <v>14</v>
      </c>
      <c r="D13" s="27" t="n">
        <v>1</v>
      </c>
      <c r="E13" s="23" t="n">
        <v>6</v>
      </c>
      <c r="F13" s="23" t="n">
        <v>3</v>
      </c>
      <c r="G13" s="23" t="n">
        <v>5</v>
      </c>
    </row>
    <row r="14">
      <c r="A14" s="23" t="n">
        <v>10</v>
      </c>
      <c r="B14" s="26" t="inlineStr">
        <is>
          <t>الإدارة القانونية</t>
        </is>
      </c>
      <c r="C14" s="23" t="n">
        <v>8</v>
      </c>
      <c r="D14" s="27" t="n">
        <v>1</v>
      </c>
      <c r="E14" s="23" t="n">
        <v>2</v>
      </c>
      <c r="F14" s="23" t="n">
        <v>1</v>
      </c>
      <c r="G14" s="23" t="n">
        <v>5</v>
      </c>
    </row>
    <row r="15">
      <c r="A15" s="23" t="n">
        <v>11</v>
      </c>
      <c r="B15" s="26" t="inlineStr">
        <is>
          <t>الإدارة المالية</t>
        </is>
      </c>
      <c r="C15" s="23" t="n">
        <v>24</v>
      </c>
      <c r="D15" s="27" t="n">
        <v>1</v>
      </c>
      <c r="E15" s="23" t="n">
        <v>14</v>
      </c>
      <c r="F15" s="23" t="n">
        <v>0</v>
      </c>
      <c r="G15" s="23" t="n">
        <v>10</v>
      </c>
    </row>
    <row r="17">
      <c r="A17" s="24" t="inlineStr">
        <is>
          <t>ب) توزيع منظورات Balanced Scorecard</t>
        </is>
      </c>
      <c r="B17" s="12" t="n"/>
      <c r="C17" s="12" t="n"/>
      <c r="D17" s="12" t="n"/>
      <c r="E17" s="12" t="n"/>
      <c r="F17" s="12" t="n"/>
      <c r="G17" s="13" t="n"/>
    </row>
    <row r="18">
      <c r="A18" s="25" t="inlineStr">
        <is>
          <t>#</t>
        </is>
      </c>
      <c r="B18" s="25" t="inlineStr">
        <is>
          <t>المنظور</t>
        </is>
      </c>
      <c r="C18" s="25" t="inlineStr">
        <is>
          <t>عدد المؤشرات</t>
        </is>
      </c>
      <c r="D18" s="25" t="inlineStr">
        <is>
          <t>النسبة</t>
        </is>
      </c>
    </row>
    <row r="19">
      <c r="A19" s="23" t="n">
        <v>1</v>
      </c>
      <c r="B19" s="26" t="inlineStr">
        <is>
          <t>مالي</t>
        </is>
      </c>
      <c r="C19" s="23" t="n">
        <v>33</v>
      </c>
      <c r="D19" s="28" t="n">
        <v>0.18</v>
      </c>
    </row>
    <row r="20">
      <c r="A20" s="23" t="n">
        <v>2</v>
      </c>
      <c r="B20" s="26" t="inlineStr">
        <is>
          <t>العملاء</t>
        </is>
      </c>
      <c r="C20" s="23" t="n">
        <v>23</v>
      </c>
      <c r="D20" s="28" t="n">
        <v>0.126</v>
      </c>
    </row>
    <row r="21">
      <c r="A21" s="23" t="n">
        <v>3</v>
      </c>
      <c r="B21" s="26" t="inlineStr">
        <is>
          <t>العمليات الداخلية</t>
        </is>
      </c>
      <c r="C21" s="23" t="n">
        <v>103</v>
      </c>
      <c r="D21" s="28" t="n">
        <v>0.5629999999999999</v>
      </c>
    </row>
    <row r="22">
      <c r="A22" s="23" t="n">
        <v>4</v>
      </c>
      <c r="B22" s="26" t="inlineStr">
        <is>
          <t>التعلّم والنمو</t>
        </is>
      </c>
      <c r="C22" s="23" t="n">
        <v>24</v>
      </c>
      <c r="D22" s="28" t="n">
        <v>0.131</v>
      </c>
    </row>
    <row r="24">
      <c r="A24" s="24" t="inlineStr">
        <is>
          <t>ج) تغطية الأهداف الاستراتيجية (عدد المؤشرات لكل مشروع)</t>
        </is>
      </c>
      <c r="B24" s="12" t="n"/>
      <c r="C24" s="12" t="n"/>
      <c r="D24" s="12" t="n"/>
      <c r="E24" s="12" t="n"/>
      <c r="F24" s="12" t="n"/>
      <c r="G24" s="13" t="n"/>
    </row>
    <row r="25">
      <c r="A25" s="25" t="inlineStr">
        <is>
          <t>#</t>
        </is>
      </c>
      <c r="B25" s="25" t="inlineStr">
        <is>
          <t>المشروع/الهدف</t>
        </is>
      </c>
      <c r="C25" s="25" t="inlineStr">
        <is>
          <t>الركيزة</t>
        </is>
      </c>
      <c r="D25" s="25" t="inlineStr">
        <is>
          <t>عدد المؤشرات</t>
        </is>
      </c>
      <c r="E25" s="25" t="inlineStr">
        <is>
          <t>التغطية</t>
        </is>
      </c>
    </row>
    <row r="26">
      <c r="A26" s="23" t="n">
        <v>1</v>
      </c>
      <c r="B26" s="26" t="inlineStr">
        <is>
          <t>التوسع في المواقع</t>
        </is>
      </c>
      <c r="C26" s="23" t="inlineStr">
        <is>
          <t>النمو</t>
        </is>
      </c>
      <c r="D26" s="23" t="n">
        <v>20</v>
      </c>
      <c r="E26" s="23" t="inlineStr">
        <is>
          <t>🟢 كافية</t>
        </is>
      </c>
    </row>
    <row r="27">
      <c r="A27" s="23" t="n">
        <v>2</v>
      </c>
      <c r="B27" s="26" t="inlineStr">
        <is>
          <t>الامتياز التجاري</t>
        </is>
      </c>
      <c r="C27" s="23" t="inlineStr">
        <is>
          <t>النمو</t>
        </is>
      </c>
      <c r="D27" s="23" t="n">
        <v>7</v>
      </c>
      <c r="E27" s="23" t="inlineStr">
        <is>
          <t>🟢 كافية</t>
        </is>
      </c>
    </row>
    <row r="28">
      <c r="A28" s="23" t="n">
        <v>3</v>
      </c>
      <c r="B28" s="26" t="inlineStr">
        <is>
          <t>زيادة وصول العملاء</t>
        </is>
      </c>
      <c r="C28" s="23" t="inlineStr">
        <is>
          <t>النمو</t>
        </is>
      </c>
      <c r="D28" s="23" t="n">
        <v>23</v>
      </c>
      <c r="E28" s="23" t="inlineStr">
        <is>
          <t>🟢 كافية</t>
        </is>
      </c>
    </row>
    <row r="29">
      <c r="A29" s="23" t="n">
        <v>4</v>
      </c>
      <c r="B29" s="26" t="inlineStr">
        <is>
          <t>إطلاق مشاريع جديدة</t>
        </is>
      </c>
      <c r="C29" s="23" t="inlineStr">
        <is>
          <t>الابتكار</t>
        </is>
      </c>
      <c r="D29" s="23" t="n">
        <v>4</v>
      </c>
      <c r="E29" s="23" t="inlineStr">
        <is>
          <t>🟢 كافية</t>
        </is>
      </c>
    </row>
    <row r="30">
      <c r="A30" s="23" t="n">
        <v>5</v>
      </c>
      <c r="B30" s="26" t="inlineStr">
        <is>
          <t>تطوير التصاميم والهوية</t>
        </is>
      </c>
      <c r="C30" s="23" t="inlineStr">
        <is>
          <t>الابتكار</t>
        </is>
      </c>
      <c r="D30" s="23" t="n">
        <v>2</v>
      </c>
      <c r="E30" s="23" t="inlineStr">
        <is>
          <t>🟡 ضعيفة</t>
        </is>
      </c>
    </row>
    <row r="31">
      <c r="A31" s="23" t="n">
        <v>6</v>
      </c>
      <c r="B31" s="26" t="inlineStr">
        <is>
          <t>التحول التقني</t>
        </is>
      </c>
      <c r="C31" s="23" t="inlineStr">
        <is>
          <t>الابتكار</t>
        </is>
      </c>
      <c r="D31" s="23" t="n">
        <v>10</v>
      </c>
      <c r="E31" s="23" t="inlineStr">
        <is>
          <t>🟢 كافية</t>
        </is>
      </c>
    </row>
    <row r="32">
      <c r="A32" s="23" t="n">
        <v>7</v>
      </c>
      <c r="B32" s="26" t="inlineStr">
        <is>
          <t>ساحات درب</t>
        </is>
      </c>
      <c r="C32" s="23" t="inlineStr">
        <is>
          <t>الابتكار</t>
        </is>
      </c>
      <c r="D32" s="23" t="n">
        <v>2</v>
      </c>
      <c r="E32" s="23" t="inlineStr">
        <is>
          <t>🟡 ضعيفة</t>
        </is>
      </c>
    </row>
    <row r="33">
      <c r="A33" s="23" t="n">
        <v>8</v>
      </c>
      <c r="B33" s="26" t="inlineStr">
        <is>
          <t>تطبيق «تانكي»</t>
        </is>
      </c>
      <c r="C33" s="23" t="inlineStr">
        <is>
          <t>الابتكار</t>
        </is>
      </c>
      <c r="D33" s="23" t="n">
        <v>2</v>
      </c>
      <c r="E33" s="23" t="inlineStr">
        <is>
          <t>🟡 ضعيفة</t>
        </is>
      </c>
    </row>
    <row r="34">
      <c r="A34" s="23" t="n">
        <v>9</v>
      </c>
      <c r="B34" s="26" t="inlineStr">
        <is>
          <t>تعزيز تجربة العملاء</t>
        </is>
      </c>
      <c r="C34" s="23" t="inlineStr">
        <is>
          <t>الاستدامة</t>
        </is>
      </c>
      <c r="D34" s="23" t="n">
        <v>16</v>
      </c>
      <c r="E34" s="23" t="inlineStr">
        <is>
          <t>🟢 كافية</t>
        </is>
      </c>
    </row>
    <row r="35">
      <c r="A35" s="23" t="n">
        <v>10</v>
      </c>
      <c r="B35" s="26" t="inlineStr">
        <is>
          <t>جودة التشغيل</t>
        </is>
      </c>
      <c r="C35" s="23" t="inlineStr">
        <is>
          <t>الاستدامة</t>
        </is>
      </c>
      <c r="D35" s="23" t="n">
        <v>74</v>
      </c>
      <c r="E35" s="23" t="inlineStr">
        <is>
          <t>🟢 كافية</t>
        </is>
      </c>
    </row>
    <row r="36">
      <c r="A36" s="23" t="n">
        <v>11</v>
      </c>
      <c r="B36" s="26" t="inlineStr">
        <is>
          <t>منظومة التأجير</t>
        </is>
      </c>
      <c r="C36" s="23" t="inlineStr">
        <is>
          <t>الاستدامة</t>
        </is>
      </c>
      <c r="D36" s="23" t="n">
        <v>10</v>
      </c>
      <c r="E36" s="23" t="inlineStr">
        <is>
          <t>🟢 كافية</t>
        </is>
      </c>
    </row>
    <row r="37">
      <c r="A37" s="23" t="n">
        <v>12</v>
      </c>
      <c r="B37" s="26" t="inlineStr">
        <is>
          <t>الاستثمار في الموظفين</t>
        </is>
      </c>
      <c r="C37" s="23" t="inlineStr">
        <is>
          <t>الاستدامة</t>
        </is>
      </c>
      <c r="D37" s="23" t="n">
        <v>13</v>
      </c>
      <c r="E37" s="23" t="inlineStr">
        <is>
          <t>🟢 كافية</t>
        </is>
      </c>
    </row>
  </sheetData>
  <mergeCells count="4">
    <mergeCell ref="A3:G3"/>
    <mergeCell ref="A24:G24"/>
    <mergeCell ref="A1:G1"/>
    <mergeCell ref="A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9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25" t="inlineStr">
        <is>
          <t>#</t>
        </is>
      </c>
      <c r="B2" s="25" t="inlineStr">
        <is>
          <t>الإدارة</t>
        </is>
      </c>
      <c r="C2" s="25" t="inlineStr">
        <is>
          <t>المؤشر</t>
        </is>
      </c>
      <c r="D2" s="25" t="inlineStr">
        <is>
          <t>التعريف</t>
        </is>
      </c>
      <c r="E2" s="25" t="inlineStr">
        <is>
          <t>طريقة الاحتساب</t>
        </is>
      </c>
      <c r="F2" s="25" t="inlineStr">
        <is>
          <t>النوع</t>
        </is>
      </c>
      <c r="G2" s="25" t="inlineStr">
        <is>
          <t>الهدف الاستراتيجي (ركيزة · مشروع)</t>
        </is>
      </c>
      <c r="H2" s="25" t="inlineStr">
        <is>
          <t>منظور BSC</t>
        </is>
      </c>
      <c r="I2" s="25" t="inlineStr">
        <is>
          <t>الوزن</t>
        </is>
      </c>
      <c r="J2" s="25" t="inlineStr">
        <is>
          <t>المالك</t>
        </is>
      </c>
      <c r="K2" s="25" t="inlineStr">
        <is>
          <t>مصدر البيانات</t>
        </is>
      </c>
      <c r="L2" s="25" t="inlineStr">
        <is>
          <t>الدورية</t>
        </is>
      </c>
      <c r="M2" s="25" t="inlineStr">
        <is>
          <t>جهة اعتماد البيانات</t>
        </is>
      </c>
      <c r="N2" s="25" t="inlineStr">
        <is>
          <t>آخر تحديث للبيانات</t>
        </is>
      </c>
    </row>
    <row r="3" ht="30" customHeight="1">
      <c r="A3" s="23" t="n">
        <v>1</v>
      </c>
      <c r="B3" s="26" t="inlineStr">
        <is>
          <t>الإدارة التنفيذية</t>
        </is>
      </c>
      <c r="C3" s="9" t="inlineStr">
        <is>
          <t>إجمالي المحطات المشغّلة — الشركة (تراكمي)</t>
        </is>
      </c>
      <c r="D3" s="30" t="inlineStr">
        <is>
          <t>يقيس إجمالي المحطات المشغّلة — الشركة (تراكمي) ضمن محور «النمو»، ويعكس مساهمة الإدارة في ركيزة النمو.</t>
        </is>
      </c>
      <c r="E3" s="31" t="inlineStr">
        <is>
          <t>إجمالي العدد خلال الفترة</t>
        </is>
      </c>
      <c r="F3" s="23" t="inlineStr">
        <is>
          <t>🔧 تشغيلي</t>
        </is>
      </c>
      <c r="G3" s="31" t="inlineStr">
        <is>
          <t>النمو · التوسع في المواقع</t>
        </is>
      </c>
      <c r="H3" s="23" t="inlineStr">
        <is>
          <t>العمليات الداخلية</t>
        </is>
      </c>
      <c r="I3" s="32" t="n">
        <v>0.12</v>
      </c>
      <c r="J3" s="23" t="inlineStr">
        <is>
          <t>الرئيس التنفيذي</t>
        </is>
      </c>
      <c r="K3" s="31" t="inlineStr">
        <is>
          <t>نظام تشغيل المحطات</t>
        </is>
      </c>
      <c r="L3" s="23" t="inlineStr">
        <is>
          <t>شهري</t>
        </is>
      </c>
      <c r="M3" s="23" t="inlineStr">
        <is>
          <t>اللجنة التنفيذية</t>
        </is>
      </c>
      <c r="N3" s="33" t="n"/>
    </row>
    <row r="4" ht="30" customHeight="1">
      <c r="A4" s="23" t="n">
        <v>2</v>
      </c>
      <c r="B4" s="26" t="inlineStr">
        <is>
          <t>الإدارة التنفيذية</t>
        </is>
      </c>
      <c r="C4" s="9" t="inlineStr">
        <is>
          <t>إجمالي العقود الجديدة — الشركة</t>
        </is>
      </c>
      <c r="D4" s="30" t="inlineStr">
        <is>
          <t>يقيس إجمالي العقود الجديدة — الشركة ضمن محور «النمو»، ويعكس مساهمة الإدارة في ركيزة النمو.</t>
        </is>
      </c>
      <c r="E4" s="31" t="inlineStr">
        <is>
          <t>إجمالي العدد خلال الفترة</t>
        </is>
      </c>
      <c r="F4" s="23" t="inlineStr">
        <is>
          <t>🔧 تشغيلي</t>
        </is>
      </c>
      <c r="G4" s="31" t="inlineStr">
        <is>
          <t>النمو · الامتياز التجاري</t>
        </is>
      </c>
      <c r="H4" s="23" t="inlineStr">
        <is>
          <t>العمليات الداخلية</t>
        </is>
      </c>
      <c r="I4" s="32" t="n">
        <v>0.12</v>
      </c>
      <c r="J4" s="23" t="inlineStr">
        <is>
          <t>الرئيس التنفيذي</t>
        </is>
      </c>
      <c r="K4" s="31" t="inlineStr">
        <is>
          <t>نظام إدارة العقود (CRM)</t>
        </is>
      </c>
      <c r="L4" s="23" t="inlineStr">
        <is>
          <t>شهري</t>
        </is>
      </c>
      <c r="M4" s="23" t="inlineStr">
        <is>
          <t>اللجنة التنفيذية</t>
        </is>
      </c>
      <c r="N4" s="33" t="n"/>
    </row>
    <row r="5" ht="30" customHeight="1">
      <c r="A5" s="23" t="n">
        <v>3</v>
      </c>
      <c r="B5" s="26" t="inlineStr">
        <is>
          <t>الإدارة التنفيذية</t>
        </is>
      </c>
      <c r="C5" s="9" t="inlineStr">
        <is>
          <t>إجمالي إيرادات الشركة السنوية</t>
        </is>
      </c>
      <c r="D5" s="30" t="inlineStr">
        <is>
          <t>يقيس إجمالي إيرادات الشركة السنوية ضمن محور «النمو»، ويعكس مساهمة الإدارة في ركيزة النمو.</t>
        </is>
      </c>
      <c r="E5" s="31" t="inlineStr">
        <is>
          <t>إجمالي القيمة (ر.س) خلال الفترة</t>
        </is>
      </c>
      <c r="F5" s="23" t="inlineStr">
        <is>
          <t>🎯 نتيجة</t>
        </is>
      </c>
      <c r="G5" s="31" t="inlineStr">
        <is>
          <t>النمو · زيادة وصول العملاء</t>
        </is>
      </c>
      <c r="H5" s="23" t="inlineStr">
        <is>
          <t>مالي</t>
        </is>
      </c>
      <c r="I5" s="32" t="n">
        <v>0.11</v>
      </c>
      <c r="J5" s="23" t="inlineStr">
        <is>
          <t>الرئيس التنفيذي</t>
        </is>
      </c>
      <c r="K5" s="31" t="inlineStr">
        <is>
          <t>نظام المحاسبة / ERP (D365)</t>
        </is>
      </c>
      <c r="L5" s="23" t="inlineStr">
        <is>
          <t>شهري</t>
        </is>
      </c>
      <c r="M5" s="23" t="inlineStr">
        <is>
          <t>اللجنة التنفيذية</t>
        </is>
      </c>
      <c r="N5" s="33" t="n"/>
    </row>
    <row r="6" ht="30" customHeight="1">
      <c r="A6" s="23" t="n">
        <v>4</v>
      </c>
      <c r="B6" s="26" t="inlineStr">
        <is>
          <t>الإدارة التنفيذية</t>
        </is>
      </c>
      <c r="C6" s="9" t="inlineStr">
        <is>
          <t>نسبة نمو إيرادات الشركة (سنوي)</t>
        </is>
      </c>
      <c r="D6" s="30" t="inlineStr">
        <is>
          <t>يقيس نسبة نمو إيرادات الشركة (سنوي) ضمن محور «النمو»، ويعكس مساهمة الإدارة في ركيزة النمو.</t>
        </is>
      </c>
      <c r="E6" s="31" t="inlineStr">
        <is>
          <t>(المتحقّق ÷ الإجمالي) × 100٪</t>
        </is>
      </c>
      <c r="F6" s="23" t="inlineStr">
        <is>
          <t>🎯 نتيجة</t>
        </is>
      </c>
      <c r="G6" s="31" t="inlineStr">
        <is>
          <t>النمو · زيادة وصول العملاء</t>
        </is>
      </c>
      <c r="H6" s="23" t="inlineStr">
        <is>
          <t>مالي</t>
        </is>
      </c>
      <c r="I6" s="32" t="n">
        <v>0.11</v>
      </c>
      <c r="J6" s="23" t="inlineStr">
        <is>
          <t>الرئيس التنفيذي</t>
        </is>
      </c>
      <c r="K6" s="31" t="inlineStr">
        <is>
          <t>نظام المحاسبة / ERP (D365)</t>
        </is>
      </c>
      <c r="L6" s="23" t="inlineStr">
        <is>
          <t>شهري</t>
        </is>
      </c>
      <c r="M6" s="23" t="inlineStr">
        <is>
          <t>اللجنة التنفيذية</t>
        </is>
      </c>
      <c r="N6" s="33" t="n"/>
    </row>
    <row r="7" ht="30" customHeight="1">
      <c r="A7" s="23" t="n">
        <v>5</v>
      </c>
      <c r="B7" s="26" t="inlineStr">
        <is>
          <t>الإدارة التنفيذية</t>
        </is>
      </c>
      <c r="C7" s="9" t="inlineStr">
        <is>
          <t>نسبة إنجاز مشاريع الخارطة التنفيذية</t>
        </is>
      </c>
      <c r="D7" s="30" t="inlineStr">
        <is>
          <t>يقيس نسبة إنجاز مشاريع الخارطة التنفيذية ضمن محور «الابتكار»، ويعكس مساهمة الإدارة في ركيزة الابتكار.</t>
        </is>
      </c>
      <c r="E7" s="31" t="inlineStr">
        <is>
          <t>(المتحقّق ÷ الإجمالي) × 100٪</t>
        </is>
      </c>
      <c r="F7" s="23" t="inlineStr">
        <is>
          <t>⚙️ نشاط</t>
        </is>
      </c>
      <c r="G7" s="31" t="inlineStr">
        <is>
          <t>الابتكار · إطلاق مشاريع جديدة</t>
        </is>
      </c>
      <c r="H7" s="23" t="inlineStr">
        <is>
          <t>العمليات الداخلية</t>
        </is>
      </c>
      <c r="I7" s="32" t="n">
        <v>0.08</v>
      </c>
      <c r="J7" s="23" t="inlineStr">
        <is>
          <t>الرئيس التنفيذي</t>
        </is>
      </c>
      <c r="K7" s="31" t="inlineStr">
        <is>
          <t>سجلات الإدارة</t>
        </is>
      </c>
      <c r="L7" s="23" t="inlineStr">
        <is>
          <t>شهري</t>
        </is>
      </c>
      <c r="M7" s="23" t="inlineStr">
        <is>
          <t>اللجنة التنفيذية</t>
        </is>
      </c>
      <c r="N7" s="33" t="n"/>
    </row>
    <row r="8" ht="30" customHeight="1">
      <c r="A8" s="23" t="n">
        <v>6</v>
      </c>
      <c r="B8" s="26" t="inlineStr">
        <is>
          <t>الإدارة التنفيذية</t>
        </is>
      </c>
      <c r="C8" s="9" t="inlineStr">
        <is>
          <t>نسبة التحول الرقمي على مستوى الشركة</t>
        </is>
      </c>
      <c r="D8" s="30" t="inlineStr">
        <is>
          <t>يقيس نسبة التحول الرقمي على مستوى الشركة ضمن محور «الابتكار»، ويعكس مساهمة الإدارة في ركيزة الابتكار.</t>
        </is>
      </c>
      <c r="E8" s="31" t="inlineStr">
        <is>
          <t>(المتحقّق ÷ الإجمالي) × 100٪</t>
        </is>
      </c>
      <c r="F8" s="23" t="inlineStr">
        <is>
          <t>🔧 تشغيلي</t>
        </is>
      </c>
      <c r="G8" s="31" t="inlineStr">
        <is>
          <t>الابتكار · التحول التقني</t>
        </is>
      </c>
      <c r="H8" s="23" t="inlineStr">
        <is>
          <t>التعلّم والنمو</t>
        </is>
      </c>
      <c r="I8" s="32" t="n">
        <v>0.08</v>
      </c>
      <c r="J8" s="23" t="inlineStr">
        <is>
          <t>الرئيس التنفيذي</t>
        </is>
      </c>
      <c r="K8" s="31" t="inlineStr">
        <is>
          <t>سجلات الإدارة</t>
        </is>
      </c>
      <c r="L8" s="23" t="inlineStr">
        <is>
          <t>شهري</t>
        </is>
      </c>
      <c r="M8" s="23" t="inlineStr">
        <is>
          <t>اللجنة التنفيذية</t>
        </is>
      </c>
      <c r="N8" s="33" t="n"/>
    </row>
    <row r="9" ht="30" customHeight="1">
      <c r="A9" s="23" t="n">
        <v>7</v>
      </c>
      <c r="B9" s="26" t="inlineStr">
        <is>
          <t>الإدارة التنفيذية</t>
        </is>
      </c>
      <c r="C9" s="9" t="inlineStr">
        <is>
          <t>مؤشر رضا العملاء العام (الشركة)</t>
        </is>
      </c>
      <c r="D9" s="30" t="inlineStr">
        <is>
          <t>يقيس مؤشر رضا العملاء العام (الشركة) ضمن محور «الاستدامة»، ويعكس مساهمة الإدارة في ركيزة الاستدامة.</t>
        </is>
      </c>
      <c r="E9" s="31" t="inlineStr">
        <is>
          <t>(المتحقّق ÷ الإجمالي) × 100٪</t>
        </is>
      </c>
      <c r="F9" s="23" t="inlineStr">
        <is>
          <t>🎯 نتيجة</t>
        </is>
      </c>
      <c r="G9" s="31" t="inlineStr">
        <is>
          <t>الاستدامة · تعزيز تجربة العملاء</t>
        </is>
      </c>
      <c r="H9" s="23" t="inlineStr">
        <is>
          <t>العملاء</t>
        </is>
      </c>
      <c r="I9" s="32" t="n">
        <v>0.11</v>
      </c>
      <c r="J9" s="23" t="inlineStr">
        <is>
          <t>الرئيس التنفيذي</t>
        </is>
      </c>
      <c r="K9" s="31" t="inlineStr">
        <is>
          <t>استبيان دوري</t>
        </is>
      </c>
      <c r="L9" s="23" t="inlineStr">
        <is>
          <t>ربعي</t>
        </is>
      </c>
      <c r="M9" s="23" t="inlineStr">
        <is>
          <t>اللجنة التنفيذية</t>
        </is>
      </c>
      <c r="N9" s="33" t="n"/>
    </row>
    <row r="10" ht="30" customHeight="1">
      <c r="A10" s="23" t="n">
        <v>8</v>
      </c>
      <c r="B10" s="26" t="inlineStr">
        <is>
          <t>الإدارة التنفيذية</t>
        </is>
      </c>
      <c r="C10" s="9" t="inlineStr">
        <is>
          <t>مؤشر رضا الموظفين العام (eNPS)</t>
        </is>
      </c>
      <c r="D10" s="30" t="inlineStr">
        <is>
          <t>يقيس مؤشر رضا الموظفين العام (eNPS) ضمن محور «الاستدامة»، ويعكس مساهمة الإدارة في ركيزة الاستدامة.</t>
        </is>
      </c>
      <c r="E10" s="31" t="inlineStr">
        <is>
          <t>٪ المروّجين − ٪ المنتقدين</t>
        </is>
      </c>
      <c r="F10" s="23" t="inlineStr">
        <is>
          <t>🎯 نتيجة</t>
        </is>
      </c>
      <c r="G10" s="31" t="inlineStr">
        <is>
          <t>الاستدامة · الاستثمار في الموظفين</t>
        </is>
      </c>
      <c r="H10" s="23" t="inlineStr">
        <is>
          <t>التعلّم والنمو</t>
        </is>
      </c>
      <c r="I10" s="32" t="n">
        <v>0.11</v>
      </c>
      <c r="J10" s="23" t="inlineStr">
        <is>
          <t>الرئيس التنفيذي</t>
        </is>
      </c>
      <c r="K10" s="31" t="inlineStr">
        <is>
          <t>استبيان دوري</t>
        </is>
      </c>
      <c r="L10" s="23" t="inlineStr">
        <is>
          <t>ربعي</t>
        </is>
      </c>
      <c r="M10" s="23" t="inlineStr">
        <is>
          <t>اللجنة التنفيذية</t>
        </is>
      </c>
      <c r="N10" s="33" t="n"/>
    </row>
    <row r="11" ht="30" customHeight="1">
      <c r="A11" s="23" t="n">
        <v>9</v>
      </c>
      <c r="B11" s="26" t="inlineStr">
        <is>
          <t>الإدارة التنفيذية</t>
        </is>
      </c>
      <c r="C11" s="9" t="inlineStr">
        <is>
          <t>نسبة تحقيق المستهدفات الاستراتيجية العامة</t>
        </is>
      </c>
      <c r="D11" s="30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31" t="inlineStr">
        <is>
          <t>(المتحقّق ÷ الإجمالي) × 100٪</t>
        </is>
      </c>
      <c r="F11" s="23" t="inlineStr">
        <is>
          <t>🔧 تشغيلي</t>
        </is>
      </c>
      <c r="G11" s="31" t="inlineStr">
        <is>
          <t>الاستدامة · جودة التشغيل</t>
        </is>
      </c>
      <c r="H11" s="23" t="inlineStr">
        <is>
          <t>العمليات الداخلية</t>
        </is>
      </c>
      <c r="I11" s="32" t="n">
        <v>0.08</v>
      </c>
      <c r="J11" s="23" t="inlineStr">
        <is>
          <t>الرئيس التنفيذي</t>
        </is>
      </c>
      <c r="K11" s="31" t="inlineStr">
        <is>
          <t>سجلات الإدارة</t>
        </is>
      </c>
      <c r="L11" s="23" t="inlineStr">
        <is>
          <t>شهري</t>
        </is>
      </c>
      <c r="M11" s="23" t="inlineStr">
        <is>
          <t>اللجنة التنفيذية</t>
        </is>
      </c>
      <c r="N11" s="33" t="n"/>
    </row>
    <row r="12" ht="30" customHeight="1">
      <c r="A12" s="23" t="n">
        <v>10</v>
      </c>
      <c r="B12" s="26" t="inlineStr">
        <is>
          <t>الإدارة التنفيذية</t>
        </is>
      </c>
      <c r="C12" s="9" t="inlineStr">
        <is>
          <t>الالتزام بمعايير وزارة الطاقة (تغطية 13 منطقة)</t>
        </is>
      </c>
      <c r="D12" s="30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31" t="inlineStr">
        <is>
          <t>(المتحقّق ÷ الإجمالي) × 100٪</t>
        </is>
      </c>
      <c r="F12" s="23" t="inlineStr">
        <is>
          <t>🎯 نتيجة</t>
        </is>
      </c>
      <c r="G12" s="31" t="inlineStr">
        <is>
          <t>النمو · التوسع في المواقع</t>
        </is>
      </c>
      <c r="H12" s="23" t="inlineStr">
        <is>
          <t>العمليات الداخلية</t>
        </is>
      </c>
      <c r="I12" s="32" t="n">
        <v>0.08</v>
      </c>
      <c r="J12" s="23" t="inlineStr">
        <is>
          <t>الرئيس التنفيذي</t>
        </is>
      </c>
      <c r="K12" s="31" t="inlineStr">
        <is>
          <t>سجلات الإدارة</t>
        </is>
      </c>
      <c r="L12" s="23" t="inlineStr">
        <is>
          <t>شهري</t>
        </is>
      </c>
      <c r="M12" s="23" t="inlineStr">
        <is>
          <t>اللجنة التنفيذية</t>
        </is>
      </c>
      <c r="N12" s="33" t="n"/>
    </row>
    <row r="13" ht="30" customHeight="1">
      <c r="A13" s="23" t="n">
        <v>11</v>
      </c>
      <c r="B13" s="26" t="inlineStr">
        <is>
          <t>الامتياز التجاري</t>
        </is>
      </c>
      <c r="C13" s="9" t="inlineStr">
        <is>
          <t>عدد محطات الامتياز المشغّلة (تراكمي)</t>
        </is>
      </c>
      <c r="D13" s="30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31" t="inlineStr">
        <is>
          <t>إجمالي العدد خلال الفترة</t>
        </is>
      </c>
      <c r="F13" s="23" t="inlineStr">
        <is>
          <t>⚙️ نشاط</t>
        </is>
      </c>
      <c r="G13" s="31" t="inlineStr">
        <is>
          <t>النمو · التوسع في المواقع</t>
        </is>
      </c>
      <c r="H13" s="23" t="inlineStr">
        <is>
          <t>العمليات الداخلية</t>
        </is>
      </c>
      <c r="I13" s="32" t="n">
        <v>0.04</v>
      </c>
      <c r="J13" s="23" t="inlineStr">
        <is>
          <t>مدير الامتياز</t>
        </is>
      </c>
      <c r="K13" s="31" t="inlineStr">
        <is>
          <t>نظام إدارة العقود (CRM)</t>
        </is>
      </c>
      <c r="L13" s="23" t="inlineStr">
        <is>
          <t>شهري</t>
        </is>
      </c>
      <c r="M13" s="23" t="inlineStr">
        <is>
          <t>مدير الامتياز</t>
        </is>
      </c>
      <c r="N13" s="33" t="n"/>
    </row>
    <row r="14" ht="30" customHeight="1">
      <c r="A14" s="23" t="n">
        <v>12</v>
      </c>
      <c r="B14" s="26" t="inlineStr">
        <is>
          <t>الامتياز التجاري</t>
        </is>
      </c>
      <c r="C14" s="9" t="inlineStr">
        <is>
          <t>عدد عقود الامتياز الجديدة الموقّعة</t>
        </is>
      </c>
      <c r="D14" s="30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31" t="inlineStr">
        <is>
          <t>إجمالي العدد خلال الفترة</t>
        </is>
      </c>
      <c r="F14" s="23" t="inlineStr">
        <is>
          <t>⚙️ نشاط</t>
        </is>
      </c>
      <c r="G14" s="31" t="inlineStr">
        <is>
          <t>النمو · الامتياز التجاري</t>
        </is>
      </c>
      <c r="H14" s="23" t="inlineStr">
        <is>
          <t>العمليات الداخلية</t>
        </is>
      </c>
      <c r="I14" s="32" t="n">
        <v>0.04</v>
      </c>
      <c r="J14" s="23" t="inlineStr">
        <is>
          <t>مدير الامتياز</t>
        </is>
      </c>
      <c r="K14" s="31" t="inlineStr">
        <is>
          <t>نظام إدارة العقود (CRM)</t>
        </is>
      </c>
      <c r="L14" s="23" t="inlineStr">
        <is>
          <t>شهري</t>
        </is>
      </c>
      <c r="M14" s="23" t="inlineStr">
        <is>
          <t>مدير الامتياز</t>
        </is>
      </c>
      <c r="N14" s="33" t="n"/>
    </row>
    <row r="15" ht="30" customHeight="1">
      <c r="A15" s="23" t="n">
        <v>13</v>
      </c>
      <c r="B15" s="26" t="inlineStr">
        <is>
          <t>الامتياز التجاري</t>
        </is>
      </c>
      <c r="C15" s="9" t="inlineStr">
        <is>
          <t>إجمالي مبيعات وقود محطات الامتياز</t>
        </is>
      </c>
      <c r="D15" s="30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31" t="inlineStr">
        <is>
          <t>إجمالي العدد خلال الفترة</t>
        </is>
      </c>
      <c r="F15" s="23" t="inlineStr">
        <is>
          <t>🎯 نتيجة</t>
        </is>
      </c>
      <c r="G15" s="31" t="inlineStr">
        <is>
          <t>النمو · زيادة وصول العملاء</t>
        </is>
      </c>
      <c r="H15" s="23" t="inlineStr">
        <is>
          <t>مالي</t>
        </is>
      </c>
      <c r="I15" s="32" t="n">
        <v>0.04</v>
      </c>
      <c r="J15" s="23" t="inlineStr">
        <is>
          <t>مدير الامتياز</t>
        </is>
      </c>
      <c r="K15" s="31" t="inlineStr">
        <is>
          <t>نظام إدارة العقود (CRM)</t>
        </is>
      </c>
      <c r="L15" s="23" t="inlineStr">
        <is>
          <t>شهري</t>
        </is>
      </c>
      <c r="M15" s="23" t="inlineStr">
        <is>
          <t>مدير الامتياز</t>
        </is>
      </c>
      <c r="N15" s="33" t="n"/>
    </row>
    <row r="16" ht="30" customHeight="1">
      <c r="A16" s="23" t="n">
        <v>14</v>
      </c>
      <c r="B16" s="26" t="inlineStr">
        <is>
          <t>الامتياز التجاري</t>
        </is>
      </c>
      <c r="C16" s="9" t="inlineStr">
        <is>
          <t>نسبة المحطات التي حققت مستهدف المبيعات</t>
        </is>
      </c>
      <c r="D16" s="30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31" t="inlineStr">
        <is>
          <t>(المتحقّق ÷ الإجمالي) × 100٪</t>
        </is>
      </c>
      <c r="F16" s="23" t="inlineStr">
        <is>
          <t>🎯 نتيجة</t>
        </is>
      </c>
      <c r="G16" s="31" t="inlineStr">
        <is>
          <t>النمو · زيادة وصول العملاء</t>
        </is>
      </c>
      <c r="H16" s="23" t="inlineStr">
        <is>
          <t>مالي</t>
        </is>
      </c>
      <c r="I16" s="32" t="n">
        <v>0.04</v>
      </c>
      <c r="J16" s="23" t="inlineStr">
        <is>
          <t>مدير الامتياز</t>
        </is>
      </c>
      <c r="K16" s="31" t="inlineStr">
        <is>
          <t>نظام تشغيل المحطات</t>
        </is>
      </c>
      <c r="L16" s="23" t="inlineStr">
        <is>
          <t>شهري</t>
        </is>
      </c>
      <c r="M16" s="23" t="inlineStr">
        <is>
          <t>مدير الامتياز</t>
        </is>
      </c>
      <c r="N16" s="33" t="n"/>
    </row>
    <row r="17" ht="30" customHeight="1">
      <c r="A17" s="23" t="n">
        <v>15</v>
      </c>
      <c r="B17" s="26" t="inlineStr">
        <is>
          <t>الامتياز التجاري</t>
        </is>
      </c>
      <c r="C17" s="9" t="inlineStr">
        <is>
          <t>متوسط مبيعات المحطة الواحدة شهرياً</t>
        </is>
      </c>
      <c r="D17" s="30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31" t="inlineStr">
        <is>
          <t>إجمالي العدد خلال الفترة</t>
        </is>
      </c>
      <c r="F17" s="23" t="inlineStr">
        <is>
          <t>🎯 نتيجة</t>
        </is>
      </c>
      <c r="G17" s="31" t="inlineStr">
        <is>
          <t>النمو · زيادة وصول العملاء</t>
        </is>
      </c>
      <c r="H17" s="23" t="inlineStr">
        <is>
          <t>مالي</t>
        </is>
      </c>
      <c r="I17" s="32" t="n">
        <v>0.04</v>
      </c>
      <c r="J17" s="23" t="inlineStr">
        <is>
          <t>مدير الامتياز</t>
        </is>
      </c>
      <c r="K17" s="31" t="inlineStr">
        <is>
          <t>نظام تشغيل المحطات</t>
        </is>
      </c>
      <c r="L17" s="23" t="inlineStr">
        <is>
          <t>شهري</t>
        </is>
      </c>
      <c r="M17" s="23" t="inlineStr">
        <is>
          <t>مدير الامتياز</t>
        </is>
      </c>
      <c r="N17" s="33" t="n"/>
    </row>
    <row r="18" ht="30" customHeight="1">
      <c r="A18" s="23" t="n">
        <v>16</v>
      </c>
      <c r="B18" s="26" t="inlineStr">
        <is>
          <t>الامتياز التجاري</t>
        </is>
      </c>
      <c r="C18" s="9" t="inlineStr">
        <is>
          <t>نسبة تأجير وحدات الامتياز</t>
        </is>
      </c>
      <c r="D18" s="30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31" t="inlineStr">
        <is>
          <t>(المتحقّق ÷ الإجمالي) × 100٪</t>
        </is>
      </c>
      <c r="F18" s="23" t="inlineStr">
        <is>
          <t>🔧 تشغيلي</t>
        </is>
      </c>
      <c r="G18" s="31" t="inlineStr">
        <is>
          <t>الاستدامة · منظومة التأجير</t>
        </is>
      </c>
      <c r="H18" s="23" t="inlineStr">
        <is>
          <t>العمليات الداخلية</t>
        </is>
      </c>
      <c r="I18" s="32" t="n">
        <v>0.03</v>
      </c>
      <c r="J18" s="23" t="inlineStr">
        <is>
          <t>مدير الامتياز</t>
        </is>
      </c>
      <c r="K18" s="31" t="inlineStr">
        <is>
          <t>نظام إدارة العقود (CRM)</t>
        </is>
      </c>
      <c r="L18" s="23" t="inlineStr">
        <is>
          <t>شهري</t>
        </is>
      </c>
      <c r="M18" s="23" t="inlineStr">
        <is>
          <t>مدير الامتياز</t>
        </is>
      </c>
      <c r="N18" s="33" t="n"/>
    </row>
    <row r="19" ht="30" customHeight="1">
      <c r="A19" s="23" t="n">
        <v>17</v>
      </c>
      <c r="B19" s="26" t="inlineStr">
        <is>
          <t>الامتياز التجاري</t>
        </is>
      </c>
      <c r="C19" s="9" t="inlineStr">
        <is>
          <t>إجمالي إيرادات إدارة الامتياز</t>
        </is>
      </c>
      <c r="D19" s="30" t="inlineStr">
        <is>
          <t>يقيس إجمالي إيرادات إدارة الامتياز ضمن محور «الأداء المالي»، ويعكس مساهمة الإدارة في ركيزة النمو.</t>
        </is>
      </c>
      <c r="E19" s="31" t="inlineStr">
        <is>
          <t>إجمالي القيمة (ر.س) خلال الفترة</t>
        </is>
      </c>
      <c r="F19" s="23" t="inlineStr">
        <is>
          <t>🎯 نتيجة</t>
        </is>
      </c>
      <c r="G19" s="31" t="inlineStr">
        <is>
          <t>النمو · الامتياز التجاري</t>
        </is>
      </c>
      <c r="H19" s="23" t="inlineStr">
        <is>
          <t>مالي</t>
        </is>
      </c>
      <c r="I19" s="32" t="n">
        <v>0.04</v>
      </c>
      <c r="J19" s="23" t="inlineStr">
        <is>
          <t>مدير الامتياز</t>
        </is>
      </c>
      <c r="K19" s="31" t="inlineStr">
        <is>
          <t>نظام المحاسبة / ERP (D365)</t>
        </is>
      </c>
      <c r="L19" s="23" t="inlineStr">
        <is>
          <t>شهري</t>
        </is>
      </c>
      <c r="M19" s="23" t="inlineStr">
        <is>
          <t>الإدارة المالية</t>
        </is>
      </c>
      <c r="N19" s="33" t="n"/>
    </row>
    <row r="20" ht="30" customHeight="1">
      <c r="A20" s="23" t="n">
        <v>18</v>
      </c>
      <c r="B20" s="26" t="inlineStr">
        <is>
          <t>الامتياز التجاري</t>
        </is>
      </c>
      <c r="C20" s="9" t="inlineStr">
        <is>
          <t>رفع هامش الربحية للامتياز</t>
        </is>
      </c>
      <c r="D20" s="30" t="inlineStr">
        <is>
          <t>يقيس رفع هامش الربحية للامتياز ضمن محور «الأداء المالي»، ويعكس مساهمة الإدارة في ركيزة النمو.</t>
        </is>
      </c>
      <c r="E20" s="31" t="inlineStr">
        <is>
          <t>إجمالي العدد خلال الفترة</t>
        </is>
      </c>
      <c r="F20" s="23" t="inlineStr">
        <is>
          <t>🎯 نتيجة</t>
        </is>
      </c>
      <c r="G20" s="31" t="inlineStr">
        <is>
          <t>النمو · الامتياز التجاري</t>
        </is>
      </c>
      <c r="H20" s="23" t="inlineStr">
        <is>
          <t>مالي</t>
        </is>
      </c>
      <c r="I20" s="32" t="n">
        <v>0.03</v>
      </c>
      <c r="J20" s="23" t="inlineStr">
        <is>
          <t>مدير الامتياز</t>
        </is>
      </c>
      <c r="K20" s="31" t="inlineStr">
        <is>
          <t>نظام المحاسبة / ERP (D365)</t>
        </is>
      </c>
      <c r="L20" s="23" t="inlineStr">
        <is>
          <t>شهري</t>
        </is>
      </c>
      <c r="M20" s="23" t="inlineStr">
        <is>
          <t>الإدارة المالية</t>
        </is>
      </c>
      <c r="N20" s="33" t="n"/>
    </row>
    <row r="21" ht="30" customHeight="1">
      <c r="A21" s="23" t="n">
        <v>19</v>
      </c>
      <c r="B21" s="26" t="inlineStr">
        <is>
          <t>الامتياز التجاري</t>
        </is>
      </c>
      <c r="C21" s="9" t="inlineStr">
        <is>
          <t>نسبة التحصيل المالي من شركاء الامتياز</t>
        </is>
      </c>
      <c r="D21" s="30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31" t="inlineStr">
        <is>
          <t>(المتحقّق ÷ الإجمالي) × 100٪</t>
        </is>
      </c>
      <c r="F21" s="23" t="inlineStr">
        <is>
          <t>🎯 نتيجة</t>
        </is>
      </c>
      <c r="G21" s="31" t="inlineStr">
        <is>
          <t>الاستدامة · جودة التشغيل</t>
        </is>
      </c>
      <c r="H21" s="23" t="inlineStr">
        <is>
          <t>مالي</t>
        </is>
      </c>
      <c r="I21" s="32" t="n">
        <v>0.04</v>
      </c>
      <c r="J21" s="23" t="inlineStr">
        <is>
          <t>مدير الامتياز</t>
        </is>
      </c>
      <c r="K21" s="31" t="inlineStr">
        <is>
          <t>نظام المحاسبة / ERP (D365)</t>
        </is>
      </c>
      <c r="L21" s="23" t="inlineStr">
        <is>
          <t>شهري</t>
        </is>
      </c>
      <c r="M21" s="23" t="inlineStr">
        <is>
          <t>الإدارة المالية</t>
        </is>
      </c>
      <c r="N21" s="33" t="n"/>
    </row>
    <row r="22" ht="30" customHeight="1">
      <c r="A22" s="23" t="n">
        <v>20</v>
      </c>
      <c r="B22" s="26" t="inlineStr">
        <is>
          <t>الامتياز التجاري</t>
        </is>
      </c>
      <c r="C22" s="9" t="inlineStr">
        <is>
          <t>متوسط أيام تحصيل شركاء الامتياز (DSO)</t>
        </is>
      </c>
      <c r="D22" s="30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31" t="inlineStr">
        <is>
          <t>متوسط يوم خلال الفترة</t>
        </is>
      </c>
      <c r="F22" s="23" t="inlineStr">
        <is>
          <t>🎯 نتيجة</t>
        </is>
      </c>
      <c r="G22" s="31" t="inlineStr">
        <is>
          <t>الاستدامة · جودة التشغيل</t>
        </is>
      </c>
      <c r="H22" s="23" t="inlineStr">
        <is>
          <t>مالي</t>
        </is>
      </c>
      <c r="I22" s="32" t="n">
        <v>0.04</v>
      </c>
      <c r="J22" s="23" t="inlineStr">
        <is>
          <t>مدير الامتياز</t>
        </is>
      </c>
      <c r="K22" s="31" t="inlineStr">
        <is>
          <t>نظام المحاسبة / ERP (D365)</t>
        </is>
      </c>
      <c r="L22" s="23" t="inlineStr">
        <is>
          <t>شهري</t>
        </is>
      </c>
      <c r="M22" s="23" t="inlineStr">
        <is>
          <t>الإدارة المالية</t>
        </is>
      </c>
      <c r="N22" s="33" t="n"/>
    </row>
    <row r="23" ht="30" customHeight="1">
      <c r="A23" s="23" t="n">
        <v>21</v>
      </c>
      <c r="B23" s="26" t="inlineStr">
        <is>
          <t>الامتياز التجاري</t>
        </is>
      </c>
      <c r="C23" s="9" t="inlineStr">
        <is>
          <t>إجمالي المستحقات المتأخرة (+30 يوم)</t>
        </is>
      </c>
      <c r="D23" s="30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31" t="inlineStr">
        <is>
          <t>إجمالي القيمة (ر.س) خلال الفترة</t>
        </is>
      </c>
      <c r="F23" s="23" t="inlineStr">
        <is>
          <t>🔧 تشغيلي</t>
        </is>
      </c>
      <c r="G23" s="31" t="inlineStr">
        <is>
          <t>الاستدامة · جودة التشغيل</t>
        </is>
      </c>
      <c r="H23" s="23" t="inlineStr">
        <is>
          <t>مالي</t>
        </is>
      </c>
      <c r="I23" s="32" t="n">
        <v>0.03</v>
      </c>
      <c r="J23" s="23" t="inlineStr">
        <is>
          <t>مدير الامتياز</t>
        </is>
      </c>
      <c r="K23" s="31" t="inlineStr">
        <is>
          <t>نظام المحاسبة / ERP (D365)</t>
        </is>
      </c>
      <c r="L23" s="23" t="inlineStr">
        <is>
          <t>شهري</t>
        </is>
      </c>
      <c r="M23" s="23" t="inlineStr">
        <is>
          <t>الإدارة المالية</t>
        </is>
      </c>
      <c r="N23" s="33" t="n"/>
    </row>
    <row r="24" ht="30" customHeight="1">
      <c r="A24" s="23" t="n">
        <v>22</v>
      </c>
      <c r="B24" s="26" t="inlineStr">
        <is>
          <t>الامتياز التجاري</t>
        </is>
      </c>
      <c r="C24" s="9" t="inlineStr">
        <is>
          <t>نسبة الشركاء الملتزمين بمواعيد السداد</t>
        </is>
      </c>
      <c r="D24" s="30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31" t="inlineStr">
        <is>
          <t>(المتحقّق ÷ الإجمالي) × 100٪</t>
        </is>
      </c>
      <c r="F24" s="23" t="inlineStr">
        <is>
          <t>🔧 تشغيلي</t>
        </is>
      </c>
      <c r="G24" s="31" t="inlineStr">
        <is>
          <t>الاستدامة · جودة التشغيل</t>
        </is>
      </c>
      <c r="H24" s="23" t="inlineStr">
        <is>
          <t>مالي</t>
        </is>
      </c>
      <c r="I24" s="32" t="n">
        <v>0.03</v>
      </c>
      <c r="J24" s="23" t="inlineStr">
        <is>
          <t>مدير الامتياز</t>
        </is>
      </c>
      <c r="K24" s="31" t="inlineStr">
        <is>
          <t>نظام المحاسبة / ERP (D365)</t>
        </is>
      </c>
      <c r="L24" s="23" t="inlineStr">
        <is>
          <t>شهري</t>
        </is>
      </c>
      <c r="M24" s="23" t="inlineStr">
        <is>
          <t>الإدارة المالية</t>
        </is>
      </c>
      <c r="N24" s="33" t="n"/>
    </row>
    <row r="25" ht="30" customHeight="1">
      <c r="A25" s="23" t="n">
        <v>23</v>
      </c>
      <c r="B25" s="26" t="inlineStr">
        <is>
          <t>الامتياز التجاري</t>
        </is>
      </c>
      <c r="C25" s="9" t="inlineStr">
        <is>
          <t>معدل دوران رأس المال (أيام الدورة)</t>
        </is>
      </c>
      <c r="D25" s="30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31" t="inlineStr">
        <is>
          <t>متوسط يوم خلال الفترة</t>
        </is>
      </c>
      <c r="F25" s="23" t="inlineStr">
        <is>
          <t>🔧 تشغيلي</t>
        </is>
      </c>
      <c r="G25" s="31" t="inlineStr">
        <is>
          <t>الاستدامة · جودة التشغيل</t>
        </is>
      </c>
      <c r="H25" s="23" t="inlineStr">
        <is>
          <t>مالي</t>
        </is>
      </c>
      <c r="I25" s="32" t="n">
        <v>0.03</v>
      </c>
      <c r="J25" s="23" t="inlineStr">
        <is>
          <t>مدير الامتياز</t>
        </is>
      </c>
      <c r="K25" s="31" t="inlineStr">
        <is>
          <t>نظام الموارد البشرية (HRMS)</t>
        </is>
      </c>
      <c r="L25" s="23" t="inlineStr">
        <is>
          <t>شهري</t>
        </is>
      </c>
      <c r="M25" s="23" t="inlineStr">
        <is>
          <t>مدير الامتياز</t>
        </is>
      </c>
      <c r="N25" s="33" t="n"/>
    </row>
    <row r="26" ht="30" customHeight="1">
      <c r="A26" s="23" t="n">
        <v>24</v>
      </c>
      <c r="B26" s="26" t="inlineStr">
        <is>
          <t>الامتياز التجاري</t>
        </is>
      </c>
      <c r="C26" s="9" t="inlineStr">
        <is>
          <t>نسبة جاهزية محطات الامتياز (صفر انقطاع)</t>
        </is>
      </c>
      <c r="D26" s="30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31" t="inlineStr">
        <is>
          <t>(المتحقّق ÷ الإجمالي) × 100٪</t>
        </is>
      </c>
      <c r="F26" s="23" t="inlineStr">
        <is>
          <t>🎯 نتيجة</t>
        </is>
      </c>
      <c r="G26" s="31" t="inlineStr">
        <is>
          <t>الاستدامة · جودة التشغيل</t>
        </is>
      </c>
      <c r="H26" s="23" t="inlineStr">
        <is>
          <t>العمليات الداخلية</t>
        </is>
      </c>
      <c r="I26" s="32" t="n">
        <v>0.04</v>
      </c>
      <c r="J26" s="23" t="inlineStr">
        <is>
          <t>مدير الامتياز</t>
        </is>
      </c>
      <c r="K26" s="31" t="inlineStr">
        <is>
          <t>نظام إدارة الجودة (QMS)</t>
        </is>
      </c>
      <c r="L26" s="23" t="inlineStr">
        <is>
          <t>شهري</t>
        </is>
      </c>
      <c r="M26" s="23" t="inlineStr">
        <is>
          <t>مدير الامتياز</t>
        </is>
      </c>
      <c r="N26" s="33" t="n"/>
    </row>
    <row r="27" ht="30" customHeight="1">
      <c r="A27" s="23" t="n">
        <v>25</v>
      </c>
      <c r="B27" s="26" t="inlineStr">
        <is>
          <t>الامتياز التجاري</t>
        </is>
      </c>
      <c r="C27" s="9" t="inlineStr">
        <is>
          <t>عدد حالات انقطاع الوقود الموثّقة</t>
        </is>
      </c>
      <c r="D27" s="30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31" t="inlineStr">
        <is>
          <t>إجمالي العدد خلال الفترة</t>
        </is>
      </c>
      <c r="F27" s="23" t="inlineStr">
        <is>
          <t>⚙️ نشاط</t>
        </is>
      </c>
      <c r="G27" s="31" t="inlineStr">
        <is>
          <t>الاستدامة · جودة التشغيل</t>
        </is>
      </c>
      <c r="H27" s="23" t="inlineStr">
        <is>
          <t>العمليات الداخلية</t>
        </is>
      </c>
      <c r="I27" s="32" t="n">
        <v>0.03</v>
      </c>
      <c r="J27" s="23" t="inlineStr">
        <is>
          <t>مدير الامتياز</t>
        </is>
      </c>
      <c r="K27" s="31" t="inlineStr">
        <is>
          <t>نظام إدارة الجودة (QMS)</t>
        </is>
      </c>
      <c r="L27" s="23" t="inlineStr">
        <is>
          <t>شهري</t>
        </is>
      </c>
      <c r="M27" s="23" t="inlineStr">
        <is>
          <t>مدير الامتياز</t>
        </is>
      </c>
      <c r="N27" s="33" t="n"/>
    </row>
    <row r="28" ht="30" customHeight="1">
      <c r="A28" s="23" t="n">
        <v>26</v>
      </c>
      <c r="B28" s="26" t="inlineStr">
        <is>
          <t>الامتياز التجاري</t>
        </is>
      </c>
      <c r="C28" s="9" t="inlineStr">
        <is>
          <t>نسبة إغلاق ملاحظات الجودة الميدانية</t>
        </is>
      </c>
      <c r="D28" s="30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31" t="inlineStr">
        <is>
          <t>(المتحقّق ÷ الإجمالي) × 100٪</t>
        </is>
      </c>
      <c r="F28" s="23" t="inlineStr">
        <is>
          <t>🎯 نتيجة</t>
        </is>
      </c>
      <c r="G28" s="31" t="inlineStr">
        <is>
          <t>الاستدامة · جودة التشغيل</t>
        </is>
      </c>
      <c r="H28" s="23" t="inlineStr">
        <is>
          <t>العمليات الداخلية</t>
        </is>
      </c>
      <c r="I28" s="32" t="n">
        <v>0.03</v>
      </c>
      <c r="J28" s="23" t="inlineStr">
        <is>
          <t>مدير الامتياز</t>
        </is>
      </c>
      <c r="K28" s="31" t="inlineStr">
        <is>
          <t>نظام إدارة الجودة (QMS)</t>
        </is>
      </c>
      <c r="L28" s="23" t="inlineStr">
        <is>
          <t>شهري</t>
        </is>
      </c>
      <c r="M28" s="23" t="inlineStr">
        <is>
          <t>مدير الامتياز</t>
        </is>
      </c>
      <c r="N28" s="33" t="n"/>
    </row>
    <row r="29" ht="30" customHeight="1">
      <c r="A29" s="23" t="n">
        <v>27</v>
      </c>
      <c r="B29" s="26" t="inlineStr">
        <is>
          <t>الامتياز التجاري</t>
        </is>
      </c>
      <c r="C29" s="9" t="inlineStr">
        <is>
          <t>متوسط درجة تقييم جودة المحطة (قائمة التحقق)</t>
        </is>
      </c>
      <c r="D29" s="30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31" t="inlineStr">
        <is>
          <t>إجمالي العدد خلال الفترة</t>
        </is>
      </c>
      <c r="F29" s="23" t="inlineStr">
        <is>
          <t>🎯 نتيجة</t>
        </is>
      </c>
      <c r="G29" s="31" t="inlineStr">
        <is>
          <t>الاستدامة · جودة التشغيل</t>
        </is>
      </c>
      <c r="H29" s="23" t="inlineStr">
        <is>
          <t>العمليات الداخلية</t>
        </is>
      </c>
      <c r="I29" s="32" t="n">
        <v>0.04</v>
      </c>
      <c r="J29" s="23" t="inlineStr">
        <is>
          <t>مدير الامتياز</t>
        </is>
      </c>
      <c r="K29" s="31" t="inlineStr">
        <is>
          <t>نظام إدارة الجودة (QMS)</t>
        </is>
      </c>
      <c r="L29" s="23" t="inlineStr">
        <is>
          <t>شهري</t>
        </is>
      </c>
      <c r="M29" s="23" t="inlineStr">
        <is>
          <t>مدير الامتياز</t>
        </is>
      </c>
      <c r="N29" s="33" t="n"/>
    </row>
    <row r="30" ht="30" customHeight="1">
      <c r="A30" s="23" t="n">
        <v>28</v>
      </c>
      <c r="B30" s="26" t="inlineStr">
        <is>
          <t>الامتياز التجاري</t>
        </is>
      </c>
      <c r="C30" s="9" t="inlineStr">
        <is>
          <t>نسبة تنفيذ الزيارات الميدانية المجدولة</t>
        </is>
      </c>
      <c r="D30" s="30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31" t="inlineStr">
        <is>
          <t>(المتحقّق ÷ الإجمالي) × 100٪</t>
        </is>
      </c>
      <c r="F30" s="23" t="inlineStr">
        <is>
          <t>⚙️ نشاط</t>
        </is>
      </c>
      <c r="G30" s="31" t="inlineStr">
        <is>
          <t>الاستدامة · جودة التشغيل</t>
        </is>
      </c>
      <c r="H30" s="23" t="inlineStr">
        <is>
          <t>العمليات الداخلية</t>
        </is>
      </c>
      <c r="I30" s="32" t="n">
        <v>0.03</v>
      </c>
      <c r="J30" s="23" t="inlineStr">
        <is>
          <t>مدير الامتياز</t>
        </is>
      </c>
      <c r="K30" s="31" t="inlineStr">
        <is>
          <t>نظام إدارة الجودة (QMS)</t>
        </is>
      </c>
      <c r="L30" s="23" t="inlineStr">
        <is>
          <t>شهري</t>
        </is>
      </c>
      <c r="M30" s="23" t="inlineStr">
        <is>
          <t>مدير الامتياز</t>
        </is>
      </c>
      <c r="N30" s="33" t="n"/>
    </row>
    <row r="31" ht="30" customHeight="1">
      <c r="A31" s="23" t="n">
        <v>29</v>
      </c>
      <c r="B31" s="26" t="inlineStr">
        <is>
          <t>الامتياز التجاري</t>
        </is>
      </c>
      <c r="C31" s="9" t="inlineStr">
        <is>
          <t>نسبة المحطات المستوفية لمعايير السلامة</t>
        </is>
      </c>
      <c r="D31" s="30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31" t="inlineStr">
        <is>
          <t>(المتحقّق ÷ الإجمالي) × 100٪</t>
        </is>
      </c>
      <c r="F31" s="23" t="inlineStr">
        <is>
          <t>🎯 نتيجة</t>
        </is>
      </c>
      <c r="G31" s="31" t="inlineStr">
        <is>
          <t>الاستدامة · جودة التشغيل</t>
        </is>
      </c>
      <c r="H31" s="23" t="inlineStr">
        <is>
          <t>العمليات الداخلية</t>
        </is>
      </c>
      <c r="I31" s="32" t="n">
        <v>0.04</v>
      </c>
      <c r="J31" s="23" t="inlineStr">
        <is>
          <t>مدير الامتياز</t>
        </is>
      </c>
      <c r="K31" s="31" t="inlineStr">
        <is>
          <t>نظام إدارة الجودة (QMS)</t>
        </is>
      </c>
      <c r="L31" s="23" t="inlineStr">
        <is>
          <t>شهري</t>
        </is>
      </c>
      <c r="M31" s="23" t="inlineStr">
        <is>
          <t>مدير الامتياز</t>
        </is>
      </c>
      <c r="N31" s="33" t="n"/>
    </row>
    <row r="32" ht="30" customHeight="1">
      <c r="A32" s="23" t="n">
        <v>30</v>
      </c>
      <c r="B32" s="26" t="inlineStr">
        <is>
          <t>الامتياز التجاري</t>
        </is>
      </c>
      <c r="C32" s="9" t="inlineStr">
        <is>
          <t>متوسط وقت معالجة البلاغات التشغيلية</t>
        </is>
      </c>
      <c r="D32" s="30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31" t="inlineStr">
        <is>
          <t>متوسط ساعة خلال الفترة</t>
        </is>
      </c>
      <c r="F32" s="23" t="inlineStr">
        <is>
          <t>🎯 نتيجة</t>
        </is>
      </c>
      <c r="G32" s="31" t="inlineStr">
        <is>
          <t>الاستدامة · جودة التشغيل</t>
        </is>
      </c>
      <c r="H32" s="23" t="inlineStr">
        <is>
          <t>العمليات الداخلية</t>
        </is>
      </c>
      <c r="I32" s="32" t="n">
        <v>0.03</v>
      </c>
      <c r="J32" s="23" t="inlineStr">
        <is>
          <t>مدير الامتياز</t>
        </is>
      </c>
      <c r="K32" s="31" t="inlineStr">
        <is>
          <t>نظام إدارة الجودة (QMS)</t>
        </is>
      </c>
      <c r="L32" s="23" t="inlineStr">
        <is>
          <t>شهري</t>
        </is>
      </c>
      <c r="M32" s="23" t="inlineStr">
        <is>
          <t>مدير الامتياز</t>
        </is>
      </c>
      <c r="N32" s="33" t="n"/>
    </row>
    <row r="33" ht="30" customHeight="1">
      <c r="A33" s="23" t="n">
        <v>31</v>
      </c>
      <c r="B33" s="26" t="inlineStr">
        <is>
          <t>الامتياز التجاري</t>
        </is>
      </c>
      <c r="C33" s="9" t="inlineStr">
        <is>
          <t>نسبة أتمتة محطات الامتياز</t>
        </is>
      </c>
      <c r="D33" s="30" t="inlineStr">
        <is>
          <t>يقيس نسبة أتمتة محطات الامتياز ضمن محور «التشغيل والجودة»، ويعكس مساهمة الإدارة في ركيزة الابتكار.</t>
        </is>
      </c>
      <c r="E33" s="31" t="inlineStr">
        <is>
          <t>(المتحقّق ÷ الإجمالي) × 100٪</t>
        </is>
      </c>
      <c r="F33" s="23" t="inlineStr">
        <is>
          <t>🔧 تشغيلي</t>
        </is>
      </c>
      <c r="G33" s="31" t="inlineStr">
        <is>
          <t>الابتكار · التحول التقني</t>
        </is>
      </c>
      <c r="H33" s="23" t="inlineStr">
        <is>
          <t>التعلّم والنمو</t>
        </is>
      </c>
      <c r="I33" s="32" t="n">
        <v>0.04</v>
      </c>
      <c r="J33" s="23" t="inlineStr">
        <is>
          <t>مدير الامتياز</t>
        </is>
      </c>
      <c r="K33" s="31" t="inlineStr">
        <is>
          <t>مكتب إدارة المشاريع (PMO)</t>
        </is>
      </c>
      <c r="L33" s="23" t="inlineStr">
        <is>
          <t>شهري</t>
        </is>
      </c>
      <c r="M33" s="23" t="inlineStr">
        <is>
          <t>مدير الامتياز</t>
        </is>
      </c>
      <c r="N33" s="33" t="n"/>
    </row>
    <row r="34" ht="30" customHeight="1">
      <c r="A34" s="23" t="n">
        <v>32</v>
      </c>
      <c r="B34" s="26" t="inlineStr">
        <is>
          <t>الامتياز التجاري</t>
        </is>
      </c>
      <c r="C34" s="9" t="inlineStr">
        <is>
          <t>نسبة تطبيق المعيار الشامل داخل المحطات</t>
        </is>
      </c>
      <c r="D34" s="30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31" t="inlineStr">
        <is>
          <t>(المتحقّق ÷ الإجمالي) × 100٪</t>
        </is>
      </c>
      <c r="F34" s="23" t="inlineStr">
        <is>
          <t>🔧 تشغيلي</t>
        </is>
      </c>
      <c r="G34" s="31" t="inlineStr">
        <is>
          <t>الابتكار · التحول التقني</t>
        </is>
      </c>
      <c r="H34" s="23" t="inlineStr">
        <is>
          <t>التعلّم والنمو</t>
        </is>
      </c>
      <c r="I34" s="32" t="n">
        <v>0.01</v>
      </c>
      <c r="J34" s="23" t="inlineStr">
        <is>
          <t>مدير الامتياز</t>
        </is>
      </c>
      <c r="K34" s="31" t="inlineStr">
        <is>
          <t>نظام إدارة الجودة (QMS)</t>
        </is>
      </c>
      <c r="L34" s="23" t="inlineStr">
        <is>
          <t>شهري</t>
        </is>
      </c>
      <c r="M34" s="23" t="inlineStr">
        <is>
          <t>مدير الامتياز</t>
        </is>
      </c>
      <c r="N34" s="33" t="n"/>
    </row>
    <row r="35" ht="30" customHeight="1">
      <c r="A35" s="23" t="n">
        <v>33</v>
      </c>
      <c r="B35" s="26" t="inlineStr">
        <is>
          <t>الامتياز التجاري</t>
        </is>
      </c>
      <c r="C35" s="9" t="inlineStr">
        <is>
          <t>نسبة التزام المحطات بالهوية المؤسسية</t>
        </is>
      </c>
      <c r="D35" s="30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31" t="inlineStr">
        <is>
          <t>(المتحقّق ÷ الإجمالي) × 100٪</t>
        </is>
      </c>
      <c r="F35" s="23" t="inlineStr">
        <is>
          <t>🎯 نتيجة</t>
        </is>
      </c>
      <c r="G35" s="31" t="inlineStr">
        <is>
          <t>الابتكار · تطوير التصاميم والهوية</t>
        </is>
      </c>
      <c r="H35" s="23" t="inlineStr">
        <is>
          <t>التعلّم والنمو</t>
        </is>
      </c>
      <c r="I35" s="32" t="n">
        <v>0.04</v>
      </c>
      <c r="J35" s="23" t="inlineStr">
        <is>
          <t>مدير الامتياز</t>
        </is>
      </c>
      <c r="K35" s="31" t="inlineStr">
        <is>
          <t>نظام تشغيل المحطات</t>
        </is>
      </c>
      <c r="L35" s="23" t="inlineStr">
        <is>
          <t>شهري</t>
        </is>
      </c>
      <c r="M35" s="23" t="inlineStr">
        <is>
          <t>مدير الامتياز</t>
        </is>
      </c>
      <c r="N35" s="33" t="n"/>
    </row>
    <row r="36" ht="30" customHeight="1">
      <c r="A36" s="23" t="n">
        <v>34</v>
      </c>
      <c r="B36" s="26" t="inlineStr">
        <is>
          <t>الامتياز التجاري</t>
        </is>
      </c>
      <c r="C36" s="9" t="inlineStr">
        <is>
          <t>متوسط تقييم المحطات على خرائط قوقل</t>
        </is>
      </c>
      <c r="D36" s="30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31" t="inlineStr">
        <is>
          <t>متوسط التقييم (من 5)</t>
        </is>
      </c>
      <c r="F36" s="23" t="inlineStr">
        <is>
          <t>🎯 نتيجة</t>
        </is>
      </c>
      <c r="G36" s="31" t="inlineStr">
        <is>
          <t>الاستدامة · تعزيز تجربة العملاء</t>
        </is>
      </c>
      <c r="H36" s="23" t="inlineStr">
        <is>
          <t>العملاء</t>
        </is>
      </c>
      <c r="I36" s="32" t="n">
        <v>0.04</v>
      </c>
      <c r="J36" s="23" t="inlineStr">
        <is>
          <t>مدير الامتياز</t>
        </is>
      </c>
      <c r="K36" s="31" t="inlineStr">
        <is>
          <t>تقييمات خرائط قوقل</t>
        </is>
      </c>
      <c r="L36" s="23" t="inlineStr">
        <is>
          <t>شهري</t>
        </is>
      </c>
      <c r="M36" s="23" t="inlineStr">
        <is>
          <t>مدير الامتياز</t>
        </is>
      </c>
      <c r="N36" s="33" t="n"/>
    </row>
    <row r="37" ht="30" customHeight="1">
      <c r="A37" s="23" t="n">
        <v>35</v>
      </c>
      <c r="B37" s="26" t="inlineStr">
        <is>
          <t>الامتياز التجاري</t>
        </is>
      </c>
      <c r="C37" s="9" t="inlineStr">
        <is>
          <t>معدل رضا شركاء الامتياز (CSAT)</t>
        </is>
      </c>
      <c r="D37" s="30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31" t="inlineStr">
        <is>
          <t>(المتحقّق ÷ الإجمالي) × 100٪</t>
        </is>
      </c>
      <c r="F37" s="23" t="inlineStr">
        <is>
          <t>🎯 نتيجة</t>
        </is>
      </c>
      <c r="G37" s="31" t="inlineStr">
        <is>
          <t>الاستدامة · تعزيز تجربة العملاء</t>
        </is>
      </c>
      <c r="H37" s="23" t="inlineStr">
        <is>
          <t>العملاء</t>
        </is>
      </c>
      <c r="I37" s="32" t="n">
        <v>0.04</v>
      </c>
      <c r="J37" s="23" t="inlineStr">
        <is>
          <t>مدير الامتياز</t>
        </is>
      </c>
      <c r="K37" s="31" t="inlineStr">
        <is>
          <t>استبيان دوري</t>
        </is>
      </c>
      <c r="L37" s="23" t="inlineStr">
        <is>
          <t>ربعي</t>
        </is>
      </c>
      <c r="M37" s="23" t="inlineStr">
        <is>
          <t>مدير الامتياز</t>
        </is>
      </c>
      <c r="N37" s="33" t="n"/>
    </row>
    <row r="38" ht="30" customHeight="1">
      <c r="A38" s="23" t="n">
        <v>36</v>
      </c>
      <c r="B38" s="26" t="inlineStr">
        <is>
          <t>الامتياز التجاري</t>
        </is>
      </c>
      <c r="C38" s="9" t="inlineStr">
        <is>
          <t>نسبة حل الشكاوى خلال المدة المحددة</t>
        </is>
      </c>
      <c r="D38" s="30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31" t="inlineStr">
        <is>
          <t>(المتحقّق ÷ الإجمالي) × 100٪</t>
        </is>
      </c>
      <c r="F38" s="23" t="inlineStr">
        <is>
          <t>🎯 نتيجة</t>
        </is>
      </c>
      <c r="G38" s="31" t="inlineStr">
        <is>
          <t>الاستدامة · تعزيز تجربة العملاء</t>
        </is>
      </c>
      <c r="H38" s="23" t="inlineStr">
        <is>
          <t>العملاء</t>
        </is>
      </c>
      <c r="I38" s="32" t="n">
        <v>0.02</v>
      </c>
      <c r="J38" s="23" t="inlineStr">
        <is>
          <t>مدير الامتياز</t>
        </is>
      </c>
      <c r="K38" s="31" t="inlineStr">
        <is>
          <t>سجلات الإدارة</t>
        </is>
      </c>
      <c r="L38" s="23" t="inlineStr">
        <is>
          <t>شهري</t>
        </is>
      </c>
      <c r="M38" s="23" t="inlineStr">
        <is>
          <t>مدير الامتياز</t>
        </is>
      </c>
      <c r="N38" s="33" t="n"/>
    </row>
    <row r="39" ht="30" customHeight="1">
      <c r="A39" s="23" t="n">
        <v>37</v>
      </c>
      <c r="B39" s="26" t="inlineStr">
        <is>
          <t>الامتياز التجاري</t>
        </is>
      </c>
      <c r="C39" s="9" t="inlineStr">
        <is>
          <t>نسبة انخفاض الشكاوى التشغيلية والإدارية</t>
        </is>
      </c>
      <c r="D39" s="30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31" t="inlineStr">
        <is>
          <t>(المتحقّق ÷ الإجمالي) × 100٪</t>
        </is>
      </c>
      <c r="F39" s="23" t="inlineStr">
        <is>
          <t>🎯 نتيجة</t>
        </is>
      </c>
      <c r="G39" s="31" t="inlineStr">
        <is>
          <t>الاستدامة · تعزيز تجربة العملاء</t>
        </is>
      </c>
      <c r="H39" s="23" t="inlineStr">
        <is>
          <t>العملاء</t>
        </is>
      </c>
      <c r="I39" s="32" t="n">
        <v>0.02</v>
      </c>
      <c r="J39" s="23" t="inlineStr">
        <is>
          <t>مدير الامتياز</t>
        </is>
      </c>
      <c r="K39" s="31" t="inlineStr">
        <is>
          <t>سجلات الإدارة</t>
        </is>
      </c>
      <c r="L39" s="23" t="inlineStr">
        <is>
          <t>شهري</t>
        </is>
      </c>
      <c r="M39" s="23" t="inlineStr">
        <is>
          <t>مدير الامتياز</t>
        </is>
      </c>
      <c r="N39" s="33" t="n"/>
    </row>
    <row r="40" ht="30" customHeight="1">
      <c r="A40" s="23" t="n">
        <v>38</v>
      </c>
      <c r="B40" s="26" t="inlineStr">
        <is>
          <t>الامتياز التجاري</t>
        </is>
      </c>
      <c r="C40" s="9" t="inlineStr">
        <is>
          <t>نسبة استدامة أصحاب الامتياز (Retention)</t>
        </is>
      </c>
      <c r="D40" s="30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31" t="inlineStr">
        <is>
          <t>(المتحقّق ÷ الإجمالي) × 100٪</t>
        </is>
      </c>
      <c r="F40" s="23" t="inlineStr">
        <is>
          <t>🎯 نتيجة</t>
        </is>
      </c>
      <c r="G40" s="31" t="inlineStr">
        <is>
          <t>الاستدامة · تعزيز تجربة العملاء</t>
        </is>
      </c>
      <c r="H40" s="23" t="inlineStr">
        <is>
          <t>العمليات الداخلية</t>
        </is>
      </c>
      <c r="I40" s="32" t="n">
        <v>0.02</v>
      </c>
      <c r="J40" s="23" t="inlineStr">
        <is>
          <t>مدير الامتياز</t>
        </is>
      </c>
      <c r="K40" s="31" t="inlineStr">
        <is>
          <t>نظام إدارة الجودة (QMS)</t>
        </is>
      </c>
      <c r="L40" s="23" t="inlineStr">
        <is>
          <t>شهري</t>
        </is>
      </c>
      <c r="M40" s="23" t="inlineStr">
        <is>
          <t>مدير الامتياز</t>
        </is>
      </c>
      <c r="N40" s="33" t="n"/>
    </row>
    <row r="41" ht="30" customHeight="1">
      <c r="A41" s="23" t="n">
        <v>39</v>
      </c>
      <c r="B41" s="26" t="inlineStr">
        <is>
          <t>الامتياز التجاري</t>
        </is>
      </c>
      <c r="C41" s="9" t="inlineStr">
        <is>
          <t>نسبة زيادة عدد أصحاب الامتياز</t>
        </is>
      </c>
      <c r="D41" s="30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31" t="inlineStr">
        <is>
          <t>(المتحقّق ÷ الإجمالي) × 100٪</t>
        </is>
      </c>
      <c r="F41" s="23" t="inlineStr">
        <is>
          <t>⚙️ نشاط</t>
        </is>
      </c>
      <c r="G41" s="31" t="inlineStr">
        <is>
          <t>الاستدامة · تعزيز تجربة العملاء</t>
        </is>
      </c>
      <c r="H41" s="23" t="inlineStr">
        <is>
          <t>العمليات الداخلية</t>
        </is>
      </c>
      <c r="I41" s="32" t="n">
        <v>0.02</v>
      </c>
      <c r="J41" s="23" t="inlineStr">
        <is>
          <t>مدير الامتياز</t>
        </is>
      </c>
      <c r="K41" s="31" t="inlineStr">
        <is>
          <t>نظام إدارة الجودة (QMS)</t>
        </is>
      </c>
      <c r="L41" s="23" t="inlineStr">
        <is>
          <t>شهري</t>
        </is>
      </c>
      <c r="M41" s="23" t="inlineStr">
        <is>
          <t>مدير الامتياز</t>
        </is>
      </c>
      <c r="N41" s="33" t="n"/>
    </row>
    <row r="42" ht="30" customHeight="1">
      <c r="A42" s="23" t="n">
        <v>40</v>
      </c>
      <c r="B42" s="26" t="inlineStr">
        <is>
          <t>الامتياز التجاري</t>
        </is>
      </c>
      <c r="C42" s="9" t="inlineStr">
        <is>
          <t>متوسط مدة إغلاق عقد الامتياز</t>
        </is>
      </c>
      <c r="D42" s="30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31" t="inlineStr">
        <is>
          <t>متوسط أسبوع خلال الفترة</t>
        </is>
      </c>
      <c r="F42" s="23" t="inlineStr">
        <is>
          <t>🎯 نتيجة</t>
        </is>
      </c>
      <c r="G42" s="31" t="inlineStr">
        <is>
          <t>النمو · الامتياز التجاري</t>
        </is>
      </c>
      <c r="H42" s="23" t="inlineStr">
        <is>
          <t>العمليات الداخلية</t>
        </is>
      </c>
      <c r="I42" s="32" t="n">
        <v>0.04</v>
      </c>
      <c r="J42" s="23" t="inlineStr">
        <is>
          <t>مدير الامتياز</t>
        </is>
      </c>
      <c r="K42" s="31" t="inlineStr">
        <is>
          <t>نظام إدارة الجودة (QMS)</t>
        </is>
      </c>
      <c r="L42" s="23" t="inlineStr">
        <is>
          <t>شهري</t>
        </is>
      </c>
      <c r="M42" s="23" t="inlineStr">
        <is>
          <t>مدير الامتياز</t>
        </is>
      </c>
      <c r="N42" s="33" t="n"/>
    </row>
    <row r="43" ht="30" customHeight="1">
      <c r="A43" s="23" t="n">
        <v>41</v>
      </c>
      <c r="B43" s="26" t="inlineStr">
        <is>
          <t>التشغيل والمحطات</t>
        </is>
      </c>
      <c r="C43" s="9" t="inlineStr">
        <is>
          <t>عدد المحطات المشغّلة (تراكمي)</t>
        </is>
      </c>
      <c r="D43" s="30" t="inlineStr">
        <is>
          <t>يقيس عدد المحطات المشغّلة (تراكمي) ضمن محور «النمو»، ويعكس مساهمة الإدارة في ركيزة النمو.</t>
        </is>
      </c>
      <c r="E43" s="31" t="inlineStr">
        <is>
          <t>إجمالي العدد خلال الفترة</t>
        </is>
      </c>
      <c r="F43" s="23" t="inlineStr">
        <is>
          <t>⚙️ نشاط</t>
        </is>
      </c>
      <c r="G43" s="31" t="inlineStr">
        <is>
          <t>النمو · التوسع في المواقع</t>
        </is>
      </c>
      <c r="H43" s="23" t="inlineStr">
        <is>
          <t>العمليات الداخلية</t>
        </is>
      </c>
      <c r="I43" s="32" t="n">
        <v>0.08</v>
      </c>
      <c r="J43" s="23" t="inlineStr">
        <is>
          <t>مدير التشغيل</t>
        </is>
      </c>
      <c r="K43" s="31" t="inlineStr">
        <is>
          <t>نظام تشغيل المحطات</t>
        </is>
      </c>
      <c r="L43" s="23" t="inlineStr">
        <is>
          <t>شهري</t>
        </is>
      </c>
      <c r="M43" s="23" t="inlineStr">
        <is>
          <t>مدير التشغيل</t>
        </is>
      </c>
      <c r="N43" s="33" t="n"/>
    </row>
    <row r="44" ht="30" customHeight="1">
      <c r="A44" s="23" t="n">
        <v>42</v>
      </c>
      <c r="B44" s="26" t="inlineStr">
        <is>
          <t>التشغيل والمحطات</t>
        </is>
      </c>
      <c r="C44" s="9" t="inlineStr">
        <is>
          <t>نمو مبيعات بنزين 91 مقارنة بالعام السابق</t>
        </is>
      </c>
      <c r="D44" s="30" t="inlineStr">
        <is>
          <t>يقيس نمو مبيعات بنزين 91 مقارنة بالعام السابق ضمن محور «الربحية»، ويعكس مساهمة الإدارة في ركيزة النمو.</t>
        </is>
      </c>
      <c r="E44" s="31" t="inlineStr">
        <is>
          <t>(المتحقّق ÷ الإجمالي) × 100٪</t>
        </is>
      </c>
      <c r="F44" s="23" t="inlineStr">
        <is>
          <t>🎯 نتيجة</t>
        </is>
      </c>
      <c r="G44" s="31" t="inlineStr">
        <is>
          <t>النمو · زيادة وصول العملاء</t>
        </is>
      </c>
      <c r="H44" s="23" t="inlineStr">
        <is>
          <t>مالي</t>
        </is>
      </c>
      <c r="I44" s="32" t="n">
        <v>0.08</v>
      </c>
      <c r="J44" s="23" t="inlineStr">
        <is>
          <t>مدير التشغيل</t>
        </is>
      </c>
      <c r="K44" s="31" t="inlineStr">
        <is>
          <t>نظام المحاسبة / ERP (D365)</t>
        </is>
      </c>
      <c r="L44" s="23" t="inlineStr">
        <is>
          <t>شهري</t>
        </is>
      </c>
      <c r="M44" s="23" t="inlineStr">
        <is>
          <t>الإدارة المالية</t>
        </is>
      </c>
      <c r="N44" s="33" t="n"/>
    </row>
    <row r="45" ht="30" customHeight="1">
      <c r="A45" s="23" t="n">
        <v>43</v>
      </c>
      <c r="B45" s="26" t="inlineStr">
        <is>
          <t>التشغيل والمحطات</t>
        </is>
      </c>
      <c r="C45" s="9" t="inlineStr">
        <is>
          <t>نمو مبيعات بنزين 95 مقارنة بالعام السابق</t>
        </is>
      </c>
      <c r="D45" s="30" t="inlineStr">
        <is>
          <t>يقيس نمو مبيعات بنزين 95 مقارنة بالعام السابق ضمن محور «الربحية»، ويعكس مساهمة الإدارة في ركيزة النمو.</t>
        </is>
      </c>
      <c r="E45" s="31" t="inlineStr">
        <is>
          <t>(المتحقّق ÷ الإجمالي) × 100٪</t>
        </is>
      </c>
      <c r="F45" s="23" t="inlineStr">
        <is>
          <t>🎯 نتيجة</t>
        </is>
      </c>
      <c r="G45" s="31" t="inlineStr">
        <is>
          <t>النمو · زيادة وصول العملاء</t>
        </is>
      </c>
      <c r="H45" s="23" t="inlineStr">
        <is>
          <t>مالي</t>
        </is>
      </c>
      <c r="I45" s="32" t="n">
        <v>0.08</v>
      </c>
      <c r="J45" s="23" t="inlineStr">
        <is>
          <t>مدير التشغيل</t>
        </is>
      </c>
      <c r="K45" s="31" t="inlineStr">
        <is>
          <t>نظام المحاسبة / ERP (D365)</t>
        </is>
      </c>
      <c r="L45" s="23" t="inlineStr">
        <is>
          <t>شهري</t>
        </is>
      </c>
      <c r="M45" s="23" t="inlineStr">
        <is>
          <t>الإدارة المالية</t>
        </is>
      </c>
      <c r="N45" s="33" t="n"/>
    </row>
    <row r="46" ht="30" customHeight="1">
      <c r="A46" s="23" t="n">
        <v>44</v>
      </c>
      <c r="B46" s="26" t="inlineStr">
        <is>
          <t>التشغيل والمحطات</t>
        </is>
      </c>
      <c r="C46" s="9" t="inlineStr">
        <is>
          <t>نمو مبيعات بنزين 98 مقارنة بالعام السابق</t>
        </is>
      </c>
      <c r="D46" s="30" t="inlineStr">
        <is>
          <t>يقيس نمو مبيعات بنزين 98 مقارنة بالعام السابق ضمن محور «الربحية»، ويعكس مساهمة الإدارة في ركيزة النمو.</t>
        </is>
      </c>
      <c r="E46" s="31" t="inlineStr">
        <is>
          <t>(المتحقّق ÷ الإجمالي) × 100٪</t>
        </is>
      </c>
      <c r="F46" s="23" t="inlineStr">
        <is>
          <t>🎯 نتيجة</t>
        </is>
      </c>
      <c r="G46" s="31" t="inlineStr">
        <is>
          <t>النمو · زيادة وصول العملاء</t>
        </is>
      </c>
      <c r="H46" s="23" t="inlineStr">
        <is>
          <t>مالي</t>
        </is>
      </c>
      <c r="I46" s="32" t="n">
        <v>0.08</v>
      </c>
      <c r="J46" s="23" t="inlineStr">
        <is>
          <t>مدير التشغيل</t>
        </is>
      </c>
      <c r="K46" s="31" t="inlineStr">
        <is>
          <t>نظام المحاسبة / ERP (D365)</t>
        </is>
      </c>
      <c r="L46" s="23" t="inlineStr">
        <is>
          <t>شهري</t>
        </is>
      </c>
      <c r="M46" s="23" t="inlineStr">
        <is>
          <t>الإدارة المالية</t>
        </is>
      </c>
      <c r="N46" s="33" t="n"/>
    </row>
    <row r="47" ht="30" customHeight="1">
      <c r="A47" s="23" t="n">
        <v>45</v>
      </c>
      <c r="B47" s="26" t="inlineStr">
        <is>
          <t>التشغيل والمحطات</t>
        </is>
      </c>
      <c r="C47" s="9" t="inlineStr">
        <is>
          <t>نمو مبيعات الديزل مقارنة بالعام السابق</t>
        </is>
      </c>
      <c r="D47" s="30" t="inlineStr">
        <is>
          <t>يقيس نمو مبيعات الديزل مقارنة بالعام السابق ضمن محور «الربحية»، ويعكس مساهمة الإدارة في ركيزة النمو.</t>
        </is>
      </c>
      <c r="E47" s="31" t="inlineStr">
        <is>
          <t>(المتحقّق ÷ الإجمالي) × 100٪</t>
        </is>
      </c>
      <c r="F47" s="23" t="inlineStr">
        <is>
          <t>🎯 نتيجة</t>
        </is>
      </c>
      <c r="G47" s="31" t="inlineStr">
        <is>
          <t>النمو · زيادة وصول العملاء</t>
        </is>
      </c>
      <c r="H47" s="23" t="inlineStr">
        <is>
          <t>مالي</t>
        </is>
      </c>
      <c r="I47" s="32" t="n">
        <v>0.08</v>
      </c>
      <c r="J47" s="23" t="inlineStr">
        <is>
          <t>مدير التشغيل</t>
        </is>
      </c>
      <c r="K47" s="31" t="inlineStr">
        <is>
          <t>نظام المحاسبة / ERP (D365)</t>
        </is>
      </c>
      <c r="L47" s="23" t="inlineStr">
        <is>
          <t>شهري</t>
        </is>
      </c>
      <c r="M47" s="23" t="inlineStr">
        <is>
          <t>الإدارة المالية</t>
        </is>
      </c>
      <c r="N47" s="33" t="n"/>
    </row>
    <row r="48" ht="30" customHeight="1">
      <c r="A48" s="23" t="n">
        <v>46</v>
      </c>
      <c r="B48" s="26" t="inlineStr">
        <is>
          <t>التشغيل والمحطات</t>
        </is>
      </c>
      <c r="C48" s="9" t="inlineStr">
        <is>
          <t>نسبة جاهزية المحطة الشاملة (Uptime)</t>
        </is>
      </c>
      <c r="D48" s="30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31" t="inlineStr">
        <is>
          <t>(المتحقّق ÷ الإجمالي) × 100٪</t>
        </is>
      </c>
      <c r="F48" s="23" t="inlineStr">
        <is>
          <t>🎯 نتيجة</t>
        </is>
      </c>
      <c r="G48" s="31" t="inlineStr">
        <is>
          <t>الاستدامة · جودة التشغيل</t>
        </is>
      </c>
      <c r="H48" s="23" t="inlineStr">
        <is>
          <t>العمليات الداخلية</t>
        </is>
      </c>
      <c r="I48" s="32" t="n">
        <v>0.07000000000000001</v>
      </c>
      <c r="J48" s="23" t="inlineStr">
        <is>
          <t>مدير التشغيل</t>
        </is>
      </c>
      <c r="K48" s="31" t="inlineStr">
        <is>
          <t>نظام المحاسبة / ERP (D365)</t>
        </is>
      </c>
      <c r="L48" s="23" t="inlineStr">
        <is>
          <t>شهري</t>
        </is>
      </c>
      <c r="M48" s="23" t="inlineStr">
        <is>
          <t>الإدارة المالية</t>
        </is>
      </c>
      <c r="N48" s="33" t="n"/>
    </row>
    <row r="49" ht="30" customHeight="1">
      <c r="A49" s="23" t="n">
        <v>47</v>
      </c>
      <c r="B49" s="26" t="inlineStr">
        <is>
          <t>التشغيل والمحطات</t>
        </is>
      </c>
      <c r="C49" s="9" t="inlineStr">
        <is>
          <t>نسبة المضخات العاملة</t>
        </is>
      </c>
      <c r="D49" s="30" t="inlineStr">
        <is>
          <t>يقيس نسبة المضخات العاملة ضمن محور «حماية الإيراد»، ويعكس مساهمة الإدارة في ركيزة الاستدامة.</t>
        </is>
      </c>
      <c r="E49" s="31" t="inlineStr">
        <is>
          <t>(المتحقّق ÷ الإجمالي) × 100٪</t>
        </is>
      </c>
      <c r="F49" s="23" t="inlineStr">
        <is>
          <t>🔧 تشغيلي</t>
        </is>
      </c>
      <c r="G49" s="31" t="inlineStr">
        <is>
          <t>الاستدامة · جودة التشغيل</t>
        </is>
      </c>
      <c r="H49" s="23" t="inlineStr">
        <is>
          <t>العمليات الداخلية</t>
        </is>
      </c>
      <c r="I49" s="32" t="n">
        <v>0.05</v>
      </c>
      <c r="J49" s="23" t="inlineStr">
        <is>
          <t>مدير التشغيل</t>
        </is>
      </c>
      <c r="K49" s="31" t="inlineStr">
        <is>
          <t>نظام المحاسبة / ERP (D365)</t>
        </is>
      </c>
      <c r="L49" s="23" t="inlineStr">
        <is>
          <t>شهري</t>
        </is>
      </c>
      <c r="M49" s="23" t="inlineStr">
        <is>
          <t>الإدارة المالية</t>
        </is>
      </c>
      <c r="N49" s="33" t="n"/>
    </row>
    <row r="50" ht="30" customHeight="1">
      <c r="A50" s="23" t="n">
        <v>48</v>
      </c>
      <c r="B50" s="26" t="inlineStr">
        <is>
          <t>التشغيل والمحطات</t>
        </is>
      </c>
      <c r="C50" s="9" t="inlineStr">
        <is>
          <t>تكلفة التشغيل لكل لتر مباع</t>
        </is>
      </c>
      <c r="D50" s="30" t="inlineStr">
        <is>
          <t>يقيس تكلفة التشغيل لكل لتر مباع ضمن محور «ضغط التكلفة»، ويعكس مساهمة الإدارة في ركيزة الاستدامة.</t>
        </is>
      </c>
      <c r="E50" s="31" t="inlineStr">
        <is>
          <t>إجمالي العدد خلال الفترة</t>
        </is>
      </c>
      <c r="F50" s="23" t="inlineStr">
        <is>
          <t>🔧 تشغيلي</t>
        </is>
      </c>
      <c r="G50" s="31" t="inlineStr">
        <is>
          <t>الاستدامة · جودة التشغيل</t>
        </is>
      </c>
      <c r="H50" s="23" t="inlineStr">
        <is>
          <t>مالي</t>
        </is>
      </c>
      <c r="I50" s="32" t="n">
        <v>0.05</v>
      </c>
      <c r="J50" s="23" t="inlineStr">
        <is>
          <t>مدير التشغيل</t>
        </is>
      </c>
      <c r="K50" s="31" t="inlineStr">
        <is>
          <t>نظام تشغيل المحطات</t>
        </is>
      </c>
      <c r="L50" s="23" t="inlineStr">
        <is>
          <t>ربعي</t>
        </is>
      </c>
      <c r="M50" s="23" t="inlineStr">
        <is>
          <t>مدير التشغيل</t>
        </is>
      </c>
      <c r="N50" s="33" t="n"/>
    </row>
    <row r="51" ht="30" customHeight="1">
      <c r="A51" s="23" t="n">
        <v>49</v>
      </c>
      <c r="B51" s="26" t="inlineStr">
        <is>
          <t>التشغيل والمحطات</t>
        </is>
      </c>
      <c r="C51" s="9" t="inlineStr">
        <is>
          <t>نسبة الصيانة الوقائية المنفذة في موعدها</t>
        </is>
      </c>
      <c r="D51" s="30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31" t="inlineStr">
        <is>
          <t>(المتحقّق ÷ الإجمالي) × 100٪</t>
        </is>
      </c>
      <c r="F51" s="23" t="inlineStr">
        <is>
          <t>🔧 تشغيلي</t>
        </is>
      </c>
      <c r="G51" s="31" t="inlineStr">
        <is>
          <t>الاستدامة · جودة التشغيل</t>
        </is>
      </c>
      <c r="H51" s="23" t="inlineStr">
        <is>
          <t>العمليات الداخلية</t>
        </is>
      </c>
      <c r="I51" s="32" t="n">
        <v>0.05</v>
      </c>
      <c r="J51" s="23" t="inlineStr">
        <is>
          <t>مدير التشغيل</t>
        </is>
      </c>
      <c r="K51" s="31" t="inlineStr">
        <is>
          <t>نظام تشغيل المحطات</t>
        </is>
      </c>
      <c r="L51" s="23" t="inlineStr">
        <is>
          <t>شهري</t>
        </is>
      </c>
      <c r="M51" s="23" t="inlineStr">
        <is>
          <t>مدير التشغيل</t>
        </is>
      </c>
      <c r="N51" s="33" t="n"/>
    </row>
    <row r="52" ht="30" customHeight="1">
      <c r="A52" s="23" t="n">
        <v>50</v>
      </c>
      <c r="B52" s="26" t="inlineStr">
        <is>
          <t>التشغيل والمحطات</t>
        </is>
      </c>
      <c r="C52" s="9" t="inlineStr">
        <is>
          <t>نسبة انخفاض الشكاوى مقارنة بالشهر السابق</t>
        </is>
      </c>
      <c r="D52" s="30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31" t="inlineStr">
        <is>
          <t>(المتحقّق ÷ الإجمالي) × 100٪</t>
        </is>
      </c>
      <c r="F52" s="23" t="inlineStr">
        <is>
          <t>🎯 نتيجة</t>
        </is>
      </c>
      <c r="G52" s="31" t="inlineStr">
        <is>
          <t>الاستدامة · تعزيز تجربة العملاء</t>
        </is>
      </c>
      <c r="H52" s="23" t="inlineStr">
        <is>
          <t>العملاء</t>
        </is>
      </c>
      <c r="I52" s="32" t="n">
        <v>0.05</v>
      </c>
      <c r="J52" s="23" t="inlineStr">
        <is>
          <t>مدير التشغيل</t>
        </is>
      </c>
      <c r="K52" s="31" t="inlineStr">
        <is>
          <t>سجلات الإدارة</t>
        </is>
      </c>
      <c r="L52" s="23" t="inlineStr">
        <is>
          <t>شهري</t>
        </is>
      </c>
      <c r="M52" s="23" t="inlineStr">
        <is>
          <t>مدير التشغيل</t>
        </is>
      </c>
      <c r="N52" s="33" t="n"/>
    </row>
    <row r="53" ht="30" customHeight="1">
      <c r="A53" s="23" t="n">
        <v>51</v>
      </c>
      <c r="B53" s="26" t="inlineStr">
        <is>
          <t>التشغيل والمحطات</t>
        </is>
      </c>
      <c r="C53" s="9" t="inlineStr">
        <is>
          <t>تقييم Google Maps للمحطات</t>
        </is>
      </c>
      <c r="D53" s="30" t="inlineStr">
        <is>
          <t>يقيس تقييم Google Maps للمحطات ضمن محور «تجربة العميل»، ويعكس مساهمة الإدارة في ركيزة الاستدامة.</t>
        </is>
      </c>
      <c r="E53" s="31" t="inlineStr">
        <is>
          <t>متوسط التقييم (من 5)</t>
        </is>
      </c>
      <c r="F53" s="23" t="inlineStr">
        <is>
          <t>🎯 نتيجة</t>
        </is>
      </c>
      <c r="G53" s="31" t="inlineStr">
        <is>
          <t>الاستدامة · تعزيز تجربة العملاء</t>
        </is>
      </c>
      <c r="H53" s="23" t="inlineStr">
        <is>
          <t>العملاء</t>
        </is>
      </c>
      <c r="I53" s="32" t="n">
        <v>0.07000000000000001</v>
      </c>
      <c r="J53" s="23" t="inlineStr">
        <is>
          <t>مدير التشغيل</t>
        </is>
      </c>
      <c r="K53" s="31" t="inlineStr">
        <is>
          <t>تقييمات خرائط قوقل</t>
        </is>
      </c>
      <c r="L53" s="23" t="inlineStr">
        <is>
          <t>شهري</t>
        </is>
      </c>
      <c r="M53" s="23" t="inlineStr">
        <is>
          <t>مدير التشغيل</t>
        </is>
      </c>
      <c r="N53" s="33" t="n"/>
    </row>
    <row r="54" ht="30" customHeight="1">
      <c r="A54" s="23" t="n">
        <v>52</v>
      </c>
      <c r="B54" s="26" t="inlineStr">
        <is>
          <t>التشغيل والمحطات</t>
        </is>
      </c>
      <c r="C54" s="9" t="inlineStr">
        <is>
          <t>سرعة تعبئة الوقود</t>
        </is>
      </c>
      <c r="D54" s="30" t="inlineStr">
        <is>
          <t>يقيس سرعة تعبئة الوقود ضمن محور «تجربة العميل»، ويعكس مساهمة الإدارة في ركيزة الاستدامة.</t>
        </is>
      </c>
      <c r="E54" s="31" t="inlineStr">
        <is>
          <t>متوسط دقيقة خلال الفترة</t>
        </is>
      </c>
      <c r="F54" s="23" t="inlineStr">
        <is>
          <t>🔧 تشغيلي</t>
        </is>
      </c>
      <c r="G54" s="31" t="inlineStr">
        <is>
          <t>الاستدامة · تعزيز تجربة العملاء</t>
        </is>
      </c>
      <c r="H54" s="23" t="inlineStr">
        <is>
          <t>العمليات الداخلية</t>
        </is>
      </c>
      <c r="I54" s="32" t="n">
        <v>0.05</v>
      </c>
      <c r="J54" s="23" t="inlineStr">
        <is>
          <t>مدير التشغيل</t>
        </is>
      </c>
      <c r="K54" s="31" t="inlineStr">
        <is>
          <t>نظام تشغيل المحطات</t>
        </is>
      </c>
      <c r="L54" s="23" t="inlineStr">
        <is>
          <t>شهري</t>
        </is>
      </c>
      <c r="M54" s="23" t="inlineStr">
        <is>
          <t>مدير التشغيل</t>
        </is>
      </c>
      <c r="N54" s="33" t="n"/>
    </row>
    <row r="55" ht="30" customHeight="1">
      <c r="A55" s="23" t="n">
        <v>53</v>
      </c>
      <c r="B55" s="26" t="inlineStr">
        <is>
          <t>التشغيل والمحطات</t>
        </is>
      </c>
      <c r="C55" s="9" t="inlineStr">
        <is>
          <t>دقة التعبئة بدون أخطاء</t>
        </is>
      </c>
      <c r="D55" s="30" t="inlineStr">
        <is>
          <t>يقيس دقة التعبئة بدون أخطاء ضمن محور «تجربة العميل»، ويعكس مساهمة الإدارة في ركيزة الاستدامة.</t>
        </is>
      </c>
      <c r="E55" s="31" t="inlineStr">
        <is>
          <t>(المتحقّق ÷ الإجمالي) × 100٪</t>
        </is>
      </c>
      <c r="F55" s="23" t="inlineStr">
        <is>
          <t>🎯 نتيجة</t>
        </is>
      </c>
      <c r="G55" s="31" t="inlineStr">
        <is>
          <t>الاستدامة · جودة التشغيل</t>
        </is>
      </c>
      <c r="H55" s="23" t="inlineStr">
        <is>
          <t>العمليات الداخلية</t>
        </is>
      </c>
      <c r="I55" s="32" t="n">
        <v>0.05</v>
      </c>
      <c r="J55" s="23" t="inlineStr">
        <is>
          <t>مدير التشغيل</t>
        </is>
      </c>
      <c r="K55" s="31" t="inlineStr">
        <is>
          <t>نظام تشغيل المحطات</t>
        </is>
      </c>
      <c r="L55" s="23" t="inlineStr">
        <is>
          <t>شهري</t>
        </is>
      </c>
      <c r="M55" s="23" t="inlineStr">
        <is>
          <t>مدير التشغيل</t>
        </is>
      </c>
      <c r="N55" s="33" t="n"/>
    </row>
    <row r="56" ht="30" customHeight="1">
      <c r="A56" s="23" t="n">
        <v>54</v>
      </c>
      <c r="B56" s="26" t="inlineStr">
        <is>
          <t>التشغيل والمحطات</t>
        </is>
      </c>
      <c r="C56" s="9" t="inlineStr">
        <is>
          <t>تطبيق المعيار الشامل في المحطات</t>
        </is>
      </c>
      <c r="D56" s="30" t="inlineStr">
        <is>
          <t>يقيس تطبيق المعيار الشامل في المحطات ضمن محور «تجربة العميل»، ويعكس مساهمة الإدارة في ركيزة الابتكار.</t>
        </is>
      </c>
      <c r="E56" s="31" t="inlineStr">
        <is>
          <t>(المتحقّق ÷ الإجمالي) × 100٪</t>
        </is>
      </c>
      <c r="F56" s="23" t="inlineStr">
        <is>
          <t>🔧 تشغيلي</t>
        </is>
      </c>
      <c r="G56" s="31" t="inlineStr">
        <is>
          <t>الابتكار · التحول التقني</t>
        </is>
      </c>
      <c r="H56" s="23" t="inlineStr">
        <is>
          <t>التعلّم والنمو</t>
        </is>
      </c>
      <c r="I56" s="32" t="n">
        <v>0.02</v>
      </c>
      <c r="J56" s="23" t="inlineStr">
        <is>
          <t>مدير التشغيل</t>
        </is>
      </c>
      <c r="K56" s="31" t="inlineStr">
        <is>
          <t>نظام تشغيل المحطات</t>
        </is>
      </c>
      <c r="L56" s="23" t="inlineStr">
        <is>
          <t>شهري</t>
        </is>
      </c>
      <c r="M56" s="23" t="inlineStr">
        <is>
          <t>مدير التشغيل</t>
        </is>
      </c>
      <c r="N56" s="33" t="n"/>
    </row>
    <row r="57" ht="30" customHeight="1">
      <c r="A57" s="23" t="n">
        <v>55</v>
      </c>
      <c r="B57" s="26" t="inlineStr">
        <is>
          <t>التشغيل والمحطات</t>
        </is>
      </c>
      <c r="C57" s="9" t="inlineStr">
        <is>
          <t>الالتزام بمعايير السلامة داخل المحطة</t>
        </is>
      </c>
      <c r="D57" s="30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31" t="inlineStr">
        <is>
          <t>(المتحقّق ÷ الإجمالي) × 100٪</t>
        </is>
      </c>
      <c r="F57" s="23" t="inlineStr">
        <is>
          <t>🎯 نتيجة</t>
        </is>
      </c>
      <c r="G57" s="31" t="inlineStr">
        <is>
          <t>الاستدامة · جودة التشغيل</t>
        </is>
      </c>
      <c r="H57" s="23" t="inlineStr">
        <is>
          <t>العمليات الداخلية</t>
        </is>
      </c>
      <c r="I57" s="32" t="n">
        <v>0.07000000000000001</v>
      </c>
      <c r="J57" s="23" t="inlineStr">
        <is>
          <t>مدير التشغيل</t>
        </is>
      </c>
      <c r="K57" s="31" t="inlineStr">
        <is>
          <t>نظام تشغيل المحطات</t>
        </is>
      </c>
      <c r="L57" s="23" t="inlineStr">
        <is>
          <t>شهري</t>
        </is>
      </c>
      <c r="M57" s="23" t="inlineStr">
        <is>
          <t>مدير التشغيل</t>
        </is>
      </c>
      <c r="N57" s="33" t="n"/>
    </row>
    <row r="58" ht="30" customHeight="1">
      <c r="A58" s="23" t="n">
        <v>56</v>
      </c>
      <c r="B58" s="26" t="inlineStr">
        <is>
          <t>التشغيل والمحطات</t>
        </is>
      </c>
      <c r="C58" s="9" t="inlineStr">
        <is>
          <t>التشجير داخل المحطة (معيار الوزارة)</t>
        </is>
      </c>
      <c r="D58" s="30" t="inlineStr">
        <is>
          <t>يقيس التشجير داخل المحطة (معيار الوزارة) ضمن محور «البيئة»، ويعكس مساهمة الإدارة في ركيزة الاستدامة.</t>
        </is>
      </c>
      <c r="E58" s="31" t="inlineStr">
        <is>
          <t>(المتحقّق ÷ الإجمالي) × 100٪</t>
        </is>
      </c>
      <c r="F58" s="23" t="inlineStr">
        <is>
          <t>🔧 تشغيلي</t>
        </is>
      </c>
      <c r="G58" s="31" t="inlineStr">
        <is>
          <t>الاستدامة · جودة التشغيل</t>
        </is>
      </c>
      <c r="H58" s="23" t="inlineStr">
        <is>
          <t>العمليات الداخلية</t>
        </is>
      </c>
      <c r="I58" s="32" t="n">
        <v>0.07000000000000001</v>
      </c>
      <c r="J58" s="23" t="inlineStr">
        <is>
          <t>مدير التشغيل</t>
        </is>
      </c>
      <c r="K58" s="31" t="inlineStr">
        <is>
          <t>نظام تشغيل المحطات</t>
        </is>
      </c>
      <c r="L58" s="23" t="inlineStr">
        <is>
          <t>شهري</t>
        </is>
      </c>
      <c r="M58" s="23" t="inlineStr">
        <is>
          <t>مدير التشغيل</t>
        </is>
      </c>
      <c r="N58" s="33" t="n"/>
    </row>
    <row r="59" ht="30" customHeight="1">
      <c r="A59" s="23" t="n">
        <v>57</v>
      </c>
      <c r="B59" s="26" t="inlineStr">
        <is>
          <t>الاستثمار</t>
        </is>
      </c>
      <c r="C59" s="9" t="inlineStr">
        <is>
          <t>إجمالي عقود الاستثمار الجديدة (جميع النماذج)</t>
        </is>
      </c>
      <c r="D59" s="30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31" t="inlineStr">
        <is>
          <t>إجمالي العدد خلال الفترة</t>
        </is>
      </c>
      <c r="F59" s="23" t="inlineStr">
        <is>
          <t>🔧 تشغيلي</t>
        </is>
      </c>
      <c r="G59" s="31" t="inlineStr">
        <is>
          <t>النمو · التوسع في المواقع</t>
        </is>
      </c>
      <c r="H59" s="23" t="inlineStr">
        <is>
          <t>العمليات الداخلية</t>
        </is>
      </c>
      <c r="I59" s="32" t="n">
        <v>0.05</v>
      </c>
      <c r="J59" s="23" t="inlineStr">
        <is>
          <t>مدير الاستثمار</t>
        </is>
      </c>
      <c r="K59" s="31" t="inlineStr">
        <is>
          <t>نظام إدارة العقود (CRM)</t>
        </is>
      </c>
      <c r="L59" s="23" t="inlineStr">
        <is>
          <t>شهري</t>
        </is>
      </c>
      <c r="M59" s="23" t="inlineStr">
        <is>
          <t>مدير الاستثمار</t>
        </is>
      </c>
      <c r="N59" s="33" t="n"/>
    </row>
    <row r="60" ht="30" customHeight="1">
      <c r="A60" s="23" t="n">
        <v>58</v>
      </c>
      <c r="B60" s="26" t="inlineStr">
        <is>
          <t>الاستثمار</t>
        </is>
      </c>
      <c r="C60" s="9" t="inlineStr">
        <is>
          <t>عقود الاستثمار العادي الجديدة</t>
        </is>
      </c>
      <c r="D60" s="30" t="inlineStr">
        <is>
          <t>يقيس عقود الاستثمار العادي الجديدة ضمن محور «نمو المحفظة»، ويعكس مساهمة الإدارة في ركيزة النمو.</t>
        </is>
      </c>
      <c r="E60" s="31" t="inlineStr">
        <is>
          <t>إجمالي العدد خلال الفترة</t>
        </is>
      </c>
      <c r="F60" s="23" t="inlineStr">
        <is>
          <t>🔧 تشغيلي</t>
        </is>
      </c>
      <c r="G60" s="31" t="inlineStr">
        <is>
          <t>النمو · التوسع في المواقع</t>
        </is>
      </c>
      <c r="H60" s="23" t="inlineStr">
        <is>
          <t>العمليات الداخلية</t>
        </is>
      </c>
      <c r="I60" s="32" t="n">
        <v>0.05</v>
      </c>
      <c r="J60" s="23" t="inlineStr">
        <is>
          <t>مدير الاستثمار</t>
        </is>
      </c>
      <c r="K60" s="31" t="inlineStr">
        <is>
          <t>نظام إدارة العقود (CRM)</t>
        </is>
      </c>
      <c r="L60" s="23" t="inlineStr">
        <is>
          <t>شهري</t>
        </is>
      </c>
      <c r="M60" s="23" t="inlineStr">
        <is>
          <t>مدير الاستثمار</t>
        </is>
      </c>
      <c r="N60" s="33" t="n"/>
    </row>
    <row r="61" ht="30" customHeight="1">
      <c r="A61" s="23" t="n">
        <v>59</v>
      </c>
      <c r="B61" s="26" t="inlineStr">
        <is>
          <t>الاستثمار</t>
        </is>
      </c>
      <c r="C61" s="9" t="inlineStr">
        <is>
          <t>عقود الاستحواذ الجديدة</t>
        </is>
      </c>
      <c r="D61" s="30" t="inlineStr">
        <is>
          <t>يقيس عقود الاستحواذ الجديدة ضمن محور «نمو المحفظة»، ويعكس مساهمة الإدارة في ركيزة النمو.</t>
        </is>
      </c>
      <c r="E61" s="31" t="inlineStr">
        <is>
          <t>إجمالي العدد خلال الفترة</t>
        </is>
      </c>
      <c r="F61" s="23" t="inlineStr">
        <is>
          <t>🔧 تشغيلي</t>
        </is>
      </c>
      <c r="G61" s="31" t="inlineStr">
        <is>
          <t>النمو · التوسع في المواقع</t>
        </is>
      </c>
      <c r="H61" s="23" t="inlineStr">
        <is>
          <t>العمليات الداخلية</t>
        </is>
      </c>
      <c r="I61" s="32" t="n">
        <v>0.05</v>
      </c>
      <c r="J61" s="23" t="inlineStr">
        <is>
          <t>مدير الاستثمار</t>
        </is>
      </c>
      <c r="K61" s="31" t="inlineStr">
        <is>
          <t>نظام إدارة العقود (CRM)</t>
        </is>
      </c>
      <c r="L61" s="23" t="inlineStr">
        <is>
          <t>شهري</t>
        </is>
      </c>
      <c r="M61" s="23" t="inlineStr">
        <is>
          <t>مدير الاستثمار</t>
        </is>
      </c>
      <c r="N61" s="33" t="n"/>
    </row>
    <row r="62" ht="30" customHeight="1">
      <c r="A62" s="23" t="n">
        <v>60</v>
      </c>
      <c r="B62" s="26" t="inlineStr">
        <is>
          <t>الاستثمار</t>
        </is>
      </c>
      <c r="C62" s="9" t="inlineStr">
        <is>
          <t>المحطات المستحوَذ عليها المشغّلة (تراكمي)</t>
        </is>
      </c>
      <c r="D62" s="30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31" t="inlineStr">
        <is>
          <t>إجمالي العدد خلال الفترة</t>
        </is>
      </c>
      <c r="F62" s="23" t="inlineStr">
        <is>
          <t>🔧 تشغيلي</t>
        </is>
      </c>
      <c r="G62" s="31" t="inlineStr">
        <is>
          <t>النمو · التوسع في المواقع</t>
        </is>
      </c>
      <c r="H62" s="23" t="inlineStr">
        <is>
          <t>العمليات الداخلية</t>
        </is>
      </c>
      <c r="I62" s="32" t="n">
        <v>0.05</v>
      </c>
      <c r="J62" s="23" t="inlineStr">
        <is>
          <t>مدير الاستثمار</t>
        </is>
      </c>
      <c r="K62" s="31" t="inlineStr">
        <is>
          <t>نظام تشغيل المحطات</t>
        </is>
      </c>
      <c r="L62" s="23" t="inlineStr">
        <is>
          <t>شهري</t>
        </is>
      </c>
      <c r="M62" s="23" t="inlineStr">
        <is>
          <t>مدير الاستثمار</t>
        </is>
      </c>
      <c r="N62" s="33" t="n"/>
    </row>
    <row r="63" ht="30" customHeight="1">
      <c r="A63" s="23" t="n">
        <v>61</v>
      </c>
      <c r="B63" s="26" t="inlineStr">
        <is>
          <t>الاستثمار</t>
        </is>
      </c>
      <c r="C63" s="9" t="inlineStr">
        <is>
          <t>عقود تأجير الأرض الجديدة</t>
        </is>
      </c>
      <c r="D63" s="30" t="inlineStr">
        <is>
          <t>يقيس عقود تأجير الأرض الجديدة ضمن محور «نمو المحفظة»، ويعكس مساهمة الإدارة في ركيزة النمو.</t>
        </is>
      </c>
      <c r="E63" s="31" t="inlineStr">
        <is>
          <t>إجمالي العدد خلال الفترة</t>
        </is>
      </c>
      <c r="F63" s="23" t="inlineStr">
        <is>
          <t>🔧 تشغيلي</t>
        </is>
      </c>
      <c r="G63" s="31" t="inlineStr">
        <is>
          <t>النمو · التوسع في المواقع</t>
        </is>
      </c>
      <c r="H63" s="23" t="inlineStr">
        <is>
          <t>العمليات الداخلية</t>
        </is>
      </c>
      <c r="I63" s="32" t="n">
        <v>0.05</v>
      </c>
      <c r="J63" s="23" t="inlineStr">
        <is>
          <t>مدير الاستثمار</t>
        </is>
      </c>
      <c r="K63" s="31" t="inlineStr">
        <is>
          <t>نظام إدارة العقود (CRM)</t>
        </is>
      </c>
      <c r="L63" s="23" t="inlineStr">
        <is>
          <t>شهري</t>
        </is>
      </c>
      <c r="M63" s="23" t="inlineStr">
        <is>
          <t>مدير الاستثمار</t>
        </is>
      </c>
      <c r="N63" s="33" t="n"/>
    </row>
    <row r="64" ht="30" customHeight="1">
      <c r="A64" s="23" t="n">
        <v>62</v>
      </c>
      <c r="B64" s="26" t="inlineStr">
        <is>
          <t>الاستثمار</t>
        </is>
      </c>
      <c r="C64" s="9" t="inlineStr">
        <is>
          <t>عقود إيجار المحطة الجديدة</t>
        </is>
      </c>
      <c r="D64" s="30" t="inlineStr">
        <is>
          <t>يقيس عقود إيجار المحطة الجديدة ضمن محور «نمو المحفظة»، ويعكس مساهمة الإدارة في ركيزة النمو.</t>
        </is>
      </c>
      <c r="E64" s="31" t="inlineStr">
        <is>
          <t>إجمالي العدد خلال الفترة</t>
        </is>
      </c>
      <c r="F64" s="23" t="inlineStr">
        <is>
          <t>🔧 تشغيلي</t>
        </is>
      </c>
      <c r="G64" s="31" t="inlineStr">
        <is>
          <t>النمو · التوسع في المواقع</t>
        </is>
      </c>
      <c r="H64" s="23" t="inlineStr">
        <is>
          <t>العمليات الداخلية</t>
        </is>
      </c>
      <c r="I64" s="32" t="n">
        <v>0.05</v>
      </c>
      <c r="J64" s="23" t="inlineStr">
        <is>
          <t>مدير الاستثمار</t>
        </is>
      </c>
      <c r="K64" s="31" t="inlineStr">
        <is>
          <t>نظام إدارة العقود (CRM)</t>
        </is>
      </c>
      <c r="L64" s="23" t="inlineStr">
        <is>
          <t>شهري</t>
        </is>
      </c>
      <c r="M64" s="23" t="inlineStr">
        <is>
          <t>مدير الاستثمار</t>
        </is>
      </c>
      <c r="N64" s="33" t="n"/>
    </row>
    <row r="65" ht="30" customHeight="1">
      <c r="A65" s="23" t="n">
        <v>63</v>
      </c>
      <c r="B65" s="26" t="inlineStr">
        <is>
          <t>الاستثمار</t>
        </is>
      </c>
      <c r="C65" s="9" t="inlineStr">
        <is>
          <t>عقود تشغيل المحطة الجديدة</t>
        </is>
      </c>
      <c r="D65" s="30" t="inlineStr">
        <is>
          <t>يقيس عقود تشغيل المحطة الجديدة ضمن محور «نمو المحفظة»، ويعكس مساهمة الإدارة في ركيزة النمو.</t>
        </is>
      </c>
      <c r="E65" s="31" t="inlineStr">
        <is>
          <t>إجمالي العدد خلال الفترة</t>
        </is>
      </c>
      <c r="F65" s="23" t="inlineStr">
        <is>
          <t>🔧 تشغيلي</t>
        </is>
      </c>
      <c r="G65" s="31" t="inlineStr">
        <is>
          <t>النمو · التوسع في المواقع</t>
        </is>
      </c>
      <c r="H65" s="23" t="inlineStr">
        <is>
          <t>العمليات الداخلية</t>
        </is>
      </c>
      <c r="I65" s="32" t="n">
        <v>0.05</v>
      </c>
      <c r="J65" s="23" t="inlineStr">
        <is>
          <t>مدير الاستثمار</t>
        </is>
      </c>
      <c r="K65" s="31" t="inlineStr">
        <is>
          <t>نظام إدارة العقود (CRM)</t>
        </is>
      </c>
      <c r="L65" s="23" t="inlineStr">
        <is>
          <t>شهري</t>
        </is>
      </c>
      <c r="M65" s="23" t="inlineStr">
        <is>
          <t>مدير الاستثمار</t>
        </is>
      </c>
      <c r="N65" s="33" t="n"/>
    </row>
    <row r="66" ht="30" customHeight="1">
      <c r="A66" s="23" t="n">
        <v>64</v>
      </c>
      <c r="B66" s="26" t="inlineStr">
        <is>
          <t>الاستثمار</t>
        </is>
      </c>
      <c r="C66" s="9" t="inlineStr">
        <is>
          <t>نسبة المواقع المعتمدة ذات العائد المجدي</t>
        </is>
      </c>
      <c r="D66" s="30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31" t="inlineStr">
        <is>
          <t>(المتحقّق ÷ الإجمالي) × 100٪</t>
        </is>
      </c>
      <c r="F66" s="23" t="inlineStr">
        <is>
          <t>🎯 نتيجة</t>
        </is>
      </c>
      <c r="G66" s="31" t="inlineStr">
        <is>
          <t>الاستدامة · جودة التشغيل</t>
        </is>
      </c>
      <c r="H66" s="23" t="inlineStr">
        <is>
          <t>مالي</t>
        </is>
      </c>
      <c r="I66" s="32" t="n">
        <v>0.05</v>
      </c>
      <c r="J66" s="23" t="inlineStr">
        <is>
          <t>مدير الاستثمار</t>
        </is>
      </c>
      <c r="K66" s="31" t="inlineStr">
        <is>
          <t>نظام المحاسبة / ERP (D365)</t>
        </is>
      </c>
      <c r="L66" s="23" t="inlineStr">
        <is>
          <t>شهري</t>
        </is>
      </c>
      <c r="M66" s="23" t="inlineStr">
        <is>
          <t>الإدارة المالية</t>
        </is>
      </c>
      <c r="N66" s="33" t="n"/>
    </row>
    <row r="67" ht="30" customHeight="1">
      <c r="A67" s="23" t="n">
        <v>65</v>
      </c>
      <c r="B67" s="26" t="inlineStr">
        <is>
          <t>الاستثمار</t>
        </is>
      </c>
      <c r="C67" s="9" t="inlineStr">
        <is>
          <t>متوسط فترة استرداد رأس المال</t>
        </is>
      </c>
      <c r="D67" s="30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31" t="inlineStr">
        <is>
          <t>متوسط سنة خلال الفترة</t>
        </is>
      </c>
      <c r="F67" s="23" t="inlineStr">
        <is>
          <t>🔧 تشغيلي</t>
        </is>
      </c>
      <c r="G67" s="31" t="inlineStr">
        <is>
          <t>الاستدامة · جودة التشغيل</t>
        </is>
      </c>
      <c r="H67" s="23" t="inlineStr">
        <is>
          <t>مالي</t>
        </is>
      </c>
      <c r="I67" s="32" t="n">
        <v>0.03</v>
      </c>
      <c r="J67" s="23" t="inlineStr">
        <is>
          <t>مدير الاستثمار</t>
        </is>
      </c>
      <c r="K67" s="31" t="inlineStr">
        <is>
          <t>نظام المحاسبة / ERP (D365)</t>
        </is>
      </c>
      <c r="L67" s="23" t="inlineStr">
        <is>
          <t>شهري</t>
        </is>
      </c>
      <c r="M67" s="23" t="inlineStr">
        <is>
          <t>الإدارة المالية</t>
        </is>
      </c>
      <c r="N67" s="33" t="n"/>
    </row>
    <row r="68" ht="30" customHeight="1">
      <c r="A68" s="23" t="n">
        <v>66</v>
      </c>
      <c r="B68" s="26" t="inlineStr">
        <is>
          <t>الاستثمار</t>
        </is>
      </c>
      <c r="C68" s="9" t="inlineStr">
        <is>
          <t>متوسط قيمة عقد الإيجار السنوي (أرض)</t>
        </is>
      </c>
      <c r="D68" s="30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31" t="inlineStr">
        <is>
          <t>إجمالي القيمة (ر.س) خلال الفترة</t>
        </is>
      </c>
      <c r="F68" s="23" t="inlineStr">
        <is>
          <t>🎯 نتيجة</t>
        </is>
      </c>
      <c r="G68" s="31" t="inlineStr">
        <is>
          <t>النمو · التوسع في المواقع</t>
        </is>
      </c>
      <c r="H68" s="23" t="inlineStr">
        <is>
          <t>مالي</t>
        </is>
      </c>
      <c r="I68" s="32" t="n">
        <v>0.05</v>
      </c>
      <c r="J68" s="23" t="inlineStr">
        <is>
          <t>مدير الاستثمار</t>
        </is>
      </c>
      <c r="K68" s="31" t="inlineStr">
        <is>
          <t>نظام المحاسبة / ERP (D365)</t>
        </is>
      </c>
      <c r="L68" s="23" t="inlineStr">
        <is>
          <t>شهري</t>
        </is>
      </c>
      <c r="M68" s="23" t="inlineStr">
        <is>
          <t>الإدارة المالية</t>
        </is>
      </c>
      <c r="N68" s="33" t="n"/>
    </row>
    <row r="69" ht="30" customHeight="1">
      <c r="A69" s="23" t="n">
        <v>67</v>
      </c>
      <c r="B69" s="26" t="inlineStr">
        <is>
          <t>الاستثمار</t>
        </is>
      </c>
      <c r="C69" s="9" t="inlineStr">
        <is>
          <t>نسبة العقود التي تغطي المناطق الـ13</t>
        </is>
      </c>
      <c r="D69" s="30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31" t="inlineStr">
        <is>
          <t>(المتحقّق ÷ الإجمالي) × 100٪</t>
        </is>
      </c>
      <c r="F69" s="23" t="inlineStr">
        <is>
          <t>🔧 تشغيلي</t>
        </is>
      </c>
      <c r="G69" s="31" t="inlineStr">
        <is>
          <t>النمو · التوسع في المواقع</t>
        </is>
      </c>
      <c r="H69" s="23" t="inlineStr">
        <is>
          <t>العمليات الداخلية</t>
        </is>
      </c>
      <c r="I69" s="32" t="n">
        <v>0.05</v>
      </c>
      <c r="J69" s="23" t="inlineStr">
        <is>
          <t>مدير الاستثمار</t>
        </is>
      </c>
      <c r="K69" s="31" t="inlineStr">
        <is>
          <t>نظام إدارة العقود (CRM)</t>
        </is>
      </c>
      <c r="L69" s="23" t="inlineStr">
        <is>
          <t>شهري</t>
        </is>
      </c>
      <c r="M69" s="23" t="inlineStr">
        <is>
          <t>مدير الاستثمار</t>
        </is>
      </c>
      <c r="N69" s="33" t="n"/>
    </row>
    <row r="70" ht="30" customHeight="1">
      <c r="A70" s="23" t="n">
        <v>68</v>
      </c>
      <c r="B70" s="26" t="inlineStr">
        <is>
          <t>الاستثمار</t>
        </is>
      </c>
      <c r="C70" s="9" t="inlineStr">
        <is>
          <t>نسبة العقود خارج المدن الرئيسية</t>
        </is>
      </c>
      <c r="D70" s="30" t="inlineStr">
        <is>
          <t>يقيس نسبة العقود خارج المدن الرئيسية ضمن محور «التوسع الإقليمي»، ويعكس مساهمة الإدارة في ركيزة النمو.</t>
        </is>
      </c>
      <c r="E70" s="31" t="inlineStr">
        <is>
          <t>(المتحقّق ÷ الإجمالي) × 100٪</t>
        </is>
      </c>
      <c r="F70" s="23" t="inlineStr">
        <is>
          <t>🔧 تشغيلي</t>
        </is>
      </c>
      <c r="G70" s="31" t="inlineStr">
        <is>
          <t>النمو · التوسع في المواقع</t>
        </is>
      </c>
      <c r="H70" s="23" t="inlineStr">
        <is>
          <t>العمليات الداخلية</t>
        </is>
      </c>
      <c r="I70" s="32" t="n">
        <v>0.05</v>
      </c>
      <c r="J70" s="23" t="inlineStr">
        <is>
          <t>مدير الاستثمار</t>
        </is>
      </c>
      <c r="K70" s="31" t="inlineStr">
        <is>
          <t>نظام إدارة العقود (CRM)</t>
        </is>
      </c>
      <c r="L70" s="23" t="inlineStr">
        <is>
          <t>شهري</t>
        </is>
      </c>
      <c r="M70" s="23" t="inlineStr">
        <is>
          <t>مدير الاستثمار</t>
        </is>
      </c>
      <c r="N70" s="33" t="n"/>
    </row>
    <row r="71" ht="30" customHeight="1">
      <c r="A71" s="23" t="n">
        <v>69</v>
      </c>
      <c r="B71" s="26" t="inlineStr">
        <is>
          <t>الاستثمار</t>
        </is>
      </c>
      <c r="C71" s="9" t="inlineStr">
        <is>
          <t>نسبة العقود في الـ12 مدينة الرئيسية</t>
        </is>
      </c>
      <c r="D71" s="30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31" t="inlineStr">
        <is>
          <t>(المتحقّق ÷ الإجمالي) × 100٪</t>
        </is>
      </c>
      <c r="F71" s="23" t="inlineStr">
        <is>
          <t>🔧 تشغيلي</t>
        </is>
      </c>
      <c r="G71" s="31" t="inlineStr">
        <is>
          <t>النمو · التوسع في المواقع</t>
        </is>
      </c>
      <c r="H71" s="23" t="inlineStr">
        <is>
          <t>العمليات الداخلية</t>
        </is>
      </c>
      <c r="I71" s="32" t="n">
        <v>0.05</v>
      </c>
      <c r="J71" s="23" t="inlineStr">
        <is>
          <t>مدير الاستثمار</t>
        </is>
      </c>
      <c r="K71" s="31" t="inlineStr">
        <is>
          <t>نظام المحاسبة / ERP (D365)</t>
        </is>
      </c>
      <c r="L71" s="23" t="inlineStr">
        <is>
          <t>شهري</t>
        </is>
      </c>
      <c r="M71" s="23" t="inlineStr">
        <is>
          <t>الإدارة المالية</t>
        </is>
      </c>
      <c r="N71" s="33" t="n"/>
    </row>
    <row r="72" ht="30" customHeight="1">
      <c r="A72" s="23" t="n">
        <v>70</v>
      </c>
      <c r="B72" s="26" t="inlineStr">
        <is>
          <t>الاستثمار</t>
        </is>
      </c>
      <c r="C72" s="9" t="inlineStr">
        <is>
          <t>نسبة العقود على الطرق الإقليمية</t>
        </is>
      </c>
      <c r="D72" s="30" t="inlineStr">
        <is>
          <t>يقيس نسبة العقود على الطرق الإقليمية ضمن محور «التوسع الإقليمي»، ويعكس مساهمة الإدارة في ركيزة النمو.</t>
        </is>
      </c>
      <c r="E72" s="31" t="inlineStr">
        <is>
          <t>(المتحقّق ÷ الإجمالي) × 100٪</t>
        </is>
      </c>
      <c r="F72" s="23" t="inlineStr">
        <is>
          <t>🔧 تشغيلي</t>
        </is>
      </c>
      <c r="G72" s="31" t="inlineStr">
        <is>
          <t>النمو · التوسع في المواقع</t>
        </is>
      </c>
      <c r="H72" s="23" t="inlineStr">
        <is>
          <t>العمليات الداخلية</t>
        </is>
      </c>
      <c r="I72" s="32" t="n">
        <v>0.05</v>
      </c>
      <c r="J72" s="23" t="inlineStr">
        <is>
          <t>مدير الاستثمار</t>
        </is>
      </c>
      <c r="K72" s="31" t="inlineStr">
        <is>
          <t>نظام إدارة العقود (CRM)</t>
        </is>
      </c>
      <c r="L72" s="23" t="inlineStr">
        <is>
          <t>شهري</t>
        </is>
      </c>
      <c r="M72" s="23" t="inlineStr">
        <is>
          <t>مدير الاستثمار</t>
        </is>
      </c>
      <c r="N72" s="33" t="n"/>
    </row>
    <row r="73" ht="30" customHeight="1">
      <c r="A73" s="23" t="n">
        <v>71</v>
      </c>
      <c r="B73" s="26" t="inlineStr">
        <is>
          <t>الاستثمار</t>
        </is>
      </c>
      <c r="C73" s="9" t="inlineStr">
        <is>
          <t>متوسط مدة إغلاق عقد الاستثمار</t>
        </is>
      </c>
      <c r="D73" s="30" t="inlineStr">
        <is>
          <t>يقيس متوسط مدة إغلاق عقد الاستثمار ضمن محور «كفاءة الدورة»، ويعكس مساهمة الإدارة في ركيزة النمو.</t>
        </is>
      </c>
      <c r="E73" s="31" t="inlineStr">
        <is>
          <t>متوسط أسبوع خلال الفترة</t>
        </is>
      </c>
      <c r="F73" s="23" t="inlineStr">
        <is>
          <t>🎯 نتيجة</t>
        </is>
      </c>
      <c r="G73" s="31" t="inlineStr">
        <is>
          <t>النمو · التوسع في المواقع</t>
        </is>
      </c>
      <c r="H73" s="23" t="inlineStr">
        <is>
          <t>العمليات الداخلية</t>
        </is>
      </c>
      <c r="I73" s="32" t="n">
        <v>0.05</v>
      </c>
      <c r="J73" s="23" t="inlineStr">
        <is>
          <t>مدير الاستثمار</t>
        </is>
      </c>
      <c r="K73" s="31" t="inlineStr">
        <is>
          <t>نظام إدارة العقود (CRM)</t>
        </is>
      </c>
      <c r="L73" s="23" t="inlineStr">
        <is>
          <t>شهري</t>
        </is>
      </c>
      <c r="M73" s="23" t="inlineStr">
        <is>
          <t>مدير الاستثمار</t>
        </is>
      </c>
      <c r="N73" s="33" t="n"/>
    </row>
    <row r="74" ht="30" customHeight="1">
      <c r="A74" s="23" t="n">
        <v>72</v>
      </c>
      <c r="B74" s="26" t="inlineStr">
        <is>
          <t>الاستثمار</t>
        </is>
      </c>
      <c r="C74" s="9" t="inlineStr">
        <is>
          <t>نسبة العقود المتحوّلة لمحطات مشغّلة</t>
        </is>
      </c>
      <c r="D74" s="30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31" t="inlineStr">
        <is>
          <t>(المتحقّق ÷ الإجمالي) × 100٪</t>
        </is>
      </c>
      <c r="F74" s="23" t="inlineStr">
        <is>
          <t>🔧 تشغيلي</t>
        </is>
      </c>
      <c r="G74" s="31" t="inlineStr">
        <is>
          <t>النمو · التوسع في المواقع</t>
        </is>
      </c>
      <c r="H74" s="23" t="inlineStr">
        <is>
          <t>العمليات الداخلية</t>
        </is>
      </c>
      <c r="I74" s="32" t="n">
        <v>0.05</v>
      </c>
      <c r="J74" s="23" t="inlineStr">
        <is>
          <t>مدير الاستثمار</t>
        </is>
      </c>
      <c r="K74" s="31" t="inlineStr">
        <is>
          <t>نظام إدارة العقود (CRM)</t>
        </is>
      </c>
      <c r="L74" s="23" t="inlineStr">
        <is>
          <t>شهري</t>
        </is>
      </c>
      <c r="M74" s="23" t="inlineStr">
        <is>
          <t>مدير الاستثمار</t>
        </is>
      </c>
      <c r="N74" s="33" t="n"/>
    </row>
    <row r="75" ht="30" customHeight="1">
      <c r="A75" s="23" t="n">
        <v>73</v>
      </c>
      <c r="B75" s="26" t="inlineStr">
        <is>
          <t>الاستثمار</t>
        </is>
      </c>
      <c r="C75" s="9" t="inlineStr">
        <is>
          <t>نسبة تخفيض إيجار المواقع عالية التكاليف</t>
        </is>
      </c>
      <c r="D75" s="30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31" t="inlineStr">
        <is>
          <t>(المتحقّق ÷ الإجمالي) × 100٪</t>
        </is>
      </c>
      <c r="F75" s="23" t="inlineStr">
        <is>
          <t>🔧 تشغيلي</t>
        </is>
      </c>
      <c r="G75" s="31" t="inlineStr">
        <is>
          <t>الاستدامة · جودة التشغيل</t>
        </is>
      </c>
      <c r="H75" s="23" t="inlineStr">
        <is>
          <t>العمليات الداخلية</t>
        </is>
      </c>
      <c r="I75" s="32" t="n">
        <v>0.03</v>
      </c>
      <c r="J75" s="23" t="inlineStr">
        <is>
          <t>مدير الاستثمار</t>
        </is>
      </c>
      <c r="K75" s="31" t="inlineStr">
        <is>
          <t>نظام إدارة العقود (CRM)</t>
        </is>
      </c>
      <c r="L75" s="23" t="inlineStr">
        <is>
          <t>شهري</t>
        </is>
      </c>
      <c r="M75" s="23" t="inlineStr">
        <is>
          <t>مدير الاستثمار</t>
        </is>
      </c>
      <c r="N75" s="33" t="n"/>
    </row>
    <row r="76" ht="30" customHeight="1">
      <c r="A76" s="23" t="n">
        <v>74</v>
      </c>
      <c r="B76" s="26" t="inlineStr">
        <is>
          <t>الاستثمار</t>
        </is>
      </c>
      <c r="C76" s="9" t="inlineStr">
        <is>
          <t>نسبة اكتمال المستندات النظامية قبل التوقيع</t>
        </is>
      </c>
      <c r="D76" s="30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31" t="inlineStr">
        <is>
          <t>(المتحقّق ÷ الإجمالي) × 100٪</t>
        </is>
      </c>
      <c r="F76" s="23" t="inlineStr">
        <is>
          <t>⚙️ نشاط</t>
        </is>
      </c>
      <c r="G76" s="31" t="inlineStr">
        <is>
          <t>الاستدامة · جودة التشغيل</t>
        </is>
      </c>
      <c r="H76" s="23" t="inlineStr">
        <is>
          <t>العمليات الداخلية</t>
        </is>
      </c>
      <c r="I76" s="32" t="n">
        <v>0.01</v>
      </c>
      <c r="J76" s="23" t="inlineStr">
        <is>
          <t>مدير الاستثمار</t>
        </is>
      </c>
      <c r="K76" s="31" t="inlineStr">
        <is>
          <t>نظام إدارة الجودة (QMS)</t>
        </is>
      </c>
      <c r="L76" s="23" t="inlineStr">
        <is>
          <t>شهري</t>
        </is>
      </c>
      <c r="M76" s="23" t="inlineStr">
        <is>
          <t>مدير الاستثمار</t>
        </is>
      </c>
      <c r="N76" s="33" t="n"/>
    </row>
    <row r="77" ht="30" customHeight="1">
      <c r="A77" s="23" t="n">
        <v>75</v>
      </c>
      <c r="B77" s="26" t="inlineStr">
        <is>
          <t>الاستثمار</t>
        </is>
      </c>
      <c r="C77" s="9" t="inlineStr">
        <is>
          <t>نسبة العقود المؤرشفة إلكترونياً خلال 48 ساعة</t>
        </is>
      </c>
      <c r="D77" s="30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31" t="inlineStr">
        <is>
          <t>(المتحقّق ÷ الإجمالي) × 100٪</t>
        </is>
      </c>
      <c r="F77" s="23" t="inlineStr">
        <is>
          <t>🔧 تشغيلي</t>
        </is>
      </c>
      <c r="G77" s="31" t="inlineStr">
        <is>
          <t>الاستدامة · جودة التشغيل</t>
        </is>
      </c>
      <c r="H77" s="23" t="inlineStr">
        <is>
          <t>العمليات الداخلية</t>
        </is>
      </c>
      <c r="I77" s="32" t="n">
        <v>0.05</v>
      </c>
      <c r="J77" s="23" t="inlineStr">
        <is>
          <t>مدير الاستثمار</t>
        </is>
      </c>
      <c r="K77" s="31" t="inlineStr">
        <is>
          <t>نظام إدارة الجودة (QMS)</t>
        </is>
      </c>
      <c r="L77" s="23" t="inlineStr">
        <is>
          <t>شهري</t>
        </is>
      </c>
      <c r="M77" s="23" t="inlineStr">
        <is>
          <t>مدير الاستثمار</t>
        </is>
      </c>
      <c r="N77" s="33" t="n"/>
    </row>
    <row r="78" ht="30" customHeight="1">
      <c r="A78" s="23" t="n">
        <v>76</v>
      </c>
      <c r="B78" s="26" t="inlineStr">
        <is>
          <t>الاستثمار</t>
        </is>
      </c>
      <c r="C78" s="9" t="inlineStr">
        <is>
          <t>جودة التفاوض مع المستثمرين</t>
        </is>
      </c>
      <c r="D78" s="30" t="inlineStr">
        <is>
          <t>يقيس جودة التفاوض مع المستثمرين ضمن محور «جودة التعاقد»، ويعكس مساهمة الإدارة في ركيزة النمو.</t>
        </is>
      </c>
      <c r="E78" s="31" t="inlineStr">
        <is>
          <t>(المتحقّق ÷ الإجمالي) × 100٪</t>
        </is>
      </c>
      <c r="F78" s="23" t="inlineStr">
        <is>
          <t>🔧 تشغيلي</t>
        </is>
      </c>
      <c r="G78" s="31" t="inlineStr">
        <is>
          <t>النمو · التوسع في المواقع</t>
        </is>
      </c>
      <c r="H78" s="23" t="inlineStr">
        <is>
          <t>العمليات الداخلية</t>
        </is>
      </c>
      <c r="I78" s="32" t="n">
        <v>0.03</v>
      </c>
      <c r="J78" s="23" t="inlineStr">
        <is>
          <t>مدير الاستثمار</t>
        </is>
      </c>
      <c r="K78" s="31" t="inlineStr">
        <is>
          <t>نظام إدارة الجودة (QMS)</t>
        </is>
      </c>
      <c r="L78" s="23" t="inlineStr">
        <is>
          <t>شهري</t>
        </is>
      </c>
      <c r="M78" s="23" t="inlineStr">
        <is>
          <t>مدير الاستثمار</t>
        </is>
      </c>
      <c r="N78" s="33" t="n"/>
    </row>
    <row r="79" ht="30" customHeight="1">
      <c r="A79" s="23" t="n">
        <v>77</v>
      </c>
      <c r="B79" s="26" t="inlineStr">
        <is>
          <t>الاستثمار</t>
        </is>
      </c>
      <c r="C79" s="9" t="inlineStr">
        <is>
          <t>سرعة إنجاز إجراءات التعاقد</t>
        </is>
      </c>
      <c r="D79" s="30" t="inlineStr">
        <is>
          <t>يقيس سرعة إنجاز إجراءات التعاقد ضمن محور «جودة التعاقد»، ويعكس مساهمة الإدارة في ركيزة النمو.</t>
        </is>
      </c>
      <c r="E79" s="31" t="inlineStr">
        <is>
          <t>متوسط أسبوع خلال الفترة</t>
        </is>
      </c>
      <c r="F79" s="23" t="inlineStr">
        <is>
          <t>🔧 تشغيلي</t>
        </is>
      </c>
      <c r="G79" s="31" t="inlineStr">
        <is>
          <t>النمو · التوسع في المواقع</t>
        </is>
      </c>
      <c r="H79" s="23" t="inlineStr">
        <is>
          <t>العمليات الداخلية</t>
        </is>
      </c>
      <c r="I79" s="32" t="n">
        <v>0.03</v>
      </c>
      <c r="J79" s="23" t="inlineStr">
        <is>
          <t>مدير الاستثمار</t>
        </is>
      </c>
      <c r="K79" s="31" t="inlineStr">
        <is>
          <t>نظام إدارة الجودة (QMS)</t>
        </is>
      </c>
      <c r="L79" s="23" t="inlineStr">
        <is>
          <t>شهري</t>
        </is>
      </c>
      <c r="M79" s="23" t="inlineStr">
        <is>
          <t>مدير الاستثمار</t>
        </is>
      </c>
      <c r="N79" s="33" t="n"/>
    </row>
    <row r="80" ht="30" customHeight="1">
      <c r="A80" s="23" t="n">
        <v>78</v>
      </c>
      <c r="B80" s="26" t="inlineStr">
        <is>
          <t>الاستثمار</t>
        </is>
      </c>
      <c r="C80" s="9" t="inlineStr">
        <is>
          <t>مدى رضا المستثمرين وشركاء الاستثمار</t>
        </is>
      </c>
      <c r="D80" s="30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31" t="inlineStr">
        <is>
          <t>(المتحقّق ÷ الإجمالي) × 100٪</t>
        </is>
      </c>
      <c r="F80" s="23" t="inlineStr">
        <is>
          <t>🎯 نتيجة</t>
        </is>
      </c>
      <c r="G80" s="31" t="inlineStr">
        <is>
          <t>الاستدامة · تعزيز تجربة العملاء</t>
        </is>
      </c>
      <c r="H80" s="23" t="inlineStr">
        <is>
          <t>العملاء</t>
        </is>
      </c>
      <c r="I80" s="32" t="n">
        <v>0.05</v>
      </c>
      <c r="J80" s="23" t="inlineStr">
        <is>
          <t>مدير الاستثمار</t>
        </is>
      </c>
      <c r="K80" s="31" t="inlineStr">
        <is>
          <t>استبيان دوري</t>
        </is>
      </c>
      <c r="L80" s="23" t="inlineStr">
        <is>
          <t>ربعي</t>
        </is>
      </c>
      <c r="M80" s="23" t="inlineStr">
        <is>
          <t>مدير الاستثمار</t>
        </is>
      </c>
      <c r="N80" s="33" t="n"/>
    </row>
    <row r="81" ht="30" customHeight="1">
      <c r="A81" s="23" t="n">
        <v>79</v>
      </c>
      <c r="B81" s="26" t="inlineStr">
        <is>
          <t>الاستثمار</t>
        </is>
      </c>
      <c r="C81" s="9" t="inlineStr">
        <is>
          <t>نسبة اكتمال أرشفة ملفات العملاء</t>
        </is>
      </c>
      <c r="D81" s="30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31" t="inlineStr">
        <is>
          <t>(المتحقّق ÷ الإجمالي) × 100٪</t>
        </is>
      </c>
      <c r="F81" s="23" t="inlineStr">
        <is>
          <t>⚙️ نشاط</t>
        </is>
      </c>
      <c r="G81" s="31" t="inlineStr">
        <is>
          <t>الاستدامة · جودة التشغيل</t>
        </is>
      </c>
      <c r="H81" s="23" t="inlineStr">
        <is>
          <t>العملاء</t>
        </is>
      </c>
      <c r="I81" s="32" t="n">
        <v>0.01</v>
      </c>
      <c r="J81" s="23" t="inlineStr">
        <is>
          <t>مدير الاستثمار</t>
        </is>
      </c>
      <c r="K81" s="31" t="inlineStr">
        <is>
          <t>نظام إدارة الجودة (QMS)</t>
        </is>
      </c>
      <c r="L81" s="23" t="inlineStr">
        <is>
          <t>شهري</t>
        </is>
      </c>
      <c r="M81" s="23" t="inlineStr">
        <is>
          <t>مدير الاستثمار</t>
        </is>
      </c>
      <c r="N81" s="33" t="n"/>
    </row>
    <row r="82" ht="30" customHeight="1">
      <c r="A82" s="23" t="n">
        <v>80</v>
      </c>
      <c r="B82" s="26" t="inlineStr">
        <is>
          <t>الاستثمار</t>
        </is>
      </c>
      <c r="C82" s="9" t="inlineStr">
        <is>
          <t>نسبة إنجاز التقارير الدورية في موعدها</t>
        </is>
      </c>
      <c r="D82" s="30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31" t="inlineStr">
        <is>
          <t>(المتحقّق ÷ الإجمالي) × 100٪</t>
        </is>
      </c>
      <c r="F82" s="23" t="inlineStr">
        <is>
          <t>⚙️ نشاط</t>
        </is>
      </c>
      <c r="G82" s="31" t="inlineStr">
        <is>
          <t>الاستدامة · جودة التشغيل</t>
        </is>
      </c>
      <c r="H82" s="23" t="inlineStr">
        <is>
          <t>العمليات الداخلية</t>
        </is>
      </c>
      <c r="I82" s="32" t="n">
        <v>0.01</v>
      </c>
      <c r="J82" s="23" t="inlineStr">
        <is>
          <t>مدير الاستثمار</t>
        </is>
      </c>
      <c r="K82" s="31" t="inlineStr">
        <is>
          <t>نظام إدارة الجودة (QMS)</t>
        </is>
      </c>
      <c r="L82" s="23" t="inlineStr">
        <is>
          <t>شهري</t>
        </is>
      </c>
      <c r="M82" s="23" t="inlineStr">
        <is>
          <t>مدير الاستثمار</t>
        </is>
      </c>
      <c r="N82" s="33" t="n"/>
    </row>
    <row r="83" ht="30" customHeight="1">
      <c r="A83" s="23" t="n">
        <v>81</v>
      </c>
      <c r="B83" s="26" t="inlineStr">
        <is>
          <t>العقار</t>
        </is>
      </c>
      <c r="C83" s="9" t="inlineStr">
        <is>
          <t>نمو الإيرادات الإيجارية</t>
        </is>
      </c>
      <c r="D83" s="30" t="inlineStr">
        <is>
          <t>يقيس نمو الإيرادات الإيجارية ضمن محور «الإدارة»، ويعكس مساهمة الإدارة في ركيزة الاستدامة.</t>
        </is>
      </c>
      <c r="E83" s="31" t="inlineStr">
        <is>
          <t>(المتحقّق ÷ الإجمالي) × 100٪</t>
        </is>
      </c>
      <c r="F83" s="23" t="inlineStr">
        <is>
          <t>🎯 نتيجة</t>
        </is>
      </c>
      <c r="G83" s="31" t="inlineStr">
        <is>
          <t>الاستدامة · منظومة التأجير</t>
        </is>
      </c>
      <c r="H83" s="23" t="inlineStr">
        <is>
          <t>مالي</t>
        </is>
      </c>
      <c r="I83" s="32" t="n">
        <v>0.08</v>
      </c>
      <c r="J83" s="23" t="inlineStr">
        <is>
          <t>مدير العقار</t>
        </is>
      </c>
      <c r="K83" s="31" t="inlineStr">
        <is>
          <t>نظام المحاسبة / ERP (D365)</t>
        </is>
      </c>
      <c r="L83" s="23" t="inlineStr">
        <is>
          <t>ربعي</t>
        </is>
      </c>
      <c r="M83" s="23" t="inlineStr">
        <is>
          <t>الإدارة المالية</t>
        </is>
      </c>
      <c r="N83" s="33" t="n"/>
    </row>
    <row r="84" ht="30" customHeight="1">
      <c r="A84" s="23" t="n">
        <v>82</v>
      </c>
      <c r="B84" s="26" t="inlineStr">
        <is>
          <t>العقار</t>
        </is>
      </c>
      <c r="C84" s="9" t="inlineStr">
        <is>
          <t>نسبة الالتزام بالعقود</t>
        </is>
      </c>
      <c r="D84" s="30" t="inlineStr">
        <is>
          <t>يقيس نسبة الالتزام بالعقود ضمن محور «الإدارة»، ويعكس مساهمة الإدارة في ركيزة الاستدامة.</t>
        </is>
      </c>
      <c r="E84" s="31" t="inlineStr">
        <is>
          <t>(المتحقّق ÷ الإجمالي) × 100٪</t>
        </is>
      </c>
      <c r="F84" s="23" t="inlineStr">
        <is>
          <t>🎯 نتيجة</t>
        </is>
      </c>
      <c r="G84" s="31" t="inlineStr">
        <is>
          <t>الاستدامة · منظومة التأجير</t>
        </is>
      </c>
      <c r="H84" s="23" t="inlineStr">
        <is>
          <t>العمليات الداخلية</t>
        </is>
      </c>
      <c r="I84" s="32" t="n">
        <v>0.08</v>
      </c>
      <c r="J84" s="23" t="inlineStr">
        <is>
          <t>مدير العقار</t>
        </is>
      </c>
      <c r="K84" s="31" t="inlineStr">
        <is>
          <t>نظام إدارة العقود (CRM)</t>
        </is>
      </c>
      <c r="L84" s="23" t="inlineStr">
        <is>
          <t>شهري</t>
        </is>
      </c>
      <c r="M84" s="23" t="inlineStr">
        <is>
          <t>مدير العقار</t>
        </is>
      </c>
      <c r="N84" s="33" t="n"/>
    </row>
    <row r="85" ht="30" customHeight="1">
      <c r="A85" s="23" t="n">
        <v>83</v>
      </c>
      <c r="B85" s="26" t="inlineStr">
        <is>
          <t>العقار</t>
        </is>
      </c>
      <c r="C85" s="9" t="inlineStr">
        <is>
          <t>نسبة تحصيل الإيجارات</t>
        </is>
      </c>
      <c r="D85" s="30" t="inlineStr">
        <is>
          <t>يقيس نسبة تحصيل الإيجارات ضمن محور «الإدارة»، ويعكس مساهمة الإدارة في ركيزة الاستدامة.</t>
        </is>
      </c>
      <c r="E85" s="31" t="inlineStr">
        <is>
          <t>(المتحقّق ÷ الإجمالي) × 100٪</t>
        </is>
      </c>
      <c r="F85" s="23" t="inlineStr">
        <is>
          <t>🎯 نتيجة</t>
        </is>
      </c>
      <c r="G85" s="31" t="inlineStr">
        <is>
          <t>الاستدامة · منظومة التأجير</t>
        </is>
      </c>
      <c r="H85" s="23" t="inlineStr">
        <is>
          <t>مالي</t>
        </is>
      </c>
      <c r="I85" s="32" t="n">
        <v>0.08</v>
      </c>
      <c r="J85" s="23" t="inlineStr">
        <is>
          <t>مدير العقار</t>
        </is>
      </c>
      <c r="K85" s="31" t="inlineStr">
        <is>
          <t>نظام المحاسبة / ERP (D365)</t>
        </is>
      </c>
      <c r="L85" s="23" t="inlineStr">
        <is>
          <t>شهري</t>
        </is>
      </c>
      <c r="M85" s="23" t="inlineStr">
        <is>
          <t>الإدارة المالية</t>
        </is>
      </c>
      <c r="N85" s="33" t="n"/>
    </row>
    <row r="86" ht="30" customHeight="1">
      <c r="A86" s="23" t="n">
        <v>84</v>
      </c>
      <c r="B86" s="26" t="inlineStr">
        <is>
          <t>العقار</t>
        </is>
      </c>
      <c r="C86" s="9" t="inlineStr">
        <is>
          <t>نسبة الإشغال</t>
        </is>
      </c>
      <c r="D86" s="30" t="inlineStr">
        <is>
          <t>يقيس نسبة الإشغال ضمن محور «التأجير»، ويعكس مساهمة الإدارة في ركيزة الاستدامة.</t>
        </is>
      </c>
      <c r="E86" s="31" t="inlineStr">
        <is>
          <t>(المتحقّق ÷ الإجمالي) × 100٪</t>
        </is>
      </c>
      <c r="F86" s="23" t="inlineStr">
        <is>
          <t>🎯 نتيجة</t>
        </is>
      </c>
      <c r="G86" s="31" t="inlineStr">
        <is>
          <t>الاستدامة · منظومة التأجير</t>
        </is>
      </c>
      <c r="H86" s="23" t="inlineStr">
        <is>
          <t>العمليات الداخلية</t>
        </is>
      </c>
      <c r="I86" s="32" t="n">
        <v>0.08</v>
      </c>
      <c r="J86" s="23" t="inlineStr">
        <is>
          <t>مدير العقار</t>
        </is>
      </c>
      <c r="K86" s="31" t="inlineStr">
        <is>
          <t>نظام إدارة العقود (CRM)</t>
        </is>
      </c>
      <c r="L86" s="23" t="inlineStr">
        <is>
          <t>شهري</t>
        </is>
      </c>
      <c r="M86" s="23" t="inlineStr">
        <is>
          <t>مدير العقار</t>
        </is>
      </c>
      <c r="N86" s="33" t="n"/>
    </row>
    <row r="87" ht="30" customHeight="1">
      <c r="A87" s="23" t="n">
        <v>85</v>
      </c>
      <c r="B87" s="26" t="inlineStr">
        <is>
          <t>العقار</t>
        </is>
      </c>
      <c r="C87" s="9" t="inlineStr">
        <is>
          <t>الوحدات المؤجَّرة شهرياً</t>
        </is>
      </c>
      <c r="D87" s="30" t="inlineStr">
        <is>
          <t>يقيس الوحدات المؤجَّرة شهرياً ضمن محور «التأجير»، ويعكس مساهمة الإدارة في ركيزة الاستدامة.</t>
        </is>
      </c>
      <c r="E87" s="31" t="inlineStr">
        <is>
          <t>إجمالي العدد خلال الفترة</t>
        </is>
      </c>
      <c r="F87" s="23" t="inlineStr">
        <is>
          <t>🔧 تشغيلي</t>
        </is>
      </c>
      <c r="G87" s="31" t="inlineStr">
        <is>
          <t>الاستدامة · منظومة التأجير</t>
        </is>
      </c>
      <c r="H87" s="23" t="inlineStr">
        <is>
          <t>العمليات الداخلية</t>
        </is>
      </c>
      <c r="I87" s="32" t="n">
        <v>0.05</v>
      </c>
      <c r="J87" s="23" t="inlineStr">
        <is>
          <t>مدير العقار</t>
        </is>
      </c>
      <c r="K87" s="31" t="inlineStr">
        <is>
          <t>نظام إدارة العقود (CRM)</t>
        </is>
      </c>
      <c r="L87" s="23" t="inlineStr">
        <is>
          <t>شهري</t>
        </is>
      </c>
      <c r="M87" s="23" t="inlineStr">
        <is>
          <t>مدير العقار</t>
        </is>
      </c>
      <c r="N87" s="33" t="n"/>
    </row>
    <row r="88" ht="30" customHeight="1">
      <c r="A88" s="23" t="n">
        <v>86</v>
      </c>
      <c r="B88" s="26" t="inlineStr">
        <is>
          <t>العقار</t>
        </is>
      </c>
      <c r="C88" s="9" t="inlineStr">
        <is>
          <t>العملاء المحتملون (LEADS)</t>
        </is>
      </c>
      <c r="D88" s="30" t="inlineStr">
        <is>
          <t>يقيس العملاء المحتملون (LEADS) ضمن محور «التأجير»، ويعكس مساهمة الإدارة في ركيزة النمو.</t>
        </is>
      </c>
      <c r="E88" s="31" t="inlineStr">
        <is>
          <t>إجمالي العدد خلال الفترة</t>
        </is>
      </c>
      <c r="F88" s="23" t="inlineStr">
        <is>
          <t>🔧 تشغيلي</t>
        </is>
      </c>
      <c r="G88" s="31" t="inlineStr">
        <is>
          <t>النمو · زيادة وصول العملاء</t>
        </is>
      </c>
      <c r="H88" s="23" t="inlineStr">
        <is>
          <t>العملاء</t>
        </is>
      </c>
      <c r="I88" s="32" t="n">
        <v>0.05</v>
      </c>
      <c r="J88" s="23" t="inlineStr">
        <is>
          <t>مدير العقار</t>
        </is>
      </c>
      <c r="K88" s="31" t="inlineStr">
        <is>
          <t>نظام إدارة العقود (CRM)</t>
        </is>
      </c>
      <c r="L88" s="23" t="inlineStr">
        <is>
          <t>شهري</t>
        </is>
      </c>
      <c r="M88" s="23" t="inlineStr">
        <is>
          <t>مدير العقار</t>
        </is>
      </c>
      <c r="N88" s="33" t="n"/>
    </row>
    <row r="89" ht="30" customHeight="1">
      <c r="A89" s="23" t="n">
        <v>87</v>
      </c>
      <c r="B89" s="26" t="inlineStr">
        <is>
          <t>العقار</t>
        </is>
      </c>
      <c r="C89" s="9" t="inlineStr">
        <is>
          <t>معدل التحويل</t>
        </is>
      </c>
      <c r="D89" s="30" t="inlineStr">
        <is>
          <t>يقيس معدل التحويل ضمن محور «التأجير»، ويعكس مساهمة الإدارة في ركيزة النمو.</t>
        </is>
      </c>
      <c r="E89" s="31" t="inlineStr">
        <is>
          <t>(المتحقّق ÷ الإجمالي) × 100٪</t>
        </is>
      </c>
      <c r="F89" s="23" t="inlineStr">
        <is>
          <t>🔧 تشغيلي</t>
        </is>
      </c>
      <c r="G89" s="31" t="inlineStr">
        <is>
          <t>النمو · زيادة وصول العملاء</t>
        </is>
      </c>
      <c r="H89" s="23" t="inlineStr">
        <is>
          <t>العمليات الداخلية</t>
        </is>
      </c>
      <c r="I89" s="32" t="n">
        <v>0.08</v>
      </c>
      <c r="J89" s="23" t="inlineStr">
        <is>
          <t>مدير العقار</t>
        </is>
      </c>
      <c r="K89" s="31" t="inlineStr">
        <is>
          <t>نظام إدارة العقود (CRM)</t>
        </is>
      </c>
      <c r="L89" s="23" t="inlineStr">
        <is>
          <t>شهري</t>
        </is>
      </c>
      <c r="M89" s="23" t="inlineStr">
        <is>
          <t>مدير العقار</t>
        </is>
      </c>
      <c r="N89" s="33" t="n"/>
    </row>
    <row r="90" ht="30" customHeight="1">
      <c r="A90" s="23" t="n">
        <v>88</v>
      </c>
      <c r="B90" s="26" t="inlineStr">
        <is>
          <t>العقار</t>
        </is>
      </c>
      <c r="C90" s="9" t="inlineStr">
        <is>
          <t>زيادة عدد العلامات التجارية</t>
        </is>
      </c>
      <c r="D90" s="30" t="inlineStr">
        <is>
          <t>يقيس زيادة عدد العلامات التجارية ضمن محور «التأجير»، ويعكس مساهمة الإدارة في ركيزة الاستدامة.</t>
        </is>
      </c>
      <c r="E90" s="31" t="inlineStr">
        <is>
          <t>إجمالي العدد خلال الفترة</t>
        </is>
      </c>
      <c r="F90" s="23" t="inlineStr">
        <is>
          <t>⚙️ نشاط</t>
        </is>
      </c>
      <c r="G90" s="31" t="inlineStr">
        <is>
          <t>الاستدامة · منظومة التأجير</t>
        </is>
      </c>
      <c r="H90" s="23" t="inlineStr">
        <is>
          <t>العمليات الداخلية</t>
        </is>
      </c>
      <c r="I90" s="32" t="n">
        <v>0.05</v>
      </c>
      <c r="J90" s="23" t="inlineStr">
        <is>
          <t>مدير العقار</t>
        </is>
      </c>
      <c r="K90" s="31" t="inlineStr">
        <is>
          <t>نظام إدارة العقود (CRM)</t>
        </is>
      </c>
      <c r="L90" s="23" t="inlineStr">
        <is>
          <t>شهري</t>
        </is>
      </c>
      <c r="M90" s="23" t="inlineStr">
        <is>
          <t>مدير العقار</t>
        </is>
      </c>
      <c r="N90" s="33" t="n"/>
    </row>
    <row r="91" ht="30" customHeight="1">
      <c r="A91" s="23" t="n">
        <v>89</v>
      </c>
      <c r="B91" s="26" t="inlineStr">
        <is>
          <t>العقار</t>
        </is>
      </c>
      <c r="C91" s="9" t="inlineStr">
        <is>
          <t>نسبة تأجير ساحة درب</t>
        </is>
      </c>
      <c r="D91" s="30" t="inlineStr">
        <is>
          <t>يقيس نسبة تأجير ساحة درب ضمن محور «الإبداع والتكامل»، ويعكس مساهمة الإدارة في ركيزة الابتكار.</t>
        </is>
      </c>
      <c r="E91" s="31" t="inlineStr">
        <is>
          <t>(المتحقّق ÷ الإجمالي) × 100٪</t>
        </is>
      </c>
      <c r="F91" s="23" t="inlineStr">
        <is>
          <t>🔧 تشغيلي</t>
        </is>
      </c>
      <c r="G91" s="31" t="inlineStr">
        <is>
          <t>الابتكار · ساحات درب</t>
        </is>
      </c>
      <c r="H91" s="23" t="inlineStr">
        <is>
          <t>العمليات الداخلية</t>
        </is>
      </c>
      <c r="I91" s="32" t="n">
        <v>0.05</v>
      </c>
      <c r="J91" s="23" t="inlineStr">
        <is>
          <t>مدير العقار</t>
        </is>
      </c>
      <c r="K91" s="31" t="inlineStr">
        <is>
          <t>مكتب إدارة المشاريع (PMO)</t>
        </is>
      </c>
      <c r="L91" s="23" t="inlineStr">
        <is>
          <t>شهري</t>
        </is>
      </c>
      <c r="M91" s="23" t="inlineStr">
        <is>
          <t>مدير العقار</t>
        </is>
      </c>
      <c r="N91" s="33" t="n"/>
    </row>
    <row r="92" ht="30" customHeight="1">
      <c r="A92" s="23" t="n">
        <v>90</v>
      </c>
      <c r="B92" s="26" t="inlineStr">
        <is>
          <t>العقار</t>
        </is>
      </c>
      <c r="C92" s="9" t="inlineStr">
        <is>
          <t>علامات تجارية جديدة (ساحة درب)</t>
        </is>
      </c>
      <c r="D92" s="30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31" t="inlineStr">
        <is>
          <t>إجمالي العدد خلال الفترة</t>
        </is>
      </c>
      <c r="F92" s="23" t="inlineStr">
        <is>
          <t>🔧 تشغيلي</t>
        </is>
      </c>
      <c r="G92" s="31" t="inlineStr">
        <is>
          <t>الابتكار · ساحات درب</t>
        </is>
      </c>
      <c r="H92" s="23" t="inlineStr">
        <is>
          <t>العمليات الداخلية</t>
        </is>
      </c>
      <c r="I92" s="32" t="n">
        <v>0.05</v>
      </c>
      <c r="J92" s="23" t="inlineStr">
        <is>
          <t>مدير العقار</t>
        </is>
      </c>
      <c r="K92" s="31" t="inlineStr">
        <is>
          <t>مكتب إدارة المشاريع (PMO)</t>
        </is>
      </c>
      <c r="L92" s="23" t="inlineStr">
        <is>
          <t>شهري</t>
        </is>
      </c>
      <c r="M92" s="23" t="inlineStr">
        <is>
          <t>مدير العقار</t>
        </is>
      </c>
      <c r="N92" s="33" t="n"/>
    </row>
    <row r="93" ht="30" customHeight="1">
      <c r="A93" s="23" t="n">
        <v>91</v>
      </c>
      <c r="B93" s="26" t="inlineStr">
        <is>
          <t>العقار</t>
        </is>
      </c>
      <c r="C93" s="9" t="inlineStr">
        <is>
          <t>الشراكات الاستراتيجية</t>
        </is>
      </c>
      <c r="D93" s="30" t="inlineStr">
        <is>
          <t>يقيس الشراكات الاستراتيجية ضمن محور «الإبداع والتكامل»، ويعكس مساهمة الإدارة في ركيزة الابتكار.</t>
        </is>
      </c>
      <c r="E93" s="31" t="inlineStr">
        <is>
          <t>إجمالي العدد خلال الفترة</t>
        </is>
      </c>
      <c r="F93" s="23" t="inlineStr">
        <is>
          <t>🔧 تشغيلي</t>
        </is>
      </c>
      <c r="G93" s="31" t="inlineStr">
        <is>
          <t>الابتكار · إطلاق مشاريع جديدة</t>
        </is>
      </c>
      <c r="H93" s="23" t="inlineStr">
        <is>
          <t>التعلّم والنمو</t>
        </is>
      </c>
      <c r="I93" s="32" t="n">
        <v>0.05</v>
      </c>
      <c r="J93" s="23" t="inlineStr">
        <is>
          <t>مدير العقار</t>
        </is>
      </c>
      <c r="K93" s="31" t="inlineStr">
        <is>
          <t>مكتب إدارة المشاريع (PMO)</t>
        </is>
      </c>
      <c r="L93" s="23" t="inlineStr">
        <is>
          <t>شهري</t>
        </is>
      </c>
      <c r="M93" s="23" t="inlineStr">
        <is>
          <t>مدير العقار</t>
        </is>
      </c>
      <c r="N93" s="33" t="n"/>
    </row>
    <row r="94" ht="30" customHeight="1">
      <c r="A94" s="23" t="n">
        <v>92</v>
      </c>
      <c r="B94" s="26" t="inlineStr">
        <is>
          <t>العقار</t>
        </is>
      </c>
      <c r="C94" s="9" t="inlineStr">
        <is>
          <t>نسبة تجديد العقود</t>
        </is>
      </c>
      <c r="D94" s="30" t="inlineStr">
        <is>
          <t>يقيس نسبة تجديد العقود ضمن محور «إدارة الأملاك»، ويعكس مساهمة الإدارة في ركيزة الاستدامة.</t>
        </is>
      </c>
      <c r="E94" s="31" t="inlineStr">
        <is>
          <t>(المتحقّق ÷ الإجمالي) × 100٪</t>
        </is>
      </c>
      <c r="F94" s="23" t="inlineStr">
        <is>
          <t>🎯 نتيجة</t>
        </is>
      </c>
      <c r="G94" s="31" t="inlineStr">
        <is>
          <t>الاستدامة · منظومة التأجير</t>
        </is>
      </c>
      <c r="H94" s="23" t="inlineStr">
        <is>
          <t>العمليات الداخلية</t>
        </is>
      </c>
      <c r="I94" s="32" t="n">
        <v>0.08</v>
      </c>
      <c r="J94" s="23" t="inlineStr">
        <is>
          <t>مدير العقار</t>
        </is>
      </c>
      <c r="K94" s="31" t="inlineStr">
        <is>
          <t>نظام إدارة العقود (CRM)</t>
        </is>
      </c>
      <c r="L94" s="23" t="inlineStr">
        <is>
          <t>شهري</t>
        </is>
      </c>
      <c r="M94" s="23" t="inlineStr">
        <is>
          <t>مدير العقار</t>
        </is>
      </c>
      <c r="N94" s="33" t="n"/>
    </row>
    <row r="95" ht="30" customHeight="1">
      <c r="A95" s="23" t="n">
        <v>93</v>
      </c>
      <c r="B95" s="26" t="inlineStr">
        <is>
          <t>العقار</t>
        </is>
      </c>
      <c r="C95" s="9" t="inlineStr">
        <is>
          <t>متوسط زمن تسليم الوحدة</t>
        </is>
      </c>
      <c r="D95" s="30" t="inlineStr">
        <is>
          <t>يقيس متوسط زمن تسليم الوحدة ضمن محور «تنسيق المشاريع»، ويعكس مساهمة الإدارة في ركيزة الاستدامة.</t>
        </is>
      </c>
      <c r="E95" s="31" t="inlineStr">
        <is>
          <t>متوسط يوم خلال الفترة</t>
        </is>
      </c>
      <c r="F95" s="23" t="inlineStr">
        <is>
          <t>🔧 تشغيلي</t>
        </is>
      </c>
      <c r="G95" s="31" t="inlineStr">
        <is>
          <t>الاستدامة · جودة التشغيل</t>
        </is>
      </c>
      <c r="H95" s="23" t="inlineStr">
        <is>
          <t>العمليات الداخلية</t>
        </is>
      </c>
      <c r="I95" s="32" t="n">
        <v>0.05</v>
      </c>
      <c r="J95" s="23" t="inlineStr">
        <is>
          <t>مدير العقار</t>
        </is>
      </c>
      <c r="K95" s="31" t="inlineStr">
        <is>
          <t>سجلات الإدارة</t>
        </is>
      </c>
      <c r="L95" s="23" t="inlineStr">
        <is>
          <t>شهري</t>
        </is>
      </c>
      <c r="M95" s="23" t="inlineStr">
        <is>
          <t>مدير العقار</t>
        </is>
      </c>
      <c r="N95" s="33" t="n"/>
    </row>
    <row r="96" ht="30" customHeight="1">
      <c r="A96" s="23" t="n">
        <v>94</v>
      </c>
      <c r="B96" s="26" t="inlineStr">
        <is>
          <t>العقار</t>
        </is>
      </c>
      <c r="C96" s="9" t="inlineStr">
        <is>
          <t>نسبة إغلاق الطلبات خلال 3 أسابيع</t>
        </is>
      </c>
      <c r="D96" s="30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31" t="inlineStr">
        <is>
          <t>(المتحقّق ÷ الإجمالي) × 100٪</t>
        </is>
      </c>
      <c r="F96" s="23" t="inlineStr">
        <is>
          <t>🎯 نتيجة</t>
        </is>
      </c>
      <c r="G96" s="31" t="inlineStr">
        <is>
          <t>الاستدامة · جودة التشغيل</t>
        </is>
      </c>
      <c r="H96" s="23" t="inlineStr">
        <is>
          <t>العمليات الداخلية</t>
        </is>
      </c>
      <c r="I96" s="32" t="n">
        <v>0.05</v>
      </c>
      <c r="J96" s="23" t="inlineStr">
        <is>
          <t>مدير العقار</t>
        </is>
      </c>
      <c r="K96" s="31" t="inlineStr">
        <is>
          <t>سجلات الإدارة</t>
        </is>
      </c>
      <c r="L96" s="23" t="inlineStr">
        <is>
          <t>شهري</t>
        </is>
      </c>
      <c r="M96" s="23" t="inlineStr">
        <is>
          <t>مدير العقار</t>
        </is>
      </c>
      <c r="N96" s="33" t="n"/>
    </row>
    <row r="97" ht="30" customHeight="1">
      <c r="A97" s="23" t="n">
        <v>95</v>
      </c>
      <c r="B97" s="26" t="inlineStr">
        <is>
          <t>العقار</t>
        </is>
      </c>
      <c r="C97" s="9" t="inlineStr">
        <is>
          <t>استدامة المستأجرين (لم يُنهَ مبكراً)</t>
        </is>
      </c>
      <c r="D97" s="30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31" t="inlineStr">
        <is>
          <t>(المتحقّق ÷ الإجمالي) × 100٪</t>
        </is>
      </c>
      <c r="F97" s="23" t="inlineStr">
        <is>
          <t>🎯 نتيجة</t>
        </is>
      </c>
      <c r="G97" s="31" t="inlineStr">
        <is>
          <t>الاستدامة · تعزيز تجربة العملاء</t>
        </is>
      </c>
      <c r="H97" s="23" t="inlineStr">
        <is>
          <t>العملاء</t>
        </is>
      </c>
      <c r="I97" s="32" t="n">
        <v>0.05</v>
      </c>
      <c r="J97" s="23" t="inlineStr">
        <is>
          <t>مدير العقار</t>
        </is>
      </c>
      <c r="K97" s="31" t="inlineStr">
        <is>
          <t>نظام إدارة الجودة (QMS)</t>
        </is>
      </c>
      <c r="L97" s="23" t="inlineStr">
        <is>
          <t>شهري</t>
        </is>
      </c>
      <c r="M97" s="23" t="inlineStr">
        <is>
          <t>مدير العقار</t>
        </is>
      </c>
      <c r="N97" s="33" t="n"/>
    </row>
    <row r="98" ht="30" customHeight="1">
      <c r="A98" s="23" t="n">
        <v>96</v>
      </c>
      <c r="B98" s="26" t="inlineStr">
        <is>
          <t>العقار</t>
        </is>
      </c>
      <c r="C98" s="9" t="inlineStr">
        <is>
          <t>معدل رضا المستأجرين (استبيان ربعي)</t>
        </is>
      </c>
      <c r="D98" s="30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31" t="inlineStr">
        <is>
          <t>(المتحقّق ÷ الإجمالي) × 100٪</t>
        </is>
      </c>
      <c r="F98" s="23" t="inlineStr">
        <is>
          <t>🎯 نتيجة</t>
        </is>
      </c>
      <c r="G98" s="31" t="inlineStr">
        <is>
          <t>الاستدامة · تعزيز تجربة العملاء</t>
        </is>
      </c>
      <c r="H98" s="23" t="inlineStr">
        <is>
          <t>العملاء</t>
        </is>
      </c>
      <c r="I98" s="32" t="n">
        <v>0.07000000000000001</v>
      </c>
      <c r="J98" s="23" t="inlineStr">
        <is>
          <t>مدير العقار</t>
        </is>
      </c>
      <c r="K98" s="31" t="inlineStr">
        <is>
          <t>استبيان دوري</t>
        </is>
      </c>
      <c r="L98" s="23" t="inlineStr">
        <is>
          <t>ربعي</t>
        </is>
      </c>
      <c r="M98" s="23" t="inlineStr">
        <is>
          <t>مدير العقار</t>
        </is>
      </c>
      <c r="N98" s="33" t="n"/>
    </row>
    <row r="99" ht="30" customHeight="1">
      <c r="A99" s="23" t="n">
        <v>97</v>
      </c>
      <c r="B99" s="26" t="inlineStr">
        <is>
          <t>التقنية الرقمية</t>
        </is>
      </c>
      <c r="C99" s="9" t="inlineStr">
        <is>
          <t>نسبة إنجاز محفظة مشاريع التحول الرقمي</t>
        </is>
      </c>
      <c r="D99" s="30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99" s="31" t="inlineStr">
        <is>
          <t>(المتحقّق ÷ الإجمالي) × 100٪</t>
        </is>
      </c>
      <c r="F99" s="23" t="inlineStr">
        <is>
          <t>🎯 نتيجة</t>
        </is>
      </c>
      <c r="G99" s="31" t="inlineStr">
        <is>
          <t>الابتكار · التحول التقني</t>
        </is>
      </c>
      <c r="H99" s="23" t="inlineStr">
        <is>
          <t>التعلّم والنمو</t>
        </is>
      </c>
      <c r="I99" s="32" t="n">
        <v>0.1</v>
      </c>
      <c r="J99" s="23" t="inlineStr">
        <is>
          <t>مدير التقنية</t>
        </is>
      </c>
      <c r="K99" s="31" t="inlineStr">
        <is>
          <t>سجلات الإدارة</t>
        </is>
      </c>
      <c r="L99" s="23" t="inlineStr">
        <is>
          <t>شهري</t>
        </is>
      </c>
      <c r="M99" s="23" t="inlineStr">
        <is>
          <t>مدير التقنية</t>
        </is>
      </c>
      <c r="N99" s="33" t="n"/>
    </row>
    <row r="100" ht="30" customHeight="1">
      <c r="A100" s="23" t="n">
        <v>98</v>
      </c>
      <c r="B100" s="26" t="inlineStr">
        <is>
          <t>التقنية الرقمية</t>
        </is>
      </c>
      <c r="C100" s="9" t="inlineStr">
        <is>
          <t>معدل تسليم المشاريع في الموعد المحدد</t>
        </is>
      </c>
      <c r="D100" s="30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00" s="31" t="inlineStr">
        <is>
          <t>(المتحقّق ÷ الإجمالي) × 100٪</t>
        </is>
      </c>
      <c r="F100" s="23" t="inlineStr">
        <is>
          <t>🔧 تشغيلي</t>
        </is>
      </c>
      <c r="G100" s="31" t="inlineStr">
        <is>
          <t>الابتكار · التحول التقني</t>
        </is>
      </c>
      <c r="H100" s="23" t="inlineStr">
        <is>
          <t>العمليات الداخلية</t>
        </is>
      </c>
      <c r="I100" s="32" t="n">
        <v>0.1</v>
      </c>
      <c r="J100" s="23" t="inlineStr">
        <is>
          <t>مدير التقنية</t>
        </is>
      </c>
      <c r="K100" s="31" t="inlineStr">
        <is>
          <t>سجلات الإدارة</t>
        </is>
      </c>
      <c r="L100" s="23" t="inlineStr">
        <is>
          <t>شهري</t>
        </is>
      </c>
      <c r="M100" s="23" t="inlineStr">
        <is>
          <t>مدير التقنية</t>
        </is>
      </c>
      <c r="N100" s="33" t="n"/>
    </row>
    <row r="101" ht="30" customHeight="1">
      <c r="A101" s="23" t="n">
        <v>99</v>
      </c>
      <c r="B101" s="26" t="inlineStr">
        <is>
          <t>التقنية الرقمية</t>
        </is>
      </c>
      <c r="C101" s="9" t="inlineStr">
        <is>
          <t>نسبة الالتزام بميزانية المشاريع</t>
        </is>
      </c>
      <c r="D101" s="30" t="inlineStr">
        <is>
          <t>يقيس نسبة الالتزام بميزانية المشاريع ضمن محور «أداء المشاريع»، ويعكس مساهمة الإدارة في ركيزة الابتكار.</t>
        </is>
      </c>
      <c r="E101" s="31" t="inlineStr">
        <is>
          <t>(المتحقّق ÷ الإجمالي) × 100٪</t>
        </is>
      </c>
      <c r="F101" s="23" t="inlineStr">
        <is>
          <t>🎯 نتيجة</t>
        </is>
      </c>
      <c r="G101" s="31" t="inlineStr">
        <is>
          <t>الابتكار · التحول التقني</t>
        </is>
      </c>
      <c r="H101" s="23" t="inlineStr">
        <is>
          <t>العمليات الداخلية</t>
        </is>
      </c>
      <c r="I101" s="32" t="n">
        <v>0.1</v>
      </c>
      <c r="J101" s="23" t="inlineStr">
        <is>
          <t>مدير التقنية</t>
        </is>
      </c>
      <c r="K101" s="31" t="inlineStr">
        <is>
          <t>نظام المحاسبة / ERP (D365)</t>
        </is>
      </c>
      <c r="L101" s="23" t="inlineStr">
        <is>
          <t>شهري</t>
        </is>
      </c>
      <c r="M101" s="23" t="inlineStr">
        <is>
          <t>الإدارة المالية</t>
        </is>
      </c>
      <c r="N101" s="33" t="n"/>
    </row>
    <row r="102" ht="30" customHeight="1">
      <c r="A102" s="23" t="n">
        <v>100</v>
      </c>
      <c r="B102" s="26" t="inlineStr">
        <is>
          <t>التقنية الرقمية</t>
        </is>
      </c>
      <c r="C102" s="9" t="inlineStr">
        <is>
          <t>نسبة الالتزام بنطاق العمل</t>
        </is>
      </c>
      <c r="D102" s="30" t="inlineStr">
        <is>
          <t>يقيس نسبة الالتزام بنطاق العمل ضمن محور «أداء المشاريع»، ويعكس مساهمة الإدارة في ركيزة الابتكار.</t>
        </is>
      </c>
      <c r="E102" s="31" t="inlineStr">
        <is>
          <t>(المتحقّق ÷ الإجمالي) × 100٪</t>
        </is>
      </c>
      <c r="F102" s="23" t="inlineStr">
        <is>
          <t>🎯 نتيجة</t>
        </is>
      </c>
      <c r="G102" s="31" t="inlineStr">
        <is>
          <t>الابتكار · التحول التقني</t>
        </is>
      </c>
      <c r="H102" s="23" t="inlineStr">
        <is>
          <t>العمليات الداخلية</t>
        </is>
      </c>
      <c r="I102" s="32" t="n">
        <v>0.1</v>
      </c>
      <c r="J102" s="23" t="inlineStr">
        <is>
          <t>مدير التقنية</t>
        </is>
      </c>
      <c r="K102" s="31" t="inlineStr">
        <is>
          <t>سجلات الإدارة</t>
        </is>
      </c>
      <c r="L102" s="23" t="inlineStr">
        <is>
          <t>شهري</t>
        </is>
      </c>
      <c r="M102" s="23" t="inlineStr">
        <is>
          <t>مدير التقنية</t>
        </is>
      </c>
      <c r="N102" s="33" t="n"/>
    </row>
    <row r="103" ht="30" customHeight="1">
      <c r="A103" s="23" t="n">
        <v>101</v>
      </c>
      <c r="B103" s="26" t="inlineStr">
        <is>
          <t>التقنية الرقمية</t>
        </is>
      </c>
      <c r="C103" s="9" t="inlineStr">
        <is>
          <t>نسبة تفعيل الأنظمة الأساسية بالمحطات</t>
        </is>
      </c>
      <c r="D103" s="30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03" s="31" t="inlineStr">
        <is>
          <t>(المتحقّق ÷ الإجمالي) × 100٪</t>
        </is>
      </c>
      <c r="F103" s="23" t="inlineStr">
        <is>
          <t>🔧 تشغيلي</t>
        </is>
      </c>
      <c r="G103" s="31" t="inlineStr">
        <is>
          <t>الاستدامة · جودة التشغيل</t>
        </is>
      </c>
      <c r="H103" s="23" t="inlineStr">
        <is>
          <t>التعلّم والنمو</t>
        </is>
      </c>
      <c r="I103" s="32" t="n">
        <v>0.15</v>
      </c>
      <c r="J103" s="23" t="inlineStr">
        <is>
          <t>مدير التقنية</t>
        </is>
      </c>
      <c r="K103" s="31" t="inlineStr">
        <is>
          <t>مكتب إدارة المشاريع (PMO)</t>
        </is>
      </c>
      <c r="L103" s="23" t="inlineStr">
        <is>
          <t>شهري</t>
        </is>
      </c>
      <c r="M103" s="23" t="inlineStr">
        <is>
          <t>مدير التقنية</t>
        </is>
      </c>
      <c r="N103" s="33" t="n"/>
    </row>
    <row r="104" ht="30" customHeight="1">
      <c r="A104" s="23" t="n">
        <v>102</v>
      </c>
      <c r="B104" s="26" t="inlineStr">
        <is>
          <t>التقنية الرقمية</t>
        </is>
      </c>
      <c r="C104" s="9" t="inlineStr">
        <is>
          <t>متوسط جاهزية أنظمة المركز الرئيسي (Uptime)</t>
        </is>
      </c>
      <c r="D104" s="30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04" s="31" t="inlineStr">
        <is>
          <t>(المتحقّق ÷ الإجمالي) × 100٪</t>
        </is>
      </c>
      <c r="F104" s="23" t="inlineStr">
        <is>
          <t>🎯 نتيجة</t>
        </is>
      </c>
      <c r="G104" s="31" t="inlineStr">
        <is>
          <t>الاستدامة · جودة التشغيل</t>
        </is>
      </c>
      <c r="H104" s="23" t="inlineStr">
        <is>
          <t>التعلّم والنمو</t>
        </is>
      </c>
      <c r="I104" s="32" t="n">
        <v>0.15</v>
      </c>
      <c r="J104" s="23" t="inlineStr">
        <is>
          <t>مدير التقنية</t>
        </is>
      </c>
      <c r="K104" s="31" t="inlineStr">
        <is>
          <t>مكتب إدارة المشاريع (PMO)</t>
        </is>
      </c>
      <c r="L104" s="23" t="inlineStr">
        <is>
          <t>شهري</t>
        </is>
      </c>
      <c r="M104" s="23" t="inlineStr">
        <is>
          <t>مدير التقنية</t>
        </is>
      </c>
      <c r="N104" s="33" t="n"/>
    </row>
    <row r="105" ht="30" customHeight="1">
      <c r="A105" s="23" t="n">
        <v>103</v>
      </c>
      <c r="B105" s="26" t="inlineStr">
        <is>
          <t>التقنية الرقمية</t>
        </is>
      </c>
      <c r="C105" s="9" t="inlineStr">
        <is>
          <t>نسبة الامتثال للأمن السيبراني</t>
        </is>
      </c>
      <c r="D105" s="30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05" s="31" t="inlineStr">
        <is>
          <t>(المتحقّق ÷ الإجمالي) × 100٪</t>
        </is>
      </c>
      <c r="F105" s="23" t="inlineStr">
        <is>
          <t>🎯 نتيجة</t>
        </is>
      </c>
      <c r="G105" s="31" t="inlineStr">
        <is>
          <t>الاستدامة · جودة التشغيل</t>
        </is>
      </c>
      <c r="H105" s="23" t="inlineStr">
        <is>
          <t>التعلّم والنمو</t>
        </is>
      </c>
      <c r="I105" s="32" t="n">
        <v>0.1</v>
      </c>
      <c r="J105" s="23" t="inlineStr">
        <is>
          <t>مدير التقنية</t>
        </is>
      </c>
      <c r="K105" s="31" t="inlineStr">
        <is>
          <t>مكتب إدارة المشاريع (PMO)</t>
        </is>
      </c>
      <c r="L105" s="23" t="inlineStr">
        <is>
          <t>شهري</t>
        </is>
      </c>
      <c r="M105" s="23" t="inlineStr">
        <is>
          <t>مدير التقنية</t>
        </is>
      </c>
      <c r="N105" s="33" t="n"/>
    </row>
    <row r="106" ht="30" customHeight="1">
      <c r="A106" s="23" t="n">
        <v>104</v>
      </c>
      <c r="B106" s="26" t="inlineStr">
        <is>
          <t>التقنية الرقمية</t>
        </is>
      </c>
      <c r="C106" s="9" t="inlineStr">
        <is>
          <t>متوسط زمن استجابة الدعم الفني</t>
        </is>
      </c>
      <c r="D106" s="30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06" s="31" t="inlineStr">
        <is>
          <t>متوسط ساعة خلال الفترة</t>
        </is>
      </c>
      <c r="F106" s="23" t="inlineStr">
        <is>
          <t>🔧 تشغيلي</t>
        </is>
      </c>
      <c r="G106" s="31" t="inlineStr">
        <is>
          <t>الاستدامة · جودة التشغيل</t>
        </is>
      </c>
      <c r="H106" s="23" t="inlineStr">
        <is>
          <t>العمليات الداخلية</t>
        </is>
      </c>
      <c r="I106" s="32" t="n">
        <v>0.1</v>
      </c>
      <c r="J106" s="23" t="inlineStr">
        <is>
          <t>مدير التقنية</t>
        </is>
      </c>
      <c r="K106" s="31" t="inlineStr">
        <is>
          <t>سجلات الإدارة</t>
        </is>
      </c>
      <c r="L106" s="23" t="inlineStr">
        <is>
          <t>شهري</t>
        </is>
      </c>
      <c r="M106" s="23" t="inlineStr">
        <is>
          <t>مدير التقنية</t>
        </is>
      </c>
      <c r="N106" s="33" t="n"/>
    </row>
    <row r="107" ht="30" customHeight="1">
      <c r="A107" s="23" t="n">
        <v>105</v>
      </c>
      <c r="B107" s="26" t="inlineStr">
        <is>
          <t>التقنية الرقمية</t>
        </is>
      </c>
      <c r="C107" s="9" t="inlineStr">
        <is>
          <t>نسبة التكامل الرقمي (ERP/واثق/الولاء)</t>
        </is>
      </c>
      <c r="D107" s="30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07" s="31" t="inlineStr">
        <is>
          <t>(المتحقّق ÷ الإجمالي) × 100٪</t>
        </is>
      </c>
      <c r="F107" s="23" t="inlineStr">
        <is>
          <t>🔧 تشغيلي</t>
        </is>
      </c>
      <c r="G107" s="31" t="inlineStr">
        <is>
          <t>الاستدامة · جودة التشغيل</t>
        </is>
      </c>
      <c r="H107" s="23" t="inlineStr">
        <is>
          <t>التعلّم والنمو</t>
        </is>
      </c>
      <c r="I107" s="32" t="n">
        <v>0.1</v>
      </c>
      <c r="J107" s="23" t="inlineStr">
        <is>
          <t>مدير التقنية</t>
        </is>
      </c>
      <c r="K107" s="31" t="inlineStr">
        <is>
          <t>أنظمة التسويق الرقمي / تانكي</t>
        </is>
      </c>
      <c r="L107" s="23" t="inlineStr">
        <is>
          <t>شهري</t>
        </is>
      </c>
      <c r="M107" s="23" t="inlineStr">
        <is>
          <t>مدير التقنية</t>
        </is>
      </c>
      <c r="N107" s="33" t="n"/>
    </row>
    <row r="108" ht="30" customHeight="1">
      <c r="A108" s="23" t="n">
        <v>106</v>
      </c>
      <c r="B108" s="26" t="inlineStr">
        <is>
          <t>الموارد البشرية</t>
        </is>
      </c>
      <c r="C108" s="9" t="inlineStr">
        <is>
          <t>نسبة السعودة / التوطين</t>
        </is>
      </c>
      <c r="D108" s="30" t="inlineStr">
        <is>
          <t>يقيس نسبة السعودة / التوطين ضمن محور «التوظيف والتوطين»، ويعكس مساهمة الإدارة في ركيزة الاستدامة.</t>
        </is>
      </c>
      <c r="E108" s="31" t="inlineStr">
        <is>
          <t>(المتحقّق ÷ الإجمالي) × 100٪</t>
        </is>
      </c>
      <c r="F108" s="23" t="inlineStr">
        <is>
          <t>🎯 نتيجة</t>
        </is>
      </c>
      <c r="G108" s="31" t="inlineStr">
        <is>
          <t>الاستدامة · الاستثمار في الموظفين</t>
        </is>
      </c>
      <c r="H108" s="23" t="inlineStr">
        <is>
          <t>التعلّم والنمو</t>
        </is>
      </c>
      <c r="I108" s="32" t="n">
        <v>0.06</v>
      </c>
      <c r="J108" s="23" t="inlineStr">
        <is>
          <t>مدير الموارد البشرية</t>
        </is>
      </c>
      <c r="K108" s="31" t="inlineStr">
        <is>
          <t>نظام الموارد البشرية (HRMS)</t>
        </is>
      </c>
      <c r="L108" s="23" t="inlineStr">
        <is>
          <t>شهري</t>
        </is>
      </c>
      <c r="M108" s="23" t="inlineStr">
        <is>
          <t>مدير الموارد البشرية</t>
        </is>
      </c>
      <c r="N108" s="33" t="n"/>
    </row>
    <row r="109" ht="30" customHeight="1">
      <c r="A109" s="23" t="n">
        <v>107</v>
      </c>
      <c r="B109" s="26" t="inlineStr">
        <is>
          <t>الموارد البشرية</t>
        </is>
      </c>
      <c r="C109" s="9" t="inlineStr">
        <is>
          <t>الارتقاء بآليات اختيار المرشحين</t>
        </is>
      </c>
      <c r="D109" s="30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09" s="31" t="inlineStr">
        <is>
          <t>(المتحقّق ÷ الإجمالي) × 100٪</t>
        </is>
      </c>
      <c r="F109" s="23" t="inlineStr">
        <is>
          <t>🔧 تشغيلي</t>
        </is>
      </c>
      <c r="G109" s="31" t="inlineStr">
        <is>
          <t>الاستدامة · الاستثمار في الموظفين</t>
        </is>
      </c>
      <c r="H109" s="23" t="inlineStr">
        <is>
          <t>العمليات الداخلية</t>
        </is>
      </c>
      <c r="I109" s="32" t="n">
        <v>0.06</v>
      </c>
      <c r="J109" s="23" t="inlineStr">
        <is>
          <t>مدير الموارد البشرية</t>
        </is>
      </c>
      <c r="K109" s="31" t="inlineStr">
        <is>
          <t>نظام الموارد البشرية (HRMS)</t>
        </is>
      </c>
      <c r="L109" s="23" t="inlineStr">
        <is>
          <t>شهري</t>
        </is>
      </c>
      <c r="M109" s="23" t="inlineStr">
        <is>
          <t>مدير الموارد البشرية</t>
        </is>
      </c>
      <c r="N109" s="33" t="n"/>
    </row>
    <row r="110" ht="30" customHeight="1">
      <c r="A110" s="23" t="n">
        <v>108</v>
      </c>
      <c r="B110" s="26" t="inlineStr">
        <is>
          <t>الموارد البشرية</t>
        </is>
      </c>
      <c r="C110" s="9" t="inlineStr">
        <is>
          <t>نسبة شغل الشواغر خلال 30 يوم</t>
        </is>
      </c>
      <c r="D110" s="30" t="inlineStr">
        <is>
          <t>يقيس نسبة شغل الشواغر خلال 30 يوم ضمن محور «التوظيف والتوطين»، ويعكس مساهمة الإدارة في ركيزة الاستدامة.</t>
        </is>
      </c>
      <c r="E110" s="31" t="inlineStr">
        <is>
          <t>(المتحقّق ÷ الإجمالي) × 100٪</t>
        </is>
      </c>
      <c r="F110" s="23" t="inlineStr">
        <is>
          <t>🔧 تشغيلي</t>
        </is>
      </c>
      <c r="G110" s="31" t="inlineStr">
        <is>
          <t>الاستدامة · الاستثمار في الموظفين</t>
        </is>
      </c>
      <c r="H110" s="23" t="inlineStr">
        <is>
          <t>العمليات الداخلية</t>
        </is>
      </c>
      <c r="I110" s="32" t="n">
        <v>0.06</v>
      </c>
      <c r="J110" s="23" t="inlineStr">
        <is>
          <t>مدير الموارد البشرية</t>
        </is>
      </c>
      <c r="K110" s="31" t="inlineStr">
        <is>
          <t>نظام الموارد البشرية (HRMS)</t>
        </is>
      </c>
      <c r="L110" s="23" t="inlineStr">
        <is>
          <t>شهري</t>
        </is>
      </c>
      <c r="M110" s="23" t="inlineStr">
        <is>
          <t>مدير الموارد البشرية</t>
        </is>
      </c>
      <c r="N110" s="33" t="n"/>
    </row>
    <row r="111" ht="30" customHeight="1">
      <c r="A111" s="23" t="n">
        <v>109</v>
      </c>
      <c r="B111" s="26" t="inlineStr">
        <is>
          <t>الموارد البشرية</t>
        </is>
      </c>
      <c r="C111" s="9" t="inlineStr">
        <is>
          <t>معدل استبقاء الموظفين (Retention)</t>
        </is>
      </c>
      <c r="D111" s="30" t="inlineStr">
        <is>
          <t>يقيس معدل استبقاء الموظفين (Retention) ضمن محور «الاستبقاء»، ويعكس مساهمة الإدارة في ركيزة الاستدامة.</t>
        </is>
      </c>
      <c r="E111" s="31" t="inlineStr">
        <is>
          <t>(المتحقّق ÷ الإجمالي) × 100٪</t>
        </is>
      </c>
      <c r="F111" s="23" t="inlineStr">
        <is>
          <t>🎯 نتيجة</t>
        </is>
      </c>
      <c r="G111" s="31" t="inlineStr">
        <is>
          <t>الاستدامة · الاستثمار في الموظفين</t>
        </is>
      </c>
      <c r="H111" s="23" t="inlineStr">
        <is>
          <t>التعلّم والنمو</t>
        </is>
      </c>
      <c r="I111" s="32" t="n">
        <v>0.08</v>
      </c>
      <c r="J111" s="23" t="inlineStr">
        <is>
          <t>مدير الموارد البشرية</t>
        </is>
      </c>
      <c r="K111" s="31" t="inlineStr">
        <is>
          <t>نظام الموارد البشرية (HRMS)</t>
        </is>
      </c>
      <c r="L111" s="23" t="inlineStr">
        <is>
          <t>شهري</t>
        </is>
      </c>
      <c r="M111" s="23" t="inlineStr">
        <is>
          <t>مدير الموارد البشرية</t>
        </is>
      </c>
      <c r="N111" s="33" t="n"/>
    </row>
    <row r="112" ht="30" customHeight="1">
      <c r="A112" s="23" t="n">
        <v>110</v>
      </c>
      <c r="B112" s="26" t="inlineStr">
        <is>
          <t>الموارد البشرية</t>
        </is>
      </c>
      <c r="C112" s="9" t="inlineStr">
        <is>
          <t>معدل دوران الموظفين (Turnover)</t>
        </is>
      </c>
      <c r="D112" s="30" t="inlineStr">
        <is>
          <t>يقيس معدل دوران الموظفين (Turnover) ضمن محور «الاستبقاء»، ويعكس مساهمة الإدارة في ركيزة الاستدامة.</t>
        </is>
      </c>
      <c r="E112" s="31" t="inlineStr">
        <is>
          <t>(المتحقّق ÷ الإجمالي) × 100٪</t>
        </is>
      </c>
      <c r="F112" s="23" t="inlineStr">
        <is>
          <t>🔧 تشغيلي</t>
        </is>
      </c>
      <c r="G112" s="31" t="inlineStr">
        <is>
          <t>الاستدامة · الاستثمار في الموظفين</t>
        </is>
      </c>
      <c r="H112" s="23" t="inlineStr">
        <is>
          <t>التعلّم والنمو</t>
        </is>
      </c>
      <c r="I112" s="32" t="n">
        <v>0.06</v>
      </c>
      <c r="J112" s="23" t="inlineStr">
        <is>
          <t>مدير الموارد البشرية</t>
        </is>
      </c>
      <c r="K112" s="31" t="inlineStr">
        <is>
          <t>نظام الموارد البشرية (HRMS)</t>
        </is>
      </c>
      <c r="L112" s="23" t="inlineStr">
        <is>
          <t>شهري</t>
        </is>
      </c>
      <c r="M112" s="23" t="inlineStr">
        <is>
          <t>مدير الموارد البشرية</t>
        </is>
      </c>
      <c r="N112" s="33" t="n"/>
    </row>
    <row r="113" ht="30" customHeight="1">
      <c r="A113" s="23" t="n">
        <v>111</v>
      </c>
      <c r="B113" s="26" t="inlineStr">
        <is>
          <t>الموارد البشرية</t>
        </is>
      </c>
      <c r="C113" s="9" t="inlineStr">
        <is>
          <t>عدد الدورات الإدارية المنعقدة</t>
        </is>
      </c>
      <c r="D113" s="30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13" s="31" t="inlineStr">
        <is>
          <t>إجمالي العدد خلال الفترة</t>
        </is>
      </c>
      <c r="F113" s="23" t="inlineStr">
        <is>
          <t>⚙️ نشاط</t>
        </is>
      </c>
      <c r="G113" s="31" t="inlineStr">
        <is>
          <t>الاستدامة · الاستثمار في الموظفين</t>
        </is>
      </c>
      <c r="H113" s="23" t="inlineStr">
        <is>
          <t>العمليات الداخلية</t>
        </is>
      </c>
      <c r="I113" s="32" t="n">
        <v>0.08</v>
      </c>
      <c r="J113" s="23" t="inlineStr">
        <is>
          <t>مدير الموارد البشرية</t>
        </is>
      </c>
      <c r="K113" s="31" t="inlineStr">
        <is>
          <t>نظام الموارد البشرية (HRMS)</t>
        </is>
      </c>
      <c r="L113" s="23" t="inlineStr">
        <is>
          <t>شهري</t>
        </is>
      </c>
      <c r="M113" s="23" t="inlineStr">
        <is>
          <t>مدير الموارد البشرية</t>
        </is>
      </c>
      <c r="N113" s="33" t="n"/>
    </row>
    <row r="114" ht="30" customHeight="1">
      <c r="A114" s="23" t="n">
        <v>112</v>
      </c>
      <c r="B114" s="26" t="inlineStr">
        <is>
          <t>الموارد البشرية</t>
        </is>
      </c>
      <c r="C114" s="9" t="inlineStr">
        <is>
          <t>متوسط ساعات التدريب لكل موظف</t>
        </is>
      </c>
      <c r="D114" s="30" t="inlineStr">
        <is>
          <t>يقيس متوسط ساعات التدريب لكل موظف ضمن محور «التدريب والتطوير»، ويعكس مساهمة الإدارة في ركيزة الاستدامة.</t>
        </is>
      </c>
      <c r="E114" s="31" t="inlineStr">
        <is>
          <t>متوسط ساعة خلال الفترة</t>
        </is>
      </c>
      <c r="F114" s="23" t="inlineStr">
        <is>
          <t>⚙️ نشاط</t>
        </is>
      </c>
      <c r="G114" s="31" t="inlineStr">
        <is>
          <t>الاستدامة · الاستثمار في الموظفين</t>
        </is>
      </c>
      <c r="H114" s="23" t="inlineStr">
        <is>
          <t>التعلّم والنمو</t>
        </is>
      </c>
      <c r="I114" s="32" t="n">
        <v>0.06</v>
      </c>
      <c r="J114" s="23" t="inlineStr">
        <is>
          <t>مدير الموارد البشرية</t>
        </is>
      </c>
      <c r="K114" s="31" t="inlineStr">
        <is>
          <t>نظام الموارد البشرية (HRMS)</t>
        </is>
      </c>
      <c r="L114" s="23" t="inlineStr">
        <is>
          <t>شهري</t>
        </is>
      </c>
      <c r="M114" s="23" t="inlineStr">
        <is>
          <t>مدير الموارد البشرية</t>
        </is>
      </c>
      <c r="N114" s="33" t="n"/>
    </row>
    <row r="115" ht="30" customHeight="1">
      <c r="A115" s="23" t="n">
        <v>113</v>
      </c>
      <c r="B115" s="26" t="inlineStr">
        <is>
          <t>الموارد البشرية</t>
        </is>
      </c>
      <c r="C115" s="9" t="inlineStr">
        <is>
          <t>نسبة الموظفين المشمولين بخطة تطوير</t>
        </is>
      </c>
      <c r="D115" s="30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15" s="31" t="inlineStr">
        <is>
          <t>(المتحقّق ÷ الإجمالي) × 100٪</t>
        </is>
      </c>
      <c r="F115" s="23" t="inlineStr">
        <is>
          <t>🔧 تشغيلي</t>
        </is>
      </c>
      <c r="G115" s="31" t="inlineStr">
        <is>
          <t>الاستدامة · الاستثمار في الموظفين</t>
        </is>
      </c>
      <c r="H115" s="23" t="inlineStr">
        <is>
          <t>التعلّم والنمو</t>
        </is>
      </c>
      <c r="I115" s="32" t="n">
        <v>0.05</v>
      </c>
      <c r="J115" s="23" t="inlineStr">
        <is>
          <t>مدير الموارد البشرية</t>
        </is>
      </c>
      <c r="K115" s="31" t="inlineStr">
        <is>
          <t>نظام الموارد البشرية (HRMS)</t>
        </is>
      </c>
      <c r="L115" s="23" t="inlineStr">
        <is>
          <t>شهري</t>
        </is>
      </c>
      <c r="M115" s="23" t="inlineStr">
        <is>
          <t>مدير الموارد البشرية</t>
        </is>
      </c>
      <c r="N115" s="33" t="n"/>
    </row>
    <row r="116" ht="30" customHeight="1">
      <c r="A116" s="23" t="n">
        <v>114</v>
      </c>
      <c r="B116" s="26" t="inlineStr">
        <is>
          <t>الموارد البشرية</t>
        </is>
      </c>
      <c r="C116" s="9" t="inlineStr">
        <is>
          <t>مؤشر رضا الموظفين (eNPS)</t>
        </is>
      </c>
      <c r="D116" s="30" t="inlineStr">
        <is>
          <t>يقيس مؤشر رضا الموظفين (eNPS) ضمن محور «الرضا والثقافة»، ويعكس مساهمة الإدارة في ركيزة الاستدامة.</t>
        </is>
      </c>
      <c r="E116" s="31" t="inlineStr">
        <is>
          <t>٪ المروّجين − ٪ المنتقدين</t>
        </is>
      </c>
      <c r="F116" s="23" t="inlineStr">
        <is>
          <t>🎯 نتيجة</t>
        </is>
      </c>
      <c r="G116" s="31" t="inlineStr">
        <is>
          <t>الاستدامة · الاستثمار في الموظفين</t>
        </is>
      </c>
      <c r="H116" s="23" t="inlineStr">
        <is>
          <t>التعلّم والنمو</t>
        </is>
      </c>
      <c r="I116" s="32" t="n">
        <v>0.08</v>
      </c>
      <c r="J116" s="23" t="inlineStr">
        <is>
          <t>مدير الموارد البشرية</t>
        </is>
      </c>
      <c r="K116" s="31" t="inlineStr">
        <is>
          <t>استبيان دوري</t>
        </is>
      </c>
      <c r="L116" s="23" t="inlineStr">
        <is>
          <t>ربعي</t>
        </is>
      </c>
      <c r="M116" s="23" t="inlineStr">
        <is>
          <t>مدير الموارد البشرية</t>
        </is>
      </c>
      <c r="N116" s="33" t="n"/>
    </row>
    <row r="117" ht="30" customHeight="1">
      <c r="A117" s="23" t="n">
        <v>115</v>
      </c>
      <c r="B117" s="26" t="inlineStr">
        <is>
          <t>الموارد البشرية</t>
        </is>
      </c>
      <c r="C117" s="9" t="inlineStr">
        <is>
          <t>تحسين مستوى الرضا الوظيفي</t>
        </is>
      </c>
      <c r="D117" s="30" t="inlineStr">
        <is>
          <t>يقيس تحسين مستوى الرضا الوظيفي ضمن محور «الرضا والثقافة»، ويعكس مساهمة الإدارة في ركيزة الاستدامة.</t>
        </is>
      </c>
      <c r="E117" s="31" t="inlineStr">
        <is>
          <t>(المتحقّق ÷ الإجمالي) × 100٪</t>
        </is>
      </c>
      <c r="F117" s="23" t="inlineStr">
        <is>
          <t>🎯 نتيجة</t>
        </is>
      </c>
      <c r="G117" s="31" t="inlineStr">
        <is>
          <t>الاستدامة · الاستثمار في الموظفين</t>
        </is>
      </c>
      <c r="H117" s="23" t="inlineStr">
        <is>
          <t>العملاء</t>
        </is>
      </c>
      <c r="I117" s="32" t="n">
        <v>0.08</v>
      </c>
      <c r="J117" s="23" t="inlineStr">
        <is>
          <t>مدير الموارد البشرية</t>
        </is>
      </c>
      <c r="K117" s="31" t="inlineStr">
        <is>
          <t>استبيان دوري</t>
        </is>
      </c>
      <c r="L117" s="23" t="inlineStr">
        <is>
          <t>ربعي</t>
        </is>
      </c>
      <c r="M117" s="23" t="inlineStr">
        <is>
          <t>مدير الموارد البشرية</t>
        </is>
      </c>
      <c r="N117" s="33" t="n"/>
    </row>
    <row r="118" ht="30" customHeight="1">
      <c r="A118" s="23" t="n">
        <v>116</v>
      </c>
      <c r="B118" s="26" t="inlineStr">
        <is>
          <t>الموارد البشرية</t>
        </is>
      </c>
      <c r="C118" s="9" t="inlineStr">
        <is>
          <t>ترسيخ القيم والثقافة المؤسسية</t>
        </is>
      </c>
      <c r="D118" s="30" t="inlineStr">
        <is>
          <t>يقيس ترسيخ القيم والثقافة المؤسسية ضمن محور «الرضا والثقافة»، ويعكس مساهمة الإدارة في ركيزة الاستدامة.</t>
        </is>
      </c>
      <c r="E118" s="31" t="inlineStr">
        <is>
          <t>(المتحقّق ÷ الإجمالي) × 100٪</t>
        </is>
      </c>
      <c r="F118" s="23" t="inlineStr">
        <is>
          <t>🔧 تشغيلي</t>
        </is>
      </c>
      <c r="G118" s="31" t="inlineStr">
        <is>
          <t>الاستدامة · الاستثمار في الموظفين</t>
        </is>
      </c>
      <c r="H118" s="23" t="inlineStr">
        <is>
          <t>العمليات الداخلية</t>
        </is>
      </c>
      <c r="I118" s="32" t="n">
        <v>0.05</v>
      </c>
      <c r="J118" s="23" t="inlineStr">
        <is>
          <t>مدير الموارد البشرية</t>
        </is>
      </c>
      <c r="K118" s="31" t="inlineStr">
        <is>
          <t>استبيان دوري</t>
        </is>
      </c>
      <c r="L118" s="23" t="inlineStr">
        <is>
          <t>شهري</t>
        </is>
      </c>
      <c r="M118" s="23" t="inlineStr">
        <is>
          <t>مدير الموارد البشرية</t>
        </is>
      </c>
      <c r="N118" s="33" t="n"/>
    </row>
    <row r="119" ht="30" customHeight="1">
      <c r="A119" s="23" t="n">
        <v>117</v>
      </c>
      <c r="B119" s="26" t="inlineStr">
        <is>
          <t>الموارد البشرية</t>
        </is>
      </c>
      <c r="C119" s="9" t="inlineStr">
        <is>
          <t>نسبة أتمتة عمليات الموارد البشرية</t>
        </is>
      </c>
      <c r="D119" s="30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19" s="31" t="inlineStr">
        <is>
          <t>(المتحقّق ÷ الإجمالي) × 100٪</t>
        </is>
      </c>
      <c r="F119" s="23" t="inlineStr">
        <is>
          <t>🔧 تشغيلي</t>
        </is>
      </c>
      <c r="G119" s="31" t="inlineStr">
        <is>
          <t>الابتكار · التحول التقني</t>
        </is>
      </c>
      <c r="H119" s="23" t="inlineStr">
        <is>
          <t>التعلّم والنمو</t>
        </is>
      </c>
      <c r="I119" s="32" t="n">
        <v>0.05</v>
      </c>
      <c r="J119" s="23" t="inlineStr">
        <is>
          <t>مدير الموارد البشرية</t>
        </is>
      </c>
      <c r="K119" s="31" t="inlineStr">
        <is>
          <t>مكتب إدارة المشاريع (PMO)</t>
        </is>
      </c>
      <c r="L119" s="23" t="inlineStr">
        <is>
          <t>شهري</t>
        </is>
      </c>
      <c r="M119" s="23" t="inlineStr">
        <is>
          <t>مدير الموارد البشرية</t>
        </is>
      </c>
      <c r="N119" s="33" t="n"/>
    </row>
    <row r="120" ht="30" customHeight="1">
      <c r="A120" s="23" t="n">
        <v>118</v>
      </c>
      <c r="B120" s="26" t="inlineStr">
        <is>
          <t>الموارد البشرية</t>
        </is>
      </c>
      <c r="C120" s="9" t="inlineStr">
        <is>
          <t>نسبة توثيق أنظمة العمل</t>
        </is>
      </c>
      <c r="D120" s="30" t="inlineStr">
        <is>
          <t>يقيس نسبة توثيق أنظمة العمل ضمن محور «الأتمتة والتوثيق»، ويعكس مساهمة الإدارة في ركيزة الاستدامة.</t>
        </is>
      </c>
      <c r="E120" s="31" t="inlineStr">
        <is>
          <t>(المتحقّق ÷ الإجمالي) × 100٪</t>
        </is>
      </c>
      <c r="F120" s="23" t="inlineStr">
        <is>
          <t>🔧 تشغيلي</t>
        </is>
      </c>
      <c r="G120" s="31" t="inlineStr">
        <is>
          <t>الاستدامة · جودة التشغيل</t>
        </is>
      </c>
      <c r="H120" s="23" t="inlineStr">
        <is>
          <t>التعلّم والنمو</t>
        </is>
      </c>
      <c r="I120" s="32" t="n">
        <v>0.03</v>
      </c>
      <c r="J120" s="23" t="inlineStr">
        <is>
          <t>مدير الموارد البشرية</t>
        </is>
      </c>
      <c r="K120" s="31" t="inlineStr">
        <is>
          <t>مكتب إدارة المشاريع (PMO)</t>
        </is>
      </c>
      <c r="L120" s="23" t="inlineStr">
        <is>
          <t>شهري</t>
        </is>
      </c>
      <c r="M120" s="23" t="inlineStr">
        <is>
          <t>مدير الموارد البشرية</t>
        </is>
      </c>
      <c r="N120" s="33" t="n"/>
    </row>
    <row r="121" ht="30" customHeight="1">
      <c r="A121" s="23" t="n">
        <v>119</v>
      </c>
      <c r="B121" s="26" t="inlineStr">
        <is>
          <t>الموارد البشرية</t>
        </is>
      </c>
      <c r="C121" s="9" t="inlineStr">
        <is>
          <t>ترسيخ الأنظمة الإدارية</t>
        </is>
      </c>
      <c r="D121" s="30" t="inlineStr">
        <is>
          <t>يقيس ترسيخ الأنظمة الإدارية ضمن محور «الأتمتة والتوثيق»، ويعكس مساهمة الإدارة في ركيزة الاستدامة.</t>
        </is>
      </c>
      <c r="E121" s="31" t="inlineStr">
        <is>
          <t>(المتحقّق ÷ الإجمالي) × 100٪</t>
        </is>
      </c>
      <c r="F121" s="23" t="inlineStr">
        <is>
          <t>🔧 تشغيلي</t>
        </is>
      </c>
      <c r="G121" s="31" t="inlineStr">
        <is>
          <t>الاستدامة · جودة التشغيل</t>
        </is>
      </c>
      <c r="H121" s="23" t="inlineStr">
        <is>
          <t>التعلّم والنمو</t>
        </is>
      </c>
      <c r="I121" s="32" t="n">
        <v>0.05</v>
      </c>
      <c r="J121" s="23" t="inlineStr">
        <is>
          <t>مدير الموارد البشرية</t>
        </is>
      </c>
      <c r="K121" s="31" t="inlineStr">
        <is>
          <t>مكتب إدارة المشاريع (PMO)</t>
        </is>
      </c>
      <c r="L121" s="23" t="inlineStr">
        <is>
          <t>شهري</t>
        </is>
      </c>
      <c r="M121" s="23" t="inlineStr">
        <is>
          <t>مدير الموارد البشرية</t>
        </is>
      </c>
      <c r="N121" s="33" t="n"/>
    </row>
    <row r="122" ht="30" customHeight="1">
      <c r="A122" s="23" t="n">
        <v>120</v>
      </c>
      <c r="B122" s="26" t="inlineStr">
        <is>
          <t>الموارد البشرية</t>
        </is>
      </c>
      <c r="C122" s="9" t="inlineStr">
        <is>
          <t>اعتماد الهيكل التنظيمي</t>
        </is>
      </c>
      <c r="D122" s="30" t="inlineStr">
        <is>
          <t>يقيس اعتماد الهيكل التنظيمي ضمن محور «الهيكلة»، ويعكس مساهمة الإدارة في ركيزة الاستدامة.</t>
        </is>
      </c>
      <c r="E122" s="31" t="inlineStr">
        <is>
          <t>(المتحقّق ÷ الإجمالي) × 100٪</t>
        </is>
      </c>
      <c r="F122" s="23" t="inlineStr">
        <is>
          <t>⚙️ نشاط</t>
        </is>
      </c>
      <c r="G122" s="31" t="inlineStr">
        <is>
          <t>الاستدامة · جودة التشغيل</t>
        </is>
      </c>
      <c r="H122" s="23" t="inlineStr">
        <is>
          <t>العمليات الداخلية</t>
        </is>
      </c>
      <c r="I122" s="32" t="n">
        <v>0.05</v>
      </c>
      <c r="J122" s="23" t="inlineStr">
        <is>
          <t>مدير الموارد البشرية</t>
        </is>
      </c>
      <c r="K122" s="31" t="inlineStr">
        <is>
          <t>نظام الموارد البشرية (HRMS)</t>
        </is>
      </c>
      <c r="L122" s="23" t="inlineStr">
        <is>
          <t>شهري</t>
        </is>
      </c>
      <c r="M122" s="23" t="inlineStr">
        <is>
          <t>مدير الموارد البشرية</t>
        </is>
      </c>
      <c r="N122" s="33" t="n"/>
    </row>
    <row r="123" ht="30" customHeight="1">
      <c r="A123" s="23" t="n">
        <v>121</v>
      </c>
      <c r="B123" s="26" t="inlineStr">
        <is>
          <t>الموارد البشرية</t>
        </is>
      </c>
      <c r="C123" s="9" t="inlineStr">
        <is>
          <t>اكتمال الأوصاف الوظيفية (+KPI)</t>
        </is>
      </c>
      <c r="D123" s="30" t="inlineStr">
        <is>
          <t>يقيس اكتمال الأوصاف الوظيفية (+KPI) ضمن محور «الهيكلة»، ويعكس مساهمة الإدارة في ركيزة الاستدامة.</t>
        </is>
      </c>
      <c r="E123" s="31" t="inlineStr">
        <is>
          <t>(المتحقّق ÷ الإجمالي) × 100٪</t>
        </is>
      </c>
      <c r="F123" s="23" t="inlineStr">
        <is>
          <t>⚙️ نشاط</t>
        </is>
      </c>
      <c r="G123" s="31" t="inlineStr">
        <is>
          <t>الاستدامة · جودة التشغيل</t>
        </is>
      </c>
      <c r="H123" s="23" t="inlineStr">
        <is>
          <t>العمليات الداخلية</t>
        </is>
      </c>
      <c r="I123" s="32" t="n">
        <v>0.05</v>
      </c>
      <c r="J123" s="23" t="inlineStr">
        <is>
          <t>مدير الموارد البشرية</t>
        </is>
      </c>
      <c r="K123" s="31" t="inlineStr">
        <is>
          <t>نظام الموارد البشرية (HRMS)</t>
        </is>
      </c>
      <c r="L123" s="23" t="inlineStr">
        <is>
          <t>شهري</t>
        </is>
      </c>
      <c r="M123" s="23" t="inlineStr">
        <is>
          <t>مدير الموارد البشرية</t>
        </is>
      </c>
      <c r="N123" s="33" t="n"/>
    </row>
    <row r="124" ht="30" customHeight="1">
      <c r="A124" s="23" t="n">
        <v>122</v>
      </c>
      <c r="B124" s="26" t="inlineStr">
        <is>
          <t>الموارد البشرية</t>
        </is>
      </c>
      <c r="C124" s="9" t="inlineStr">
        <is>
          <t>نسبة إنجاز تقييمات الأداء في موعدها</t>
        </is>
      </c>
      <c r="D124" s="30" t="inlineStr">
        <is>
          <t>يقيس نسبة إنجاز تقييمات الأداء في موعدها ضمن محور «الأداء»، ويعكس مساهمة الإدارة في ركيزة الاستدامة.</t>
        </is>
      </c>
      <c r="E124" s="31" t="inlineStr">
        <is>
          <t>(المتحقّق ÷ الإجمالي) × 100٪</t>
        </is>
      </c>
      <c r="F124" s="23" t="inlineStr">
        <is>
          <t>🎯 نتيجة</t>
        </is>
      </c>
      <c r="G124" s="31" t="inlineStr">
        <is>
          <t>الاستدامة · الاستثمار في الموظفين</t>
        </is>
      </c>
      <c r="H124" s="23" t="inlineStr">
        <is>
          <t>العمليات الداخلية</t>
        </is>
      </c>
      <c r="I124" s="32" t="n">
        <v>0.05</v>
      </c>
      <c r="J124" s="23" t="inlineStr">
        <is>
          <t>مدير الموارد البشرية</t>
        </is>
      </c>
      <c r="K124" s="31" t="inlineStr">
        <is>
          <t>سجلات الإدارة</t>
        </is>
      </c>
      <c r="L124" s="23" t="inlineStr">
        <is>
          <t>شهري</t>
        </is>
      </c>
      <c r="M124" s="23" t="inlineStr">
        <is>
          <t>مدير الموارد البشرية</t>
        </is>
      </c>
      <c r="N124" s="33" t="n"/>
    </row>
    <row r="125" ht="30" customHeight="1">
      <c r="A125" s="23" t="n">
        <v>123</v>
      </c>
      <c r="B125" s="26" t="inlineStr">
        <is>
          <t>التسويق</t>
        </is>
      </c>
      <c r="C125" s="9" t="inlineStr">
        <is>
          <t>الوصول الكلي (Total Reach)</t>
        </is>
      </c>
      <c r="D125" s="30" t="inlineStr">
        <is>
          <t>يقيس الوصول الكلي (Total Reach) ضمن محور «الإدارة العامة»، ويعكس مساهمة الإدارة في ركيزة النمو.</t>
        </is>
      </c>
      <c r="E125" s="31" t="inlineStr">
        <is>
          <t>إجمالي العدد خلال الفترة</t>
        </is>
      </c>
      <c r="F125" s="23" t="inlineStr">
        <is>
          <t>🎯 نتيجة</t>
        </is>
      </c>
      <c r="G125" s="31" t="inlineStr">
        <is>
          <t>النمو · زيادة وصول العملاء</t>
        </is>
      </c>
      <c r="H125" s="23" t="inlineStr">
        <is>
          <t>العملاء</t>
        </is>
      </c>
      <c r="I125" s="32" t="n">
        <v>0.08</v>
      </c>
      <c r="J125" s="23" t="inlineStr">
        <is>
          <t>مدير التسويق</t>
        </is>
      </c>
      <c r="K125" s="31" t="inlineStr">
        <is>
          <t>أنظمة التسويق الرقمي / تانكي</t>
        </is>
      </c>
      <c r="L125" s="23" t="inlineStr">
        <is>
          <t>شهري</t>
        </is>
      </c>
      <c r="M125" s="23" t="inlineStr">
        <is>
          <t>مدير التسويق</t>
        </is>
      </c>
      <c r="N125" s="33" t="n"/>
    </row>
    <row r="126" ht="30" customHeight="1">
      <c r="A126" s="23" t="n">
        <v>124</v>
      </c>
      <c r="B126" s="26" t="inlineStr">
        <is>
          <t>التسويق</t>
        </is>
      </c>
      <c r="C126" s="9" t="inlineStr">
        <is>
          <t>عملاء تجاريون جدد</t>
        </is>
      </c>
      <c r="D126" s="30" t="inlineStr">
        <is>
          <t>يقيس عملاء تجاريون جدد ضمن محور «الإدارة العامة»، ويعكس مساهمة الإدارة في ركيزة النمو.</t>
        </is>
      </c>
      <c r="E126" s="31" t="inlineStr">
        <is>
          <t>إجمالي العدد خلال الفترة</t>
        </is>
      </c>
      <c r="F126" s="23" t="inlineStr">
        <is>
          <t>🔧 تشغيلي</t>
        </is>
      </c>
      <c r="G126" s="31" t="inlineStr">
        <is>
          <t>النمو · زيادة وصول العملاء</t>
        </is>
      </c>
      <c r="H126" s="23" t="inlineStr">
        <is>
          <t>العملاء</t>
        </is>
      </c>
      <c r="I126" s="32" t="n">
        <v>0.06</v>
      </c>
      <c r="J126" s="23" t="inlineStr">
        <is>
          <t>مدير التسويق</t>
        </is>
      </c>
      <c r="K126" s="31" t="inlineStr">
        <is>
          <t>سجلات الإدارة</t>
        </is>
      </c>
      <c r="L126" s="23" t="inlineStr">
        <is>
          <t>شهري</t>
        </is>
      </c>
      <c r="M126" s="23" t="inlineStr">
        <is>
          <t>مدير التسويق</t>
        </is>
      </c>
      <c r="N126" s="33" t="n"/>
    </row>
    <row r="127" ht="30" customHeight="1">
      <c r="A127" s="23" t="n">
        <v>125</v>
      </c>
      <c r="B127" s="26" t="inlineStr">
        <is>
          <t>التسويق</t>
        </is>
      </c>
      <c r="C127" s="9" t="inlineStr">
        <is>
          <t>إجمالي المتابعين (كل المنصات)</t>
        </is>
      </c>
      <c r="D127" s="30" t="inlineStr">
        <is>
          <t>يقيس إجمالي المتابعين (كل المنصات) ضمن محور «الفريق الإبداعي»، ويعكس مساهمة الإدارة في ركيزة النمو.</t>
        </is>
      </c>
      <c r="E127" s="31" t="inlineStr">
        <is>
          <t>إجمالي العدد خلال الفترة</t>
        </is>
      </c>
      <c r="F127" s="23" t="inlineStr">
        <is>
          <t>🔧 تشغيلي</t>
        </is>
      </c>
      <c r="G127" s="31" t="inlineStr">
        <is>
          <t>النمو · زيادة وصول العملاء</t>
        </is>
      </c>
      <c r="H127" s="23" t="inlineStr">
        <is>
          <t>العملاء</t>
        </is>
      </c>
      <c r="I127" s="32" t="n">
        <v>0.08</v>
      </c>
      <c r="J127" s="23" t="inlineStr">
        <is>
          <t>مدير التسويق</t>
        </is>
      </c>
      <c r="K127" s="31" t="inlineStr">
        <is>
          <t>أنظمة التسويق الرقمي / تانكي</t>
        </is>
      </c>
      <c r="L127" s="23" t="inlineStr">
        <is>
          <t>شهري</t>
        </is>
      </c>
      <c r="M127" s="23" t="inlineStr">
        <is>
          <t>مدير التسويق</t>
        </is>
      </c>
      <c r="N127" s="33" t="n"/>
    </row>
    <row r="128" ht="30" customHeight="1">
      <c r="A128" s="23" t="n">
        <v>126</v>
      </c>
      <c r="B128" s="26" t="inlineStr">
        <is>
          <t>التسويق</t>
        </is>
      </c>
      <c r="C128" s="9" t="inlineStr">
        <is>
          <t>معدل التفاعل (Engagement)</t>
        </is>
      </c>
      <c r="D128" s="30" t="inlineStr">
        <is>
          <t>يقيس معدل التفاعل (Engagement) ضمن محور «الفريق الإبداعي»، ويعكس مساهمة الإدارة في ركيزة النمو.</t>
        </is>
      </c>
      <c r="E128" s="31" t="inlineStr">
        <is>
          <t>(المتحقّق ÷ الإجمالي) × 100٪</t>
        </is>
      </c>
      <c r="F128" s="23" t="inlineStr">
        <is>
          <t>🔧 تشغيلي</t>
        </is>
      </c>
      <c r="G128" s="31" t="inlineStr">
        <is>
          <t>النمو · زيادة وصول العملاء</t>
        </is>
      </c>
      <c r="H128" s="23" t="inlineStr">
        <is>
          <t>العملاء</t>
        </is>
      </c>
      <c r="I128" s="32" t="n">
        <v>0.08</v>
      </c>
      <c r="J128" s="23" t="inlineStr">
        <is>
          <t>مدير التسويق</t>
        </is>
      </c>
      <c r="K128" s="31" t="inlineStr">
        <is>
          <t>أنظمة التسويق الرقمي / تانكي</t>
        </is>
      </c>
      <c r="L128" s="23" t="inlineStr">
        <is>
          <t>شهري</t>
        </is>
      </c>
      <c r="M128" s="23" t="inlineStr">
        <is>
          <t>مدير التسويق</t>
        </is>
      </c>
      <c r="N128" s="33" t="n"/>
    </row>
    <row r="129" ht="30" customHeight="1">
      <c r="A129" s="23" t="n">
        <v>127</v>
      </c>
      <c r="B129" s="26" t="inlineStr">
        <is>
          <t>التسويق</t>
        </is>
      </c>
      <c r="C129" s="9" t="inlineStr">
        <is>
          <t>حملات تسويقية منجزة</t>
        </is>
      </c>
      <c r="D129" s="30" t="inlineStr">
        <is>
          <t>يقيس حملات تسويقية منجزة ضمن محور «الحملات التسويقية»، ويعكس مساهمة الإدارة في ركيزة النمو.</t>
        </is>
      </c>
      <c r="E129" s="31" t="inlineStr">
        <is>
          <t>إجمالي العدد خلال الفترة</t>
        </is>
      </c>
      <c r="F129" s="23" t="inlineStr">
        <is>
          <t>⚙️ نشاط</t>
        </is>
      </c>
      <c r="G129" s="31" t="inlineStr">
        <is>
          <t>النمو · زيادة وصول العملاء</t>
        </is>
      </c>
      <c r="H129" s="23" t="inlineStr">
        <is>
          <t>العمليات الداخلية</t>
        </is>
      </c>
      <c r="I129" s="32" t="n">
        <v>0.06</v>
      </c>
      <c r="J129" s="23" t="inlineStr">
        <is>
          <t>مدير التسويق</t>
        </is>
      </c>
      <c r="K129" s="31" t="inlineStr">
        <is>
          <t>أنظمة التسويق الرقمي / تانكي</t>
        </is>
      </c>
      <c r="L129" s="23" t="inlineStr">
        <is>
          <t>شهري</t>
        </is>
      </c>
      <c r="M129" s="23" t="inlineStr">
        <is>
          <t>مدير التسويق</t>
        </is>
      </c>
      <c r="N129" s="33" t="n"/>
    </row>
    <row r="130" ht="30" customHeight="1">
      <c r="A130" s="23" t="n">
        <v>128</v>
      </c>
      <c r="B130" s="26" t="inlineStr">
        <is>
          <t>التسويق</t>
        </is>
      </c>
      <c r="C130" s="9" t="inlineStr">
        <is>
          <t>تحويل الفرص إلى عقود</t>
        </is>
      </c>
      <c r="D130" s="30" t="inlineStr">
        <is>
          <t>يقيس تحويل الفرص إلى عقود ضمن محور «الحملات التسويقية»، ويعكس مساهمة الإدارة في ركيزة النمو.</t>
        </is>
      </c>
      <c r="E130" s="31" t="inlineStr">
        <is>
          <t>(المتحقّق ÷ الإجمالي) × 100٪</t>
        </is>
      </c>
      <c r="F130" s="23" t="inlineStr">
        <is>
          <t>🔧 تشغيلي</t>
        </is>
      </c>
      <c r="G130" s="31" t="inlineStr">
        <is>
          <t>النمو · زيادة وصول العملاء</t>
        </is>
      </c>
      <c r="H130" s="23" t="inlineStr">
        <is>
          <t>العمليات الداخلية</t>
        </is>
      </c>
      <c r="I130" s="32" t="n">
        <v>0.08</v>
      </c>
      <c r="J130" s="23" t="inlineStr">
        <is>
          <t>مدير التسويق</t>
        </is>
      </c>
      <c r="K130" s="31" t="inlineStr">
        <is>
          <t>أنظمة التسويق الرقمي / تانكي</t>
        </is>
      </c>
      <c r="L130" s="23" t="inlineStr">
        <is>
          <t>شهري</t>
        </is>
      </c>
      <c r="M130" s="23" t="inlineStr">
        <is>
          <t>مدير التسويق</t>
        </is>
      </c>
      <c r="N130" s="33" t="n"/>
    </row>
    <row r="131" ht="30" customHeight="1">
      <c r="A131" s="23" t="n">
        <v>129</v>
      </c>
      <c r="B131" s="26" t="inlineStr">
        <is>
          <t>التسويق</t>
        </is>
      </c>
      <c r="C131" s="9" t="inlineStr">
        <is>
          <t>نسبة المبيعات لكل حملة</t>
        </is>
      </c>
      <c r="D131" s="30" t="inlineStr">
        <is>
          <t>يقيس نسبة المبيعات لكل حملة ضمن محور «الحملات التسويقية»، ويعكس مساهمة الإدارة في ركيزة النمو.</t>
        </is>
      </c>
      <c r="E131" s="31" t="inlineStr">
        <is>
          <t>(المتحقّق ÷ الإجمالي) × 100٪</t>
        </is>
      </c>
      <c r="F131" s="23" t="inlineStr">
        <is>
          <t>⚙️ نشاط</t>
        </is>
      </c>
      <c r="G131" s="31" t="inlineStr">
        <is>
          <t>النمو · زيادة وصول العملاء</t>
        </is>
      </c>
      <c r="H131" s="23" t="inlineStr">
        <is>
          <t>مالي</t>
        </is>
      </c>
      <c r="I131" s="32" t="n">
        <v>0.08</v>
      </c>
      <c r="J131" s="23" t="inlineStr">
        <is>
          <t>مدير التسويق</t>
        </is>
      </c>
      <c r="K131" s="31" t="inlineStr">
        <is>
          <t>أنظمة التسويق الرقمي / تانكي</t>
        </is>
      </c>
      <c r="L131" s="23" t="inlineStr">
        <is>
          <t>شهري</t>
        </is>
      </c>
      <c r="M131" s="23" t="inlineStr">
        <is>
          <t>مدير التسويق</t>
        </is>
      </c>
      <c r="N131" s="33" t="n"/>
    </row>
    <row r="132" ht="30" customHeight="1">
      <c r="A132" s="23" t="n">
        <v>130</v>
      </c>
      <c r="B132" s="26" t="inlineStr">
        <is>
          <t>التسويق</t>
        </is>
      </c>
      <c r="C132" s="9" t="inlineStr">
        <is>
          <t>نسبة التزام الهوية البصرية</t>
        </is>
      </c>
      <c r="D132" s="30" t="inlineStr">
        <is>
          <t>يقيس نسبة التزام الهوية البصرية ضمن محور «الدعاية والإعلان»، ويعكس مساهمة الإدارة في ركيزة الابتكار.</t>
        </is>
      </c>
      <c r="E132" s="31" t="inlineStr">
        <is>
          <t>(المتحقّق ÷ الإجمالي) × 100٪</t>
        </is>
      </c>
      <c r="F132" s="23" t="inlineStr">
        <is>
          <t>🎯 نتيجة</t>
        </is>
      </c>
      <c r="G132" s="31" t="inlineStr">
        <is>
          <t>الابتكار · تطوير التصاميم والهوية</t>
        </is>
      </c>
      <c r="H132" s="23" t="inlineStr">
        <is>
          <t>التعلّم والنمو</t>
        </is>
      </c>
      <c r="I132" s="32" t="n">
        <v>0.08</v>
      </c>
      <c r="J132" s="23" t="inlineStr">
        <is>
          <t>مدير التسويق</t>
        </is>
      </c>
      <c r="K132" s="31" t="inlineStr">
        <is>
          <t>سجلات الإدارة</t>
        </is>
      </c>
      <c r="L132" s="23" t="inlineStr">
        <is>
          <t>شهري</t>
        </is>
      </c>
      <c r="M132" s="23" t="inlineStr">
        <is>
          <t>مدير التسويق</t>
        </is>
      </c>
      <c r="N132" s="33" t="n"/>
    </row>
    <row r="133" ht="30" customHeight="1">
      <c r="A133" s="23" t="n">
        <v>131</v>
      </c>
      <c r="B133" s="26" t="inlineStr">
        <is>
          <t>التسويق</t>
        </is>
      </c>
      <c r="C133" s="9" t="inlineStr">
        <is>
          <t>وصول العلاقات العامة (PR)</t>
        </is>
      </c>
      <c r="D133" s="30" t="inlineStr">
        <is>
          <t>يقيس وصول العلاقات العامة (PR) ضمن محور «العلاقات والشراكات»، ويعكس مساهمة الإدارة في ركيزة النمو.</t>
        </is>
      </c>
      <c r="E133" s="31" t="inlineStr">
        <is>
          <t>إجمالي العدد خلال الفترة</t>
        </is>
      </c>
      <c r="F133" s="23" t="inlineStr">
        <is>
          <t>🔧 تشغيلي</t>
        </is>
      </c>
      <c r="G133" s="31" t="inlineStr">
        <is>
          <t>النمو · زيادة وصول العملاء</t>
        </is>
      </c>
      <c r="H133" s="23" t="inlineStr">
        <is>
          <t>العملاء</t>
        </is>
      </c>
      <c r="I133" s="32" t="n">
        <v>0.06</v>
      </c>
      <c r="J133" s="23" t="inlineStr">
        <is>
          <t>مدير التسويق</t>
        </is>
      </c>
      <c r="K133" s="31" t="inlineStr">
        <is>
          <t>أنظمة التسويق الرقمي / تانكي</t>
        </is>
      </c>
      <c r="L133" s="23" t="inlineStr">
        <is>
          <t>شهري</t>
        </is>
      </c>
      <c r="M133" s="23" t="inlineStr">
        <is>
          <t>مدير التسويق</t>
        </is>
      </c>
      <c r="N133" s="33" t="n"/>
    </row>
    <row r="134" ht="30" customHeight="1">
      <c r="A134" s="23" t="n">
        <v>132</v>
      </c>
      <c r="B134" s="26" t="inlineStr">
        <is>
          <t>التسويق</t>
        </is>
      </c>
      <c r="C134" s="9" t="inlineStr">
        <is>
          <t>عدد المعارض بالسنة</t>
        </is>
      </c>
      <c r="D134" s="30" t="inlineStr">
        <is>
          <t>يقيس عدد المعارض بالسنة ضمن محور «العلاقات والشراكات»، ويعكس مساهمة الإدارة في ركيزة الابتكار.</t>
        </is>
      </c>
      <c r="E134" s="31" t="inlineStr">
        <is>
          <t>إجمالي العدد خلال الفترة</t>
        </is>
      </c>
      <c r="F134" s="23" t="inlineStr">
        <is>
          <t>⚙️ نشاط</t>
        </is>
      </c>
      <c r="G134" s="31" t="inlineStr">
        <is>
          <t>الابتكار · إطلاق مشاريع جديدة</t>
        </is>
      </c>
      <c r="H134" s="23" t="inlineStr">
        <is>
          <t>العمليات الداخلية</t>
        </is>
      </c>
      <c r="I134" s="32" t="n">
        <v>0.06</v>
      </c>
      <c r="J134" s="23" t="inlineStr">
        <is>
          <t>مدير التسويق</t>
        </is>
      </c>
      <c r="K134" s="31" t="inlineStr">
        <is>
          <t>سجلات الإدارة</t>
        </is>
      </c>
      <c r="L134" s="23" t="inlineStr">
        <is>
          <t>شهري</t>
        </is>
      </c>
      <c r="M134" s="23" t="inlineStr">
        <is>
          <t>مدير التسويق</t>
        </is>
      </c>
      <c r="N134" s="33" t="n"/>
    </row>
    <row r="135" ht="30" customHeight="1">
      <c r="A135" s="23" t="n">
        <v>133</v>
      </c>
      <c r="B135" s="26" t="inlineStr">
        <is>
          <t>التسويق</t>
        </is>
      </c>
      <c r="C135" s="9" t="inlineStr">
        <is>
          <t>اتفاقيات استراتيجية</t>
        </is>
      </c>
      <c r="D135" s="30" t="inlineStr">
        <is>
          <t>يقيس اتفاقيات استراتيجية ضمن محور «العلاقات والشراكات»، ويعكس مساهمة الإدارة في ركيزة الابتكار.</t>
        </is>
      </c>
      <c r="E135" s="31" t="inlineStr">
        <is>
          <t>إجمالي العدد خلال الفترة</t>
        </is>
      </c>
      <c r="F135" s="23" t="inlineStr">
        <is>
          <t>🔧 تشغيلي</t>
        </is>
      </c>
      <c r="G135" s="31" t="inlineStr">
        <is>
          <t>الابتكار · إطلاق مشاريع جديدة</t>
        </is>
      </c>
      <c r="H135" s="23" t="inlineStr">
        <is>
          <t>العمليات الداخلية</t>
        </is>
      </c>
      <c r="I135" s="32" t="n">
        <v>0.06</v>
      </c>
      <c r="J135" s="23" t="inlineStr">
        <is>
          <t>مدير التسويق</t>
        </is>
      </c>
      <c r="K135" s="31" t="inlineStr">
        <is>
          <t>سجلات الإدارة</t>
        </is>
      </c>
      <c r="L135" s="23" t="inlineStr">
        <is>
          <t>شهري</t>
        </is>
      </c>
      <c r="M135" s="23" t="inlineStr">
        <is>
          <t>مدير التسويق</t>
        </is>
      </c>
      <c r="N135" s="33" t="n"/>
    </row>
    <row r="136" ht="30" customHeight="1">
      <c r="A136" s="23" t="n">
        <v>134</v>
      </c>
      <c r="B136" s="26" t="inlineStr">
        <is>
          <t>التسويق</t>
        </is>
      </c>
      <c r="C136" s="9" t="inlineStr">
        <is>
          <t>تقييم خرائط قوقل</t>
        </is>
      </c>
      <c r="D136" s="30" t="inlineStr">
        <is>
          <t>يقيس تقييم خرائط قوقل ضمن محور «خدمة العملاء والدعم»، ويعكس مساهمة الإدارة في ركيزة الاستدامة.</t>
        </is>
      </c>
      <c r="E136" s="31" t="inlineStr">
        <is>
          <t>متوسط التقييم (من 5)</t>
        </is>
      </c>
      <c r="F136" s="23" t="inlineStr">
        <is>
          <t>🎯 نتيجة</t>
        </is>
      </c>
      <c r="G136" s="31" t="inlineStr">
        <is>
          <t>الاستدامة · تعزيز تجربة العملاء</t>
        </is>
      </c>
      <c r="H136" s="23" t="inlineStr">
        <is>
          <t>العملاء</t>
        </is>
      </c>
      <c r="I136" s="32" t="n">
        <v>0.06</v>
      </c>
      <c r="J136" s="23" t="inlineStr">
        <is>
          <t>مدير التسويق</t>
        </is>
      </c>
      <c r="K136" s="31" t="inlineStr">
        <is>
          <t>تقييمات خرائط قوقل</t>
        </is>
      </c>
      <c r="L136" s="23" t="inlineStr">
        <is>
          <t>شهري</t>
        </is>
      </c>
      <c r="M136" s="23" t="inlineStr">
        <is>
          <t>مدير التسويق</t>
        </is>
      </c>
      <c r="N136" s="33" t="n"/>
    </row>
    <row r="137" ht="30" customHeight="1">
      <c r="A137" s="23" t="n">
        <v>135</v>
      </c>
      <c r="B137" s="26" t="inlineStr">
        <is>
          <t>التسويق</t>
        </is>
      </c>
      <c r="C137" s="9" t="inlineStr">
        <is>
          <t>معدل خفض الشكاوى</t>
        </is>
      </c>
      <c r="D137" s="30" t="inlineStr">
        <is>
          <t>يقيس معدل خفض الشكاوى ضمن محور «خدمة العملاء والدعم»، ويعكس مساهمة الإدارة في ركيزة الاستدامة.</t>
        </is>
      </c>
      <c r="E137" s="31" t="inlineStr">
        <is>
          <t>(المتحقّق ÷ الإجمالي) × 100٪</t>
        </is>
      </c>
      <c r="F137" s="23" t="inlineStr">
        <is>
          <t>🎯 نتيجة</t>
        </is>
      </c>
      <c r="G137" s="31" t="inlineStr">
        <is>
          <t>الاستدامة · تعزيز تجربة العملاء</t>
        </is>
      </c>
      <c r="H137" s="23" t="inlineStr">
        <is>
          <t>العملاء</t>
        </is>
      </c>
      <c r="I137" s="32" t="n">
        <v>0.06</v>
      </c>
      <c r="J137" s="23" t="inlineStr">
        <is>
          <t>مدير التسويق</t>
        </is>
      </c>
      <c r="K137" s="31" t="inlineStr">
        <is>
          <t>سجلات الإدارة</t>
        </is>
      </c>
      <c r="L137" s="23" t="inlineStr">
        <is>
          <t>شهري</t>
        </is>
      </c>
      <c r="M137" s="23" t="inlineStr">
        <is>
          <t>مدير التسويق</t>
        </is>
      </c>
      <c r="N137" s="33" t="n"/>
    </row>
    <row r="138" ht="30" customHeight="1">
      <c r="A138" s="23" t="n">
        <v>136</v>
      </c>
      <c r="B138" s="26" t="inlineStr">
        <is>
          <t>التسويق</t>
        </is>
      </c>
      <c r="C138" s="9" t="inlineStr">
        <is>
          <t>وصول محتوى تطبيق تانكي</t>
        </is>
      </c>
      <c r="D138" s="30" t="inlineStr">
        <is>
          <t>يقيس وصول محتوى تطبيق تانكي ضمن محور «تطبيق تانكي»، ويعكس مساهمة الإدارة في ركيزة الابتكار.</t>
        </is>
      </c>
      <c r="E138" s="31" t="inlineStr">
        <is>
          <t>إجمالي العدد خلال الفترة</t>
        </is>
      </c>
      <c r="F138" s="23" t="inlineStr">
        <is>
          <t>🔧 تشغيلي</t>
        </is>
      </c>
      <c r="G138" s="31" t="inlineStr">
        <is>
          <t>الابتكار · تطبيق «تانكي»</t>
        </is>
      </c>
      <c r="H138" s="23" t="inlineStr">
        <is>
          <t>العملاء</t>
        </is>
      </c>
      <c r="I138" s="32" t="n">
        <v>0.05</v>
      </c>
      <c r="J138" s="23" t="inlineStr">
        <is>
          <t>مدير التسويق</t>
        </is>
      </c>
      <c r="K138" s="31" t="inlineStr">
        <is>
          <t>أنظمة التسويق الرقمي / تانكي</t>
        </is>
      </c>
      <c r="L138" s="23" t="inlineStr">
        <is>
          <t>شهري</t>
        </is>
      </c>
      <c r="M138" s="23" t="inlineStr">
        <is>
          <t>مدير التسويق</t>
        </is>
      </c>
      <c r="N138" s="33" t="n"/>
    </row>
    <row r="139" ht="30" customHeight="1">
      <c r="A139" s="23" t="n">
        <v>137</v>
      </c>
      <c r="B139" s="26" t="inlineStr">
        <is>
          <t>التسويق</t>
        </is>
      </c>
      <c r="C139" s="9" t="inlineStr">
        <is>
          <t>مشاركات تطبيق تانكي</t>
        </is>
      </c>
      <c r="D139" s="30" t="inlineStr">
        <is>
          <t>يقيس مشاركات تطبيق تانكي ضمن محور «تطبيق تانكي»، ويعكس مساهمة الإدارة في ركيزة الابتكار.</t>
        </is>
      </c>
      <c r="E139" s="31" t="inlineStr">
        <is>
          <t>إجمالي العدد خلال الفترة</t>
        </is>
      </c>
      <c r="F139" s="23" t="inlineStr">
        <is>
          <t>🔧 تشغيلي</t>
        </is>
      </c>
      <c r="G139" s="31" t="inlineStr">
        <is>
          <t>الابتكار · تطبيق «تانكي»</t>
        </is>
      </c>
      <c r="H139" s="23" t="inlineStr">
        <is>
          <t>العمليات الداخلية</t>
        </is>
      </c>
      <c r="I139" s="32" t="n">
        <v>0.05</v>
      </c>
      <c r="J139" s="23" t="inlineStr">
        <is>
          <t>مدير التسويق</t>
        </is>
      </c>
      <c r="K139" s="31" t="inlineStr">
        <is>
          <t>أنظمة التسويق الرقمي / تانكي</t>
        </is>
      </c>
      <c r="L139" s="23" t="inlineStr">
        <is>
          <t>شهري</t>
        </is>
      </c>
      <c r="M139" s="23" t="inlineStr">
        <is>
          <t>مدير التسويق</t>
        </is>
      </c>
      <c r="N139" s="33" t="n"/>
    </row>
    <row r="140" ht="30" customHeight="1">
      <c r="A140" s="23" t="n">
        <v>138</v>
      </c>
      <c r="B140" s="26" t="inlineStr">
        <is>
          <t>الجودة</t>
        </is>
      </c>
      <c r="C140" s="9" t="inlineStr">
        <is>
          <t>نسبة المحطات الحرجة</t>
        </is>
      </c>
      <c r="D140" s="30" t="inlineStr">
        <is>
          <t>يقيس نسبة المحطات الحرجة ضمن محور «مخاطر الجودة»، ويعكس مساهمة الإدارة في ركيزة الاستدامة.</t>
        </is>
      </c>
      <c r="E140" s="31" t="inlineStr">
        <is>
          <t>(المتحقّق ÷ الإجمالي) × 100٪</t>
        </is>
      </c>
      <c r="F140" s="23" t="inlineStr">
        <is>
          <t>🔧 تشغيلي</t>
        </is>
      </c>
      <c r="G140" s="31" t="inlineStr">
        <is>
          <t>الاستدامة · جودة التشغيل</t>
        </is>
      </c>
      <c r="H140" s="23" t="inlineStr">
        <is>
          <t>العمليات الداخلية</t>
        </is>
      </c>
      <c r="I140" s="32" t="n">
        <v>0.1</v>
      </c>
      <c r="J140" s="23" t="inlineStr">
        <is>
          <t>مدير الجودة</t>
        </is>
      </c>
      <c r="K140" s="31" t="inlineStr">
        <is>
          <t>نظام إدارة الجودة (QMS)</t>
        </is>
      </c>
      <c r="L140" s="23" t="inlineStr">
        <is>
          <t>شهري</t>
        </is>
      </c>
      <c r="M140" s="23" t="inlineStr">
        <is>
          <t>مدير الجودة</t>
        </is>
      </c>
      <c r="N140" s="33" t="n"/>
    </row>
    <row r="141" ht="30" customHeight="1">
      <c r="A141" s="23" t="n">
        <v>139</v>
      </c>
      <c r="B141" s="26" t="inlineStr">
        <is>
          <t>الجودة</t>
        </is>
      </c>
      <c r="C141" s="9" t="inlineStr">
        <is>
          <t>نسبة مطابقة جودة الوقود</t>
        </is>
      </c>
      <c r="D141" s="30" t="inlineStr">
        <is>
          <t>يقيس نسبة مطابقة جودة الوقود ضمن محور «جودة الوقود»، ويعكس مساهمة الإدارة في ركيزة الاستدامة.</t>
        </is>
      </c>
      <c r="E141" s="31" t="inlineStr">
        <is>
          <t>(المتحقّق ÷ الإجمالي) × 100٪</t>
        </is>
      </c>
      <c r="F141" s="23" t="inlineStr">
        <is>
          <t>🎯 نتيجة</t>
        </is>
      </c>
      <c r="G141" s="31" t="inlineStr">
        <is>
          <t>الاستدامة · جودة التشغيل</t>
        </is>
      </c>
      <c r="H141" s="23" t="inlineStr">
        <is>
          <t>العمليات الداخلية</t>
        </is>
      </c>
      <c r="I141" s="32" t="n">
        <v>0.07000000000000001</v>
      </c>
      <c r="J141" s="23" t="inlineStr">
        <is>
          <t>مدير الجودة</t>
        </is>
      </c>
      <c r="K141" s="31" t="inlineStr">
        <is>
          <t>نظام إدارة الجودة (QMS)</t>
        </is>
      </c>
      <c r="L141" s="23" t="inlineStr">
        <is>
          <t>شهري</t>
        </is>
      </c>
      <c r="M141" s="23" t="inlineStr">
        <is>
          <t>مدير الجودة</t>
        </is>
      </c>
      <c r="N141" s="33" t="n"/>
    </row>
    <row r="142" ht="30" customHeight="1">
      <c r="A142" s="23" t="n">
        <v>140</v>
      </c>
      <c r="B142" s="26" t="inlineStr">
        <is>
          <t>الجودة</t>
        </is>
      </c>
      <c r="C142" s="9" t="inlineStr">
        <is>
          <t>نسبة إغلاق الملاحظات في الوقت المحدد</t>
        </is>
      </c>
      <c r="D142" s="30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42" s="31" t="inlineStr">
        <is>
          <t>(المتحقّق ÷ الإجمالي) × 100٪</t>
        </is>
      </c>
      <c r="F142" s="23" t="inlineStr">
        <is>
          <t>🎯 نتيجة</t>
        </is>
      </c>
      <c r="G142" s="31" t="inlineStr">
        <is>
          <t>الاستدامة · جودة التشغيل</t>
        </is>
      </c>
      <c r="H142" s="23" t="inlineStr">
        <is>
          <t>العمليات الداخلية</t>
        </is>
      </c>
      <c r="I142" s="32" t="n">
        <v>0.07000000000000001</v>
      </c>
      <c r="J142" s="23" t="inlineStr">
        <is>
          <t>مدير الجودة</t>
        </is>
      </c>
      <c r="K142" s="31" t="inlineStr">
        <is>
          <t>نظام إدارة الجودة (QMS)</t>
        </is>
      </c>
      <c r="L142" s="23" t="inlineStr">
        <is>
          <t>شهري</t>
        </is>
      </c>
      <c r="M142" s="23" t="inlineStr">
        <is>
          <t>مدير الجودة</t>
        </is>
      </c>
      <c r="N142" s="33" t="n"/>
    </row>
    <row r="143" ht="30" customHeight="1">
      <c r="A143" s="23" t="n">
        <v>141</v>
      </c>
      <c r="B143" s="26" t="inlineStr">
        <is>
          <t>الجودة</t>
        </is>
      </c>
      <c r="C143" s="9" t="inlineStr">
        <is>
          <t>نسبة فعالية الإجراءات التصحيحية</t>
        </is>
      </c>
      <c r="D143" s="30" t="inlineStr">
        <is>
          <t>يقيس نسبة فعالية الإجراءات التصحيحية ضمن محور «تحسين ووقاية»، ويعكس مساهمة الإدارة في ركيزة الاستدامة.</t>
        </is>
      </c>
      <c r="E143" s="31" t="inlineStr">
        <is>
          <t>(المتحقّق ÷ الإجمالي) × 100٪</t>
        </is>
      </c>
      <c r="F143" s="23" t="inlineStr">
        <is>
          <t>🎯 نتيجة</t>
        </is>
      </c>
      <c r="G143" s="31" t="inlineStr">
        <is>
          <t>الاستدامة · جودة التشغيل</t>
        </is>
      </c>
      <c r="H143" s="23" t="inlineStr">
        <is>
          <t>العمليات الداخلية</t>
        </is>
      </c>
      <c r="I143" s="32" t="n">
        <v>0.07000000000000001</v>
      </c>
      <c r="J143" s="23" t="inlineStr">
        <is>
          <t>مدير الجودة</t>
        </is>
      </c>
      <c r="K143" s="31" t="inlineStr">
        <is>
          <t>سجلات الإدارة</t>
        </is>
      </c>
      <c r="L143" s="23" t="inlineStr">
        <is>
          <t>شهري</t>
        </is>
      </c>
      <c r="M143" s="23" t="inlineStr">
        <is>
          <t>مدير الجودة</t>
        </is>
      </c>
      <c r="N143" s="33" t="n"/>
    </row>
    <row r="144" ht="30" customHeight="1">
      <c r="A144" s="23" t="n">
        <v>142</v>
      </c>
      <c r="B144" s="26" t="inlineStr">
        <is>
          <t>الجودة</t>
        </is>
      </c>
      <c r="C144" s="9" t="inlineStr">
        <is>
          <t>نسبة تكرار الملاحظات</t>
        </is>
      </c>
      <c r="D144" s="30" t="inlineStr">
        <is>
          <t>يقيس نسبة تكرار الملاحظات ضمن محور «منع التكرار»، ويعكس مساهمة الإدارة في ركيزة الاستدامة.</t>
        </is>
      </c>
      <c r="E144" s="31" t="inlineStr">
        <is>
          <t>(المتحقّق ÷ الإجمالي) × 100٪</t>
        </is>
      </c>
      <c r="F144" s="23" t="inlineStr">
        <is>
          <t>🔧 تشغيلي</t>
        </is>
      </c>
      <c r="G144" s="31" t="inlineStr">
        <is>
          <t>الاستدامة · جودة التشغيل</t>
        </is>
      </c>
      <c r="H144" s="23" t="inlineStr">
        <is>
          <t>العمليات الداخلية</t>
        </is>
      </c>
      <c r="I144" s="32" t="n">
        <v>0.07000000000000001</v>
      </c>
      <c r="J144" s="23" t="inlineStr">
        <is>
          <t>مدير الجودة</t>
        </is>
      </c>
      <c r="K144" s="31" t="inlineStr">
        <is>
          <t>نظام إدارة الجودة (QMS)</t>
        </is>
      </c>
      <c r="L144" s="23" t="inlineStr">
        <is>
          <t>شهري</t>
        </is>
      </c>
      <c r="M144" s="23" t="inlineStr">
        <is>
          <t>مدير الجودة</t>
        </is>
      </c>
      <c r="N144" s="33" t="n"/>
    </row>
    <row r="145" ht="30" customHeight="1">
      <c r="A145" s="23" t="n">
        <v>143</v>
      </c>
      <c r="B145" s="26" t="inlineStr">
        <is>
          <t>الجودة</t>
        </is>
      </c>
      <c r="C145" s="9" t="inlineStr">
        <is>
          <t>نسبة تنفيذ خطة التفتيش والتدقيق</t>
        </is>
      </c>
      <c r="D145" s="30" t="inlineStr">
        <is>
          <t>يقيس نسبة تنفيذ خطة التفتيش والتدقيق ضمن محور «تفتيش وتدقيق»، ويعكس مساهمة الإدارة في ركيزة الاستدامة.</t>
        </is>
      </c>
      <c r="E145" s="31" t="inlineStr">
        <is>
          <t>(المتحقّق ÷ الإجمالي) × 100٪</t>
        </is>
      </c>
      <c r="F145" s="23" t="inlineStr">
        <is>
          <t>⚙️ نشاط</t>
        </is>
      </c>
      <c r="G145" s="31" t="inlineStr">
        <is>
          <t>الاستدامة · جودة التشغيل</t>
        </is>
      </c>
      <c r="H145" s="23" t="inlineStr">
        <is>
          <t>العمليات الداخلية</t>
        </is>
      </c>
      <c r="I145" s="32" t="n">
        <v>0.07000000000000001</v>
      </c>
      <c r="J145" s="23" t="inlineStr">
        <is>
          <t>مدير الجودة</t>
        </is>
      </c>
      <c r="K145" s="31" t="inlineStr">
        <is>
          <t>نظام المحاسبة / ERP (D365)</t>
        </is>
      </c>
      <c r="L145" s="23" t="inlineStr">
        <is>
          <t>ربعي</t>
        </is>
      </c>
      <c r="M145" s="23" t="inlineStr">
        <is>
          <t>الإدارة المالية</t>
        </is>
      </c>
      <c r="N145" s="33" t="n"/>
    </row>
    <row r="146" ht="30" customHeight="1">
      <c r="A146" s="23" t="n">
        <v>144</v>
      </c>
      <c r="B146" s="26" t="inlineStr">
        <is>
          <t>الجودة</t>
        </is>
      </c>
      <c r="C146" s="9" t="inlineStr">
        <is>
          <t>نسبة جاهزية نظام إدارة الجودة QMS</t>
        </is>
      </c>
      <c r="D146" s="30" t="inlineStr">
        <is>
          <t>يقيس نسبة جاهزية نظام إدارة الجودة QMS ضمن محور «حوكمة الجودة»، ويعكس مساهمة الإدارة في ركيزة الاستدامة.</t>
        </is>
      </c>
      <c r="E146" s="31" t="inlineStr">
        <is>
          <t>(المتحقّق ÷ الإجمالي) × 100٪</t>
        </is>
      </c>
      <c r="F146" s="23" t="inlineStr">
        <is>
          <t>🎯 نتيجة</t>
        </is>
      </c>
      <c r="G146" s="31" t="inlineStr">
        <is>
          <t>الاستدامة · جودة التشغيل</t>
        </is>
      </c>
      <c r="H146" s="23" t="inlineStr">
        <is>
          <t>العمليات الداخلية</t>
        </is>
      </c>
      <c r="I146" s="32" t="n">
        <v>0.1</v>
      </c>
      <c r="J146" s="23" t="inlineStr">
        <is>
          <t>مدير الجودة</t>
        </is>
      </c>
      <c r="K146" s="31" t="inlineStr">
        <is>
          <t>نظام إدارة الجودة (QMS)</t>
        </is>
      </c>
      <c r="L146" s="23" t="inlineStr">
        <is>
          <t>شهري</t>
        </is>
      </c>
      <c r="M146" s="23" t="inlineStr">
        <is>
          <t>مدير الجودة</t>
        </is>
      </c>
      <c r="N146" s="33" t="n"/>
    </row>
    <row r="147" ht="30" customHeight="1">
      <c r="A147" s="23" t="n">
        <v>145</v>
      </c>
      <c r="B147" s="26" t="inlineStr">
        <is>
          <t>الجودة</t>
        </is>
      </c>
      <c r="C147" s="9" t="inlineStr">
        <is>
          <t>عدد مخاطر الجودة الحرجة المفتوحة</t>
        </is>
      </c>
      <c r="D147" s="30" t="inlineStr">
        <is>
          <t>يقيس عدد مخاطر الجودة الحرجة المفتوحة ضمن محور «مخاطر الجودة»، ويعكس مساهمة الإدارة في ركيزة الاستدامة.</t>
        </is>
      </c>
      <c r="E147" s="31" t="inlineStr">
        <is>
          <t>إجمالي العدد خلال الفترة</t>
        </is>
      </c>
      <c r="F147" s="23" t="inlineStr">
        <is>
          <t>⚙️ نشاط</t>
        </is>
      </c>
      <c r="G147" s="31" t="inlineStr">
        <is>
          <t>الاستدامة · جودة التشغيل</t>
        </is>
      </c>
      <c r="H147" s="23" t="inlineStr">
        <is>
          <t>العمليات الداخلية</t>
        </is>
      </c>
      <c r="I147" s="32" t="n">
        <v>0.07000000000000001</v>
      </c>
      <c r="J147" s="23" t="inlineStr">
        <is>
          <t>مدير الجودة</t>
        </is>
      </c>
      <c r="K147" s="31" t="inlineStr">
        <is>
          <t>نظام إدارة الجودة (QMS)</t>
        </is>
      </c>
      <c r="L147" s="23" t="inlineStr">
        <is>
          <t>شهري</t>
        </is>
      </c>
      <c r="M147" s="23" t="inlineStr">
        <is>
          <t>مدير الجودة</t>
        </is>
      </c>
      <c r="N147" s="33" t="n"/>
    </row>
    <row r="148" ht="30" customHeight="1">
      <c r="A148" s="23" t="n">
        <v>146</v>
      </c>
      <c r="B148" s="26" t="inlineStr">
        <is>
          <t>الجودة</t>
        </is>
      </c>
      <c r="C148" s="9" t="inlineStr">
        <is>
          <t>نسبة إغلاق مخاطر الجودة في الوقت المحدد</t>
        </is>
      </c>
      <c r="D148" s="30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48" s="31" t="inlineStr">
        <is>
          <t>(المتحقّق ÷ الإجمالي) × 100٪</t>
        </is>
      </c>
      <c r="F148" s="23" t="inlineStr">
        <is>
          <t>🎯 نتيجة</t>
        </is>
      </c>
      <c r="G148" s="31" t="inlineStr">
        <is>
          <t>الاستدامة · جودة التشغيل</t>
        </is>
      </c>
      <c r="H148" s="23" t="inlineStr">
        <is>
          <t>العمليات الداخلية</t>
        </is>
      </c>
      <c r="I148" s="32" t="n">
        <v>0.07000000000000001</v>
      </c>
      <c r="J148" s="23" t="inlineStr">
        <is>
          <t>مدير الجودة</t>
        </is>
      </c>
      <c r="K148" s="31" t="inlineStr">
        <is>
          <t>نظام إدارة الجودة (QMS)</t>
        </is>
      </c>
      <c r="L148" s="23" t="inlineStr">
        <is>
          <t>شهري</t>
        </is>
      </c>
      <c r="M148" s="23" t="inlineStr">
        <is>
          <t>مدير الجودة</t>
        </is>
      </c>
      <c r="N148" s="33" t="n"/>
    </row>
    <row r="149" ht="30" customHeight="1">
      <c r="A149" s="23" t="n">
        <v>147</v>
      </c>
      <c r="B149" s="26" t="inlineStr">
        <is>
          <t>الجودة</t>
        </is>
      </c>
      <c r="C149" s="9" t="inlineStr">
        <is>
          <t>نسبة انخفاض الشكاوى المتكررة ذات العلاقة بالجودة</t>
        </is>
      </c>
      <c r="D149" s="30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49" s="31" t="inlineStr">
        <is>
          <t>(المتحقّق ÷ الإجمالي) × 100٪</t>
        </is>
      </c>
      <c r="F149" s="23" t="inlineStr">
        <is>
          <t>🎯 نتيجة</t>
        </is>
      </c>
      <c r="G149" s="31" t="inlineStr">
        <is>
          <t>الاستدامة · تعزيز تجربة العملاء</t>
        </is>
      </c>
      <c r="H149" s="23" t="inlineStr">
        <is>
          <t>العملاء</t>
        </is>
      </c>
      <c r="I149" s="32" t="n">
        <v>0.07000000000000001</v>
      </c>
      <c r="J149" s="23" t="inlineStr">
        <is>
          <t>مدير الجودة</t>
        </is>
      </c>
      <c r="K149" s="31" t="inlineStr">
        <is>
          <t>نظام إدارة الجودة (QMS)</t>
        </is>
      </c>
      <c r="L149" s="23" t="inlineStr">
        <is>
          <t>شهري</t>
        </is>
      </c>
      <c r="M149" s="23" t="inlineStr">
        <is>
          <t>مدير الجودة</t>
        </is>
      </c>
      <c r="N149" s="33" t="n"/>
    </row>
    <row r="150" ht="30" customHeight="1">
      <c r="A150" s="23" t="n">
        <v>148</v>
      </c>
      <c r="B150" s="26" t="inlineStr">
        <is>
          <t>الجودة</t>
        </is>
      </c>
      <c r="C150" s="9" t="inlineStr">
        <is>
          <t>نسبة اكتمال وتحديث الإجراءات المعتمدة</t>
        </is>
      </c>
      <c r="D150" s="30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50" s="31" t="inlineStr">
        <is>
          <t>(المتحقّق ÷ الإجمالي) × 100٪</t>
        </is>
      </c>
      <c r="F150" s="23" t="inlineStr">
        <is>
          <t>🔧 تشغيلي</t>
        </is>
      </c>
      <c r="G150" s="31" t="inlineStr">
        <is>
          <t>الاستدامة · جودة التشغيل</t>
        </is>
      </c>
      <c r="H150" s="23" t="inlineStr">
        <is>
          <t>العمليات الداخلية</t>
        </is>
      </c>
      <c r="I150" s="32" t="n">
        <v>0.03</v>
      </c>
      <c r="J150" s="23" t="inlineStr">
        <is>
          <t>مدير الجودة</t>
        </is>
      </c>
      <c r="K150" s="31" t="inlineStr">
        <is>
          <t>نظام إدارة الجودة (QMS)</t>
        </is>
      </c>
      <c r="L150" s="23" t="inlineStr">
        <is>
          <t>شهري</t>
        </is>
      </c>
      <c r="M150" s="23" t="inlineStr">
        <is>
          <t>مدير الجودة</t>
        </is>
      </c>
      <c r="N150" s="33" t="n"/>
    </row>
    <row r="151" ht="30" customHeight="1">
      <c r="A151" s="23" t="n">
        <v>149</v>
      </c>
      <c r="B151" s="26" t="inlineStr">
        <is>
          <t>الجودة</t>
        </is>
      </c>
      <c r="C151" s="9" t="inlineStr">
        <is>
          <t>نسبة اكتمال سجلات الجودة</t>
        </is>
      </c>
      <c r="D151" s="30" t="inlineStr">
        <is>
          <t>يقيس نسبة اكتمال سجلات الجودة ضمن محور «توثيق وحوكمة»، ويعكس مساهمة الإدارة في ركيزة الاستدامة.</t>
        </is>
      </c>
      <c r="E151" s="31" t="inlineStr">
        <is>
          <t>(المتحقّق ÷ الإجمالي) × 100٪</t>
        </is>
      </c>
      <c r="F151" s="23" t="inlineStr">
        <is>
          <t>🔧 تشغيلي</t>
        </is>
      </c>
      <c r="G151" s="31" t="inlineStr">
        <is>
          <t>الاستدامة · جودة التشغيل</t>
        </is>
      </c>
      <c r="H151" s="23" t="inlineStr">
        <is>
          <t>العمليات الداخلية</t>
        </is>
      </c>
      <c r="I151" s="32" t="n">
        <v>0.07000000000000001</v>
      </c>
      <c r="J151" s="23" t="inlineStr">
        <is>
          <t>مدير الجودة</t>
        </is>
      </c>
      <c r="K151" s="31" t="inlineStr">
        <is>
          <t>نظام إدارة الجودة (QMS)</t>
        </is>
      </c>
      <c r="L151" s="23" t="inlineStr">
        <is>
          <t>شهري</t>
        </is>
      </c>
      <c r="M151" s="23" t="inlineStr">
        <is>
          <t>مدير الجودة</t>
        </is>
      </c>
      <c r="N151" s="33" t="n"/>
    </row>
    <row r="152" ht="30" customHeight="1">
      <c r="A152" s="23" t="n">
        <v>150</v>
      </c>
      <c r="B152" s="26" t="inlineStr">
        <is>
          <t>الجودة</t>
        </is>
      </c>
      <c r="C152" s="9" t="inlineStr">
        <is>
          <t>نسبة رقمنة عمليات الجودة</t>
        </is>
      </c>
      <c r="D152" s="30" t="inlineStr">
        <is>
          <t>يقيس نسبة رقمنة عمليات الجودة ضمن محور «الابتكار والرقمنة»، ويعكس مساهمة الإدارة في ركيزة الابتكار.</t>
        </is>
      </c>
      <c r="E152" s="31" t="inlineStr">
        <is>
          <t>(المتحقّق ÷ الإجمالي) × 100٪</t>
        </is>
      </c>
      <c r="F152" s="23" t="inlineStr">
        <is>
          <t>🔧 تشغيلي</t>
        </is>
      </c>
      <c r="G152" s="31" t="inlineStr">
        <is>
          <t>الابتكار · التحول التقني</t>
        </is>
      </c>
      <c r="H152" s="23" t="inlineStr">
        <is>
          <t>التعلّم والنمو</t>
        </is>
      </c>
      <c r="I152" s="32" t="n">
        <v>0.07000000000000001</v>
      </c>
      <c r="J152" s="23" t="inlineStr">
        <is>
          <t>مدير الجودة</t>
        </is>
      </c>
      <c r="K152" s="31" t="inlineStr">
        <is>
          <t>نظام إدارة الجودة (QMS)</t>
        </is>
      </c>
      <c r="L152" s="23" t="inlineStr">
        <is>
          <t>شهري</t>
        </is>
      </c>
      <c r="M152" s="23" t="inlineStr">
        <is>
          <t>مدير الجودة</t>
        </is>
      </c>
      <c r="N152" s="33" t="n"/>
    </row>
    <row r="153" ht="30" customHeight="1">
      <c r="A153" s="23" t="n">
        <v>151</v>
      </c>
      <c r="B153" s="26" t="inlineStr">
        <is>
          <t>الجودة</t>
        </is>
      </c>
      <c r="C153" s="9" t="inlineStr">
        <is>
          <t>عدد مبادرات التحسين المؤثرة</t>
        </is>
      </c>
      <c r="D153" s="30" t="inlineStr">
        <is>
          <t>يقيس عدد مبادرات التحسين المؤثرة ضمن محور «التحسين المستمر»، ويعكس مساهمة الإدارة في ركيزة الاستدامة.</t>
        </is>
      </c>
      <c r="E153" s="31" t="inlineStr">
        <is>
          <t>إجمالي العدد خلال الفترة</t>
        </is>
      </c>
      <c r="F153" s="23" t="inlineStr">
        <is>
          <t>⚙️ نشاط</t>
        </is>
      </c>
      <c r="G153" s="31" t="inlineStr">
        <is>
          <t>الاستدامة · جودة التشغيل</t>
        </is>
      </c>
      <c r="H153" s="23" t="inlineStr">
        <is>
          <t>التعلّم والنمو</t>
        </is>
      </c>
      <c r="I153" s="32" t="n">
        <v>0.07000000000000001</v>
      </c>
      <c r="J153" s="23" t="inlineStr">
        <is>
          <t>مدير الجودة</t>
        </is>
      </c>
      <c r="K153" s="31" t="inlineStr">
        <is>
          <t>سجلات الإدارة</t>
        </is>
      </c>
      <c r="L153" s="23" t="inlineStr">
        <is>
          <t>ربعي</t>
        </is>
      </c>
      <c r="M153" s="23" t="inlineStr">
        <is>
          <t>مدير الجودة</t>
        </is>
      </c>
      <c r="N153" s="33" t="n"/>
    </row>
    <row r="154" ht="30" customHeight="1">
      <c r="A154" s="23" t="n">
        <v>152</v>
      </c>
      <c r="B154" s="26" t="inlineStr">
        <is>
          <t>الإدارة القانونية</t>
        </is>
      </c>
      <c r="C154" s="9" t="inlineStr">
        <is>
          <t>نسبة العقود المُراجَعة قانونياً قبل التوقيع</t>
        </is>
      </c>
      <c r="D154" s="30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54" s="31" t="inlineStr">
        <is>
          <t>(المتحقّق ÷ الإجمالي) × 100٪</t>
        </is>
      </c>
      <c r="F154" s="23" t="inlineStr">
        <is>
          <t>🔧 تشغيلي</t>
        </is>
      </c>
      <c r="G154" s="31" t="inlineStr">
        <is>
          <t>الاستدامة · جودة التشغيل</t>
        </is>
      </c>
      <c r="H154" s="23" t="inlineStr">
        <is>
          <t>العمليات الداخلية</t>
        </is>
      </c>
      <c r="I154" s="32" t="n">
        <v>0.15</v>
      </c>
      <c r="J154" s="23" t="inlineStr">
        <is>
          <t>المدير القانوني</t>
        </is>
      </c>
      <c r="K154" s="31" t="inlineStr">
        <is>
          <t>نظام إدارة العقود (CRM)</t>
        </is>
      </c>
      <c r="L154" s="23" t="inlineStr">
        <is>
          <t>شهري</t>
        </is>
      </c>
      <c r="M154" s="23" t="inlineStr">
        <is>
          <t>المدير القانوني</t>
        </is>
      </c>
      <c r="N154" s="33" t="n"/>
    </row>
    <row r="155" ht="30" customHeight="1">
      <c r="A155" s="23" t="n">
        <v>153</v>
      </c>
      <c r="B155" s="26" t="inlineStr">
        <is>
          <t>الإدارة القانونية</t>
        </is>
      </c>
      <c r="C155" s="9" t="inlineStr">
        <is>
          <t>متوسط زمن صياغة ومراجعة العقد</t>
        </is>
      </c>
      <c r="D155" s="30" t="inlineStr">
        <is>
          <t>يقيس متوسط زمن صياغة ومراجعة العقد ضمن محور «أعمال العقود»، ويعكس مساهمة الإدارة في ركيزة الاستدامة.</t>
        </is>
      </c>
      <c r="E155" s="31" t="inlineStr">
        <is>
          <t>متوسط يوم خلال الفترة</t>
        </is>
      </c>
      <c r="F155" s="23" t="inlineStr">
        <is>
          <t>🔧 تشغيلي</t>
        </is>
      </c>
      <c r="G155" s="31" t="inlineStr">
        <is>
          <t>الاستدامة · جودة التشغيل</t>
        </is>
      </c>
      <c r="H155" s="23" t="inlineStr">
        <is>
          <t>العمليات الداخلية</t>
        </is>
      </c>
      <c r="I155" s="32" t="n">
        <v>0.15</v>
      </c>
      <c r="J155" s="23" t="inlineStr">
        <is>
          <t>المدير القانوني</t>
        </is>
      </c>
      <c r="K155" s="31" t="inlineStr">
        <is>
          <t>نظام إدارة العقود/القضايا</t>
        </is>
      </c>
      <c r="L155" s="23" t="inlineStr">
        <is>
          <t>شهري</t>
        </is>
      </c>
      <c r="M155" s="23" t="inlineStr">
        <is>
          <t>المدير القانوني</t>
        </is>
      </c>
      <c r="N155" s="33" t="n"/>
    </row>
    <row r="156" ht="30" customHeight="1">
      <c r="A156" s="23" t="n">
        <v>154</v>
      </c>
      <c r="B156" s="26" t="inlineStr">
        <is>
          <t>الإدارة القانونية</t>
        </is>
      </c>
      <c r="C156" s="9" t="inlineStr">
        <is>
          <t>نسبة العقود الخالية من الملاحظات والمخاطر القانونية</t>
        </is>
      </c>
      <c r="D156" s="30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56" s="31" t="inlineStr">
        <is>
          <t>(المتحقّق ÷ الإجمالي) × 100٪</t>
        </is>
      </c>
      <c r="F156" s="23" t="inlineStr">
        <is>
          <t>🎯 نتيجة</t>
        </is>
      </c>
      <c r="G156" s="31" t="inlineStr">
        <is>
          <t>الاستدامة · جودة التشغيل</t>
        </is>
      </c>
      <c r="H156" s="23" t="inlineStr">
        <is>
          <t>العمليات الداخلية</t>
        </is>
      </c>
      <c r="I156" s="32" t="n">
        <v>0.15</v>
      </c>
      <c r="J156" s="23" t="inlineStr">
        <is>
          <t>المدير القانوني</t>
        </is>
      </c>
      <c r="K156" s="31" t="inlineStr">
        <is>
          <t>نظام إدارة الجودة (QMS)</t>
        </is>
      </c>
      <c r="L156" s="23" t="inlineStr">
        <is>
          <t>شهري</t>
        </is>
      </c>
      <c r="M156" s="23" t="inlineStr">
        <is>
          <t>المدير القانوني</t>
        </is>
      </c>
      <c r="N156" s="33" t="n"/>
    </row>
    <row r="157" ht="30" customHeight="1">
      <c r="A157" s="23" t="n">
        <v>155</v>
      </c>
      <c r="B157" s="26" t="inlineStr">
        <is>
          <t>الإدارة القانونية</t>
        </is>
      </c>
      <c r="C157" s="9" t="inlineStr">
        <is>
          <t>نسبة القضايا المُغلقة لصالح الشركة</t>
        </is>
      </c>
      <c r="D157" s="30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57" s="31" t="inlineStr">
        <is>
          <t>(المتحقّق ÷ الإجمالي) × 100٪</t>
        </is>
      </c>
      <c r="F157" s="23" t="inlineStr">
        <is>
          <t>🔧 تشغيلي</t>
        </is>
      </c>
      <c r="G157" s="31" t="inlineStr">
        <is>
          <t>الاستدامة · جودة التشغيل</t>
        </is>
      </c>
      <c r="H157" s="23" t="inlineStr">
        <is>
          <t>العمليات الداخلية</t>
        </is>
      </c>
      <c r="I157" s="32" t="n">
        <v>0.1</v>
      </c>
      <c r="J157" s="23" t="inlineStr">
        <is>
          <t>المدير القانوني</t>
        </is>
      </c>
      <c r="K157" s="31" t="inlineStr">
        <is>
          <t>نظام إدارة العقود/القضايا</t>
        </is>
      </c>
      <c r="L157" s="23" t="inlineStr">
        <is>
          <t>شهري</t>
        </is>
      </c>
      <c r="M157" s="23" t="inlineStr">
        <is>
          <t>المدير القانوني</t>
        </is>
      </c>
      <c r="N157" s="33" t="n"/>
    </row>
    <row r="158" ht="30" customHeight="1">
      <c r="A158" s="23" t="n">
        <v>156</v>
      </c>
      <c r="B158" s="26" t="inlineStr">
        <is>
          <t>الإدارة القانونية</t>
        </is>
      </c>
      <c r="C158" s="9" t="inlineStr">
        <is>
          <t>نسبة تقديم المذكرات والردود في المواعيد النظامية</t>
        </is>
      </c>
      <c r="D158" s="30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58" s="31" t="inlineStr">
        <is>
          <t>(المتحقّق ÷ الإجمالي) × 100٪</t>
        </is>
      </c>
      <c r="F158" s="23" t="inlineStr">
        <is>
          <t>🔧 تشغيلي</t>
        </is>
      </c>
      <c r="G158" s="31" t="inlineStr">
        <is>
          <t>الاستدامة · جودة التشغيل</t>
        </is>
      </c>
      <c r="H158" s="23" t="inlineStr">
        <is>
          <t>العمليات الداخلية</t>
        </is>
      </c>
      <c r="I158" s="32" t="n">
        <v>0.1</v>
      </c>
      <c r="J158" s="23" t="inlineStr">
        <is>
          <t>المدير القانوني</t>
        </is>
      </c>
      <c r="K158" s="31" t="inlineStr">
        <is>
          <t>نظام إدارة العقود/القضايا</t>
        </is>
      </c>
      <c r="L158" s="23" t="inlineStr">
        <is>
          <t>شهري</t>
        </is>
      </c>
      <c r="M158" s="23" t="inlineStr">
        <is>
          <t>المدير القانوني</t>
        </is>
      </c>
      <c r="N158" s="33" t="n"/>
    </row>
    <row r="159" ht="30" customHeight="1">
      <c r="A159" s="23" t="n">
        <v>157</v>
      </c>
      <c r="B159" s="26" t="inlineStr">
        <is>
          <t>الإدارة القانونية</t>
        </is>
      </c>
      <c r="C159" s="9" t="inlineStr">
        <is>
          <t>متوسط زمن إعداد المذكرة القانونية</t>
        </is>
      </c>
      <c r="D159" s="30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59" s="31" t="inlineStr">
        <is>
          <t>متوسط يوم خلال الفترة</t>
        </is>
      </c>
      <c r="F159" s="23" t="inlineStr">
        <is>
          <t>⚙️ نشاط</t>
        </is>
      </c>
      <c r="G159" s="31" t="inlineStr">
        <is>
          <t>الاستدامة · جودة التشغيل</t>
        </is>
      </c>
      <c r="H159" s="23" t="inlineStr">
        <is>
          <t>العمليات الداخلية</t>
        </is>
      </c>
      <c r="I159" s="32" t="n">
        <v>0.1</v>
      </c>
      <c r="J159" s="23" t="inlineStr">
        <is>
          <t>المدير القانوني</t>
        </is>
      </c>
      <c r="K159" s="31" t="inlineStr">
        <is>
          <t>نظام إدارة العقود/القضايا</t>
        </is>
      </c>
      <c r="L159" s="23" t="inlineStr">
        <is>
          <t>شهري</t>
        </is>
      </c>
      <c r="M159" s="23" t="inlineStr">
        <is>
          <t>المدير القانوني</t>
        </is>
      </c>
      <c r="N159" s="33" t="n"/>
    </row>
    <row r="160" ht="30" customHeight="1">
      <c r="A160" s="23" t="n">
        <v>158</v>
      </c>
      <c r="B160" s="26" t="inlineStr">
        <is>
          <t>الإدارة القانونية</t>
        </is>
      </c>
      <c r="C160" s="9" t="inlineStr">
        <is>
          <t>نسبة الاستشارات المُنجزة ضمن المدة المستهدفة (SLA)</t>
        </is>
      </c>
      <c r="D160" s="30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60" s="31" t="inlineStr">
        <is>
          <t>(المتحقّق ÷ الإجمالي) × 100٪</t>
        </is>
      </c>
      <c r="F160" s="23" t="inlineStr">
        <is>
          <t>🔧 تشغيلي</t>
        </is>
      </c>
      <c r="G160" s="31" t="inlineStr">
        <is>
          <t>الاستدامة · جودة التشغيل</t>
        </is>
      </c>
      <c r="H160" s="23" t="inlineStr">
        <is>
          <t>العمليات الداخلية</t>
        </is>
      </c>
      <c r="I160" s="32" t="n">
        <v>0.1</v>
      </c>
      <c r="J160" s="23" t="inlineStr">
        <is>
          <t>المدير القانوني</t>
        </is>
      </c>
      <c r="K160" s="31" t="inlineStr">
        <is>
          <t>نظام إدارة العقود/القضايا</t>
        </is>
      </c>
      <c r="L160" s="23" t="inlineStr">
        <is>
          <t>شهري</t>
        </is>
      </c>
      <c r="M160" s="23" t="inlineStr">
        <is>
          <t>المدير القانوني</t>
        </is>
      </c>
      <c r="N160" s="33" t="n"/>
    </row>
    <row r="161" ht="30" customHeight="1">
      <c r="A161" s="23" t="n">
        <v>159</v>
      </c>
      <c r="B161" s="26" t="inlineStr">
        <is>
          <t>الإدارة القانونية</t>
        </is>
      </c>
      <c r="C161" s="9" t="inlineStr">
        <is>
          <t>مستوى رضا الإدارات عن الدعم القانوني</t>
        </is>
      </c>
      <c r="D161" s="30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61" s="31" t="inlineStr">
        <is>
          <t>(المتحقّق ÷ الإجمالي) × 100٪</t>
        </is>
      </c>
      <c r="F161" s="23" t="inlineStr">
        <is>
          <t>🎯 نتيجة</t>
        </is>
      </c>
      <c r="G161" s="31" t="inlineStr">
        <is>
          <t>الاستدامة · جودة التشغيل</t>
        </is>
      </c>
      <c r="H161" s="23" t="inlineStr">
        <is>
          <t>العملاء</t>
        </is>
      </c>
      <c r="I161" s="32" t="n">
        <v>0.15</v>
      </c>
      <c r="J161" s="23" t="inlineStr">
        <is>
          <t>المدير القانوني</t>
        </is>
      </c>
      <c r="K161" s="31" t="inlineStr">
        <is>
          <t>استبيان دوري</t>
        </is>
      </c>
      <c r="L161" s="23" t="inlineStr">
        <is>
          <t>ربعي</t>
        </is>
      </c>
      <c r="M161" s="23" t="inlineStr">
        <is>
          <t>المدير القانوني</t>
        </is>
      </c>
      <c r="N161" s="33" t="n"/>
    </row>
    <row r="162" ht="30" customHeight="1">
      <c r="A162" s="23" t="n">
        <v>160</v>
      </c>
      <c r="B162" s="26" t="inlineStr">
        <is>
          <t>الإدارة المالية</t>
        </is>
      </c>
      <c r="C162" s="9" t="inlineStr">
        <is>
          <t>نمو الإيرادات السنوي</t>
        </is>
      </c>
      <c r="D162" s="30" t="inlineStr">
        <is>
          <t>يقيس نمو الإيرادات السنوي ضمن محور «المالية الاستراتيجية»، ويعكس مساهمة الإدارة في ركيزة النمو.</t>
        </is>
      </c>
      <c r="E162" s="31" t="inlineStr">
        <is>
          <t>(المتحقّق ÷ الإجمالي) × 100٪</t>
        </is>
      </c>
      <c r="F162" s="23" t="inlineStr">
        <is>
          <t>🎯 نتيجة</t>
        </is>
      </c>
      <c r="G162" s="31" t="inlineStr">
        <is>
          <t>النمو · زيادة وصول العملاء</t>
        </is>
      </c>
      <c r="H162" s="23" t="inlineStr">
        <is>
          <t>مالي</t>
        </is>
      </c>
      <c r="I162" s="32" t="n">
        <v>0.05</v>
      </c>
      <c r="J162" s="23" t="inlineStr">
        <is>
          <t>المدير المالي</t>
        </is>
      </c>
      <c r="K162" s="31" t="inlineStr">
        <is>
          <t>نظام المحاسبة / ERP (D365)</t>
        </is>
      </c>
      <c r="L162" s="23" t="inlineStr">
        <is>
          <t>ربعي</t>
        </is>
      </c>
      <c r="M162" s="23" t="inlineStr">
        <is>
          <t>الإدارة المالية</t>
        </is>
      </c>
      <c r="N162" s="33" t="n"/>
    </row>
    <row r="163" ht="30" customHeight="1">
      <c r="A163" s="23" t="n">
        <v>161</v>
      </c>
      <c r="B163" s="26" t="inlineStr">
        <is>
          <t>الإدارة المالية</t>
        </is>
      </c>
      <c r="C163" s="9" t="inlineStr">
        <is>
          <t>هامش EBITDA</t>
        </is>
      </c>
      <c r="D163" s="30" t="inlineStr">
        <is>
          <t>يقيس هامش EBITDA ضمن محور «المالية الاستراتيجية»، ويعكس مساهمة الإدارة في ركيزة النمو.</t>
        </is>
      </c>
      <c r="E163" s="31" t="inlineStr">
        <is>
          <t>(المتحقّق ÷ الإجمالي) × 100٪</t>
        </is>
      </c>
      <c r="F163" s="23" t="inlineStr">
        <is>
          <t>🎯 نتيجة</t>
        </is>
      </c>
      <c r="G163" s="31" t="inlineStr">
        <is>
          <t>النمو · زيادة وصول العملاء</t>
        </is>
      </c>
      <c r="H163" s="23" t="inlineStr">
        <is>
          <t>مالي</t>
        </is>
      </c>
      <c r="I163" s="32" t="n">
        <v>0.04</v>
      </c>
      <c r="J163" s="23" t="inlineStr">
        <is>
          <t>المدير المالي</t>
        </is>
      </c>
      <c r="K163" s="31" t="inlineStr">
        <is>
          <t>نظام المحاسبة / ERP (D365)</t>
        </is>
      </c>
      <c r="L163" s="23" t="inlineStr">
        <is>
          <t>شهري</t>
        </is>
      </c>
      <c r="M163" s="23" t="inlineStr">
        <is>
          <t>الإدارة المالية</t>
        </is>
      </c>
      <c r="N163" s="33" t="n"/>
    </row>
    <row r="164" ht="30" customHeight="1">
      <c r="A164" s="23" t="n">
        <v>162</v>
      </c>
      <c r="B164" s="26" t="inlineStr">
        <is>
          <t>الإدارة المالية</t>
        </is>
      </c>
      <c r="C164" s="9" t="inlineStr">
        <is>
          <t>هامش صافي الربح</t>
        </is>
      </c>
      <c r="D164" s="30" t="inlineStr">
        <is>
          <t>يقيس هامش صافي الربح ضمن محور «المالية الاستراتيجية»، ويعكس مساهمة الإدارة في ركيزة النمو.</t>
        </is>
      </c>
      <c r="E164" s="31" t="inlineStr">
        <is>
          <t>(المتحقّق ÷ الإجمالي) × 100٪</t>
        </is>
      </c>
      <c r="F164" s="23" t="inlineStr">
        <is>
          <t>🎯 نتيجة</t>
        </is>
      </c>
      <c r="G164" s="31" t="inlineStr">
        <is>
          <t>النمو · زيادة وصول العملاء</t>
        </is>
      </c>
      <c r="H164" s="23" t="inlineStr">
        <is>
          <t>مالي</t>
        </is>
      </c>
      <c r="I164" s="32" t="n">
        <v>0.04</v>
      </c>
      <c r="J164" s="23" t="inlineStr">
        <is>
          <t>المدير المالي</t>
        </is>
      </c>
      <c r="K164" s="31" t="inlineStr">
        <is>
          <t>نظام المحاسبة / ERP (D365)</t>
        </is>
      </c>
      <c r="L164" s="23" t="inlineStr">
        <is>
          <t>شهري</t>
        </is>
      </c>
      <c r="M164" s="23" t="inlineStr">
        <is>
          <t>الإدارة المالية</t>
        </is>
      </c>
      <c r="N164" s="33" t="n"/>
    </row>
    <row r="165" ht="30" customHeight="1">
      <c r="A165" s="23" t="n">
        <v>163</v>
      </c>
      <c r="B165" s="26" t="inlineStr">
        <is>
          <t>الإدارة المالية</t>
        </is>
      </c>
      <c r="C165" s="9" t="inlineStr">
        <is>
          <t>العائد على حقوق الملكية (ROE)</t>
        </is>
      </c>
      <c r="D165" s="30" t="inlineStr">
        <is>
          <t>يقيس العائد على حقوق الملكية (ROE) ضمن محور «المالية الاستراتيجية»، ويعكس مساهمة الإدارة في ركيزة النمو.</t>
        </is>
      </c>
      <c r="E165" s="31" t="inlineStr">
        <is>
          <t>(المتحقّق ÷ الإجمالي) × 100٪</t>
        </is>
      </c>
      <c r="F165" s="23" t="inlineStr">
        <is>
          <t>🎯 نتيجة</t>
        </is>
      </c>
      <c r="G165" s="31" t="inlineStr">
        <is>
          <t>النمو · زيادة وصول العملاء</t>
        </is>
      </c>
      <c r="H165" s="23" t="inlineStr">
        <is>
          <t>مالي</t>
        </is>
      </c>
      <c r="I165" s="32" t="n">
        <v>0.05</v>
      </c>
      <c r="J165" s="23" t="inlineStr">
        <is>
          <t>المدير المالي</t>
        </is>
      </c>
      <c r="K165" s="31" t="inlineStr">
        <is>
          <t>نظام المحاسبة / ERP (D365)</t>
        </is>
      </c>
      <c r="L165" s="23" t="inlineStr">
        <is>
          <t>ربعي</t>
        </is>
      </c>
      <c r="M165" s="23" t="inlineStr">
        <is>
          <t>الإدارة المالية</t>
        </is>
      </c>
      <c r="N165" s="33" t="n"/>
    </row>
    <row r="166" ht="30" customHeight="1">
      <c r="A166" s="23" t="n">
        <v>164</v>
      </c>
      <c r="B166" s="26" t="inlineStr">
        <is>
          <t>الإدارة المالية</t>
        </is>
      </c>
      <c r="C166" s="9" t="inlineStr">
        <is>
          <t>نسبة التدفق النقدي التشغيلي</t>
        </is>
      </c>
      <c r="D166" s="30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66" s="31" t="inlineStr">
        <is>
          <t>(المتحقّق ÷ الإجمالي) × 100٪</t>
        </is>
      </c>
      <c r="F166" s="23" t="inlineStr">
        <is>
          <t>🔧 تشغيلي</t>
        </is>
      </c>
      <c r="G166" s="31" t="inlineStr">
        <is>
          <t>الاستدامة · جودة التشغيل</t>
        </is>
      </c>
      <c r="H166" s="23" t="inlineStr">
        <is>
          <t>العمليات الداخلية</t>
        </is>
      </c>
      <c r="I166" s="32" t="n">
        <v>0.04</v>
      </c>
      <c r="J166" s="23" t="inlineStr">
        <is>
          <t>المدير المالي</t>
        </is>
      </c>
      <c r="K166" s="31" t="inlineStr">
        <is>
          <t>نظام المحاسبة / ERP (D365)</t>
        </is>
      </c>
      <c r="L166" s="23" t="inlineStr">
        <is>
          <t>شهري</t>
        </is>
      </c>
      <c r="M166" s="23" t="inlineStr">
        <is>
          <t>الإدارة المالية</t>
        </is>
      </c>
      <c r="N166" s="33" t="n"/>
    </row>
    <row r="167" ht="30" customHeight="1">
      <c r="A167" s="23" t="n">
        <v>165</v>
      </c>
      <c r="B167" s="26" t="inlineStr">
        <is>
          <t>الإدارة المالية</t>
        </is>
      </c>
      <c r="C167" s="9" t="inlineStr">
        <is>
          <t>النسبة الجارية (Current Ratio)</t>
        </is>
      </c>
      <c r="D167" s="30" t="inlineStr">
        <is>
          <t>يقيس النسبة الجارية (Current Ratio) ضمن محور «السيولة ورأس المال»، ويعكس مساهمة الإدارة في ركيزة الاستدامة.</t>
        </is>
      </c>
      <c r="E167" s="31" t="inlineStr">
        <is>
          <t>(المتحقّق ÷ الإجمالي) × 100٪</t>
        </is>
      </c>
      <c r="F167" s="23" t="inlineStr">
        <is>
          <t>🔧 تشغيلي</t>
        </is>
      </c>
      <c r="G167" s="31" t="inlineStr">
        <is>
          <t>الاستدامة · جودة التشغيل</t>
        </is>
      </c>
      <c r="H167" s="23" t="inlineStr">
        <is>
          <t>العمليات الداخلية</t>
        </is>
      </c>
      <c r="I167" s="32" t="n">
        <v>0.04</v>
      </c>
      <c r="J167" s="23" t="inlineStr">
        <is>
          <t>المدير المالي</t>
        </is>
      </c>
      <c r="K167" s="31" t="inlineStr">
        <is>
          <t>سجلات الإدارة</t>
        </is>
      </c>
      <c r="L167" s="23" t="inlineStr">
        <is>
          <t>شهري</t>
        </is>
      </c>
      <c r="M167" s="23" t="inlineStr">
        <is>
          <t>المدير المالي</t>
        </is>
      </c>
      <c r="N167" s="33" t="n"/>
    </row>
    <row r="168" ht="30" customHeight="1">
      <c r="A168" s="23" t="n">
        <v>166</v>
      </c>
      <c r="B168" s="26" t="inlineStr">
        <is>
          <t>الإدارة المالية</t>
        </is>
      </c>
      <c r="C168" s="9" t="inlineStr">
        <is>
          <t>دورة التحويل النقدي</t>
        </is>
      </c>
      <c r="D168" s="30" t="inlineStr">
        <is>
          <t>يقيس دورة التحويل النقدي ضمن محور «السيولة ورأس المال»، ويعكس مساهمة الإدارة في ركيزة الاستدامة.</t>
        </is>
      </c>
      <c r="E168" s="31" t="inlineStr">
        <is>
          <t>متوسط يوم خلال الفترة</t>
        </is>
      </c>
      <c r="F168" s="23" t="inlineStr">
        <is>
          <t>🔧 تشغيلي</t>
        </is>
      </c>
      <c r="G168" s="31" t="inlineStr">
        <is>
          <t>الاستدامة · جودة التشغيل</t>
        </is>
      </c>
      <c r="H168" s="23" t="inlineStr">
        <is>
          <t>العمليات الداخلية</t>
        </is>
      </c>
      <c r="I168" s="32" t="n">
        <v>0.05</v>
      </c>
      <c r="J168" s="23" t="inlineStr">
        <is>
          <t>المدير المالي</t>
        </is>
      </c>
      <c r="K168" s="31" t="inlineStr">
        <is>
          <t>نظام المحاسبة / ERP (D365)</t>
        </is>
      </c>
      <c r="L168" s="23" t="inlineStr">
        <is>
          <t>شهري</t>
        </is>
      </c>
      <c r="M168" s="23" t="inlineStr">
        <is>
          <t>الإدارة المالية</t>
        </is>
      </c>
      <c r="N168" s="33" t="n"/>
    </row>
    <row r="169" ht="30" customHeight="1">
      <c r="A169" s="23" t="n">
        <v>167</v>
      </c>
      <c r="B169" s="26" t="inlineStr">
        <is>
          <t>الإدارة المالية</t>
        </is>
      </c>
      <c r="C169" s="9" t="inlineStr">
        <is>
          <t>متوسط أيام التحصيل العام (DSO)</t>
        </is>
      </c>
      <c r="D169" s="30" t="inlineStr">
        <is>
          <t>يقيس متوسط أيام التحصيل العام (DSO) ضمن محور «الذمم المدينة»، ويعكس مساهمة الإدارة في ركيزة الاستدامة.</t>
        </is>
      </c>
      <c r="E169" s="31" t="inlineStr">
        <is>
          <t>متوسط يوم خلال الفترة</t>
        </is>
      </c>
      <c r="F169" s="23" t="inlineStr">
        <is>
          <t>🎯 نتيجة</t>
        </is>
      </c>
      <c r="G169" s="31" t="inlineStr">
        <is>
          <t>الاستدامة · جودة التشغيل</t>
        </is>
      </c>
      <c r="H169" s="23" t="inlineStr">
        <is>
          <t>مالي</t>
        </is>
      </c>
      <c r="I169" s="32" t="n">
        <v>0.05</v>
      </c>
      <c r="J169" s="23" t="inlineStr">
        <is>
          <t>المدير المالي</t>
        </is>
      </c>
      <c r="K169" s="31" t="inlineStr">
        <is>
          <t>نظام المحاسبة / ERP (D365)</t>
        </is>
      </c>
      <c r="L169" s="23" t="inlineStr">
        <is>
          <t>شهري</t>
        </is>
      </c>
      <c r="M169" s="23" t="inlineStr">
        <is>
          <t>الإدارة المالية</t>
        </is>
      </c>
      <c r="N169" s="33" t="n"/>
    </row>
    <row r="170" ht="30" customHeight="1">
      <c r="A170" s="23" t="n">
        <v>168</v>
      </c>
      <c r="B170" s="26" t="inlineStr">
        <is>
          <t>الإدارة المالية</t>
        </is>
      </c>
      <c r="C170" s="9" t="inlineStr">
        <is>
          <t>نسبة التحصيل العام (الشركة)</t>
        </is>
      </c>
      <c r="D170" s="30" t="inlineStr">
        <is>
          <t>يقيس نسبة التحصيل العام (الشركة) ضمن محور «الذمم المدينة»، ويعكس مساهمة الإدارة في ركيزة الاستدامة.</t>
        </is>
      </c>
      <c r="E170" s="31" t="inlineStr">
        <is>
          <t>(المتحقّق ÷ الإجمالي) × 100٪</t>
        </is>
      </c>
      <c r="F170" s="23" t="inlineStr">
        <is>
          <t>🎯 نتيجة</t>
        </is>
      </c>
      <c r="G170" s="31" t="inlineStr">
        <is>
          <t>الاستدامة · جودة التشغيل</t>
        </is>
      </c>
      <c r="H170" s="23" t="inlineStr">
        <is>
          <t>مالي</t>
        </is>
      </c>
      <c r="I170" s="32" t="n">
        <v>0.05</v>
      </c>
      <c r="J170" s="23" t="inlineStr">
        <is>
          <t>المدير المالي</t>
        </is>
      </c>
      <c r="K170" s="31" t="inlineStr">
        <is>
          <t>نظام المحاسبة / ERP (D365)</t>
        </is>
      </c>
      <c r="L170" s="23" t="inlineStr">
        <is>
          <t>شهري</t>
        </is>
      </c>
      <c r="M170" s="23" t="inlineStr">
        <is>
          <t>الإدارة المالية</t>
        </is>
      </c>
      <c r="N170" s="33" t="n"/>
    </row>
    <row r="171" ht="30" customHeight="1">
      <c r="A171" s="23" t="n">
        <v>169</v>
      </c>
      <c r="B171" s="26" t="inlineStr">
        <is>
          <t>الإدارة المالية</t>
        </is>
      </c>
      <c r="C171" s="9" t="inlineStr">
        <is>
          <t>نسبة الذمم المتأخرة</t>
        </is>
      </c>
      <c r="D171" s="30" t="inlineStr">
        <is>
          <t>يقيس نسبة الذمم المتأخرة ضمن محور «الذمم المدينة»، ويعكس مساهمة الإدارة في ركيزة الاستدامة.</t>
        </is>
      </c>
      <c r="E171" s="31" t="inlineStr">
        <is>
          <t>(المتحقّق ÷ الإجمالي) × 100٪</t>
        </is>
      </c>
      <c r="F171" s="23" t="inlineStr">
        <is>
          <t>🔧 تشغيلي</t>
        </is>
      </c>
      <c r="G171" s="31" t="inlineStr">
        <is>
          <t>الاستدامة · جودة التشغيل</t>
        </is>
      </c>
      <c r="H171" s="23" t="inlineStr">
        <is>
          <t>العمليات الداخلية</t>
        </is>
      </c>
      <c r="I171" s="32" t="n">
        <v>0.04</v>
      </c>
      <c r="J171" s="23" t="inlineStr">
        <is>
          <t>المدير المالي</t>
        </is>
      </c>
      <c r="K171" s="31" t="inlineStr">
        <is>
          <t>نظام المحاسبة / ERP (D365)</t>
        </is>
      </c>
      <c r="L171" s="23" t="inlineStr">
        <is>
          <t>شهري</t>
        </is>
      </c>
      <c r="M171" s="23" t="inlineStr">
        <is>
          <t>الإدارة المالية</t>
        </is>
      </c>
      <c r="N171" s="33" t="n"/>
    </row>
    <row r="172" ht="30" customHeight="1">
      <c r="A172" s="23" t="n">
        <v>170</v>
      </c>
      <c r="B172" s="26" t="inlineStr">
        <is>
          <t>الإدارة المالية</t>
        </is>
      </c>
      <c r="C172" s="9" t="inlineStr">
        <is>
          <t>نسبة الديون المعدومة</t>
        </is>
      </c>
      <c r="D172" s="30" t="inlineStr">
        <is>
          <t>يقيس نسبة الديون المعدومة ضمن محور «الذمم المدينة»، ويعكس مساهمة الإدارة في ركيزة الاستدامة.</t>
        </is>
      </c>
      <c r="E172" s="31" t="inlineStr">
        <is>
          <t>(المتحقّق ÷ الإجمالي) × 100٪</t>
        </is>
      </c>
      <c r="F172" s="23" t="inlineStr">
        <is>
          <t>🔧 تشغيلي</t>
        </is>
      </c>
      <c r="G172" s="31" t="inlineStr">
        <is>
          <t>الاستدامة · جودة التشغيل</t>
        </is>
      </c>
      <c r="H172" s="23" t="inlineStr">
        <is>
          <t>العمليات الداخلية</t>
        </is>
      </c>
      <c r="I172" s="32" t="n">
        <v>0.04</v>
      </c>
      <c r="J172" s="23" t="inlineStr">
        <is>
          <t>المدير المالي</t>
        </is>
      </c>
      <c r="K172" s="31" t="inlineStr">
        <is>
          <t>نظام المحاسبة / ERP (D365)</t>
        </is>
      </c>
      <c r="L172" s="23" t="inlineStr">
        <is>
          <t>شهري</t>
        </is>
      </c>
      <c r="M172" s="23" t="inlineStr">
        <is>
          <t>الإدارة المالية</t>
        </is>
      </c>
      <c r="N172" s="33" t="n"/>
    </row>
    <row r="173" ht="30" customHeight="1">
      <c r="A173" s="23" t="n">
        <v>171</v>
      </c>
      <c r="B173" s="26" t="inlineStr">
        <is>
          <t>الإدارة المالية</t>
        </is>
      </c>
      <c r="C173" s="9" t="inlineStr">
        <is>
          <t>سداد الموردين في الموعد</t>
        </is>
      </c>
      <c r="D173" s="30" t="inlineStr">
        <is>
          <t>يقيس سداد الموردين في الموعد ضمن محور «الذمم الدائنة»، ويعكس مساهمة الإدارة في ركيزة الاستدامة.</t>
        </is>
      </c>
      <c r="E173" s="31" t="inlineStr">
        <is>
          <t>(المتحقّق ÷ الإجمالي) × 100٪</t>
        </is>
      </c>
      <c r="F173" s="23" t="inlineStr">
        <is>
          <t>🔧 تشغيلي</t>
        </is>
      </c>
      <c r="G173" s="31" t="inlineStr">
        <is>
          <t>الاستدامة · جودة التشغيل</t>
        </is>
      </c>
      <c r="H173" s="23" t="inlineStr">
        <is>
          <t>مالي</t>
        </is>
      </c>
      <c r="I173" s="32" t="n">
        <v>0.04</v>
      </c>
      <c r="J173" s="23" t="inlineStr">
        <is>
          <t>المدير المالي</t>
        </is>
      </c>
      <c r="K173" s="31" t="inlineStr">
        <is>
          <t>نظام المحاسبة / ERP (D365)</t>
        </is>
      </c>
      <c r="L173" s="23" t="inlineStr">
        <is>
          <t>شهري</t>
        </is>
      </c>
      <c r="M173" s="23" t="inlineStr">
        <is>
          <t>الإدارة المالية</t>
        </is>
      </c>
      <c r="N173" s="33" t="n"/>
    </row>
    <row r="174" ht="30" customHeight="1">
      <c r="A174" s="23" t="n">
        <v>172</v>
      </c>
      <c r="B174" s="26" t="inlineStr">
        <is>
          <t>الإدارة المالية</t>
        </is>
      </c>
      <c r="C174" s="9" t="inlineStr">
        <is>
          <t>اكتمال مطابقة حسابات الموردين</t>
        </is>
      </c>
      <c r="D174" s="30" t="inlineStr">
        <is>
          <t>يقيس اكتمال مطابقة حسابات الموردين ضمن محور «الذمم الدائنة»، ويعكس مساهمة الإدارة في ركيزة الاستدامة.</t>
        </is>
      </c>
      <c r="E174" s="31" t="inlineStr">
        <is>
          <t>(المتحقّق ÷ الإجمالي) × 100٪</t>
        </is>
      </c>
      <c r="F174" s="23" t="inlineStr">
        <is>
          <t>🎯 نتيجة</t>
        </is>
      </c>
      <c r="G174" s="31" t="inlineStr">
        <is>
          <t>الاستدامة · جودة التشغيل</t>
        </is>
      </c>
      <c r="H174" s="23" t="inlineStr">
        <is>
          <t>العمليات الداخلية</t>
        </is>
      </c>
      <c r="I174" s="32" t="n">
        <v>0.04</v>
      </c>
      <c r="J174" s="23" t="inlineStr">
        <is>
          <t>المدير المالي</t>
        </is>
      </c>
      <c r="K174" s="31" t="inlineStr">
        <is>
          <t>نظام المحاسبة / ERP (D365)</t>
        </is>
      </c>
      <c r="L174" s="23" t="inlineStr">
        <is>
          <t>شهري</t>
        </is>
      </c>
      <c r="M174" s="23" t="inlineStr">
        <is>
          <t>الإدارة المالية</t>
        </is>
      </c>
      <c r="N174" s="33" t="n"/>
    </row>
    <row r="175" ht="30" customHeight="1">
      <c r="A175" s="23" t="n">
        <v>173</v>
      </c>
      <c r="B175" s="26" t="inlineStr">
        <is>
          <t>الإدارة المالية</t>
        </is>
      </c>
      <c r="C175" s="9" t="inlineStr">
        <is>
          <t>دقة التنبؤ النقدي</t>
        </is>
      </c>
      <c r="D175" s="30" t="inlineStr">
        <is>
          <t>يقيس دقة التنبؤ النقدي ضمن محور «الخزينة»، ويعكس مساهمة الإدارة في ركيزة الاستدامة.</t>
        </is>
      </c>
      <c r="E175" s="31" t="inlineStr">
        <is>
          <t>(المتحقّق ÷ الإجمالي) × 100٪</t>
        </is>
      </c>
      <c r="F175" s="23" t="inlineStr">
        <is>
          <t>🎯 نتيجة</t>
        </is>
      </c>
      <c r="G175" s="31" t="inlineStr">
        <is>
          <t>الاستدامة · جودة التشغيل</t>
        </is>
      </c>
      <c r="H175" s="23" t="inlineStr">
        <is>
          <t>العمليات الداخلية</t>
        </is>
      </c>
      <c r="I175" s="32" t="n">
        <v>0.04</v>
      </c>
      <c r="J175" s="23" t="inlineStr">
        <is>
          <t>المدير المالي</t>
        </is>
      </c>
      <c r="K175" s="31" t="inlineStr">
        <is>
          <t>نظام المحاسبة / ERP (D365)</t>
        </is>
      </c>
      <c r="L175" s="23" t="inlineStr">
        <is>
          <t>شهري</t>
        </is>
      </c>
      <c r="M175" s="23" t="inlineStr">
        <is>
          <t>الإدارة المالية</t>
        </is>
      </c>
      <c r="N175" s="33" t="n"/>
    </row>
    <row r="176" ht="30" customHeight="1">
      <c r="A176" s="23" t="n">
        <v>174</v>
      </c>
      <c r="B176" s="26" t="inlineStr">
        <is>
          <t>الإدارة المالية</t>
        </is>
      </c>
      <c r="C176" s="9" t="inlineStr">
        <is>
          <t>تباين مخزون الوقود</t>
        </is>
      </c>
      <c r="D176" s="30" t="inlineStr">
        <is>
          <t>يقيس تباين مخزون الوقود ضمن محور «صناعة الوقود»، ويعكس مساهمة الإدارة في ركيزة الاستدامة.</t>
        </is>
      </c>
      <c r="E176" s="31" t="inlineStr">
        <is>
          <t>(المتحقّق ÷ الإجمالي) × 100٪</t>
        </is>
      </c>
      <c r="F176" s="23" t="inlineStr">
        <is>
          <t>🔧 تشغيلي</t>
        </is>
      </c>
      <c r="G176" s="31" t="inlineStr">
        <is>
          <t>الاستدامة · جودة التشغيل</t>
        </is>
      </c>
      <c r="H176" s="23" t="inlineStr">
        <is>
          <t>العمليات الداخلية</t>
        </is>
      </c>
      <c r="I176" s="32" t="n">
        <v>0.04</v>
      </c>
      <c r="J176" s="23" t="inlineStr">
        <is>
          <t>المدير المالي</t>
        </is>
      </c>
      <c r="K176" s="31" t="inlineStr">
        <is>
          <t>نظام تشغيل المحطات</t>
        </is>
      </c>
      <c r="L176" s="23" t="inlineStr">
        <is>
          <t>شهري</t>
        </is>
      </c>
      <c r="M176" s="23" t="inlineStr">
        <is>
          <t>المدير المالي</t>
        </is>
      </c>
      <c r="N176" s="33" t="n"/>
    </row>
    <row r="177" ht="30" customHeight="1">
      <c r="A177" s="23" t="n">
        <v>175</v>
      </c>
      <c r="B177" s="26" t="inlineStr">
        <is>
          <t>الإدارة المالية</t>
        </is>
      </c>
      <c r="C177" s="9" t="inlineStr">
        <is>
          <t>دقة مطابقة المخزون</t>
        </is>
      </c>
      <c r="D177" s="30" t="inlineStr">
        <is>
          <t>يقيس دقة مطابقة المخزون ضمن محور «صناعة الوقود»، ويعكس مساهمة الإدارة في ركيزة الاستدامة.</t>
        </is>
      </c>
      <c r="E177" s="31" t="inlineStr">
        <is>
          <t>(المتحقّق ÷ الإجمالي) × 100٪</t>
        </is>
      </c>
      <c r="F177" s="23" t="inlineStr">
        <is>
          <t>🎯 نتيجة</t>
        </is>
      </c>
      <c r="G177" s="31" t="inlineStr">
        <is>
          <t>الاستدامة · جودة التشغيل</t>
        </is>
      </c>
      <c r="H177" s="23" t="inlineStr">
        <is>
          <t>العمليات الداخلية</t>
        </is>
      </c>
      <c r="I177" s="32" t="n">
        <v>0.03</v>
      </c>
      <c r="J177" s="23" t="inlineStr">
        <is>
          <t>المدير المالي</t>
        </is>
      </c>
      <c r="K177" s="31" t="inlineStr">
        <is>
          <t>نظام إدارة الجودة (QMS)</t>
        </is>
      </c>
      <c r="L177" s="23" t="inlineStr">
        <is>
          <t>شهري</t>
        </is>
      </c>
      <c r="M177" s="23" t="inlineStr">
        <is>
          <t>المدير المالي</t>
        </is>
      </c>
      <c r="N177" s="33" t="n"/>
    </row>
    <row r="178" ht="30" customHeight="1">
      <c r="A178" s="23" t="n">
        <v>176</v>
      </c>
      <c r="B178" s="26" t="inlineStr">
        <is>
          <t>الإدارة المالية</t>
        </is>
      </c>
      <c r="C178" s="9" t="inlineStr">
        <is>
          <t>دقة تسوية أرامكو</t>
        </is>
      </c>
      <c r="D178" s="30" t="inlineStr">
        <is>
          <t>يقيس دقة تسوية أرامكو ضمن محور «صناعة الوقود»، ويعكس مساهمة الإدارة في ركيزة الاستدامة.</t>
        </is>
      </c>
      <c r="E178" s="31" t="inlineStr">
        <is>
          <t>(المتحقّق ÷ الإجمالي) × 100٪</t>
        </is>
      </c>
      <c r="F178" s="23" t="inlineStr">
        <is>
          <t>🎯 نتيجة</t>
        </is>
      </c>
      <c r="G178" s="31" t="inlineStr">
        <is>
          <t>الاستدامة · جودة التشغيل</t>
        </is>
      </c>
      <c r="H178" s="23" t="inlineStr">
        <is>
          <t>العمليات الداخلية</t>
        </is>
      </c>
      <c r="I178" s="32" t="n">
        <v>0.03</v>
      </c>
      <c r="J178" s="23" t="inlineStr">
        <is>
          <t>المدير المالي</t>
        </is>
      </c>
      <c r="K178" s="31" t="inlineStr">
        <is>
          <t>نظام تشغيل المحطات</t>
        </is>
      </c>
      <c r="L178" s="23" t="inlineStr">
        <is>
          <t>شهري</t>
        </is>
      </c>
      <c r="M178" s="23" t="inlineStr">
        <is>
          <t>المدير المالي</t>
        </is>
      </c>
      <c r="N178" s="33" t="n"/>
    </row>
    <row r="179" ht="30" customHeight="1">
      <c r="A179" s="23" t="n">
        <v>177</v>
      </c>
      <c r="B179" s="26" t="inlineStr">
        <is>
          <t>الإدارة المالية</t>
        </is>
      </c>
      <c r="C179" s="9" t="inlineStr">
        <is>
          <t>نسبة تحصيل الامتياز</t>
        </is>
      </c>
      <c r="D179" s="30" t="inlineStr">
        <is>
          <t>يقيس نسبة تحصيل الامتياز ضمن محور «تمويل الامتياز»، ويعكس مساهمة الإدارة في ركيزة النمو.</t>
        </is>
      </c>
      <c r="E179" s="31" t="inlineStr">
        <is>
          <t>(المتحقّق ÷ الإجمالي) × 100٪</t>
        </is>
      </c>
      <c r="F179" s="23" t="inlineStr">
        <is>
          <t>🎯 نتيجة</t>
        </is>
      </c>
      <c r="G179" s="31" t="inlineStr">
        <is>
          <t>النمو · الامتياز التجاري</t>
        </is>
      </c>
      <c r="H179" s="23" t="inlineStr">
        <is>
          <t>مالي</t>
        </is>
      </c>
      <c r="I179" s="32" t="n">
        <v>0.05</v>
      </c>
      <c r="J179" s="23" t="inlineStr">
        <is>
          <t>المدير المالي</t>
        </is>
      </c>
      <c r="K179" s="31" t="inlineStr">
        <is>
          <t>نظام المحاسبة / ERP (D365)</t>
        </is>
      </c>
      <c r="L179" s="23" t="inlineStr">
        <is>
          <t>شهري</t>
        </is>
      </c>
      <c r="M179" s="23" t="inlineStr">
        <is>
          <t>الإدارة المالية</t>
        </is>
      </c>
      <c r="N179" s="33" t="n"/>
    </row>
    <row r="180" ht="30" customHeight="1">
      <c r="A180" s="23" t="n">
        <v>178</v>
      </c>
      <c r="B180" s="26" t="inlineStr">
        <is>
          <t>الإدارة المالية</t>
        </is>
      </c>
      <c r="C180" s="9" t="inlineStr">
        <is>
          <t>أيام تحصيل رسوم الامتياز</t>
        </is>
      </c>
      <c r="D180" s="30" t="inlineStr">
        <is>
          <t>يقيس أيام تحصيل رسوم الامتياز ضمن محور «تمويل الامتياز»، ويعكس مساهمة الإدارة في ركيزة النمو.</t>
        </is>
      </c>
      <c r="E180" s="31" t="inlineStr">
        <is>
          <t>متوسط يوم خلال الفترة</t>
        </is>
      </c>
      <c r="F180" s="23" t="inlineStr">
        <is>
          <t>🎯 نتيجة</t>
        </is>
      </c>
      <c r="G180" s="31" t="inlineStr">
        <is>
          <t>النمو · الامتياز التجاري</t>
        </is>
      </c>
      <c r="H180" s="23" t="inlineStr">
        <is>
          <t>مالي</t>
        </is>
      </c>
      <c r="I180" s="32" t="n">
        <v>0.05</v>
      </c>
      <c r="J180" s="23" t="inlineStr">
        <is>
          <t>المدير المالي</t>
        </is>
      </c>
      <c r="K180" s="31" t="inlineStr">
        <is>
          <t>نظام المحاسبة / ERP (D365)</t>
        </is>
      </c>
      <c r="L180" s="23" t="inlineStr">
        <is>
          <t>شهري</t>
        </is>
      </c>
      <c r="M180" s="23" t="inlineStr">
        <is>
          <t>الإدارة المالية</t>
        </is>
      </c>
      <c r="N180" s="33" t="n"/>
    </row>
    <row r="181" ht="30" customHeight="1">
      <c r="A181" s="23" t="n">
        <v>179</v>
      </c>
      <c r="B181" s="26" t="inlineStr">
        <is>
          <t>الإدارة المالية</t>
        </is>
      </c>
      <c r="C181" s="9" t="inlineStr">
        <is>
          <t>نسبة تحصيل الإيجار</t>
        </is>
      </c>
      <c r="D181" s="30" t="inlineStr">
        <is>
          <t>يقيس نسبة تحصيل الإيجار ضمن محور «العقار والإيجار»، ويعكس مساهمة الإدارة في ركيزة الاستدامة.</t>
        </is>
      </c>
      <c r="E181" s="31" t="inlineStr">
        <is>
          <t>(المتحقّق ÷ الإجمالي) × 100٪</t>
        </is>
      </c>
      <c r="F181" s="23" t="inlineStr">
        <is>
          <t>🎯 نتيجة</t>
        </is>
      </c>
      <c r="G181" s="31" t="inlineStr">
        <is>
          <t>الاستدامة · منظومة التأجير</t>
        </is>
      </c>
      <c r="H181" s="23" t="inlineStr">
        <is>
          <t>مالي</t>
        </is>
      </c>
      <c r="I181" s="32" t="n">
        <v>0.05</v>
      </c>
      <c r="J181" s="23" t="inlineStr">
        <is>
          <t>المدير المالي</t>
        </is>
      </c>
      <c r="K181" s="31" t="inlineStr">
        <is>
          <t>نظام المحاسبة / ERP (D365)</t>
        </is>
      </c>
      <c r="L181" s="23" t="inlineStr">
        <is>
          <t>شهري</t>
        </is>
      </c>
      <c r="M181" s="23" t="inlineStr">
        <is>
          <t>الإدارة المالية</t>
        </is>
      </c>
      <c r="N181" s="33" t="n"/>
    </row>
    <row r="182" ht="30" customHeight="1">
      <c r="A182" s="23" t="n">
        <v>180</v>
      </c>
      <c r="B182" s="26" t="inlineStr">
        <is>
          <t>الإدارة المالية</t>
        </is>
      </c>
      <c r="C182" s="9" t="inlineStr">
        <is>
          <t>معدل تجديد عقود الإيجار</t>
        </is>
      </c>
      <c r="D182" s="30" t="inlineStr">
        <is>
          <t>يقيس معدل تجديد عقود الإيجار ضمن محور «العقار والإيجار»، ويعكس مساهمة الإدارة في ركيزة الاستدامة.</t>
        </is>
      </c>
      <c r="E182" s="31" t="inlineStr">
        <is>
          <t>(المتحقّق ÷ الإجمالي) × 100٪</t>
        </is>
      </c>
      <c r="F182" s="23" t="inlineStr">
        <is>
          <t>🎯 نتيجة</t>
        </is>
      </c>
      <c r="G182" s="31" t="inlineStr">
        <is>
          <t>الاستدامة · منظومة التأجير</t>
        </is>
      </c>
      <c r="H182" s="23" t="inlineStr">
        <is>
          <t>العمليات الداخلية</t>
        </is>
      </c>
      <c r="I182" s="32" t="n">
        <v>0.05</v>
      </c>
      <c r="J182" s="23" t="inlineStr">
        <is>
          <t>المدير المالي</t>
        </is>
      </c>
      <c r="K182" s="31" t="inlineStr">
        <is>
          <t>نظام إدارة العقود (CRM)</t>
        </is>
      </c>
      <c r="L182" s="23" t="inlineStr">
        <is>
          <t>شهري</t>
        </is>
      </c>
      <c r="M182" s="23" t="inlineStr">
        <is>
          <t>المدير المالي</t>
        </is>
      </c>
      <c r="N182" s="33" t="n"/>
    </row>
    <row r="183" ht="30" customHeight="1">
      <c r="A183" s="23" t="n">
        <v>181</v>
      </c>
      <c r="B183" s="26" t="inlineStr">
        <is>
          <t>الإدارة المالية</t>
        </is>
      </c>
      <c r="C183" s="9" t="inlineStr">
        <is>
          <t>انحراف الموازنة</t>
        </is>
      </c>
      <c r="D183" s="30" t="inlineStr">
        <is>
          <t>يقيس انحراف الموازنة ضمن محور «الموازنة والتقارير»، ويعكس مساهمة الإدارة في ركيزة الاستدامة.</t>
        </is>
      </c>
      <c r="E183" s="31" t="inlineStr">
        <is>
          <t>(المتحقّق ÷ الإجمالي) × 100٪</t>
        </is>
      </c>
      <c r="F183" s="23" t="inlineStr">
        <is>
          <t>🔧 تشغيلي</t>
        </is>
      </c>
      <c r="G183" s="31" t="inlineStr">
        <is>
          <t>الاستدامة · جودة التشغيل</t>
        </is>
      </c>
      <c r="H183" s="23" t="inlineStr">
        <is>
          <t>العمليات الداخلية</t>
        </is>
      </c>
      <c r="I183" s="32" t="n">
        <v>0.03</v>
      </c>
      <c r="J183" s="23" t="inlineStr">
        <is>
          <t>المدير المالي</t>
        </is>
      </c>
      <c r="K183" s="31" t="inlineStr">
        <is>
          <t>نظام المحاسبة / ERP (D365)</t>
        </is>
      </c>
      <c r="L183" s="23" t="inlineStr">
        <is>
          <t>ربعي</t>
        </is>
      </c>
      <c r="M183" s="23" t="inlineStr">
        <is>
          <t>الإدارة المالية</t>
        </is>
      </c>
      <c r="N183" s="33" t="n"/>
    </row>
    <row r="184" ht="30" customHeight="1">
      <c r="A184" s="23" t="n">
        <v>182</v>
      </c>
      <c r="B184" s="26" t="inlineStr">
        <is>
          <t>الإدارة المالية</t>
        </is>
      </c>
      <c r="C184" s="9" t="inlineStr">
        <is>
          <t>أيام الإقفال الشهري</t>
        </is>
      </c>
      <c r="D184" s="30" t="inlineStr">
        <is>
          <t>يقيس أيام الإقفال الشهري ضمن محور «الموازنة والتقارير»، ويعكس مساهمة الإدارة في ركيزة الاستدامة.</t>
        </is>
      </c>
      <c r="E184" s="31" t="inlineStr">
        <is>
          <t>متوسط يوم خلال الفترة</t>
        </is>
      </c>
      <c r="F184" s="23" t="inlineStr">
        <is>
          <t>🔧 تشغيلي</t>
        </is>
      </c>
      <c r="G184" s="31" t="inlineStr">
        <is>
          <t>الاستدامة · جودة التشغيل</t>
        </is>
      </c>
      <c r="H184" s="23" t="inlineStr">
        <is>
          <t>العمليات الداخلية</t>
        </is>
      </c>
      <c r="I184" s="32" t="n">
        <v>0.03</v>
      </c>
      <c r="J184" s="23" t="inlineStr">
        <is>
          <t>المدير المالي</t>
        </is>
      </c>
      <c r="K184" s="31" t="inlineStr">
        <is>
          <t>نظام المحاسبة / ERP (D365)</t>
        </is>
      </c>
      <c r="L184" s="23" t="inlineStr">
        <is>
          <t>شهري</t>
        </is>
      </c>
      <c r="M184" s="23" t="inlineStr">
        <is>
          <t>الإدارة المالية</t>
        </is>
      </c>
      <c r="N184" s="33" t="n"/>
    </row>
    <row r="185" ht="30" customHeight="1">
      <c r="A185" s="23" t="n">
        <v>183</v>
      </c>
      <c r="B185" s="26" t="inlineStr">
        <is>
          <t>الإدارة المالية</t>
        </is>
      </c>
      <c r="C185" s="9" t="inlineStr">
        <is>
          <t>نسبة تسويات التدقيق</t>
        </is>
      </c>
      <c r="D185" s="30" t="inlineStr">
        <is>
          <t>يقيس نسبة تسويات التدقيق ضمن محور «الموازنة والتقارير»، ويعكس مساهمة الإدارة في ركيزة الاستدامة.</t>
        </is>
      </c>
      <c r="E185" s="31" t="inlineStr">
        <is>
          <t>(المتحقّق ÷ الإجمالي) × 100٪</t>
        </is>
      </c>
      <c r="F185" s="23" t="inlineStr">
        <is>
          <t>🔧 تشغيلي</t>
        </is>
      </c>
      <c r="G185" s="31" t="inlineStr">
        <is>
          <t>الاستدامة · جودة التشغيل</t>
        </is>
      </c>
      <c r="H185" s="23" t="inlineStr">
        <is>
          <t>العمليات الداخلية</t>
        </is>
      </c>
      <c r="I185" s="32" t="n">
        <v>0.03</v>
      </c>
      <c r="J185" s="23" t="inlineStr">
        <is>
          <t>المدير المالي</t>
        </is>
      </c>
      <c r="K185" s="31" t="inlineStr">
        <is>
          <t>نظام المحاسبة / ERP (D365)</t>
        </is>
      </c>
      <c r="L185" s="23" t="inlineStr">
        <is>
          <t>ربعي</t>
        </is>
      </c>
      <c r="M185" s="23" t="inlineStr">
        <is>
          <t>الإدارة المالية</t>
        </is>
      </c>
      <c r="N185" s="33" t="n"/>
    </row>
  </sheetData>
  <autoFilter ref="A2:N185"/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4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</cols>
  <sheetData>
    <row r="1" ht="26" customHeight="1">
      <c r="A1" s="34" t="inlineStr">
        <is>
          <t>الإدارة</t>
        </is>
      </c>
      <c r="B1" s="34" t="inlineStr">
        <is>
          <t>المحور</t>
        </is>
      </c>
      <c r="C1" s="34" t="inlineStr">
        <is>
          <t>المؤشر</t>
        </is>
      </c>
      <c r="D1" s="34" t="inlineStr">
        <is>
          <t>النوع</t>
        </is>
      </c>
      <c r="E1" s="34" t="inlineStr">
        <is>
          <t>الوحدة</t>
        </is>
      </c>
      <c r="F1" s="34" t="inlineStr">
        <is>
          <t>القطبية</t>
        </is>
      </c>
      <c r="G1" s="34" t="inlineStr">
        <is>
          <t>الأولوية</t>
        </is>
      </c>
      <c r="H1" s="34" t="inlineStr">
        <is>
          <t>الوزن</t>
        </is>
      </c>
      <c r="I1" s="34" t="inlineStr">
        <is>
          <t>المستهدف</t>
        </is>
      </c>
      <c r="J1" s="34" t="inlineStr">
        <is>
          <t>المُحقَّق</t>
        </is>
      </c>
      <c r="K1" s="34" t="inlineStr">
        <is>
          <t>نسبة التحقيق</t>
        </is>
      </c>
      <c r="L1" s="34" t="inlineStr">
        <is>
          <t>الحالة</t>
        </is>
      </c>
      <c r="M1" s="34" t="inlineStr">
        <is>
          <t>الركيزة</t>
        </is>
      </c>
      <c r="N1" s="34" t="inlineStr">
        <is>
          <t>المشروع</t>
        </is>
      </c>
      <c r="O1" s="34" t="inlineStr">
        <is>
          <t>منظور BSC</t>
        </is>
      </c>
      <c r="P1" s="34" t="inlineStr">
        <is>
          <t>المالك</t>
        </is>
      </c>
      <c r="Q1" s="34" t="inlineStr">
        <is>
          <t>مصدر البيانات</t>
        </is>
      </c>
      <c r="R1" s="34" t="inlineStr">
        <is>
          <t>الدورية</t>
        </is>
      </c>
    </row>
    <row r="2">
      <c r="A2" s="22" t="inlineStr">
        <is>
          <t>الإدارة التنفيذية</t>
        </is>
      </c>
      <c r="B2" s="22" t="inlineStr">
        <is>
          <t>النمو</t>
        </is>
      </c>
      <c r="C2" s="22" t="inlineStr">
        <is>
          <t>إجمالي المحطات المشغّلة — الشركة (تراكمي)</t>
        </is>
      </c>
      <c r="D2" s="23" t="inlineStr">
        <is>
          <t>🔧 تشغيلي</t>
        </is>
      </c>
      <c r="E2" s="35" t="inlineStr">
        <is>
          <t>محطة</t>
        </is>
      </c>
      <c r="F2" s="35" t="inlineStr">
        <is>
          <t>↑</t>
        </is>
      </c>
      <c r="G2" s="23" t="inlineStr">
        <is>
          <t>🔴 رئيسي</t>
        </is>
      </c>
      <c r="H2" s="32" t="n">
        <v>0.12</v>
      </c>
      <c r="I2" s="35" t="n">
        <v>235</v>
      </c>
      <c r="J2" s="35" t="n">
        <v>206.1</v>
      </c>
      <c r="K2" s="32" t="n">
        <v>0.8770212765957447</v>
      </c>
      <c r="L2" s="14" t="inlineStr">
        <is>
          <t>🟡 قريب</t>
        </is>
      </c>
      <c r="M2" s="14" t="inlineStr">
        <is>
          <t>النمو</t>
        </is>
      </c>
      <c r="N2" s="26" t="inlineStr">
        <is>
          <t>التوسع في المواقع</t>
        </is>
      </c>
      <c r="O2" s="23" t="inlineStr">
        <is>
          <t>العمليات الداخلية</t>
        </is>
      </c>
      <c r="P2" s="23" t="inlineStr">
        <is>
          <t>الرئيس التنفيذي</t>
        </is>
      </c>
      <c r="Q2" s="26" t="inlineStr">
        <is>
          <t>نظام تشغيل المحطات</t>
        </is>
      </c>
      <c r="R2" s="23" t="inlineStr">
        <is>
          <t>شهري</t>
        </is>
      </c>
    </row>
    <row r="3">
      <c r="A3" s="22" t="inlineStr">
        <is>
          <t>الإدارة التنفيذية</t>
        </is>
      </c>
      <c r="B3" s="22" t="inlineStr">
        <is>
          <t>النمو</t>
        </is>
      </c>
      <c r="C3" s="22" t="inlineStr">
        <is>
          <t>إجمالي العقود الجديدة — الشركة</t>
        </is>
      </c>
      <c r="D3" s="23" t="inlineStr">
        <is>
          <t>🔧 تشغيلي</t>
        </is>
      </c>
      <c r="E3" s="35" t="inlineStr">
        <is>
          <t>عقد</t>
        </is>
      </c>
      <c r="F3" s="35" t="inlineStr">
        <is>
          <t>↑</t>
        </is>
      </c>
      <c r="G3" s="23" t="inlineStr">
        <is>
          <t>🔴 رئيسي</t>
        </is>
      </c>
      <c r="H3" s="32" t="n">
        <v>0.12</v>
      </c>
      <c r="I3" s="35" t="n">
        <v>357</v>
      </c>
      <c r="J3" s="35" t="n">
        <v>346.6</v>
      </c>
      <c r="K3" s="32" t="n">
        <v>0.9708683473389357</v>
      </c>
      <c r="L3" s="14" t="inlineStr">
        <is>
          <t>🟡 قريب</t>
        </is>
      </c>
      <c r="M3" s="14" t="inlineStr">
        <is>
          <t>النمو</t>
        </is>
      </c>
      <c r="N3" s="26" t="inlineStr">
        <is>
          <t>الامتياز التجاري</t>
        </is>
      </c>
      <c r="O3" s="23" t="inlineStr">
        <is>
          <t>العمليات الداخلية</t>
        </is>
      </c>
      <c r="P3" s="23" t="inlineStr">
        <is>
          <t>الرئيس التنفيذي</t>
        </is>
      </c>
      <c r="Q3" s="26" t="inlineStr">
        <is>
          <t>نظام إدارة العقود (CRM)</t>
        </is>
      </c>
      <c r="R3" s="23" t="inlineStr">
        <is>
          <t>شهري</t>
        </is>
      </c>
    </row>
    <row r="4">
      <c r="A4" s="22" t="inlineStr">
        <is>
          <t>الإدارة التنفيذية</t>
        </is>
      </c>
      <c r="B4" s="22" t="inlineStr">
        <is>
          <t>النمو</t>
        </is>
      </c>
      <c r="C4" s="22" t="inlineStr">
        <is>
          <t>إجمالي إيرادات الشركة السنوية</t>
        </is>
      </c>
      <c r="D4" s="23" t="inlineStr">
        <is>
          <t>🎯 نتيجة</t>
        </is>
      </c>
      <c r="E4" s="35" t="inlineStr">
        <is>
          <t>ر.س</t>
        </is>
      </c>
      <c r="F4" s="35" t="inlineStr">
        <is>
          <t>↑</t>
        </is>
      </c>
      <c r="G4" s="23" t="inlineStr">
        <is>
          <t>🔴 رئيسي</t>
        </is>
      </c>
      <c r="H4" s="32" t="n">
        <v>0.11</v>
      </c>
      <c r="I4" s="35" t="n"/>
      <c r="J4" s="35" t="n"/>
      <c r="K4" s="32" t="n"/>
      <c r="L4" s="14" t="inlineStr">
        <is>
          <t>⏳ بانتظار هدف</t>
        </is>
      </c>
      <c r="M4" s="14" t="inlineStr">
        <is>
          <t>النمو</t>
        </is>
      </c>
      <c r="N4" s="26" t="inlineStr">
        <is>
          <t>زيادة وصول العملاء</t>
        </is>
      </c>
      <c r="O4" s="23" t="inlineStr">
        <is>
          <t>مالي</t>
        </is>
      </c>
      <c r="P4" s="23" t="inlineStr">
        <is>
          <t>الرئيس التنفيذي</t>
        </is>
      </c>
      <c r="Q4" s="26" t="inlineStr">
        <is>
          <t>نظام المحاسبة / ERP (D365)</t>
        </is>
      </c>
      <c r="R4" s="23" t="inlineStr">
        <is>
          <t>شهري</t>
        </is>
      </c>
    </row>
    <row r="5">
      <c r="A5" s="22" t="inlineStr">
        <is>
          <t>الإدارة التنفيذية</t>
        </is>
      </c>
      <c r="B5" s="22" t="inlineStr">
        <is>
          <t>النمو</t>
        </is>
      </c>
      <c r="C5" s="22" t="inlineStr">
        <is>
          <t>نسبة نمو إيرادات الشركة (سنوي)</t>
        </is>
      </c>
      <c r="D5" s="23" t="inlineStr">
        <is>
          <t>🎯 نتيجة</t>
        </is>
      </c>
      <c r="E5" s="35" t="inlineStr">
        <is>
          <t>%</t>
        </is>
      </c>
      <c r="F5" s="35" t="inlineStr">
        <is>
          <t>↑</t>
        </is>
      </c>
      <c r="G5" s="23" t="inlineStr">
        <is>
          <t>🔴 رئيسي</t>
        </is>
      </c>
      <c r="H5" s="32" t="n">
        <v>0.11</v>
      </c>
      <c r="I5" s="35" t="n"/>
      <c r="J5" s="35" t="n"/>
      <c r="K5" s="32" t="n"/>
      <c r="L5" s="14" t="inlineStr">
        <is>
          <t>⏳ بانتظار هدف</t>
        </is>
      </c>
      <c r="M5" s="14" t="inlineStr">
        <is>
          <t>النمو</t>
        </is>
      </c>
      <c r="N5" s="26" t="inlineStr">
        <is>
          <t>زيادة وصول العملاء</t>
        </is>
      </c>
      <c r="O5" s="23" t="inlineStr">
        <is>
          <t>مالي</t>
        </is>
      </c>
      <c r="P5" s="23" t="inlineStr">
        <is>
          <t>الرئيس التنفيذي</t>
        </is>
      </c>
      <c r="Q5" s="26" t="inlineStr">
        <is>
          <t>نظام المحاسبة / ERP (D365)</t>
        </is>
      </c>
      <c r="R5" s="23" t="inlineStr">
        <is>
          <t>شهري</t>
        </is>
      </c>
    </row>
    <row r="6">
      <c r="A6" s="22" t="inlineStr">
        <is>
          <t>الإدارة التنفيذية</t>
        </is>
      </c>
      <c r="B6" s="22" t="inlineStr">
        <is>
          <t>الابتكار</t>
        </is>
      </c>
      <c r="C6" s="22" t="inlineStr">
        <is>
          <t>نسبة إنجاز مشاريع الخارطة التنفيذية</t>
        </is>
      </c>
      <c r="D6" s="23" t="inlineStr">
        <is>
          <t>⚙️ نشاط</t>
        </is>
      </c>
      <c r="E6" s="35" t="inlineStr">
        <is>
          <t>%</t>
        </is>
      </c>
      <c r="F6" s="35" t="inlineStr">
        <is>
          <t>↑</t>
        </is>
      </c>
      <c r="G6" s="23" t="inlineStr">
        <is>
          <t>🟠 مهم</t>
        </is>
      </c>
      <c r="H6" s="32" t="n">
        <v>0.08</v>
      </c>
      <c r="I6" s="35" t="n">
        <v>1</v>
      </c>
      <c r="J6" s="35" t="n">
        <v>0.906</v>
      </c>
      <c r="K6" s="32" t="n">
        <v>0.906</v>
      </c>
      <c r="L6" s="14" t="inlineStr">
        <is>
          <t>🟡 قريب</t>
        </is>
      </c>
      <c r="M6" s="14" t="inlineStr">
        <is>
          <t>الابتكار</t>
        </is>
      </c>
      <c r="N6" s="26" t="inlineStr">
        <is>
          <t>إطلاق مشاريع جديدة</t>
        </is>
      </c>
      <c r="O6" s="23" t="inlineStr">
        <is>
          <t>العمليات الداخلية</t>
        </is>
      </c>
      <c r="P6" s="23" t="inlineStr">
        <is>
          <t>الرئيس التنفيذي</t>
        </is>
      </c>
      <c r="Q6" s="26" t="inlineStr">
        <is>
          <t>سجلات الإدارة</t>
        </is>
      </c>
      <c r="R6" s="23" t="inlineStr">
        <is>
          <t>شهري</t>
        </is>
      </c>
    </row>
    <row r="7">
      <c r="A7" s="22" t="inlineStr">
        <is>
          <t>الإدارة التنفيذية</t>
        </is>
      </c>
      <c r="B7" s="22" t="inlineStr">
        <is>
          <t>الابتكار</t>
        </is>
      </c>
      <c r="C7" s="22" t="inlineStr">
        <is>
          <t>نسبة التحول الرقمي على مستوى الشركة</t>
        </is>
      </c>
      <c r="D7" s="23" t="inlineStr">
        <is>
          <t>🔧 تشغيلي</t>
        </is>
      </c>
      <c r="E7" s="35" t="inlineStr">
        <is>
          <t>%</t>
        </is>
      </c>
      <c r="F7" s="35" t="inlineStr">
        <is>
          <t>↑</t>
        </is>
      </c>
      <c r="G7" s="23" t="inlineStr">
        <is>
          <t>🟠 مهم</t>
        </is>
      </c>
      <c r="H7" s="32" t="n">
        <v>0.08</v>
      </c>
      <c r="I7" s="35" t="n">
        <v>0.9</v>
      </c>
      <c r="J7" s="35" t="n">
        <v>0.9389999999999999</v>
      </c>
      <c r="K7" s="32" t="n">
        <v>1</v>
      </c>
      <c r="L7" s="14" t="inlineStr">
        <is>
          <t>✅ محقق</t>
        </is>
      </c>
      <c r="M7" s="14" t="inlineStr">
        <is>
          <t>الابتكار</t>
        </is>
      </c>
      <c r="N7" s="26" t="inlineStr">
        <is>
          <t>التحول التقني</t>
        </is>
      </c>
      <c r="O7" s="23" t="inlineStr">
        <is>
          <t>التعلّم والنمو</t>
        </is>
      </c>
      <c r="P7" s="23" t="inlineStr">
        <is>
          <t>الرئيس التنفيذي</t>
        </is>
      </c>
      <c r="Q7" s="26" t="inlineStr">
        <is>
          <t>سجلات الإدارة</t>
        </is>
      </c>
      <c r="R7" s="23" t="inlineStr">
        <is>
          <t>شهري</t>
        </is>
      </c>
    </row>
    <row r="8">
      <c r="A8" s="22" t="inlineStr">
        <is>
          <t>الإدارة التنفيذية</t>
        </is>
      </c>
      <c r="B8" s="22" t="inlineStr">
        <is>
          <t>الاستدامة</t>
        </is>
      </c>
      <c r="C8" s="22" t="inlineStr">
        <is>
          <t>مؤشر رضا العملاء العام (الشركة)</t>
        </is>
      </c>
      <c r="D8" s="23" t="inlineStr">
        <is>
          <t>🎯 نتيجة</t>
        </is>
      </c>
      <c r="E8" s="35" t="inlineStr">
        <is>
          <t>%</t>
        </is>
      </c>
      <c r="F8" s="35" t="inlineStr">
        <is>
          <t>↑</t>
        </is>
      </c>
      <c r="G8" s="23" t="inlineStr">
        <is>
          <t>🔴 رئيسي</t>
        </is>
      </c>
      <c r="H8" s="32" t="n">
        <v>0.11</v>
      </c>
      <c r="I8" s="35" t="n">
        <v>0.9</v>
      </c>
      <c r="J8" s="35" t="n">
        <v>0.922</v>
      </c>
      <c r="K8" s="32" t="n">
        <v>1</v>
      </c>
      <c r="L8" s="14" t="inlineStr">
        <is>
          <t>✅ محقق</t>
        </is>
      </c>
      <c r="M8" s="14" t="inlineStr">
        <is>
          <t>الاستدامة</t>
        </is>
      </c>
      <c r="N8" s="26" t="inlineStr">
        <is>
          <t>تعزيز تجربة العملاء</t>
        </is>
      </c>
      <c r="O8" s="23" t="inlineStr">
        <is>
          <t>العملاء</t>
        </is>
      </c>
      <c r="P8" s="23" t="inlineStr">
        <is>
          <t>الرئيس التنفيذي</t>
        </is>
      </c>
      <c r="Q8" s="26" t="inlineStr">
        <is>
          <t>استبيان دوري</t>
        </is>
      </c>
      <c r="R8" s="23" t="inlineStr">
        <is>
          <t>ربعي</t>
        </is>
      </c>
    </row>
    <row r="9">
      <c r="A9" s="22" t="inlineStr">
        <is>
          <t>الإدارة التنفيذية</t>
        </is>
      </c>
      <c r="B9" s="22" t="inlineStr">
        <is>
          <t>الاستدامة</t>
        </is>
      </c>
      <c r="C9" s="22" t="inlineStr">
        <is>
          <t>مؤشر رضا الموظفين العام (eNPS)</t>
        </is>
      </c>
      <c r="D9" s="23" t="inlineStr">
        <is>
          <t>🎯 نتيجة</t>
        </is>
      </c>
      <c r="E9" s="35" t="inlineStr">
        <is>
          <t>نقطة</t>
        </is>
      </c>
      <c r="F9" s="35" t="inlineStr">
        <is>
          <t>↑</t>
        </is>
      </c>
      <c r="G9" s="23" t="inlineStr">
        <is>
          <t>🔴 رئيسي</t>
        </is>
      </c>
      <c r="H9" s="32" t="n">
        <v>0.11</v>
      </c>
      <c r="I9" s="35" t="n">
        <v>30</v>
      </c>
      <c r="J9" s="35" t="n">
        <v>22.5</v>
      </c>
      <c r="K9" s="32" t="n">
        <v>0.75</v>
      </c>
      <c r="L9" s="14" t="inlineStr">
        <is>
          <t>🔴 تحت الهدف</t>
        </is>
      </c>
      <c r="M9" s="14" t="inlineStr">
        <is>
          <t>الاستدامة</t>
        </is>
      </c>
      <c r="N9" s="26" t="inlineStr">
        <is>
          <t>الاستثمار في الموظفين</t>
        </is>
      </c>
      <c r="O9" s="23" t="inlineStr">
        <is>
          <t>التعلّم والنمو</t>
        </is>
      </c>
      <c r="P9" s="23" t="inlineStr">
        <is>
          <t>الرئيس التنفيذي</t>
        </is>
      </c>
      <c r="Q9" s="26" t="inlineStr">
        <is>
          <t>استبيان دوري</t>
        </is>
      </c>
      <c r="R9" s="23" t="inlineStr">
        <is>
          <t>ربعي</t>
        </is>
      </c>
    </row>
    <row r="10">
      <c r="A10" s="22" t="inlineStr">
        <is>
          <t>الإدارة التنفيذية</t>
        </is>
      </c>
      <c r="B10" s="22" t="inlineStr">
        <is>
          <t>الاستدامة</t>
        </is>
      </c>
      <c r="C10" s="22" t="inlineStr">
        <is>
          <t>نسبة تحقيق المستهدفات الاستراتيجية العامة</t>
        </is>
      </c>
      <c r="D10" s="23" t="inlineStr">
        <is>
          <t>🔧 تشغيلي</t>
        </is>
      </c>
      <c r="E10" s="35" t="inlineStr">
        <is>
          <t>%</t>
        </is>
      </c>
      <c r="F10" s="35" t="inlineStr">
        <is>
          <t>↑</t>
        </is>
      </c>
      <c r="G10" s="23" t="inlineStr">
        <is>
          <t>🟠 مهم</t>
        </is>
      </c>
      <c r="H10" s="32" t="n">
        <v>0.08</v>
      </c>
      <c r="I10" s="35" t="n">
        <v>1</v>
      </c>
      <c r="J10" s="35" t="n">
        <v>0.85</v>
      </c>
      <c r="K10" s="32" t="n">
        <v>0.85</v>
      </c>
      <c r="L10" s="14" t="inlineStr">
        <is>
          <t>🟡 قريب</t>
        </is>
      </c>
      <c r="M10" s="14" t="inlineStr">
        <is>
          <t>الاستدامة</t>
        </is>
      </c>
      <c r="N10" s="26" t="inlineStr">
        <is>
          <t>جودة التشغيل</t>
        </is>
      </c>
      <c r="O10" s="23" t="inlineStr">
        <is>
          <t>العمليات الداخلية</t>
        </is>
      </c>
      <c r="P10" s="23" t="inlineStr">
        <is>
          <t>الرئيس التنفيذي</t>
        </is>
      </c>
      <c r="Q10" s="26" t="inlineStr">
        <is>
          <t>سجلات الإدارة</t>
        </is>
      </c>
      <c r="R10" s="23" t="inlineStr">
        <is>
          <t>شهري</t>
        </is>
      </c>
    </row>
    <row r="11">
      <c r="A11" s="22" t="inlineStr">
        <is>
          <t>الإدارة التنفيذية</t>
        </is>
      </c>
      <c r="B11" s="22" t="inlineStr">
        <is>
          <t>النمو</t>
        </is>
      </c>
      <c r="C11" s="22" t="inlineStr">
        <is>
          <t>الالتزام بمعايير وزارة الطاقة (تغطية 13 منطقة)</t>
        </is>
      </c>
      <c r="D11" s="23" t="inlineStr">
        <is>
          <t>🎯 نتيجة</t>
        </is>
      </c>
      <c r="E11" s="35" t="inlineStr">
        <is>
          <t>%</t>
        </is>
      </c>
      <c r="F11" s="35" t="inlineStr">
        <is>
          <t>↑</t>
        </is>
      </c>
      <c r="G11" s="23" t="inlineStr">
        <is>
          <t>🟠 مهم</t>
        </is>
      </c>
      <c r="H11" s="32" t="n">
        <v>0.08</v>
      </c>
      <c r="I11" s="35" t="n">
        <v>1</v>
      </c>
      <c r="J11" s="35" t="n">
        <v>0.749</v>
      </c>
      <c r="K11" s="32" t="n">
        <v>0.749</v>
      </c>
      <c r="L11" s="14" t="inlineStr">
        <is>
          <t>🔴 تحت الهدف</t>
        </is>
      </c>
      <c r="M11" s="14" t="inlineStr">
        <is>
          <t>النمو</t>
        </is>
      </c>
      <c r="N11" s="26" t="inlineStr">
        <is>
          <t>التوسع في المواقع</t>
        </is>
      </c>
      <c r="O11" s="23" t="inlineStr">
        <is>
          <t>العمليات الداخلية</t>
        </is>
      </c>
      <c r="P11" s="23" t="inlineStr">
        <is>
          <t>الرئيس التنفيذي</t>
        </is>
      </c>
      <c r="Q11" s="26" t="inlineStr">
        <is>
          <t>سجلات الإدارة</t>
        </is>
      </c>
      <c r="R11" s="23" t="inlineStr">
        <is>
          <t>شهري</t>
        </is>
      </c>
    </row>
    <row r="12">
      <c r="A12" s="22" t="inlineStr">
        <is>
          <t>الامتياز التجاري</t>
        </is>
      </c>
      <c r="B12" s="22" t="inlineStr">
        <is>
          <t>النمو والتوسع</t>
        </is>
      </c>
      <c r="C12" s="22" t="inlineStr">
        <is>
          <t>عدد محطات الامتياز المشغّلة (تراكمي)</t>
        </is>
      </c>
      <c r="D12" s="23" t="inlineStr">
        <is>
          <t>⚙️ نشاط</t>
        </is>
      </c>
      <c r="E12" s="35" t="inlineStr">
        <is>
          <t>محطة</t>
        </is>
      </c>
      <c r="F12" s="35" t="inlineStr">
        <is>
          <t>↑</t>
        </is>
      </c>
      <c r="G12" s="23" t="inlineStr">
        <is>
          <t>🔴 رئيسي</t>
        </is>
      </c>
      <c r="H12" s="32" t="n">
        <v>0.04</v>
      </c>
      <c r="I12" s="35" t="n">
        <v>150</v>
      </c>
      <c r="J12" s="35" t="n">
        <v>110</v>
      </c>
      <c r="K12" s="32" t="n">
        <v>0.7333333333333333</v>
      </c>
      <c r="L12" s="14" t="inlineStr">
        <is>
          <t>🔴 تحت الهدف</t>
        </is>
      </c>
      <c r="M12" s="14" t="inlineStr">
        <is>
          <t>النمو</t>
        </is>
      </c>
      <c r="N12" s="26" t="inlineStr">
        <is>
          <t>التوسع في المواقع</t>
        </is>
      </c>
      <c r="O12" s="23" t="inlineStr">
        <is>
          <t>العمليات الداخلية</t>
        </is>
      </c>
      <c r="P12" s="23" t="inlineStr">
        <is>
          <t>مدير الامتياز</t>
        </is>
      </c>
      <c r="Q12" s="26" t="inlineStr">
        <is>
          <t>نظام إدارة العقود (CRM)</t>
        </is>
      </c>
      <c r="R12" s="23" t="inlineStr">
        <is>
          <t>شهري</t>
        </is>
      </c>
    </row>
    <row r="13">
      <c r="A13" s="22" t="inlineStr">
        <is>
          <t>الامتياز التجاري</t>
        </is>
      </c>
      <c r="B13" s="22" t="inlineStr">
        <is>
          <t>النمو والتوسع</t>
        </is>
      </c>
      <c r="C13" s="22" t="inlineStr">
        <is>
          <t>عدد عقود الامتياز الجديدة الموقّعة</t>
        </is>
      </c>
      <c r="D13" s="23" t="inlineStr">
        <is>
          <t>⚙️ نشاط</t>
        </is>
      </c>
      <c r="E13" s="35" t="inlineStr">
        <is>
          <t>عقد</t>
        </is>
      </c>
      <c r="F13" s="35" t="inlineStr">
        <is>
          <t>↑</t>
        </is>
      </c>
      <c r="G13" s="23" t="inlineStr">
        <is>
          <t>🔴 رئيسي</t>
        </is>
      </c>
      <c r="H13" s="32" t="n">
        <v>0.04</v>
      </c>
      <c r="I13" s="35" t="n">
        <v>167</v>
      </c>
      <c r="J13" s="35" t="n">
        <v>159.2</v>
      </c>
      <c r="K13" s="32" t="n">
        <v>0.9532934131736527</v>
      </c>
      <c r="L13" s="14" t="inlineStr">
        <is>
          <t>🟡 قريب</t>
        </is>
      </c>
      <c r="M13" s="14" t="inlineStr">
        <is>
          <t>النمو</t>
        </is>
      </c>
      <c r="N13" s="26" t="inlineStr">
        <is>
          <t>الامتياز التجاري</t>
        </is>
      </c>
      <c r="O13" s="23" t="inlineStr">
        <is>
          <t>العمليات الداخلية</t>
        </is>
      </c>
      <c r="P13" s="23" t="inlineStr">
        <is>
          <t>مدير الامتياز</t>
        </is>
      </c>
      <c r="Q13" s="26" t="inlineStr">
        <is>
          <t>نظام إدارة العقود (CRM)</t>
        </is>
      </c>
      <c r="R13" s="23" t="inlineStr">
        <is>
          <t>شهري</t>
        </is>
      </c>
    </row>
    <row r="14">
      <c r="A14" s="22" t="inlineStr">
        <is>
          <t>الامتياز التجاري</t>
        </is>
      </c>
      <c r="B14" s="22" t="inlineStr">
        <is>
          <t>المبيعات والأداء التجاري</t>
        </is>
      </c>
      <c r="C14" s="22" t="inlineStr">
        <is>
          <t>إجمالي مبيعات وقود محطات الامتياز</t>
        </is>
      </c>
      <c r="D14" s="23" t="inlineStr">
        <is>
          <t>🎯 نتيجة</t>
        </is>
      </c>
      <c r="E14" s="35" t="inlineStr">
        <is>
          <t>لتر</t>
        </is>
      </c>
      <c r="F14" s="35" t="inlineStr">
        <is>
          <t>↑</t>
        </is>
      </c>
      <c r="G14" s="23" t="inlineStr">
        <is>
          <t>🔴 رئيسي</t>
        </is>
      </c>
      <c r="H14" s="32" t="n">
        <v>0.04</v>
      </c>
      <c r="I14" s="35" t="n">
        <v>718838077</v>
      </c>
      <c r="J14" s="35" t="n">
        <v>576630340</v>
      </c>
      <c r="K14" s="32" t="n">
        <v>0.8021699996840874</v>
      </c>
      <c r="L14" s="14" t="inlineStr">
        <is>
          <t>🔴 تحت الهدف</t>
        </is>
      </c>
      <c r="M14" s="14" t="inlineStr">
        <is>
          <t>النمو</t>
        </is>
      </c>
      <c r="N14" s="26" t="inlineStr">
        <is>
          <t>زيادة وصول العملاء</t>
        </is>
      </c>
      <c r="O14" s="23" t="inlineStr">
        <is>
          <t>مالي</t>
        </is>
      </c>
      <c r="P14" s="23" t="inlineStr">
        <is>
          <t>مدير الامتياز</t>
        </is>
      </c>
      <c r="Q14" s="26" t="inlineStr">
        <is>
          <t>نظام إدارة العقود (CRM)</t>
        </is>
      </c>
      <c r="R14" s="23" t="inlineStr">
        <is>
          <t>شهري</t>
        </is>
      </c>
    </row>
    <row r="15">
      <c r="A15" s="22" t="inlineStr">
        <is>
          <t>الامتياز التجاري</t>
        </is>
      </c>
      <c r="B15" s="22" t="inlineStr">
        <is>
          <t>المبيعات والأداء التجاري</t>
        </is>
      </c>
      <c r="C15" s="22" t="inlineStr">
        <is>
          <t>نسبة المحطات التي حققت مستهدف المبيعات</t>
        </is>
      </c>
      <c r="D15" s="23" t="inlineStr">
        <is>
          <t>🎯 نتيجة</t>
        </is>
      </c>
      <c r="E15" s="35" t="inlineStr">
        <is>
          <t>%</t>
        </is>
      </c>
      <c r="F15" s="35" t="inlineStr">
        <is>
          <t>↑</t>
        </is>
      </c>
      <c r="G15" s="23" t="inlineStr">
        <is>
          <t>🔴 رئيسي</t>
        </is>
      </c>
      <c r="H15" s="32" t="n">
        <v>0.04</v>
      </c>
      <c r="I15" s="35" t="n">
        <v>0.9</v>
      </c>
      <c r="J15" s="35" t="n">
        <v>0.788</v>
      </c>
      <c r="K15" s="32" t="n">
        <v>0.8755555555555555</v>
      </c>
      <c r="L15" s="14" t="inlineStr">
        <is>
          <t>🟡 قريب</t>
        </is>
      </c>
      <c r="M15" s="14" t="inlineStr">
        <is>
          <t>النمو</t>
        </is>
      </c>
      <c r="N15" s="26" t="inlineStr">
        <is>
          <t>زيادة وصول العملاء</t>
        </is>
      </c>
      <c r="O15" s="23" t="inlineStr">
        <is>
          <t>مالي</t>
        </is>
      </c>
      <c r="P15" s="23" t="inlineStr">
        <is>
          <t>مدير الامتياز</t>
        </is>
      </c>
      <c r="Q15" s="26" t="inlineStr">
        <is>
          <t>نظام تشغيل المحطات</t>
        </is>
      </c>
      <c r="R15" s="23" t="inlineStr">
        <is>
          <t>شهري</t>
        </is>
      </c>
    </row>
    <row r="16">
      <c r="A16" s="22" t="inlineStr">
        <is>
          <t>الامتياز التجاري</t>
        </is>
      </c>
      <c r="B16" s="22" t="inlineStr">
        <is>
          <t>المبيعات والأداء التجاري</t>
        </is>
      </c>
      <c r="C16" s="22" t="inlineStr">
        <is>
          <t>متوسط مبيعات المحطة الواحدة شهرياً</t>
        </is>
      </c>
      <c r="D16" s="23" t="inlineStr">
        <is>
          <t>🎯 نتيجة</t>
        </is>
      </c>
      <c r="E16" s="35" t="inlineStr">
        <is>
          <t>لتر/محطة</t>
        </is>
      </c>
      <c r="F16" s="35" t="inlineStr">
        <is>
          <t>↑</t>
        </is>
      </c>
      <c r="G16" s="23" t="inlineStr">
        <is>
          <t>🔴 رئيسي</t>
        </is>
      </c>
      <c r="H16" s="32" t="n">
        <v>0.04</v>
      </c>
      <c r="I16" s="35" t="n"/>
      <c r="J16" s="35" t="n"/>
      <c r="K16" s="32" t="n"/>
      <c r="L16" s="14" t="inlineStr">
        <is>
          <t>⏳ بانتظار هدف</t>
        </is>
      </c>
      <c r="M16" s="14" t="inlineStr">
        <is>
          <t>النمو</t>
        </is>
      </c>
      <c r="N16" s="26" t="inlineStr">
        <is>
          <t>زيادة وصول العملاء</t>
        </is>
      </c>
      <c r="O16" s="23" t="inlineStr">
        <is>
          <t>مالي</t>
        </is>
      </c>
      <c r="P16" s="23" t="inlineStr">
        <is>
          <t>مدير الامتياز</t>
        </is>
      </c>
      <c r="Q16" s="26" t="inlineStr">
        <is>
          <t>نظام تشغيل المحطات</t>
        </is>
      </c>
      <c r="R16" s="23" t="inlineStr">
        <is>
          <t>شهري</t>
        </is>
      </c>
    </row>
    <row r="17">
      <c r="A17" s="22" t="inlineStr">
        <is>
          <t>الامتياز التجاري</t>
        </is>
      </c>
      <c r="B17" s="22" t="inlineStr">
        <is>
          <t>المبيعات والأداء التجاري</t>
        </is>
      </c>
      <c r="C17" s="22" t="inlineStr">
        <is>
          <t>نسبة تأجير وحدات الامتياز</t>
        </is>
      </c>
      <c r="D17" s="23" t="inlineStr">
        <is>
          <t>🔧 تشغيلي</t>
        </is>
      </c>
      <c r="E17" s="35" t="inlineStr">
        <is>
          <t>%</t>
        </is>
      </c>
      <c r="F17" s="35" t="inlineStr">
        <is>
          <t>↑</t>
        </is>
      </c>
      <c r="G17" s="23" t="inlineStr">
        <is>
          <t>🟠 مهم</t>
        </is>
      </c>
      <c r="H17" s="32" t="n">
        <v>0.03</v>
      </c>
      <c r="I17" s="35" t="n">
        <v>0.7</v>
      </c>
      <c r="J17" s="35" t="n">
        <v>0.709</v>
      </c>
      <c r="K17" s="32" t="n">
        <v>1</v>
      </c>
      <c r="L17" s="14" t="inlineStr">
        <is>
          <t>✅ محقق</t>
        </is>
      </c>
      <c r="M17" s="14" t="inlineStr">
        <is>
          <t>الاستدامة</t>
        </is>
      </c>
      <c r="N17" s="26" t="inlineStr">
        <is>
          <t>منظومة التأجير</t>
        </is>
      </c>
      <c r="O17" s="23" t="inlineStr">
        <is>
          <t>العمليات الداخلية</t>
        </is>
      </c>
      <c r="P17" s="23" t="inlineStr">
        <is>
          <t>مدير الامتياز</t>
        </is>
      </c>
      <c r="Q17" s="26" t="inlineStr">
        <is>
          <t>نظام إدارة العقود (CRM)</t>
        </is>
      </c>
      <c r="R17" s="23" t="inlineStr">
        <is>
          <t>شهري</t>
        </is>
      </c>
    </row>
    <row r="18">
      <c r="A18" s="22" t="inlineStr">
        <is>
          <t>الامتياز التجاري</t>
        </is>
      </c>
      <c r="B18" s="22" t="inlineStr">
        <is>
          <t>الأداء المالي</t>
        </is>
      </c>
      <c r="C18" s="22" t="inlineStr">
        <is>
          <t>إجمالي إيرادات إدارة الامتياز</t>
        </is>
      </c>
      <c r="D18" s="23" t="inlineStr">
        <is>
          <t>🎯 نتيجة</t>
        </is>
      </c>
      <c r="E18" s="35" t="inlineStr">
        <is>
          <t>ر.س</t>
        </is>
      </c>
      <c r="F18" s="35" t="inlineStr">
        <is>
          <t>↑</t>
        </is>
      </c>
      <c r="G18" s="23" t="inlineStr">
        <is>
          <t>🔴 رئيسي</t>
        </is>
      </c>
      <c r="H18" s="32" t="n">
        <v>0.04</v>
      </c>
      <c r="I18" s="35" t="n"/>
      <c r="J18" s="35" t="n"/>
      <c r="K18" s="32" t="n"/>
      <c r="L18" s="14" t="inlineStr">
        <is>
          <t>⏳ بانتظار هدف</t>
        </is>
      </c>
      <c r="M18" s="14" t="inlineStr">
        <is>
          <t>النمو</t>
        </is>
      </c>
      <c r="N18" s="26" t="inlineStr">
        <is>
          <t>الامتياز التجاري</t>
        </is>
      </c>
      <c r="O18" s="23" t="inlineStr">
        <is>
          <t>مالي</t>
        </is>
      </c>
      <c r="P18" s="23" t="inlineStr">
        <is>
          <t>مدير الامتياز</t>
        </is>
      </c>
      <c r="Q18" s="26" t="inlineStr">
        <is>
          <t>نظام المحاسبة / ERP (D365)</t>
        </is>
      </c>
      <c r="R18" s="23" t="inlineStr">
        <is>
          <t>شهري</t>
        </is>
      </c>
    </row>
    <row r="19">
      <c r="A19" s="22" t="inlineStr">
        <is>
          <t>الامتياز التجاري</t>
        </is>
      </c>
      <c r="B19" s="22" t="inlineStr">
        <is>
          <t>الأداء المالي</t>
        </is>
      </c>
      <c r="C19" s="22" t="inlineStr">
        <is>
          <t>رفع هامش الربحية للامتياز</t>
        </is>
      </c>
      <c r="D19" s="23" t="inlineStr">
        <is>
          <t>🎯 نتيجة</t>
        </is>
      </c>
      <c r="E19" s="35" t="inlineStr">
        <is>
          <t>هللة/لتر</t>
        </is>
      </c>
      <c r="F19" s="35" t="inlineStr">
        <is>
          <t>↑</t>
        </is>
      </c>
      <c r="G19" s="23" t="inlineStr">
        <is>
          <t>🟠 مهم</t>
        </is>
      </c>
      <c r="H19" s="32" t="n">
        <v>0.03</v>
      </c>
      <c r="I19" s="35" t="n">
        <v>1.8</v>
      </c>
      <c r="J19" s="35" t="n">
        <v>1.564</v>
      </c>
      <c r="K19" s="32" t="n">
        <v>0.8688888888888889</v>
      </c>
      <c r="L19" s="14" t="inlineStr">
        <is>
          <t>🟡 قريب</t>
        </is>
      </c>
      <c r="M19" s="14" t="inlineStr">
        <is>
          <t>النمو</t>
        </is>
      </c>
      <c r="N19" s="26" t="inlineStr">
        <is>
          <t>الامتياز التجاري</t>
        </is>
      </c>
      <c r="O19" s="23" t="inlineStr">
        <is>
          <t>مالي</t>
        </is>
      </c>
      <c r="P19" s="23" t="inlineStr">
        <is>
          <t>مدير الامتياز</t>
        </is>
      </c>
      <c r="Q19" s="26" t="inlineStr">
        <is>
          <t>نظام المحاسبة / ERP (D365)</t>
        </is>
      </c>
      <c r="R19" s="23" t="inlineStr">
        <is>
          <t>شهري</t>
        </is>
      </c>
    </row>
    <row r="20">
      <c r="A20" s="22" t="inlineStr">
        <is>
          <t>الامتياز التجاري</t>
        </is>
      </c>
      <c r="B20" s="22" t="inlineStr">
        <is>
          <t>الأداء المالي</t>
        </is>
      </c>
      <c r="C20" s="22" t="inlineStr">
        <is>
          <t>نسبة التحصيل المالي من شركاء الامتياز</t>
        </is>
      </c>
      <c r="D20" s="23" t="inlineStr">
        <is>
          <t>🎯 نتيجة</t>
        </is>
      </c>
      <c r="E20" s="35" t="inlineStr">
        <is>
          <t>%</t>
        </is>
      </c>
      <c r="F20" s="35" t="inlineStr">
        <is>
          <t>↑</t>
        </is>
      </c>
      <c r="G20" s="23" t="inlineStr">
        <is>
          <t>🔴 رئيسي</t>
        </is>
      </c>
      <c r="H20" s="32" t="n">
        <v>0.04</v>
      </c>
      <c r="I20" s="35" t="n">
        <v>0.95</v>
      </c>
      <c r="J20" s="35" t="n">
        <v>0.8120000000000001</v>
      </c>
      <c r="K20" s="32" t="n">
        <v>0.8547368421052632</v>
      </c>
      <c r="L20" s="14" t="inlineStr">
        <is>
          <t>🟡 قريب</t>
        </is>
      </c>
      <c r="M20" s="14" t="inlineStr">
        <is>
          <t>الاستدامة</t>
        </is>
      </c>
      <c r="N20" s="26" t="inlineStr">
        <is>
          <t>جودة التشغيل</t>
        </is>
      </c>
      <c r="O20" s="23" t="inlineStr">
        <is>
          <t>مالي</t>
        </is>
      </c>
      <c r="P20" s="23" t="inlineStr">
        <is>
          <t>مدير الامتياز</t>
        </is>
      </c>
      <c r="Q20" s="26" t="inlineStr">
        <is>
          <t>نظام المحاسبة / ERP (D365)</t>
        </is>
      </c>
      <c r="R20" s="23" t="inlineStr">
        <is>
          <t>شهري</t>
        </is>
      </c>
    </row>
    <row r="21">
      <c r="A21" s="22" t="inlineStr">
        <is>
          <t>الامتياز التجاري</t>
        </is>
      </c>
      <c r="B21" s="22" t="inlineStr">
        <is>
          <t>الأداء المالي</t>
        </is>
      </c>
      <c r="C21" s="22" t="inlineStr">
        <is>
          <t>متوسط أيام تحصيل شركاء الامتياز (DSO)</t>
        </is>
      </c>
      <c r="D21" s="23" t="inlineStr">
        <is>
          <t>🎯 نتيجة</t>
        </is>
      </c>
      <c r="E21" s="35" t="inlineStr">
        <is>
          <t>يوم</t>
        </is>
      </c>
      <c r="F21" s="35" t="inlineStr">
        <is>
          <t>↓</t>
        </is>
      </c>
      <c r="G21" s="23" t="inlineStr">
        <is>
          <t>🔴 رئيسي</t>
        </is>
      </c>
      <c r="H21" s="32" t="n">
        <v>0.04</v>
      </c>
      <c r="I21" s="35" t="n">
        <v>30</v>
      </c>
      <c r="J21" s="35" t="n">
        <v>26.2</v>
      </c>
      <c r="K21" s="32" t="n">
        <v>1</v>
      </c>
      <c r="L21" s="14" t="inlineStr">
        <is>
          <t>✅ محقق</t>
        </is>
      </c>
      <c r="M21" s="14" t="inlineStr">
        <is>
          <t>الاستدامة</t>
        </is>
      </c>
      <c r="N21" s="26" t="inlineStr">
        <is>
          <t>جودة التشغيل</t>
        </is>
      </c>
      <c r="O21" s="23" t="inlineStr">
        <is>
          <t>مالي</t>
        </is>
      </c>
      <c r="P21" s="23" t="inlineStr">
        <is>
          <t>مدير الامتياز</t>
        </is>
      </c>
      <c r="Q21" s="26" t="inlineStr">
        <is>
          <t>نظام المحاسبة / ERP (D365)</t>
        </is>
      </c>
      <c r="R21" s="23" t="inlineStr">
        <is>
          <t>شهري</t>
        </is>
      </c>
    </row>
    <row r="22">
      <c r="A22" s="22" t="inlineStr">
        <is>
          <t>الامتياز التجاري</t>
        </is>
      </c>
      <c r="B22" s="22" t="inlineStr">
        <is>
          <t>الأداء المالي</t>
        </is>
      </c>
      <c r="C22" s="22" t="inlineStr">
        <is>
          <t>إجمالي المستحقات المتأخرة (+30 يوم)</t>
        </is>
      </c>
      <c r="D22" s="23" t="inlineStr">
        <is>
          <t>🔧 تشغيلي</t>
        </is>
      </c>
      <c r="E22" s="35" t="inlineStr">
        <is>
          <t>ر.س</t>
        </is>
      </c>
      <c r="F22" s="35" t="inlineStr">
        <is>
          <t>↓</t>
        </is>
      </c>
      <c r="G22" s="23" t="inlineStr">
        <is>
          <t>🟠 مهم</t>
        </is>
      </c>
      <c r="H22" s="32" t="n">
        <v>0.03</v>
      </c>
      <c r="I22" s="35" t="n"/>
      <c r="J22" s="35" t="n"/>
      <c r="K22" s="32" t="n"/>
      <c r="L22" s="14" t="inlineStr">
        <is>
          <t>⏳ بانتظار هدف</t>
        </is>
      </c>
      <c r="M22" s="14" t="inlineStr">
        <is>
          <t>الاستدامة</t>
        </is>
      </c>
      <c r="N22" s="26" t="inlineStr">
        <is>
          <t>جودة التشغيل</t>
        </is>
      </c>
      <c r="O22" s="23" t="inlineStr">
        <is>
          <t>مالي</t>
        </is>
      </c>
      <c r="P22" s="23" t="inlineStr">
        <is>
          <t>مدير الامتياز</t>
        </is>
      </c>
      <c r="Q22" s="26" t="inlineStr">
        <is>
          <t>نظام المحاسبة / ERP (D365)</t>
        </is>
      </c>
      <c r="R22" s="23" t="inlineStr">
        <is>
          <t>شهري</t>
        </is>
      </c>
    </row>
    <row r="23">
      <c r="A23" s="22" t="inlineStr">
        <is>
          <t>الامتياز التجاري</t>
        </is>
      </c>
      <c r="B23" s="22" t="inlineStr">
        <is>
          <t>الأداء المالي</t>
        </is>
      </c>
      <c r="C23" s="22" t="inlineStr">
        <is>
          <t>نسبة الشركاء الملتزمين بمواعيد السداد</t>
        </is>
      </c>
      <c r="D23" s="23" t="inlineStr">
        <is>
          <t>🔧 تشغيلي</t>
        </is>
      </c>
      <c r="E23" s="35" t="inlineStr">
        <is>
          <t>%</t>
        </is>
      </c>
      <c r="F23" s="35" t="inlineStr">
        <is>
          <t>↑</t>
        </is>
      </c>
      <c r="G23" s="23" t="inlineStr">
        <is>
          <t>🟠 مهم</t>
        </is>
      </c>
      <c r="H23" s="32" t="n">
        <v>0.03</v>
      </c>
      <c r="I23" s="35" t="n">
        <v>0.9</v>
      </c>
      <c r="J23" s="35" t="n">
        <v>0.705</v>
      </c>
      <c r="K23" s="32" t="n">
        <v>0.7833333333333332</v>
      </c>
      <c r="L23" s="14" t="inlineStr">
        <is>
          <t>🔴 تحت الهدف</t>
        </is>
      </c>
      <c r="M23" s="14" t="inlineStr">
        <is>
          <t>الاستدامة</t>
        </is>
      </c>
      <c r="N23" s="26" t="inlineStr">
        <is>
          <t>جودة التشغيل</t>
        </is>
      </c>
      <c r="O23" s="23" t="inlineStr">
        <is>
          <t>مالي</t>
        </is>
      </c>
      <c r="P23" s="23" t="inlineStr">
        <is>
          <t>مدير الامتياز</t>
        </is>
      </c>
      <c r="Q23" s="26" t="inlineStr">
        <is>
          <t>نظام المحاسبة / ERP (D365)</t>
        </is>
      </c>
      <c r="R23" s="23" t="inlineStr">
        <is>
          <t>شهري</t>
        </is>
      </c>
    </row>
    <row r="24">
      <c r="A24" s="22" t="inlineStr">
        <is>
          <t>الامتياز التجاري</t>
        </is>
      </c>
      <c r="B24" s="22" t="inlineStr">
        <is>
          <t>الأداء المالي</t>
        </is>
      </c>
      <c r="C24" s="22" t="inlineStr">
        <is>
          <t>معدل دوران رأس المال (أيام الدورة)</t>
        </is>
      </c>
      <c r="D24" s="23" t="inlineStr">
        <is>
          <t>🔧 تشغيلي</t>
        </is>
      </c>
      <c r="E24" s="35" t="inlineStr">
        <is>
          <t>يوم</t>
        </is>
      </c>
      <c r="F24" s="35" t="inlineStr">
        <is>
          <t>↓</t>
        </is>
      </c>
      <c r="G24" s="23" t="inlineStr">
        <is>
          <t>🟠 مهم</t>
        </is>
      </c>
      <c r="H24" s="32" t="n">
        <v>0.03</v>
      </c>
      <c r="I24" s="35" t="n">
        <v>5</v>
      </c>
      <c r="J24" s="35" t="n">
        <v>4.329</v>
      </c>
      <c r="K24" s="32" t="n">
        <v>1</v>
      </c>
      <c r="L24" s="14" t="inlineStr">
        <is>
          <t>✅ محقق</t>
        </is>
      </c>
      <c r="M24" s="14" t="inlineStr">
        <is>
          <t>الاستدامة</t>
        </is>
      </c>
      <c r="N24" s="26" t="inlineStr">
        <is>
          <t>جودة التشغيل</t>
        </is>
      </c>
      <c r="O24" s="23" t="inlineStr">
        <is>
          <t>مالي</t>
        </is>
      </c>
      <c r="P24" s="23" t="inlineStr">
        <is>
          <t>مدير الامتياز</t>
        </is>
      </c>
      <c r="Q24" s="26" t="inlineStr">
        <is>
          <t>نظام الموارد البشرية (HRMS)</t>
        </is>
      </c>
      <c r="R24" s="23" t="inlineStr">
        <is>
          <t>شهري</t>
        </is>
      </c>
    </row>
    <row r="25">
      <c r="A25" s="22" t="inlineStr">
        <is>
          <t>الامتياز التجاري</t>
        </is>
      </c>
      <c r="B25" s="22" t="inlineStr">
        <is>
          <t>التشغيل والجودة</t>
        </is>
      </c>
      <c r="C25" s="22" t="inlineStr">
        <is>
          <t>نسبة جاهزية محطات الامتياز (صفر انقطاع)</t>
        </is>
      </c>
      <c r="D25" s="23" t="inlineStr">
        <is>
          <t>🎯 نتيجة</t>
        </is>
      </c>
      <c r="E25" s="35" t="inlineStr">
        <is>
          <t>%</t>
        </is>
      </c>
      <c r="F25" s="35" t="inlineStr">
        <is>
          <t>↑</t>
        </is>
      </c>
      <c r="G25" s="23" t="inlineStr">
        <is>
          <t>🔴 رئيسي</t>
        </is>
      </c>
      <c r="H25" s="32" t="n">
        <v>0.04</v>
      </c>
      <c r="I25" s="35" t="n">
        <v>0.99</v>
      </c>
      <c r="J25" s="35" t="n">
        <v>1</v>
      </c>
      <c r="K25" s="32" t="n">
        <v>1</v>
      </c>
      <c r="L25" s="14" t="inlineStr">
        <is>
          <t>✅ محقق</t>
        </is>
      </c>
      <c r="M25" s="14" t="inlineStr">
        <is>
          <t>الاستدامة</t>
        </is>
      </c>
      <c r="N25" s="26" t="inlineStr">
        <is>
          <t>جودة التشغيل</t>
        </is>
      </c>
      <c r="O25" s="23" t="inlineStr">
        <is>
          <t>العمليات الداخلية</t>
        </is>
      </c>
      <c r="P25" s="23" t="inlineStr">
        <is>
          <t>مدير الامتياز</t>
        </is>
      </c>
      <c r="Q25" s="26" t="inlineStr">
        <is>
          <t>نظام إدارة الجودة (QMS)</t>
        </is>
      </c>
      <c r="R25" s="23" t="inlineStr">
        <is>
          <t>شهري</t>
        </is>
      </c>
    </row>
    <row r="26">
      <c r="A26" s="22" t="inlineStr">
        <is>
          <t>الامتياز التجاري</t>
        </is>
      </c>
      <c r="B26" s="22" t="inlineStr">
        <is>
          <t>التشغيل والجودة</t>
        </is>
      </c>
      <c r="C26" s="22" t="inlineStr">
        <is>
          <t>عدد حالات انقطاع الوقود الموثّقة</t>
        </is>
      </c>
      <c r="D26" s="23" t="inlineStr">
        <is>
          <t>⚙️ نشاط</t>
        </is>
      </c>
      <c r="E26" s="35" t="inlineStr">
        <is>
          <t>حالة</t>
        </is>
      </c>
      <c r="F26" s="35" t="inlineStr">
        <is>
          <t>↓</t>
        </is>
      </c>
      <c r="G26" s="23" t="inlineStr">
        <is>
          <t>🟠 مهم</t>
        </is>
      </c>
      <c r="H26" s="32" t="n">
        <v>0.03</v>
      </c>
      <c r="I26" s="35" t="n">
        <v>0</v>
      </c>
      <c r="J26" s="35" t="n"/>
      <c r="K26" s="32" t="n"/>
      <c r="L26" s="14" t="inlineStr">
        <is>
          <t>⏳ بانتظار هدف</t>
        </is>
      </c>
      <c r="M26" s="14" t="inlineStr">
        <is>
          <t>الاستدامة</t>
        </is>
      </c>
      <c r="N26" s="26" t="inlineStr">
        <is>
          <t>جودة التشغيل</t>
        </is>
      </c>
      <c r="O26" s="23" t="inlineStr">
        <is>
          <t>العمليات الداخلية</t>
        </is>
      </c>
      <c r="P26" s="23" t="inlineStr">
        <is>
          <t>مدير الامتياز</t>
        </is>
      </c>
      <c r="Q26" s="26" t="inlineStr">
        <is>
          <t>نظام إدارة الجودة (QMS)</t>
        </is>
      </c>
      <c r="R26" s="23" t="inlineStr">
        <is>
          <t>شهري</t>
        </is>
      </c>
    </row>
    <row r="27">
      <c r="A27" s="22" t="inlineStr">
        <is>
          <t>الامتياز التجاري</t>
        </is>
      </c>
      <c r="B27" s="22" t="inlineStr">
        <is>
          <t>التشغيل والجودة</t>
        </is>
      </c>
      <c r="C27" s="22" t="inlineStr">
        <is>
          <t>نسبة إغلاق ملاحظات الجودة الميدانية</t>
        </is>
      </c>
      <c r="D27" s="23" t="inlineStr">
        <is>
          <t>🎯 نتيجة</t>
        </is>
      </c>
      <c r="E27" s="35" t="inlineStr">
        <is>
          <t>%</t>
        </is>
      </c>
      <c r="F27" s="35" t="inlineStr">
        <is>
          <t>↑</t>
        </is>
      </c>
      <c r="G27" s="23" t="inlineStr">
        <is>
          <t>🟠 مهم</t>
        </is>
      </c>
      <c r="H27" s="32" t="n">
        <v>0.03</v>
      </c>
      <c r="I27" s="35" t="n">
        <v>0.95</v>
      </c>
      <c r="J27" s="35" t="n">
        <v>0.879</v>
      </c>
      <c r="K27" s="32" t="n">
        <v>0.9252631578947369</v>
      </c>
      <c r="L27" s="14" t="inlineStr">
        <is>
          <t>🟡 قريب</t>
        </is>
      </c>
      <c r="M27" s="14" t="inlineStr">
        <is>
          <t>الاستدامة</t>
        </is>
      </c>
      <c r="N27" s="26" t="inlineStr">
        <is>
          <t>جودة التشغيل</t>
        </is>
      </c>
      <c r="O27" s="23" t="inlineStr">
        <is>
          <t>العمليات الداخلية</t>
        </is>
      </c>
      <c r="P27" s="23" t="inlineStr">
        <is>
          <t>مدير الامتياز</t>
        </is>
      </c>
      <c r="Q27" s="26" t="inlineStr">
        <is>
          <t>نظام إدارة الجودة (QMS)</t>
        </is>
      </c>
      <c r="R27" s="23" t="inlineStr">
        <is>
          <t>شهري</t>
        </is>
      </c>
    </row>
    <row r="28">
      <c r="A28" s="22" t="inlineStr">
        <is>
          <t>الامتياز التجاري</t>
        </is>
      </c>
      <c r="B28" s="22" t="inlineStr">
        <is>
          <t>التشغيل والجودة</t>
        </is>
      </c>
      <c r="C28" s="22" t="inlineStr">
        <is>
          <t>متوسط درجة تقييم جودة المحطة (قائمة التحقق)</t>
        </is>
      </c>
      <c r="D28" s="23" t="inlineStr">
        <is>
          <t>🎯 نتيجة</t>
        </is>
      </c>
      <c r="E28" s="35" t="inlineStr">
        <is>
          <t>درجة/100</t>
        </is>
      </c>
      <c r="F28" s="35" t="inlineStr">
        <is>
          <t>↑</t>
        </is>
      </c>
      <c r="G28" s="23" t="inlineStr">
        <is>
          <t>🔴 رئيسي</t>
        </is>
      </c>
      <c r="H28" s="32" t="n">
        <v>0.04</v>
      </c>
      <c r="I28" s="35" t="n">
        <v>85</v>
      </c>
      <c r="J28" s="35" t="n">
        <v>78.8</v>
      </c>
      <c r="K28" s="32" t="n">
        <v>0.9270588235294117</v>
      </c>
      <c r="L28" s="14" t="inlineStr">
        <is>
          <t>🟡 قريب</t>
        </is>
      </c>
      <c r="M28" s="14" t="inlineStr">
        <is>
          <t>الاستدامة</t>
        </is>
      </c>
      <c r="N28" s="26" t="inlineStr">
        <is>
          <t>جودة التشغيل</t>
        </is>
      </c>
      <c r="O28" s="23" t="inlineStr">
        <is>
          <t>العمليات الداخلية</t>
        </is>
      </c>
      <c r="P28" s="23" t="inlineStr">
        <is>
          <t>مدير الامتياز</t>
        </is>
      </c>
      <c r="Q28" s="26" t="inlineStr">
        <is>
          <t>نظام إدارة الجودة (QMS)</t>
        </is>
      </c>
      <c r="R28" s="23" t="inlineStr">
        <is>
          <t>شهري</t>
        </is>
      </c>
    </row>
    <row r="29">
      <c r="A29" s="22" t="inlineStr">
        <is>
          <t>الامتياز التجاري</t>
        </is>
      </c>
      <c r="B29" s="22" t="inlineStr">
        <is>
          <t>التشغيل والجودة</t>
        </is>
      </c>
      <c r="C29" s="22" t="inlineStr">
        <is>
          <t>نسبة تنفيذ الزيارات الميدانية المجدولة</t>
        </is>
      </c>
      <c r="D29" s="23" t="inlineStr">
        <is>
          <t>⚙️ نشاط</t>
        </is>
      </c>
      <c r="E29" s="35" t="inlineStr">
        <is>
          <t>%</t>
        </is>
      </c>
      <c r="F29" s="35" t="inlineStr">
        <is>
          <t>↑</t>
        </is>
      </c>
      <c r="G29" s="23" t="inlineStr">
        <is>
          <t>🟠 مهم</t>
        </is>
      </c>
      <c r="H29" s="32" t="n">
        <v>0.03</v>
      </c>
      <c r="I29" s="35" t="n">
        <v>1</v>
      </c>
      <c r="J29" s="35" t="n">
        <v>1.034</v>
      </c>
      <c r="K29" s="32" t="n">
        <v>1</v>
      </c>
      <c r="L29" s="14" t="inlineStr">
        <is>
          <t>✅ محقق</t>
        </is>
      </c>
      <c r="M29" s="14" t="inlineStr">
        <is>
          <t>الاستدامة</t>
        </is>
      </c>
      <c r="N29" s="26" t="inlineStr">
        <is>
          <t>جودة التشغيل</t>
        </is>
      </c>
      <c r="O29" s="23" t="inlineStr">
        <is>
          <t>العمليات الداخلية</t>
        </is>
      </c>
      <c r="P29" s="23" t="inlineStr">
        <is>
          <t>مدير الامتياز</t>
        </is>
      </c>
      <c r="Q29" s="26" t="inlineStr">
        <is>
          <t>نظام إدارة الجودة (QMS)</t>
        </is>
      </c>
      <c r="R29" s="23" t="inlineStr">
        <is>
          <t>شهري</t>
        </is>
      </c>
    </row>
    <row r="30">
      <c r="A30" s="22" t="inlineStr">
        <is>
          <t>الامتياز التجاري</t>
        </is>
      </c>
      <c r="B30" s="22" t="inlineStr">
        <is>
          <t>التشغيل والجودة</t>
        </is>
      </c>
      <c r="C30" s="22" t="inlineStr">
        <is>
          <t>نسبة المحطات المستوفية لمعايير السلامة</t>
        </is>
      </c>
      <c r="D30" s="23" t="inlineStr">
        <is>
          <t>🎯 نتيجة</t>
        </is>
      </c>
      <c r="E30" s="35" t="inlineStr">
        <is>
          <t>%</t>
        </is>
      </c>
      <c r="F30" s="35" t="inlineStr">
        <is>
          <t>↑</t>
        </is>
      </c>
      <c r="G30" s="23" t="inlineStr">
        <is>
          <t>🔴 رئيسي</t>
        </is>
      </c>
      <c r="H30" s="32" t="n">
        <v>0.04</v>
      </c>
      <c r="I30" s="35" t="n">
        <v>1</v>
      </c>
      <c r="J30" s="35" t="n">
        <v>0.911</v>
      </c>
      <c r="K30" s="32" t="n">
        <v>0.911</v>
      </c>
      <c r="L30" s="14" t="inlineStr">
        <is>
          <t>🟡 قريب</t>
        </is>
      </c>
      <c r="M30" s="14" t="inlineStr">
        <is>
          <t>الاستدامة</t>
        </is>
      </c>
      <c r="N30" s="26" t="inlineStr">
        <is>
          <t>جودة التشغيل</t>
        </is>
      </c>
      <c r="O30" s="23" t="inlineStr">
        <is>
          <t>العمليات الداخلية</t>
        </is>
      </c>
      <c r="P30" s="23" t="inlineStr">
        <is>
          <t>مدير الامتياز</t>
        </is>
      </c>
      <c r="Q30" s="26" t="inlineStr">
        <is>
          <t>نظام إدارة الجودة (QMS)</t>
        </is>
      </c>
      <c r="R30" s="23" t="inlineStr">
        <is>
          <t>شهري</t>
        </is>
      </c>
    </row>
    <row r="31">
      <c r="A31" s="22" t="inlineStr">
        <is>
          <t>الامتياز التجاري</t>
        </is>
      </c>
      <c r="B31" s="22" t="inlineStr">
        <is>
          <t>التشغيل والجودة</t>
        </is>
      </c>
      <c r="C31" s="22" t="inlineStr">
        <is>
          <t>متوسط وقت معالجة البلاغات التشغيلية</t>
        </is>
      </c>
      <c r="D31" s="23" t="inlineStr">
        <is>
          <t>🎯 نتيجة</t>
        </is>
      </c>
      <c r="E31" s="35" t="inlineStr">
        <is>
          <t>ساعة</t>
        </is>
      </c>
      <c r="F31" s="35" t="inlineStr">
        <is>
          <t>↓</t>
        </is>
      </c>
      <c r="G31" s="23" t="inlineStr">
        <is>
          <t>🟠 مهم</t>
        </is>
      </c>
      <c r="H31" s="32" t="n">
        <v>0.03</v>
      </c>
      <c r="I31" s="35" t="n">
        <v>24</v>
      </c>
      <c r="J31" s="35" t="n">
        <v>26.2</v>
      </c>
      <c r="K31" s="32" t="n">
        <v>0.916030534351145</v>
      </c>
      <c r="L31" s="14" t="inlineStr">
        <is>
          <t>🟡 قريب</t>
        </is>
      </c>
      <c r="M31" s="14" t="inlineStr">
        <is>
          <t>الاستدامة</t>
        </is>
      </c>
      <c r="N31" s="26" t="inlineStr">
        <is>
          <t>جودة التشغيل</t>
        </is>
      </c>
      <c r="O31" s="23" t="inlineStr">
        <is>
          <t>العمليات الداخلية</t>
        </is>
      </c>
      <c r="P31" s="23" t="inlineStr">
        <is>
          <t>مدير الامتياز</t>
        </is>
      </c>
      <c r="Q31" s="26" t="inlineStr">
        <is>
          <t>نظام إدارة الجودة (QMS)</t>
        </is>
      </c>
      <c r="R31" s="23" t="inlineStr">
        <is>
          <t>شهري</t>
        </is>
      </c>
    </row>
    <row r="32">
      <c r="A32" s="22" t="inlineStr">
        <is>
          <t>الامتياز التجاري</t>
        </is>
      </c>
      <c r="B32" s="22" t="inlineStr">
        <is>
          <t>التشغيل والجودة</t>
        </is>
      </c>
      <c r="C32" s="22" t="inlineStr">
        <is>
          <t>نسبة أتمتة محطات الامتياز</t>
        </is>
      </c>
      <c r="D32" s="23" t="inlineStr">
        <is>
          <t>🔧 تشغيلي</t>
        </is>
      </c>
      <c r="E32" s="35" t="inlineStr">
        <is>
          <t>%</t>
        </is>
      </c>
      <c r="F32" s="35" t="inlineStr">
        <is>
          <t>↑</t>
        </is>
      </c>
      <c r="G32" s="23" t="inlineStr">
        <is>
          <t>🔴 رئيسي</t>
        </is>
      </c>
      <c r="H32" s="32" t="n">
        <v>0.04</v>
      </c>
      <c r="I32" s="35" t="n">
        <v>0.9</v>
      </c>
      <c r="J32" s="35" t="n">
        <v>0.674</v>
      </c>
      <c r="K32" s="32" t="n">
        <v>0.7488888888888889</v>
      </c>
      <c r="L32" s="14" t="inlineStr">
        <is>
          <t>🔴 تحت الهدف</t>
        </is>
      </c>
      <c r="M32" s="14" t="inlineStr">
        <is>
          <t>الابتكار</t>
        </is>
      </c>
      <c r="N32" s="26" t="inlineStr">
        <is>
          <t>التحول التقني</t>
        </is>
      </c>
      <c r="O32" s="23" t="inlineStr">
        <is>
          <t>التعلّم والنمو</t>
        </is>
      </c>
      <c r="P32" s="23" t="inlineStr">
        <is>
          <t>مدير الامتياز</t>
        </is>
      </c>
      <c r="Q32" s="26" t="inlineStr">
        <is>
          <t>مكتب إدارة المشاريع (PMO)</t>
        </is>
      </c>
      <c r="R32" s="23" t="inlineStr">
        <is>
          <t>شهري</t>
        </is>
      </c>
    </row>
    <row r="33">
      <c r="A33" s="22" t="inlineStr">
        <is>
          <t>الامتياز التجاري</t>
        </is>
      </c>
      <c r="B33" s="22" t="inlineStr">
        <is>
          <t>التشغيل والجودة</t>
        </is>
      </c>
      <c r="C33" s="22" t="inlineStr">
        <is>
          <t>نسبة تطبيق المعيار الشامل داخل المحطات</t>
        </is>
      </c>
      <c r="D33" s="23" t="inlineStr">
        <is>
          <t>🔧 تشغيلي</t>
        </is>
      </c>
      <c r="E33" s="35" t="inlineStr">
        <is>
          <t>%</t>
        </is>
      </c>
      <c r="F33" s="35" t="inlineStr">
        <is>
          <t>↑</t>
        </is>
      </c>
      <c r="G33" s="23" t="inlineStr">
        <is>
          <t>🟡 متابعة</t>
        </is>
      </c>
      <c r="H33" s="32" t="n">
        <v>0.01</v>
      </c>
      <c r="I33" s="35" t="n">
        <v>0.3</v>
      </c>
      <c r="J33" s="35" t="n">
        <v>0.299</v>
      </c>
      <c r="K33" s="32" t="n">
        <v>0.9966666666666667</v>
      </c>
      <c r="L33" s="14" t="inlineStr">
        <is>
          <t>🟡 قريب</t>
        </is>
      </c>
      <c r="M33" s="14" t="inlineStr">
        <is>
          <t>الابتكار</t>
        </is>
      </c>
      <c r="N33" s="26" t="inlineStr">
        <is>
          <t>التحول التقني</t>
        </is>
      </c>
      <c r="O33" s="23" t="inlineStr">
        <is>
          <t>التعلّم والنمو</t>
        </is>
      </c>
      <c r="P33" s="23" t="inlineStr">
        <is>
          <t>مدير الامتياز</t>
        </is>
      </c>
      <c r="Q33" s="26" t="inlineStr">
        <is>
          <t>نظام إدارة الجودة (QMS)</t>
        </is>
      </c>
      <c r="R33" s="23" t="inlineStr">
        <is>
          <t>شهري</t>
        </is>
      </c>
    </row>
    <row r="34">
      <c r="A34" s="22" t="inlineStr">
        <is>
          <t>الامتياز التجاري</t>
        </is>
      </c>
      <c r="B34" s="22" t="inlineStr">
        <is>
          <t>الهوية والتسويق</t>
        </is>
      </c>
      <c r="C34" s="22" t="inlineStr">
        <is>
          <t>نسبة التزام المحطات بالهوية المؤسسية</t>
        </is>
      </c>
      <c r="D34" s="23" t="inlineStr">
        <is>
          <t>🎯 نتيجة</t>
        </is>
      </c>
      <c r="E34" s="35" t="inlineStr">
        <is>
          <t>%</t>
        </is>
      </c>
      <c r="F34" s="35" t="inlineStr">
        <is>
          <t>↑</t>
        </is>
      </c>
      <c r="G34" s="23" t="inlineStr">
        <is>
          <t>🔴 رئيسي</t>
        </is>
      </c>
      <c r="H34" s="32" t="n">
        <v>0.04</v>
      </c>
      <c r="I34" s="35" t="n">
        <v>0.55</v>
      </c>
      <c r="J34" s="35" t="n">
        <v>0.44</v>
      </c>
      <c r="K34" s="32" t="n">
        <v>0.7999999999999999</v>
      </c>
      <c r="L34" s="14" t="inlineStr">
        <is>
          <t>🔴 تحت الهدف</t>
        </is>
      </c>
      <c r="M34" s="14" t="inlineStr">
        <is>
          <t>الابتكار</t>
        </is>
      </c>
      <c r="N34" s="26" t="inlineStr">
        <is>
          <t>تطوير التصاميم والهوية</t>
        </is>
      </c>
      <c r="O34" s="23" t="inlineStr">
        <is>
          <t>التعلّم والنمو</t>
        </is>
      </c>
      <c r="P34" s="23" t="inlineStr">
        <is>
          <t>مدير الامتياز</t>
        </is>
      </c>
      <c r="Q34" s="26" t="inlineStr">
        <is>
          <t>نظام تشغيل المحطات</t>
        </is>
      </c>
      <c r="R34" s="23" t="inlineStr">
        <is>
          <t>شهري</t>
        </is>
      </c>
    </row>
    <row r="35">
      <c r="A35" s="22" t="inlineStr">
        <is>
          <t>الامتياز التجاري</t>
        </is>
      </c>
      <c r="B35" s="22" t="inlineStr">
        <is>
          <t>تجربة العملاء والشركاء</t>
        </is>
      </c>
      <c r="C35" s="22" t="inlineStr">
        <is>
          <t>متوسط تقييم المحطات على خرائط قوقل</t>
        </is>
      </c>
      <c r="D35" s="23" t="inlineStr">
        <is>
          <t>🎯 نتيجة</t>
        </is>
      </c>
      <c r="E35" s="35" t="inlineStr">
        <is>
          <t>نجمة/5</t>
        </is>
      </c>
      <c r="F35" s="35" t="inlineStr">
        <is>
          <t>↑</t>
        </is>
      </c>
      <c r="G35" s="23" t="inlineStr">
        <is>
          <t>🔴 رئيسي</t>
        </is>
      </c>
      <c r="H35" s="32" t="n">
        <v>0.04</v>
      </c>
      <c r="I35" s="35" t="n">
        <v>4.7</v>
      </c>
      <c r="J35" s="35" t="n">
        <v>3.474</v>
      </c>
      <c r="K35" s="32" t="n">
        <v>0.7391489361702128</v>
      </c>
      <c r="L35" s="14" t="inlineStr">
        <is>
          <t>🔴 تحت الهدف</t>
        </is>
      </c>
      <c r="M35" s="14" t="inlineStr">
        <is>
          <t>الاستدامة</t>
        </is>
      </c>
      <c r="N35" s="26" t="inlineStr">
        <is>
          <t>تعزيز تجربة العملاء</t>
        </is>
      </c>
      <c r="O35" s="23" t="inlineStr">
        <is>
          <t>العملاء</t>
        </is>
      </c>
      <c r="P35" s="23" t="inlineStr">
        <is>
          <t>مدير الامتياز</t>
        </is>
      </c>
      <c r="Q35" s="26" t="inlineStr">
        <is>
          <t>تقييمات خرائط قوقل</t>
        </is>
      </c>
      <c r="R35" s="23" t="inlineStr">
        <is>
          <t>شهري</t>
        </is>
      </c>
    </row>
    <row r="36">
      <c r="A36" s="22" t="inlineStr">
        <is>
          <t>الامتياز التجاري</t>
        </is>
      </c>
      <c r="B36" s="22" t="inlineStr">
        <is>
          <t>تجربة العملاء والشركاء</t>
        </is>
      </c>
      <c r="C36" s="22" t="inlineStr">
        <is>
          <t>معدل رضا شركاء الامتياز (CSAT)</t>
        </is>
      </c>
      <c r="D36" s="23" t="inlineStr">
        <is>
          <t>🎯 نتيجة</t>
        </is>
      </c>
      <c r="E36" s="35" t="inlineStr">
        <is>
          <t>%</t>
        </is>
      </c>
      <c r="F36" s="35" t="inlineStr">
        <is>
          <t>↑</t>
        </is>
      </c>
      <c r="G36" s="23" t="inlineStr">
        <is>
          <t>🔴 رئيسي</t>
        </is>
      </c>
      <c r="H36" s="32" t="n">
        <v>0.04</v>
      </c>
      <c r="I36" s="35" t="n">
        <v>0.9</v>
      </c>
      <c r="J36" s="35" t="n">
        <v>0.837</v>
      </c>
      <c r="K36" s="32" t="n">
        <v>0.9299999999999999</v>
      </c>
      <c r="L36" s="14" t="inlineStr">
        <is>
          <t>🟡 قريب</t>
        </is>
      </c>
      <c r="M36" s="14" t="inlineStr">
        <is>
          <t>الاستدامة</t>
        </is>
      </c>
      <c r="N36" s="26" t="inlineStr">
        <is>
          <t>تعزيز تجربة العملاء</t>
        </is>
      </c>
      <c r="O36" s="23" t="inlineStr">
        <is>
          <t>العملاء</t>
        </is>
      </c>
      <c r="P36" s="23" t="inlineStr">
        <is>
          <t>مدير الامتياز</t>
        </is>
      </c>
      <c r="Q36" s="26" t="inlineStr">
        <is>
          <t>استبيان دوري</t>
        </is>
      </c>
      <c r="R36" s="23" t="inlineStr">
        <is>
          <t>ربعي</t>
        </is>
      </c>
    </row>
    <row r="37">
      <c r="A37" s="22" t="inlineStr">
        <is>
          <t>الامتياز التجاري</t>
        </is>
      </c>
      <c r="B37" s="22" t="inlineStr">
        <is>
          <t>تجربة العملاء والشركاء</t>
        </is>
      </c>
      <c r="C37" s="22" t="inlineStr">
        <is>
          <t>نسبة حل الشكاوى خلال المدة المحددة</t>
        </is>
      </c>
      <c r="D37" s="23" t="inlineStr">
        <is>
          <t>🎯 نتيجة</t>
        </is>
      </c>
      <c r="E37" s="35" t="inlineStr">
        <is>
          <t>%</t>
        </is>
      </c>
      <c r="F37" s="35" t="inlineStr">
        <is>
          <t>↑</t>
        </is>
      </c>
      <c r="G37" s="23" t="inlineStr">
        <is>
          <t>🟠 مهم</t>
        </is>
      </c>
      <c r="H37" s="32" t="n">
        <v>0.02</v>
      </c>
      <c r="I37" s="35" t="n">
        <v>0.95</v>
      </c>
      <c r="J37" s="35" t="n">
        <v>0.922</v>
      </c>
      <c r="K37" s="32" t="n">
        <v>0.9705263157894738</v>
      </c>
      <c r="L37" s="14" t="inlineStr">
        <is>
          <t>🟡 قريب</t>
        </is>
      </c>
      <c r="M37" s="14" t="inlineStr">
        <is>
          <t>الاستدامة</t>
        </is>
      </c>
      <c r="N37" s="26" t="inlineStr">
        <is>
          <t>تعزيز تجربة العملاء</t>
        </is>
      </c>
      <c r="O37" s="23" t="inlineStr">
        <is>
          <t>العملاء</t>
        </is>
      </c>
      <c r="P37" s="23" t="inlineStr">
        <is>
          <t>مدير الامتياز</t>
        </is>
      </c>
      <c r="Q37" s="26" t="inlineStr">
        <is>
          <t>سجلات الإدارة</t>
        </is>
      </c>
      <c r="R37" s="23" t="inlineStr">
        <is>
          <t>شهري</t>
        </is>
      </c>
    </row>
    <row r="38">
      <c r="A38" s="22" t="inlineStr">
        <is>
          <t>الامتياز التجاري</t>
        </is>
      </c>
      <c r="B38" s="22" t="inlineStr">
        <is>
          <t>تجربة العملاء والشركاء</t>
        </is>
      </c>
      <c r="C38" s="22" t="inlineStr">
        <is>
          <t>نسبة انخفاض الشكاوى التشغيلية والإدارية</t>
        </is>
      </c>
      <c r="D38" s="23" t="inlineStr">
        <is>
          <t>🎯 نتيجة</t>
        </is>
      </c>
      <c r="E38" s="35" t="inlineStr">
        <is>
          <t>%</t>
        </is>
      </c>
      <c r="F38" s="35" t="inlineStr">
        <is>
          <t>↑</t>
        </is>
      </c>
      <c r="G38" s="23" t="inlineStr">
        <is>
          <t>🟠 مهم</t>
        </is>
      </c>
      <c r="H38" s="32" t="n">
        <v>0.02</v>
      </c>
      <c r="I38" s="35" t="n"/>
      <c r="J38" s="35" t="n"/>
      <c r="K38" s="32" t="n"/>
      <c r="L38" s="14" t="inlineStr">
        <is>
          <t>⏳ بانتظار هدف</t>
        </is>
      </c>
      <c r="M38" s="14" t="inlineStr">
        <is>
          <t>الاستدامة</t>
        </is>
      </c>
      <c r="N38" s="26" t="inlineStr">
        <is>
          <t>تعزيز تجربة العملاء</t>
        </is>
      </c>
      <c r="O38" s="23" t="inlineStr">
        <is>
          <t>العملاء</t>
        </is>
      </c>
      <c r="P38" s="23" t="inlineStr">
        <is>
          <t>مدير الامتياز</t>
        </is>
      </c>
      <c r="Q38" s="26" t="inlineStr">
        <is>
          <t>سجلات الإدارة</t>
        </is>
      </c>
      <c r="R38" s="23" t="inlineStr">
        <is>
          <t>شهري</t>
        </is>
      </c>
    </row>
    <row r="39">
      <c r="A39" s="22" t="inlineStr">
        <is>
          <t>الامتياز التجاري</t>
        </is>
      </c>
      <c r="B39" s="22" t="inlineStr">
        <is>
          <t>استدامة الشراكة والامتثال</t>
        </is>
      </c>
      <c r="C39" s="22" t="inlineStr">
        <is>
          <t>نسبة استدامة أصحاب الامتياز (Retention)</t>
        </is>
      </c>
      <c r="D39" s="23" t="inlineStr">
        <is>
          <t>🎯 نتيجة</t>
        </is>
      </c>
      <c r="E39" s="35" t="inlineStr">
        <is>
          <t>%</t>
        </is>
      </c>
      <c r="F39" s="35" t="inlineStr">
        <is>
          <t>↑</t>
        </is>
      </c>
      <c r="G39" s="23" t="inlineStr">
        <is>
          <t>🟠 مهم</t>
        </is>
      </c>
      <c r="H39" s="32" t="n">
        <v>0.02</v>
      </c>
      <c r="I39" s="35" t="n">
        <v>0.9</v>
      </c>
      <c r="J39" s="35" t="n">
        <v>0.853</v>
      </c>
      <c r="K39" s="32" t="n">
        <v>0.9477777777777777</v>
      </c>
      <c r="L39" s="14" t="inlineStr">
        <is>
          <t>🟡 قريب</t>
        </is>
      </c>
      <c r="M39" s="14" t="inlineStr">
        <is>
          <t>الاستدامة</t>
        </is>
      </c>
      <c r="N39" s="26" t="inlineStr">
        <is>
          <t>تعزيز تجربة العملاء</t>
        </is>
      </c>
      <c r="O39" s="23" t="inlineStr">
        <is>
          <t>العمليات الداخلية</t>
        </is>
      </c>
      <c r="P39" s="23" t="inlineStr">
        <is>
          <t>مدير الامتياز</t>
        </is>
      </c>
      <c r="Q39" s="26" t="inlineStr">
        <is>
          <t>نظام إدارة الجودة (QMS)</t>
        </is>
      </c>
      <c r="R39" s="23" t="inlineStr">
        <is>
          <t>شهري</t>
        </is>
      </c>
    </row>
    <row r="40">
      <c r="A40" s="22" t="inlineStr">
        <is>
          <t>الامتياز التجاري</t>
        </is>
      </c>
      <c r="B40" s="22" t="inlineStr">
        <is>
          <t>استدامة الشراكة والامتثال</t>
        </is>
      </c>
      <c r="C40" s="22" t="inlineStr">
        <is>
          <t>نسبة زيادة عدد أصحاب الامتياز</t>
        </is>
      </c>
      <c r="D40" s="23" t="inlineStr">
        <is>
          <t>⚙️ نشاط</t>
        </is>
      </c>
      <c r="E40" s="35" t="inlineStr">
        <is>
          <t>%</t>
        </is>
      </c>
      <c r="F40" s="35" t="inlineStr">
        <is>
          <t>↑</t>
        </is>
      </c>
      <c r="G40" s="23" t="inlineStr">
        <is>
          <t>🟠 مهم</t>
        </is>
      </c>
      <c r="H40" s="32" t="n">
        <v>0.02</v>
      </c>
      <c r="I40" s="35" t="n">
        <v>1</v>
      </c>
      <c r="J40" s="35" t="n">
        <v>0.8100000000000001</v>
      </c>
      <c r="K40" s="32" t="n">
        <v>0.8100000000000001</v>
      </c>
      <c r="L40" s="14" t="inlineStr">
        <is>
          <t>🔴 تحت الهدف</t>
        </is>
      </c>
      <c r="M40" s="14" t="inlineStr">
        <is>
          <t>الاستدامة</t>
        </is>
      </c>
      <c r="N40" s="26" t="inlineStr">
        <is>
          <t>تعزيز تجربة العملاء</t>
        </is>
      </c>
      <c r="O40" s="23" t="inlineStr">
        <is>
          <t>العمليات الداخلية</t>
        </is>
      </c>
      <c r="P40" s="23" t="inlineStr">
        <is>
          <t>مدير الامتياز</t>
        </is>
      </c>
      <c r="Q40" s="26" t="inlineStr">
        <is>
          <t>نظام إدارة الجودة (QMS)</t>
        </is>
      </c>
      <c r="R40" s="23" t="inlineStr">
        <is>
          <t>شهري</t>
        </is>
      </c>
    </row>
    <row r="41">
      <c r="A41" s="22" t="inlineStr">
        <is>
          <t>الامتياز التجاري</t>
        </is>
      </c>
      <c r="B41" s="22" t="inlineStr">
        <is>
          <t>استدامة الشراكة والامتثال</t>
        </is>
      </c>
      <c r="C41" s="22" t="inlineStr">
        <is>
          <t>متوسط مدة إغلاق عقد الامتياز</t>
        </is>
      </c>
      <c r="D41" s="23" t="inlineStr">
        <is>
          <t>🎯 نتيجة</t>
        </is>
      </c>
      <c r="E41" s="35" t="inlineStr">
        <is>
          <t>أسبوع</t>
        </is>
      </c>
      <c r="F41" s="35" t="inlineStr">
        <is>
          <t>↓</t>
        </is>
      </c>
      <c r="G41" s="23" t="inlineStr">
        <is>
          <t>🔴 رئيسي</t>
        </is>
      </c>
      <c r="H41" s="32" t="n">
        <v>0.04</v>
      </c>
      <c r="I41" s="35" t="n">
        <v>1</v>
      </c>
      <c r="J41" s="35" t="n">
        <v>0.899</v>
      </c>
      <c r="K41" s="32" t="n">
        <v>1</v>
      </c>
      <c r="L41" s="14" t="inlineStr">
        <is>
          <t>✅ محقق</t>
        </is>
      </c>
      <c r="M41" s="14" t="inlineStr">
        <is>
          <t>النمو</t>
        </is>
      </c>
      <c r="N41" s="26" t="inlineStr">
        <is>
          <t>الامتياز التجاري</t>
        </is>
      </c>
      <c r="O41" s="23" t="inlineStr">
        <is>
          <t>العمليات الداخلية</t>
        </is>
      </c>
      <c r="P41" s="23" t="inlineStr">
        <is>
          <t>مدير الامتياز</t>
        </is>
      </c>
      <c r="Q41" s="26" t="inlineStr">
        <is>
          <t>نظام إدارة الجودة (QMS)</t>
        </is>
      </c>
      <c r="R41" s="23" t="inlineStr">
        <is>
          <t>شهري</t>
        </is>
      </c>
    </row>
    <row r="42">
      <c r="A42" s="22" t="inlineStr">
        <is>
          <t>التشغيل والمحطات</t>
        </is>
      </c>
      <c r="B42" s="22" t="inlineStr">
        <is>
          <t>النمو</t>
        </is>
      </c>
      <c r="C42" s="22" t="inlineStr">
        <is>
          <t>عدد المحطات المشغّلة (تراكمي)</t>
        </is>
      </c>
      <c r="D42" s="23" t="inlineStr">
        <is>
          <t>⚙️ نشاط</t>
        </is>
      </c>
      <c r="E42" s="35" t="inlineStr">
        <is>
          <t>محطة</t>
        </is>
      </c>
      <c r="F42" s="35" t="inlineStr">
        <is>
          <t>↑</t>
        </is>
      </c>
      <c r="G42" s="23" t="inlineStr">
        <is>
          <t>🔴 رئيسي</t>
        </is>
      </c>
      <c r="H42" s="32" t="n">
        <v>0.08</v>
      </c>
      <c r="I42" s="35" t="n">
        <v>85</v>
      </c>
      <c r="J42" s="35" t="n">
        <v>78.5</v>
      </c>
      <c r="K42" s="32" t="n">
        <v>0.9235294117647059</v>
      </c>
      <c r="L42" s="14" t="inlineStr">
        <is>
          <t>🟡 قريب</t>
        </is>
      </c>
      <c r="M42" s="14" t="inlineStr">
        <is>
          <t>النمو</t>
        </is>
      </c>
      <c r="N42" s="26" t="inlineStr">
        <is>
          <t>التوسع في المواقع</t>
        </is>
      </c>
      <c r="O42" s="23" t="inlineStr">
        <is>
          <t>العمليات الداخلية</t>
        </is>
      </c>
      <c r="P42" s="23" t="inlineStr">
        <is>
          <t>مدير التشغيل</t>
        </is>
      </c>
      <c r="Q42" s="26" t="inlineStr">
        <is>
          <t>نظام تشغيل المحطات</t>
        </is>
      </c>
      <c r="R42" s="23" t="inlineStr">
        <is>
          <t>شهري</t>
        </is>
      </c>
    </row>
    <row r="43">
      <c r="A43" s="22" t="inlineStr">
        <is>
          <t>التشغيل والمحطات</t>
        </is>
      </c>
      <c r="B43" s="22" t="inlineStr">
        <is>
          <t>الربحية</t>
        </is>
      </c>
      <c r="C43" s="22" t="inlineStr">
        <is>
          <t>نمو مبيعات بنزين 91 مقارنة بالعام السابق</t>
        </is>
      </c>
      <c r="D43" s="23" t="inlineStr">
        <is>
          <t>🎯 نتيجة</t>
        </is>
      </c>
      <c r="E43" s="35" t="inlineStr">
        <is>
          <t>%</t>
        </is>
      </c>
      <c r="F43" s="35" t="inlineStr">
        <is>
          <t>↑</t>
        </is>
      </c>
      <c r="G43" s="23" t="inlineStr">
        <is>
          <t>🔴 رئيسي</t>
        </is>
      </c>
      <c r="H43" s="32" t="n">
        <v>0.08</v>
      </c>
      <c r="I43" s="35" t="n"/>
      <c r="J43" s="35" t="n"/>
      <c r="K43" s="32" t="n"/>
      <c r="L43" s="14" t="inlineStr">
        <is>
          <t>⏳ بانتظار هدف</t>
        </is>
      </c>
      <c r="M43" s="14" t="inlineStr">
        <is>
          <t>النمو</t>
        </is>
      </c>
      <c r="N43" s="26" t="inlineStr">
        <is>
          <t>زيادة وصول العملاء</t>
        </is>
      </c>
      <c r="O43" s="23" t="inlineStr">
        <is>
          <t>مالي</t>
        </is>
      </c>
      <c r="P43" s="23" t="inlineStr">
        <is>
          <t>مدير التشغيل</t>
        </is>
      </c>
      <c r="Q43" s="26" t="inlineStr">
        <is>
          <t>نظام المحاسبة / ERP (D365)</t>
        </is>
      </c>
      <c r="R43" s="23" t="inlineStr">
        <is>
          <t>شهري</t>
        </is>
      </c>
    </row>
    <row r="44">
      <c r="A44" s="22" t="inlineStr">
        <is>
          <t>التشغيل والمحطات</t>
        </is>
      </c>
      <c r="B44" s="22" t="inlineStr">
        <is>
          <t>الربحية</t>
        </is>
      </c>
      <c r="C44" s="22" t="inlineStr">
        <is>
          <t>نمو مبيعات بنزين 95 مقارنة بالعام السابق</t>
        </is>
      </c>
      <c r="D44" s="23" t="inlineStr">
        <is>
          <t>🎯 نتيجة</t>
        </is>
      </c>
      <c r="E44" s="35" t="inlineStr">
        <is>
          <t>%</t>
        </is>
      </c>
      <c r="F44" s="35" t="inlineStr">
        <is>
          <t>↑</t>
        </is>
      </c>
      <c r="G44" s="23" t="inlineStr">
        <is>
          <t>🔴 رئيسي</t>
        </is>
      </c>
      <c r="H44" s="32" t="n">
        <v>0.08</v>
      </c>
      <c r="I44" s="35" t="n"/>
      <c r="J44" s="35" t="n"/>
      <c r="K44" s="32" t="n"/>
      <c r="L44" s="14" t="inlineStr">
        <is>
          <t>⏳ بانتظار هدف</t>
        </is>
      </c>
      <c r="M44" s="14" t="inlineStr">
        <is>
          <t>النمو</t>
        </is>
      </c>
      <c r="N44" s="26" t="inlineStr">
        <is>
          <t>زيادة وصول العملاء</t>
        </is>
      </c>
      <c r="O44" s="23" t="inlineStr">
        <is>
          <t>مالي</t>
        </is>
      </c>
      <c r="P44" s="23" t="inlineStr">
        <is>
          <t>مدير التشغيل</t>
        </is>
      </c>
      <c r="Q44" s="26" t="inlineStr">
        <is>
          <t>نظام المحاسبة / ERP (D365)</t>
        </is>
      </c>
      <c r="R44" s="23" t="inlineStr">
        <is>
          <t>شهري</t>
        </is>
      </c>
    </row>
    <row r="45">
      <c r="A45" s="22" t="inlineStr">
        <is>
          <t>التشغيل والمحطات</t>
        </is>
      </c>
      <c r="B45" s="22" t="inlineStr">
        <is>
          <t>الربحية</t>
        </is>
      </c>
      <c r="C45" s="22" t="inlineStr">
        <is>
          <t>نمو مبيعات بنزين 98 مقارنة بالعام السابق</t>
        </is>
      </c>
      <c r="D45" s="23" t="inlineStr">
        <is>
          <t>🎯 نتيجة</t>
        </is>
      </c>
      <c r="E45" s="35" t="inlineStr">
        <is>
          <t>%</t>
        </is>
      </c>
      <c r="F45" s="35" t="inlineStr">
        <is>
          <t>↑</t>
        </is>
      </c>
      <c r="G45" s="23" t="inlineStr">
        <is>
          <t>🔴 رئيسي</t>
        </is>
      </c>
      <c r="H45" s="32" t="n">
        <v>0.08</v>
      </c>
      <c r="I45" s="35" t="n"/>
      <c r="J45" s="35" t="n"/>
      <c r="K45" s="32" t="n"/>
      <c r="L45" s="14" t="inlineStr">
        <is>
          <t>⏳ بانتظار هدف</t>
        </is>
      </c>
      <c r="M45" s="14" t="inlineStr">
        <is>
          <t>النمو</t>
        </is>
      </c>
      <c r="N45" s="26" t="inlineStr">
        <is>
          <t>زيادة وصول العملاء</t>
        </is>
      </c>
      <c r="O45" s="23" t="inlineStr">
        <is>
          <t>مالي</t>
        </is>
      </c>
      <c r="P45" s="23" t="inlineStr">
        <is>
          <t>مدير التشغيل</t>
        </is>
      </c>
      <c r="Q45" s="26" t="inlineStr">
        <is>
          <t>نظام المحاسبة / ERP (D365)</t>
        </is>
      </c>
      <c r="R45" s="23" t="inlineStr">
        <is>
          <t>شهري</t>
        </is>
      </c>
    </row>
    <row r="46">
      <c r="A46" s="22" t="inlineStr">
        <is>
          <t>التشغيل والمحطات</t>
        </is>
      </c>
      <c r="B46" s="22" t="inlineStr">
        <is>
          <t>الربحية</t>
        </is>
      </c>
      <c r="C46" s="22" t="inlineStr">
        <is>
          <t>نمو مبيعات الديزل مقارنة بالعام السابق</t>
        </is>
      </c>
      <c r="D46" s="23" t="inlineStr">
        <is>
          <t>🎯 نتيجة</t>
        </is>
      </c>
      <c r="E46" s="35" t="inlineStr">
        <is>
          <t>%</t>
        </is>
      </c>
      <c r="F46" s="35" t="inlineStr">
        <is>
          <t>↑</t>
        </is>
      </c>
      <c r="G46" s="23" t="inlineStr">
        <is>
          <t>🔴 رئيسي</t>
        </is>
      </c>
      <c r="H46" s="32" t="n">
        <v>0.08</v>
      </c>
      <c r="I46" s="35" t="n"/>
      <c r="J46" s="35" t="n"/>
      <c r="K46" s="32" t="n"/>
      <c r="L46" s="14" t="inlineStr">
        <is>
          <t>⏳ بانتظار هدف</t>
        </is>
      </c>
      <c r="M46" s="14" t="inlineStr">
        <is>
          <t>النمو</t>
        </is>
      </c>
      <c r="N46" s="26" t="inlineStr">
        <is>
          <t>زيادة وصول العملاء</t>
        </is>
      </c>
      <c r="O46" s="23" t="inlineStr">
        <is>
          <t>مالي</t>
        </is>
      </c>
      <c r="P46" s="23" t="inlineStr">
        <is>
          <t>مدير التشغيل</t>
        </is>
      </c>
      <c r="Q46" s="26" t="inlineStr">
        <is>
          <t>نظام المحاسبة / ERP (D365)</t>
        </is>
      </c>
      <c r="R46" s="23" t="inlineStr">
        <is>
          <t>شهري</t>
        </is>
      </c>
    </row>
    <row r="47">
      <c r="A47" s="22" t="inlineStr">
        <is>
          <t>التشغيل والمحطات</t>
        </is>
      </c>
      <c r="B47" s="22" t="inlineStr">
        <is>
          <t>حماية الإيراد</t>
        </is>
      </c>
      <c r="C47" s="22" t="inlineStr">
        <is>
          <t>نسبة جاهزية المحطة الشاملة (Uptime)</t>
        </is>
      </c>
      <c r="D47" s="23" t="inlineStr">
        <is>
          <t>🎯 نتيجة</t>
        </is>
      </c>
      <c r="E47" s="35" t="inlineStr">
        <is>
          <t>%</t>
        </is>
      </c>
      <c r="F47" s="35" t="inlineStr">
        <is>
          <t>↑</t>
        </is>
      </c>
      <c r="G47" s="23" t="inlineStr">
        <is>
          <t>🔴 رئيسي</t>
        </is>
      </c>
      <c r="H47" s="32" t="n">
        <v>0.07000000000000001</v>
      </c>
      <c r="I47" s="35" t="n">
        <v>0.99</v>
      </c>
      <c r="J47" s="35" t="n">
        <v>0.831</v>
      </c>
      <c r="K47" s="32" t="n">
        <v>0.8393939393939394</v>
      </c>
      <c r="L47" s="14" t="inlineStr">
        <is>
          <t>🔴 تحت الهدف</t>
        </is>
      </c>
      <c r="M47" s="14" t="inlineStr">
        <is>
          <t>الاستدامة</t>
        </is>
      </c>
      <c r="N47" s="26" t="inlineStr">
        <is>
          <t>جودة التشغيل</t>
        </is>
      </c>
      <c r="O47" s="23" t="inlineStr">
        <is>
          <t>العمليات الداخلية</t>
        </is>
      </c>
      <c r="P47" s="23" t="inlineStr">
        <is>
          <t>مدير التشغيل</t>
        </is>
      </c>
      <c r="Q47" s="26" t="inlineStr">
        <is>
          <t>نظام المحاسبة / ERP (D365)</t>
        </is>
      </c>
      <c r="R47" s="23" t="inlineStr">
        <is>
          <t>شهري</t>
        </is>
      </c>
    </row>
    <row r="48">
      <c r="A48" s="22" t="inlineStr">
        <is>
          <t>التشغيل والمحطات</t>
        </is>
      </c>
      <c r="B48" s="22" t="inlineStr">
        <is>
          <t>حماية الإيراد</t>
        </is>
      </c>
      <c r="C48" s="22" t="inlineStr">
        <is>
          <t>نسبة المضخات العاملة</t>
        </is>
      </c>
      <c r="D48" s="23" t="inlineStr">
        <is>
          <t>🔧 تشغيلي</t>
        </is>
      </c>
      <c r="E48" s="35" t="inlineStr">
        <is>
          <t>%</t>
        </is>
      </c>
      <c r="F48" s="35" t="inlineStr">
        <is>
          <t>↑</t>
        </is>
      </c>
      <c r="G48" s="23" t="inlineStr">
        <is>
          <t>🟠 مهم</t>
        </is>
      </c>
      <c r="H48" s="32" t="n">
        <v>0.05</v>
      </c>
      <c r="I48" s="35" t="n">
        <v>0.97</v>
      </c>
      <c r="J48" s="35" t="n">
        <v>0.953</v>
      </c>
      <c r="K48" s="32" t="n">
        <v>0.9824742268041237</v>
      </c>
      <c r="L48" s="14" t="inlineStr">
        <is>
          <t>🟡 قريب</t>
        </is>
      </c>
      <c r="M48" s="14" t="inlineStr">
        <is>
          <t>الاستدامة</t>
        </is>
      </c>
      <c r="N48" s="26" t="inlineStr">
        <is>
          <t>جودة التشغيل</t>
        </is>
      </c>
      <c r="O48" s="23" t="inlineStr">
        <is>
          <t>العمليات الداخلية</t>
        </is>
      </c>
      <c r="P48" s="23" t="inlineStr">
        <is>
          <t>مدير التشغيل</t>
        </is>
      </c>
      <c r="Q48" s="26" t="inlineStr">
        <is>
          <t>نظام المحاسبة / ERP (D365)</t>
        </is>
      </c>
      <c r="R48" s="23" t="inlineStr">
        <is>
          <t>شهري</t>
        </is>
      </c>
    </row>
    <row r="49">
      <c r="A49" s="22" t="inlineStr">
        <is>
          <t>التشغيل والمحطات</t>
        </is>
      </c>
      <c r="B49" s="22" t="inlineStr">
        <is>
          <t>ضغط التكلفة</t>
        </is>
      </c>
      <c r="C49" s="22" t="inlineStr">
        <is>
          <t>تكلفة التشغيل لكل لتر مباع</t>
        </is>
      </c>
      <c r="D49" s="23" t="inlineStr">
        <is>
          <t>🔧 تشغيلي</t>
        </is>
      </c>
      <c r="E49" s="35" t="inlineStr">
        <is>
          <t>هللة/لتر</t>
        </is>
      </c>
      <c r="F49" s="35" t="inlineStr">
        <is>
          <t>↓</t>
        </is>
      </c>
      <c r="G49" s="23" t="inlineStr">
        <is>
          <t>🟠 مهم</t>
        </is>
      </c>
      <c r="H49" s="32" t="n">
        <v>0.05</v>
      </c>
      <c r="I49" s="35" t="n"/>
      <c r="J49" s="35" t="n"/>
      <c r="K49" s="32" t="n"/>
      <c r="L49" s="14" t="inlineStr">
        <is>
          <t>⏳ بانتظار هدف</t>
        </is>
      </c>
      <c r="M49" s="14" t="inlineStr">
        <is>
          <t>الاستدامة</t>
        </is>
      </c>
      <c r="N49" s="26" t="inlineStr">
        <is>
          <t>جودة التشغيل</t>
        </is>
      </c>
      <c r="O49" s="23" t="inlineStr">
        <is>
          <t>مالي</t>
        </is>
      </c>
      <c r="P49" s="23" t="inlineStr">
        <is>
          <t>مدير التشغيل</t>
        </is>
      </c>
      <c r="Q49" s="26" t="inlineStr">
        <is>
          <t>نظام تشغيل المحطات</t>
        </is>
      </c>
      <c r="R49" s="23" t="inlineStr">
        <is>
          <t>ربعي</t>
        </is>
      </c>
    </row>
    <row r="50">
      <c r="A50" s="22" t="inlineStr">
        <is>
          <t>التشغيل والمحطات</t>
        </is>
      </c>
      <c r="B50" s="22" t="inlineStr">
        <is>
          <t>حماية الأصول</t>
        </is>
      </c>
      <c r="C50" s="22" t="inlineStr">
        <is>
          <t>نسبة الصيانة الوقائية المنفذة في موعدها</t>
        </is>
      </c>
      <c r="D50" s="23" t="inlineStr">
        <is>
          <t>🔧 تشغيلي</t>
        </is>
      </c>
      <c r="E50" s="35" t="inlineStr">
        <is>
          <t>%</t>
        </is>
      </c>
      <c r="F50" s="35" t="inlineStr">
        <is>
          <t>↑</t>
        </is>
      </c>
      <c r="G50" s="23" t="inlineStr">
        <is>
          <t>🟠 مهم</t>
        </is>
      </c>
      <c r="H50" s="32" t="n">
        <v>0.05</v>
      </c>
      <c r="I50" s="35" t="n">
        <v>0.95</v>
      </c>
      <c r="J50" s="35" t="n">
        <v>0.758</v>
      </c>
      <c r="K50" s="32" t="n">
        <v>0.7978947368421053</v>
      </c>
      <c r="L50" s="14" t="inlineStr">
        <is>
          <t>🔴 تحت الهدف</t>
        </is>
      </c>
      <c r="M50" s="14" t="inlineStr">
        <is>
          <t>الاستدامة</t>
        </is>
      </c>
      <c r="N50" s="26" t="inlineStr">
        <is>
          <t>جودة التشغيل</t>
        </is>
      </c>
      <c r="O50" s="23" t="inlineStr">
        <is>
          <t>العمليات الداخلية</t>
        </is>
      </c>
      <c r="P50" s="23" t="inlineStr">
        <is>
          <t>مدير التشغيل</t>
        </is>
      </c>
      <c r="Q50" s="26" t="inlineStr">
        <is>
          <t>نظام تشغيل المحطات</t>
        </is>
      </c>
      <c r="R50" s="23" t="inlineStr">
        <is>
          <t>شهري</t>
        </is>
      </c>
    </row>
    <row r="51">
      <c r="A51" s="22" t="inlineStr">
        <is>
          <t>التشغيل والمحطات</t>
        </is>
      </c>
      <c r="B51" s="22" t="inlineStr">
        <is>
          <t>تجربة العميل</t>
        </is>
      </c>
      <c r="C51" s="22" t="inlineStr">
        <is>
          <t>نسبة انخفاض الشكاوى مقارنة بالشهر السابق</t>
        </is>
      </c>
      <c r="D51" s="23" t="inlineStr">
        <is>
          <t>🎯 نتيجة</t>
        </is>
      </c>
      <c r="E51" s="35" t="inlineStr">
        <is>
          <t>%</t>
        </is>
      </c>
      <c r="F51" s="35" t="inlineStr">
        <is>
          <t>↑</t>
        </is>
      </c>
      <c r="G51" s="23" t="inlineStr">
        <is>
          <t>🟠 مهم</t>
        </is>
      </c>
      <c r="H51" s="32" t="n">
        <v>0.05</v>
      </c>
      <c r="I51" s="35" t="n"/>
      <c r="J51" s="35" t="n"/>
      <c r="K51" s="32" t="n"/>
      <c r="L51" s="14" t="inlineStr">
        <is>
          <t>⏳ بانتظار هدف</t>
        </is>
      </c>
      <c r="M51" s="14" t="inlineStr">
        <is>
          <t>الاستدامة</t>
        </is>
      </c>
      <c r="N51" s="26" t="inlineStr">
        <is>
          <t>تعزيز تجربة العملاء</t>
        </is>
      </c>
      <c r="O51" s="23" t="inlineStr">
        <is>
          <t>العملاء</t>
        </is>
      </c>
      <c r="P51" s="23" t="inlineStr">
        <is>
          <t>مدير التشغيل</t>
        </is>
      </c>
      <c r="Q51" s="26" t="inlineStr">
        <is>
          <t>سجلات الإدارة</t>
        </is>
      </c>
      <c r="R51" s="23" t="inlineStr">
        <is>
          <t>شهري</t>
        </is>
      </c>
    </row>
    <row r="52">
      <c r="A52" s="22" t="inlineStr">
        <is>
          <t>التشغيل والمحطات</t>
        </is>
      </c>
      <c r="B52" s="22" t="inlineStr">
        <is>
          <t>تجربة العميل</t>
        </is>
      </c>
      <c r="C52" s="22" t="inlineStr">
        <is>
          <t>تقييم Google Maps للمحطات</t>
        </is>
      </c>
      <c r="D52" s="23" t="inlineStr">
        <is>
          <t>🎯 نتيجة</t>
        </is>
      </c>
      <c r="E52" s="35" t="inlineStr">
        <is>
          <t>نجمة/5</t>
        </is>
      </c>
      <c r="F52" s="35" t="inlineStr">
        <is>
          <t>↑</t>
        </is>
      </c>
      <c r="G52" s="23" t="inlineStr">
        <is>
          <t>🔴 رئيسي</t>
        </is>
      </c>
      <c r="H52" s="32" t="n">
        <v>0.07000000000000001</v>
      </c>
      <c r="I52" s="35" t="n">
        <v>4.5</v>
      </c>
      <c r="J52" s="35" t="n">
        <v>4.048</v>
      </c>
      <c r="K52" s="32" t="n">
        <v>0.8995555555555556</v>
      </c>
      <c r="L52" s="14" t="inlineStr">
        <is>
          <t>🟡 قريب</t>
        </is>
      </c>
      <c r="M52" s="14" t="inlineStr">
        <is>
          <t>الاستدامة</t>
        </is>
      </c>
      <c r="N52" s="26" t="inlineStr">
        <is>
          <t>تعزيز تجربة العملاء</t>
        </is>
      </c>
      <c r="O52" s="23" t="inlineStr">
        <is>
          <t>العملاء</t>
        </is>
      </c>
      <c r="P52" s="23" t="inlineStr">
        <is>
          <t>مدير التشغيل</t>
        </is>
      </c>
      <c r="Q52" s="26" t="inlineStr">
        <is>
          <t>تقييمات خرائط قوقل</t>
        </is>
      </c>
      <c r="R52" s="23" t="inlineStr">
        <is>
          <t>شهري</t>
        </is>
      </c>
    </row>
    <row r="53">
      <c r="A53" s="22" t="inlineStr">
        <is>
          <t>التشغيل والمحطات</t>
        </is>
      </c>
      <c r="B53" s="22" t="inlineStr">
        <is>
          <t>تجربة العميل</t>
        </is>
      </c>
      <c r="C53" s="22" t="inlineStr">
        <is>
          <t>سرعة تعبئة الوقود</t>
        </is>
      </c>
      <c r="D53" s="23" t="inlineStr">
        <is>
          <t>🔧 تشغيلي</t>
        </is>
      </c>
      <c r="E53" s="35" t="inlineStr">
        <is>
          <t>دقيقة</t>
        </is>
      </c>
      <c r="F53" s="35" t="inlineStr">
        <is>
          <t>↓</t>
        </is>
      </c>
      <c r="G53" s="23" t="inlineStr">
        <is>
          <t>🟠 مهم</t>
        </is>
      </c>
      <c r="H53" s="32" t="n">
        <v>0.05</v>
      </c>
      <c r="I53" s="35" t="n">
        <v>3</v>
      </c>
      <c r="J53" s="35" t="n">
        <v>3.352</v>
      </c>
      <c r="K53" s="32" t="n">
        <v>0.8949880668257757</v>
      </c>
      <c r="L53" s="14" t="inlineStr">
        <is>
          <t>🟡 قريب</t>
        </is>
      </c>
      <c r="M53" s="14" t="inlineStr">
        <is>
          <t>الاستدامة</t>
        </is>
      </c>
      <c r="N53" s="26" t="inlineStr">
        <is>
          <t>تعزيز تجربة العملاء</t>
        </is>
      </c>
      <c r="O53" s="23" t="inlineStr">
        <is>
          <t>العمليات الداخلية</t>
        </is>
      </c>
      <c r="P53" s="23" t="inlineStr">
        <is>
          <t>مدير التشغيل</t>
        </is>
      </c>
      <c r="Q53" s="26" t="inlineStr">
        <is>
          <t>نظام تشغيل المحطات</t>
        </is>
      </c>
      <c r="R53" s="23" t="inlineStr">
        <is>
          <t>شهري</t>
        </is>
      </c>
    </row>
    <row r="54">
      <c r="A54" s="22" t="inlineStr">
        <is>
          <t>التشغيل والمحطات</t>
        </is>
      </c>
      <c r="B54" s="22" t="inlineStr">
        <is>
          <t>تجربة العميل</t>
        </is>
      </c>
      <c r="C54" s="22" t="inlineStr">
        <is>
          <t>دقة التعبئة بدون أخطاء</t>
        </is>
      </c>
      <c r="D54" s="23" t="inlineStr">
        <is>
          <t>🎯 نتيجة</t>
        </is>
      </c>
      <c r="E54" s="35" t="inlineStr">
        <is>
          <t>%</t>
        </is>
      </c>
      <c r="F54" s="35" t="inlineStr">
        <is>
          <t>↑</t>
        </is>
      </c>
      <c r="G54" s="23" t="inlineStr">
        <is>
          <t>🟠 مهم</t>
        </is>
      </c>
      <c r="H54" s="32" t="n">
        <v>0.05</v>
      </c>
      <c r="I54" s="35" t="n">
        <v>0.99</v>
      </c>
      <c r="J54" s="35" t="n">
        <v>0.831</v>
      </c>
      <c r="K54" s="32" t="n">
        <v>0.8393939393939394</v>
      </c>
      <c r="L54" s="14" t="inlineStr">
        <is>
          <t>🔴 تحت الهدف</t>
        </is>
      </c>
      <c r="M54" s="14" t="inlineStr">
        <is>
          <t>الاستدامة</t>
        </is>
      </c>
      <c r="N54" s="26" t="inlineStr">
        <is>
          <t>جودة التشغيل</t>
        </is>
      </c>
      <c r="O54" s="23" t="inlineStr">
        <is>
          <t>العمليات الداخلية</t>
        </is>
      </c>
      <c r="P54" s="23" t="inlineStr">
        <is>
          <t>مدير التشغيل</t>
        </is>
      </c>
      <c r="Q54" s="26" t="inlineStr">
        <is>
          <t>نظام تشغيل المحطات</t>
        </is>
      </c>
      <c r="R54" s="23" t="inlineStr">
        <is>
          <t>شهري</t>
        </is>
      </c>
    </row>
    <row r="55">
      <c r="A55" s="22" t="inlineStr">
        <is>
          <t>التشغيل والمحطات</t>
        </is>
      </c>
      <c r="B55" s="22" t="inlineStr">
        <is>
          <t>تجربة العميل</t>
        </is>
      </c>
      <c r="C55" s="22" t="inlineStr">
        <is>
          <t>تطبيق المعيار الشامل في المحطات</t>
        </is>
      </c>
      <c r="D55" s="23" t="inlineStr">
        <is>
          <t>🔧 تشغيلي</t>
        </is>
      </c>
      <c r="E55" s="35" t="inlineStr">
        <is>
          <t>%</t>
        </is>
      </c>
      <c r="F55" s="35" t="inlineStr">
        <is>
          <t>↑</t>
        </is>
      </c>
      <c r="G55" s="23" t="inlineStr">
        <is>
          <t>🟡 متابعة</t>
        </is>
      </c>
      <c r="H55" s="32" t="n">
        <v>0.02</v>
      </c>
      <c r="I55" s="35" t="n">
        <v>0.8</v>
      </c>
      <c r="J55" s="35" t="n">
        <v>0.787</v>
      </c>
      <c r="K55" s="32" t="n">
        <v>0.98375</v>
      </c>
      <c r="L55" s="14" t="inlineStr">
        <is>
          <t>🟡 قريب</t>
        </is>
      </c>
      <c r="M55" s="14" t="inlineStr">
        <is>
          <t>الابتكار</t>
        </is>
      </c>
      <c r="N55" s="26" t="inlineStr">
        <is>
          <t>التحول التقني</t>
        </is>
      </c>
      <c r="O55" s="23" t="inlineStr">
        <is>
          <t>التعلّم والنمو</t>
        </is>
      </c>
      <c r="P55" s="23" t="inlineStr">
        <is>
          <t>مدير التشغيل</t>
        </is>
      </c>
      <c r="Q55" s="26" t="inlineStr">
        <is>
          <t>نظام تشغيل المحطات</t>
        </is>
      </c>
      <c r="R55" s="23" t="inlineStr">
        <is>
          <t>شهري</t>
        </is>
      </c>
    </row>
    <row r="56">
      <c r="A56" s="22" t="inlineStr">
        <is>
          <t>التشغيل والمحطات</t>
        </is>
      </c>
      <c r="B56" s="22" t="inlineStr">
        <is>
          <t>السلامة</t>
        </is>
      </c>
      <c r="C56" s="22" t="inlineStr">
        <is>
          <t>الالتزام بمعايير السلامة داخل المحطة</t>
        </is>
      </c>
      <c r="D56" s="23" t="inlineStr">
        <is>
          <t>🎯 نتيجة</t>
        </is>
      </c>
      <c r="E56" s="35" t="inlineStr">
        <is>
          <t>%</t>
        </is>
      </c>
      <c r="F56" s="35" t="inlineStr">
        <is>
          <t>↑</t>
        </is>
      </c>
      <c r="G56" s="23" t="inlineStr">
        <is>
          <t>🔴 رئيسي</t>
        </is>
      </c>
      <c r="H56" s="32" t="n">
        <v>0.07000000000000001</v>
      </c>
      <c r="I56" s="35" t="n">
        <v>1</v>
      </c>
      <c r="J56" s="35" t="n">
        <v>0.837</v>
      </c>
      <c r="K56" s="32" t="n">
        <v>0.837</v>
      </c>
      <c r="L56" s="14" t="inlineStr">
        <is>
          <t>🔴 تحت الهدف</t>
        </is>
      </c>
      <c r="M56" s="14" t="inlineStr">
        <is>
          <t>الاستدامة</t>
        </is>
      </c>
      <c r="N56" s="26" t="inlineStr">
        <is>
          <t>جودة التشغيل</t>
        </is>
      </c>
      <c r="O56" s="23" t="inlineStr">
        <is>
          <t>العمليات الداخلية</t>
        </is>
      </c>
      <c r="P56" s="23" t="inlineStr">
        <is>
          <t>مدير التشغيل</t>
        </is>
      </c>
      <c r="Q56" s="26" t="inlineStr">
        <is>
          <t>نظام تشغيل المحطات</t>
        </is>
      </c>
      <c r="R56" s="23" t="inlineStr">
        <is>
          <t>شهري</t>
        </is>
      </c>
    </row>
    <row r="57">
      <c r="A57" s="22" t="inlineStr">
        <is>
          <t>التشغيل والمحطات</t>
        </is>
      </c>
      <c r="B57" s="22" t="inlineStr">
        <is>
          <t>البيئة</t>
        </is>
      </c>
      <c r="C57" s="22" t="inlineStr">
        <is>
          <t>التشجير داخل المحطة (معيار الوزارة)</t>
        </is>
      </c>
      <c r="D57" s="23" t="inlineStr">
        <is>
          <t>🔧 تشغيلي</t>
        </is>
      </c>
      <c r="E57" s="35" t="inlineStr">
        <is>
          <t>%</t>
        </is>
      </c>
      <c r="F57" s="35" t="inlineStr">
        <is>
          <t>↑</t>
        </is>
      </c>
      <c r="G57" s="23" t="inlineStr">
        <is>
          <t>🔴 رئيسي</t>
        </is>
      </c>
      <c r="H57" s="32" t="n">
        <v>0.07000000000000001</v>
      </c>
      <c r="I57" s="35" t="n">
        <v>1</v>
      </c>
      <c r="J57" s="35" t="n">
        <v>0.747</v>
      </c>
      <c r="K57" s="32" t="n">
        <v>0.747</v>
      </c>
      <c r="L57" s="14" t="inlineStr">
        <is>
          <t>🔴 تحت الهدف</t>
        </is>
      </c>
      <c r="M57" s="14" t="inlineStr">
        <is>
          <t>الاستدامة</t>
        </is>
      </c>
      <c r="N57" s="26" t="inlineStr">
        <is>
          <t>جودة التشغيل</t>
        </is>
      </c>
      <c r="O57" s="23" t="inlineStr">
        <is>
          <t>العمليات الداخلية</t>
        </is>
      </c>
      <c r="P57" s="23" t="inlineStr">
        <is>
          <t>مدير التشغيل</t>
        </is>
      </c>
      <c r="Q57" s="26" t="inlineStr">
        <is>
          <t>نظام تشغيل المحطات</t>
        </is>
      </c>
      <c r="R57" s="23" t="inlineStr">
        <is>
          <t>شهري</t>
        </is>
      </c>
    </row>
    <row r="58">
      <c r="A58" s="22" t="inlineStr">
        <is>
          <t>الاستثمار</t>
        </is>
      </c>
      <c r="B58" s="22" t="inlineStr">
        <is>
          <t>نمو المحفظة</t>
        </is>
      </c>
      <c r="C58" s="22" t="inlineStr">
        <is>
          <t>إجمالي عقود الاستثمار الجديدة (جميع النماذج)</t>
        </is>
      </c>
      <c r="D58" s="23" t="inlineStr">
        <is>
          <t>🔧 تشغيلي</t>
        </is>
      </c>
      <c r="E58" s="35" t="inlineStr">
        <is>
          <t>عقد</t>
        </is>
      </c>
      <c r="F58" s="35" t="inlineStr">
        <is>
          <t>↑</t>
        </is>
      </c>
      <c r="G58" s="23" t="inlineStr">
        <is>
          <t>🔴 رئيسي</t>
        </is>
      </c>
      <c r="H58" s="32" t="n">
        <v>0.05</v>
      </c>
      <c r="I58" s="35" t="n">
        <v>190</v>
      </c>
      <c r="J58" s="35" t="n">
        <v>165.7</v>
      </c>
      <c r="K58" s="32" t="n">
        <v>0.8721052631578947</v>
      </c>
      <c r="L58" s="14" t="inlineStr">
        <is>
          <t>🟡 قريب</t>
        </is>
      </c>
      <c r="M58" s="14" t="inlineStr">
        <is>
          <t>النمو</t>
        </is>
      </c>
      <c r="N58" s="26" t="inlineStr">
        <is>
          <t>التوسع في المواقع</t>
        </is>
      </c>
      <c r="O58" s="23" t="inlineStr">
        <is>
          <t>العمليات الداخلية</t>
        </is>
      </c>
      <c r="P58" s="23" t="inlineStr">
        <is>
          <t>مدير الاستثمار</t>
        </is>
      </c>
      <c r="Q58" s="26" t="inlineStr">
        <is>
          <t>نظام إدارة العقود (CRM)</t>
        </is>
      </c>
      <c r="R58" s="23" t="inlineStr">
        <is>
          <t>شهري</t>
        </is>
      </c>
    </row>
    <row r="59">
      <c r="A59" s="22" t="inlineStr">
        <is>
          <t>الاستثمار</t>
        </is>
      </c>
      <c r="B59" s="22" t="inlineStr">
        <is>
          <t>نمو المحفظة</t>
        </is>
      </c>
      <c r="C59" s="22" t="inlineStr">
        <is>
          <t>عقود الاستثمار العادي الجديدة</t>
        </is>
      </c>
      <c r="D59" s="23" t="inlineStr">
        <is>
          <t>🔧 تشغيلي</t>
        </is>
      </c>
      <c r="E59" s="35" t="inlineStr">
        <is>
          <t>عقد</t>
        </is>
      </c>
      <c r="F59" s="35" t="inlineStr">
        <is>
          <t>↑</t>
        </is>
      </c>
      <c r="G59" s="23" t="inlineStr">
        <is>
          <t>🔴 رئيسي</t>
        </is>
      </c>
      <c r="H59" s="32" t="n">
        <v>0.05</v>
      </c>
      <c r="I59" s="35" t="n">
        <v>90</v>
      </c>
      <c r="J59" s="35" t="n">
        <v>76.3</v>
      </c>
      <c r="K59" s="32" t="n">
        <v>0.8477777777777777</v>
      </c>
      <c r="L59" s="14" t="inlineStr">
        <is>
          <t>🔴 تحت الهدف</t>
        </is>
      </c>
      <c r="M59" s="14" t="inlineStr">
        <is>
          <t>النمو</t>
        </is>
      </c>
      <c r="N59" s="26" t="inlineStr">
        <is>
          <t>التوسع في المواقع</t>
        </is>
      </c>
      <c r="O59" s="23" t="inlineStr">
        <is>
          <t>العمليات الداخلية</t>
        </is>
      </c>
      <c r="P59" s="23" t="inlineStr">
        <is>
          <t>مدير الاستثمار</t>
        </is>
      </c>
      <c r="Q59" s="26" t="inlineStr">
        <is>
          <t>نظام إدارة العقود (CRM)</t>
        </is>
      </c>
      <c r="R59" s="23" t="inlineStr">
        <is>
          <t>شهري</t>
        </is>
      </c>
    </row>
    <row r="60">
      <c r="A60" s="22" t="inlineStr">
        <is>
          <t>الاستثمار</t>
        </is>
      </c>
      <c r="B60" s="22" t="inlineStr">
        <is>
          <t>نمو المحفظة</t>
        </is>
      </c>
      <c r="C60" s="22" t="inlineStr">
        <is>
          <t>عقود الاستحواذ الجديدة</t>
        </is>
      </c>
      <c r="D60" s="23" t="inlineStr">
        <is>
          <t>🔧 تشغيلي</t>
        </is>
      </c>
      <c r="E60" s="35" t="inlineStr">
        <is>
          <t>عقد</t>
        </is>
      </c>
      <c r="F60" s="35" t="inlineStr">
        <is>
          <t>↑</t>
        </is>
      </c>
      <c r="G60" s="23" t="inlineStr">
        <is>
          <t>🔴 رئيسي</t>
        </is>
      </c>
      <c r="H60" s="32" t="n">
        <v>0.05</v>
      </c>
      <c r="I60" s="35" t="n">
        <v>100</v>
      </c>
      <c r="J60" s="35" t="n">
        <v>82.2</v>
      </c>
      <c r="K60" s="32" t="n">
        <v>0.8220000000000001</v>
      </c>
      <c r="L60" s="14" t="inlineStr">
        <is>
          <t>🔴 تحت الهدف</t>
        </is>
      </c>
      <c r="M60" s="14" t="inlineStr">
        <is>
          <t>النمو</t>
        </is>
      </c>
      <c r="N60" s="26" t="inlineStr">
        <is>
          <t>التوسع في المواقع</t>
        </is>
      </c>
      <c r="O60" s="23" t="inlineStr">
        <is>
          <t>العمليات الداخلية</t>
        </is>
      </c>
      <c r="P60" s="23" t="inlineStr">
        <is>
          <t>مدير الاستثمار</t>
        </is>
      </c>
      <c r="Q60" s="26" t="inlineStr">
        <is>
          <t>نظام إدارة العقود (CRM)</t>
        </is>
      </c>
      <c r="R60" s="23" t="inlineStr">
        <is>
          <t>شهري</t>
        </is>
      </c>
    </row>
    <row r="61">
      <c r="A61" s="22" t="inlineStr">
        <is>
          <t>الاستثمار</t>
        </is>
      </c>
      <c r="B61" s="22" t="inlineStr">
        <is>
          <t>نمو المحفظة</t>
        </is>
      </c>
      <c r="C61" s="22" t="inlineStr">
        <is>
          <t>المحطات المستحوَذ عليها المشغّلة (تراكمي)</t>
        </is>
      </c>
      <c r="D61" s="23" t="inlineStr">
        <is>
          <t>🔧 تشغيلي</t>
        </is>
      </c>
      <c r="E61" s="35" t="inlineStr">
        <is>
          <t>محطة</t>
        </is>
      </c>
      <c r="F61" s="35" t="inlineStr">
        <is>
          <t>↑</t>
        </is>
      </c>
      <c r="G61" s="23" t="inlineStr">
        <is>
          <t>🔴 رئيسي</t>
        </is>
      </c>
      <c r="H61" s="32" t="n">
        <v>0.05</v>
      </c>
      <c r="I61" s="35" t="n">
        <v>120</v>
      </c>
      <c r="J61" s="35" t="n">
        <v>125.8</v>
      </c>
      <c r="K61" s="32" t="n">
        <v>1</v>
      </c>
      <c r="L61" s="14" t="inlineStr">
        <is>
          <t>✅ محقق</t>
        </is>
      </c>
      <c r="M61" s="14" t="inlineStr">
        <is>
          <t>النمو</t>
        </is>
      </c>
      <c r="N61" s="26" t="inlineStr">
        <is>
          <t>التوسع في المواقع</t>
        </is>
      </c>
      <c r="O61" s="23" t="inlineStr">
        <is>
          <t>العمليات الداخلية</t>
        </is>
      </c>
      <c r="P61" s="23" t="inlineStr">
        <is>
          <t>مدير الاستثمار</t>
        </is>
      </c>
      <c r="Q61" s="26" t="inlineStr">
        <is>
          <t>نظام تشغيل المحطات</t>
        </is>
      </c>
      <c r="R61" s="23" t="inlineStr">
        <is>
          <t>شهري</t>
        </is>
      </c>
    </row>
    <row r="62">
      <c r="A62" s="22" t="inlineStr">
        <is>
          <t>الاستثمار</t>
        </is>
      </c>
      <c r="B62" s="22" t="inlineStr">
        <is>
          <t>نمو المحفظة</t>
        </is>
      </c>
      <c r="C62" s="22" t="inlineStr">
        <is>
          <t>عقود تأجير الأرض الجديدة</t>
        </is>
      </c>
      <c r="D62" s="23" t="inlineStr">
        <is>
          <t>🔧 تشغيلي</t>
        </is>
      </c>
      <c r="E62" s="35" t="inlineStr">
        <is>
          <t>عقد</t>
        </is>
      </c>
      <c r="F62" s="35" t="inlineStr">
        <is>
          <t>↑</t>
        </is>
      </c>
      <c r="G62" s="23" t="inlineStr">
        <is>
          <t>🔴 رئيسي</t>
        </is>
      </c>
      <c r="H62" s="32" t="n">
        <v>0.05</v>
      </c>
      <c r="I62" s="35" t="n">
        <v>11</v>
      </c>
      <c r="J62" s="35" t="n">
        <v>8.1</v>
      </c>
      <c r="K62" s="32" t="n">
        <v>0.7363636363636363</v>
      </c>
      <c r="L62" s="14" t="inlineStr">
        <is>
          <t>🔴 تحت الهدف</t>
        </is>
      </c>
      <c r="M62" s="14" t="inlineStr">
        <is>
          <t>النمو</t>
        </is>
      </c>
      <c r="N62" s="26" t="inlineStr">
        <is>
          <t>التوسع في المواقع</t>
        </is>
      </c>
      <c r="O62" s="23" t="inlineStr">
        <is>
          <t>العمليات الداخلية</t>
        </is>
      </c>
      <c r="P62" s="23" t="inlineStr">
        <is>
          <t>مدير الاستثمار</t>
        </is>
      </c>
      <c r="Q62" s="26" t="inlineStr">
        <is>
          <t>نظام إدارة العقود (CRM)</t>
        </is>
      </c>
      <c r="R62" s="23" t="inlineStr">
        <is>
          <t>شهري</t>
        </is>
      </c>
    </row>
    <row r="63">
      <c r="A63" s="22" t="inlineStr">
        <is>
          <t>الاستثمار</t>
        </is>
      </c>
      <c r="B63" s="22" t="inlineStr">
        <is>
          <t>نمو المحفظة</t>
        </is>
      </c>
      <c r="C63" s="22" t="inlineStr">
        <is>
          <t>عقود إيجار المحطة الجديدة</t>
        </is>
      </c>
      <c r="D63" s="23" t="inlineStr">
        <is>
          <t>🔧 تشغيلي</t>
        </is>
      </c>
      <c r="E63" s="35" t="inlineStr">
        <is>
          <t>عقد</t>
        </is>
      </c>
      <c r="F63" s="35" t="inlineStr">
        <is>
          <t>↑</t>
        </is>
      </c>
      <c r="G63" s="23" t="inlineStr">
        <is>
          <t>🔴 رئيسي</t>
        </is>
      </c>
      <c r="H63" s="32" t="n">
        <v>0.05</v>
      </c>
      <c r="I63" s="35" t="n">
        <v>12</v>
      </c>
      <c r="J63" s="35" t="n">
        <v>12.2</v>
      </c>
      <c r="K63" s="32" t="n">
        <v>1</v>
      </c>
      <c r="L63" s="14" t="inlineStr">
        <is>
          <t>✅ محقق</t>
        </is>
      </c>
      <c r="M63" s="14" t="inlineStr">
        <is>
          <t>النمو</t>
        </is>
      </c>
      <c r="N63" s="26" t="inlineStr">
        <is>
          <t>التوسع في المواقع</t>
        </is>
      </c>
      <c r="O63" s="23" t="inlineStr">
        <is>
          <t>العمليات الداخلية</t>
        </is>
      </c>
      <c r="P63" s="23" t="inlineStr">
        <is>
          <t>مدير الاستثمار</t>
        </is>
      </c>
      <c r="Q63" s="26" t="inlineStr">
        <is>
          <t>نظام إدارة العقود (CRM)</t>
        </is>
      </c>
      <c r="R63" s="23" t="inlineStr">
        <is>
          <t>شهري</t>
        </is>
      </c>
    </row>
    <row r="64">
      <c r="A64" s="22" t="inlineStr">
        <is>
          <t>الاستثمار</t>
        </is>
      </c>
      <c r="B64" s="22" t="inlineStr">
        <is>
          <t>نمو المحفظة</t>
        </is>
      </c>
      <c r="C64" s="22" t="inlineStr">
        <is>
          <t>عقود تشغيل المحطة الجديدة</t>
        </is>
      </c>
      <c r="D64" s="23" t="inlineStr">
        <is>
          <t>🔧 تشغيلي</t>
        </is>
      </c>
      <c r="E64" s="35" t="inlineStr">
        <is>
          <t>عقد</t>
        </is>
      </c>
      <c r="F64" s="35" t="inlineStr">
        <is>
          <t>↑</t>
        </is>
      </c>
      <c r="G64" s="23" t="inlineStr">
        <is>
          <t>🔴 رئيسي</t>
        </is>
      </c>
      <c r="H64" s="32" t="n">
        <v>0.05</v>
      </c>
      <c r="I64" s="35" t="n">
        <v>68</v>
      </c>
      <c r="J64" s="35" t="n">
        <v>49.4</v>
      </c>
      <c r="K64" s="32" t="n">
        <v>0.7264705882352941</v>
      </c>
      <c r="L64" s="14" t="inlineStr">
        <is>
          <t>🔴 تحت الهدف</t>
        </is>
      </c>
      <c r="M64" s="14" t="inlineStr">
        <is>
          <t>النمو</t>
        </is>
      </c>
      <c r="N64" s="26" t="inlineStr">
        <is>
          <t>التوسع في المواقع</t>
        </is>
      </c>
      <c r="O64" s="23" t="inlineStr">
        <is>
          <t>العمليات الداخلية</t>
        </is>
      </c>
      <c r="P64" s="23" t="inlineStr">
        <is>
          <t>مدير الاستثمار</t>
        </is>
      </c>
      <c r="Q64" s="26" t="inlineStr">
        <is>
          <t>نظام إدارة العقود (CRM)</t>
        </is>
      </c>
      <c r="R64" s="23" t="inlineStr">
        <is>
          <t>شهري</t>
        </is>
      </c>
    </row>
    <row r="65">
      <c r="A65" s="22" t="inlineStr">
        <is>
          <t>الاستثمار</t>
        </is>
      </c>
      <c r="B65" s="22" t="inlineStr">
        <is>
          <t>الربحية وجودة الموقع</t>
        </is>
      </c>
      <c r="C65" s="22" t="inlineStr">
        <is>
          <t>نسبة المواقع المعتمدة ذات العائد المجدي</t>
        </is>
      </c>
      <c r="D65" s="23" t="inlineStr">
        <is>
          <t>🎯 نتيجة</t>
        </is>
      </c>
      <c r="E65" s="35" t="inlineStr">
        <is>
          <t>%</t>
        </is>
      </c>
      <c r="F65" s="35" t="inlineStr">
        <is>
          <t>↑</t>
        </is>
      </c>
      <c r="G65" s="23" t="inlineStr">
        <is>
          <t>🔴 رئيسي</t>
        </is>
      </c>
      <c r="H65" s="32" t="n">
        <v>0.05</v>
      </c>
      <c r="I65" s="35" t="n">
        <v>0.8</v>
      </c>
      <c r="J65" s="35" t="n">
        <v>0.649</v>
      </c>
      <c r="K65" s="32" t="n">
        <v>0.81125</v>
      </c>
      <c r="L65" s="14" t="inlineStr">
        <is>
          <t>🔴 تحت الهدف</t>
        </is>
      </c>
      <c r="M65" s="14" t="inlineStr">
        <is>
          <t>الاستدامة</t>
        </is>
      </c>
      <c r="N65" s="26" t="inlineStr">
        <is>
          <t>جودة التشغيل</t>
        </is>
      </c>
      <c r="O65" s="23" t="inlineStr">
        <is>
          <t>مالي</t>
        </is>
      </c>
      <c r="P65" s="23" t="inlineStr">
        <is>
          <t>مدير الاستثمار</t>
        </is>
      </c>
      <c r="Q65" s="26" t="inlineStr">
        <is>
          <t>نظام المحاسبة / ERP (D365)</t>
        </is>
      </c>
      <c r="R65" s="23" t="inlineStr">
        <is>
          <t>شهري</t>
        </is>
      </c>
    </row>
    <row r="66">
      <c r="A66" s="22" t="inlineStr">
        <is>
          <t>الاستثمار</t>
        </is>
      </c>
      <c r="B66" s="22" t="inlineStr">
        <is>
          <t>الربحية وجودة الموقع</t>
        </is>
      </c>
      <c r="C66" s="22" t="inlineStr">
        <is>
          <t>متوسط فترة استرداد رأس المال</t>
        </is>
      </c>
      <c r="D66" s="23" t="inlineStr">
        <is>
          <t>🔧 تشغيلي</t>
        </is>
      </c>
      <c r="E66" s="35" t="inlineStr">
        <is>
          <t>سنة</t>
        </is>
      </c>
      <c r="F66" s="35" t="inlineStr">
        <is>
          <t>↓</t>
        </is>
      </c>
      <c r="G66" s="23" t="inlineStr">
        <is>
          <t>🟠 مهم</t>
        </is>
      </c>
      <c r="H66" s="32" t="n">
        <v>0.03</v>
      </c>
      <c r="I66" s="35" t="n">
        <v>5</v>
      </c>
      <c r="J66" s="35" t="n">
        <v>4.983</v>
      </c>
      <c r="K66" s="32" t="n">
        <v>1</v>
      </c>
      <c r="L66" s="14" t="inlineStr">
        <is>
          <t>✅ محقق</t>
        </is>
      </c>
      <c r="M66" s="14" t="inlineStr">
        <is>
          <t>الاستدامة</t>
        </is>
      </c>
      <c r="N66" s="26" t="inlineStr">
        <is>
          <t>جودة التشغيل</t>
        </is>
      </c>
      <c r="O66" s="23" t="inlineStr">
        <is>
          <t>مالي</t>
        </is>
      </c>
      <c r="P66" s="23" t="inlineStr">
        <is>
          <t>مدير الاستثمار</t>
        </is>
      </c>
      <c r="Q66" s="26" t="inlineStr">
        <is>
          <t>نظام المحاسبة / ERP (D365)</t>
        </is>
      </c>
      <c r="R66" s="23" t="inlineStr">
        <is>
          <t>شهري</t>
        </is>
      </c>
    </row>
    <row r="67">
      <c r="A67" s="22" t="inlineStr">
        <is>
          <t>الاستثمار</t>
        </is>
      </c>
      <c r="B67" s="22" t="inlineStr">
        <is>
          <t>الربحية وجودة الموقع</t>
        </is>
      </c>
      <c r="C67" s="22" t="inlineStr">
        <is>
          <t>متوسط قيمة عقد الإيجار السنوي (أرض)</t>
        </is>
      </c>
      <c r="D67" s="23" t="inlineStr">
        <is>
          <t>🎯 نتيجة</t>
        </is>
      </c>
      <c r="E67" s="35" t="inlineStr">
        <is>
          <t>ر.س</t>
        </is>
      </c>
      <c r="F67" s="35" t="inlineStr">
        <is>
          <t>↑</t>
        </is>
      </c>
      <c r="G67" s="23" t="inlineStr">
        <is>
          <t>🔴 رئيسي</t>
        </is>
      </c>
      <c r="H67" s="32" t="n">
        <v>0.05</v>
      </c>
      <c r="I67" s="35" t="n"/>
      <c r="J67" s="35" t="n"/>
      <c r="K67" s="32" t="n"/>
      <c r="L67" s="14" t="inlineStr">
        <is>
          <t>⏳ بانتظار هدف</t>
        </is>
      </c>
      <c r="M67" s="14" t="inlineStr">
        <is>
          <t>النمو</t>
        </is>
      </c>
      <c r="N67" s="26" t="inlineStr">
        <is>
          <t>التوسع في المواقع</t>
        </is>
      </c>
      <c r="O67" s="23" t="inlineStr">
        <is>
          <t>مالي</t>
        </is>
      </c>
      <c r="P67" s="23" t="inlineStr">
        <is>
          <t>مدير الاستثمار</t>
        </is>
      </c>
      <c r="Q67" s="26" t="inlineStr">
        <is>
          <t>نظام المحاسبة / ERP (D365)</t>
        </is>
      </c>
      <c r="R67" s="23" t="inlineStr">
        <is>
          <t>شهري</t>
        </is>
      </c>
    </row>
    <row r="68">
      <c r="A68" s="22" t="inlineStr">
        <is>
          <t>الاستثمار</t>
        </is>
      </c>
      <c r="B68" s="22" t="inlineStr">
        <is>
          <t>التوسع الإقليمي</t>
        </is>
      </c>
      <c r="C68" s="22" t="inlineStr">
        <is>
          <t>نسبة العقود التي تغطي المناطق الـ13</t>
        </is>
      </c>
      <c r="D68" s="23" t="inlineStr">
        <is>
          <t>🔧 تشغيلي</t>
        </is>
      </c>
      <c r="E68" s="35" t="inlineStr">
        <is>
          <t>%</t>
        </is>
      </c>
      <c r="F68" s="35" t="inlineStr">
        <is>
          <t>↑</t>
        </is>
      </c>
      <c r="G68" s="23" t="inlineStr">
        <is>
          <t>🔴 رئيسي</t>
        </is>
      </c>
      <c r="H68" s="32" t="n">
        <v>0.05</v>
      </c>
      <c r="I68" s="35" t="n">
        <v>1</v>
      </c>
      <c r="J68" s="35" t="n">
        <v>1.028</v>
      </c>
      <c r="K68" s="32" t="n">
        <v>1</v>
      </c>
      <c r="L68" s="14" t="inlineStr">
        <is>
          <t>✅ محقق</t>
        </is>
      </c>
      <c r="M68" s="14" t="inlineStr">
        <is>
          <t>النمو</t>
        </is>
      </c>
      <c r="N68" s="26" t="inlineStr">
        <is>
          <t>التوسع في المواقع</t>
        </is>
      </c>
      <c r="O68" s="23" t="inlineStr">
        <is>
          <t>العمليات الداخلية</t>
        </is>
      </c>
      <c r="P68" s="23" t="inlineStr">
        <is>
          <t>مدير الاستثمار</t>
        </is>
      </c>
      <c r="Q68" s="26" t="inlineStr">
        <is>
          <t>نظام إدارة العقود (CRM)</t>
        </is>
      </c>
      <c r="R68" s="23" t="inlineStr">
        <is>
          <t>شهري</t>
        </is>
      </c>
    </row>
    <row r="69">
      <c r="A69" s="22" t="inlineStr">
        <is>
          <t>الاستثمار</t>
        </is>
      </c>
      <c r="B69" s="22" t="inlineStr">
        <is>
          <t>التوسع الإقليمي</t>
        </is>
      </c>
      <c r="C69" s="22" t="inlineStr">
        <is>
          <t>نسبة العقود خارج المدن الرئيسية</t>
        </is>
      </c>
      <c r="D69" s="23" t="inlineStr">
        <is>
          <t>🔧 تشغيلي</t>
        </is>
      </c>
      <c r="E69" s="35" t="inlineStr">
        <is>
          <t>%</t>
        </is>
      </c>
      <c r="F69" s="35" t="inlineStr">
        <is>
          <t>↑</t>
        </is>
      </c>
      <c r="G69" s="23" t="inlineStr">
        <is>
          <t>🔴 رئيسي</t>
        </is>
      </c>
      <c r="H69" s="32" t="n">
        <v>0.05</v>
      </c>
      <c r="I69" s="35" t="n">
        <v>0.6</v>
      </c>
      <c r="J69" s="35" t="n">
        <v>0.516</v>
      </c>
      <c r="K69" s="32" t="n">
        <v>0.8600000000000001</v>
      </c>
      <c r="L69" s="14" t="inlineStr">
        <is>
          <t>🟡 قريب</t>
        </is>
      </c>
      <c r="M69" s="14" t="inlineStr">
        <is>
          <t>النمو</t>
        </is>
      </c>
      <c r="N69" s="26" t="inlineStr">
        <is>
          <t>التوسع في المواقع</t>
        </is>
      </c>
      <c r="O69" s="23" t="inlineStr">
        <is>
          <t>العمليات الداخلية</t>
        </is>
      </c>
      <c r="P69" s="23" t="inlineStr">
        <is>
          <t>مدير الاستثمار</t>
        </is>
      </c>
      <c r="Q69" s="26" t="inlineStr">
        <is>
          <t>نظام إدارة العقود (CRM)</t>
        </is>
      </c>
      <c r="R69" s="23" t="inlineStr">
        <is>
          <t>شهري</t>
        </is>
      </c>
    </row>
    <row r="70">
      <c r="A70" s="22" t="inlineStr">
        <is>
          <t>الاستثمار</t>
        </is>
      </c>
      <c r="B70" s="22" t="inlineStr">
        <is>
          <t>التوسع الإقليمي</t>
        </is>
      </c>
      <c r="C70" s="22" t="inlineStr">
        <is>
          <t>نسبة العقود في الـ12 مدينة الرئيسية</t>
        </is>
      </c>
      <c r="D70" s="23" t="inlineStr">
        <is>
          <t>🔧 تشغيلي</t>
        </is>
      </c>
      <c r="E70" s="35" t="inlineStr">
        <is>
          <t>%</t>
        </is>
      </c>
      <c r="F70" s="35" t="inlineStr">
        <is>
          <t>↓</t>
        </is>
      </c>
      <c r="G70" s="23" t="inlineStr">
        <is>
          <t>🔴 رئيسي</t>
        </is>
      </c>
      <c r="H70" s="32" t="n">
        <v>0.05</v>
      </c>
      <c r="I70" s="35" t="n">
        <v>0.4</v>
      </c>
      <c r="J70" s="35" t="n">
        <v>0.415</v>
      </c>
      <c r="K70" s="32" t="n">
        <v>0.9638554216867471</v>
      </c>
      <c r="L70" s="14" t="inlineStr">
        <is>
          <t>🟡 قريب</t>
        </is>
      </c>
      <c r="M70" s="14" t="inlineStr">
        <is>
          <t>النمو</t>
        </is>
      </c>
      <c r="N70" s="26" t="inlineStr">
        <is>
          <t>التوسع في المواقع</t>
        </is>
      </c>
      <c r="O70" s="23" t="inlineStr">
        <is>
          <t>العمليات الداخلية</t>
        </is>
      </c>
      <c r="P70" s="23" t="inlineStr">
        <is>
          <t>مدير الاستثمار</t>
        </is>
      </c>
      <c r="Q70" s="26" t="inlineStr">
        <is>
          <t>نظام المحاسبة / ERP (D365)</t>
        </is>
      </c>
      <c r="R70" s="23" t="inlineStr">
        <is>
          <t>شهري</t>
        </is>
      </c>
    </row>
    <row r="71">
      <c r="A71" s="22" t="inlineStr">
        <is>
          <t>الاستثمار</t>
        </is>
      </c>
      <c r="B71" s="22" t="inlineStr">
        <is>
          <t>التوسع الإقليمي</t>
        </is>
      </c>
      <c r="C71" s="22" t="inlineStr">
        <is>
          <t>نسبة العقود على الطرق الإقليمية</t>
        </is>
      </c>
      <c r="D71" s="23" t="inlineStr">
        <is>
          <t>🔧 تشغيلي</t>
        </is>
      </c>
      <c r="E71" s="35" t="inlineStr">
        <is>
          <t>%</t>
        </is>
      </c>
      <c r="F71" s="35" t="inlineStr">
        <is>
          <t>↑</t>
        </is>
      </c>
      <c r="G71" s="23" t="inlineStr">
        <is>
          <t>🔴 رئيسي</t>
        </is>
      </c>
      <c r="H71" s="32" t="n">
        <v>0.05</v>
      </c>
      <c r="I71" s="35" t="n">
        <v>0.25</v>
      </c>
      <c r="J71" s="35" t="n">
        <v>0.236</v>
      </c>
      <c r="K71" s="32" t="n">
        <v>0.944</v>
      </c>
      <c r="L71" s="14" t="inlineStr">
        <is>
          <t>🟡 قريب</t>
        </is>
      </c>
      <c r="M71" s="14" t="inlineStr">
        <is>
          <t>النمو</t>
        </is>
      </c>
      <c r="N71" s="26" t="inlineStr">
        <is>
          <t>التوسع في المواقع</t>
        </is>
      </c>
      <c r="O71" s="23" t="inlineStr">
        <is>
          <t>العمليات الداخلية</t>
        </is>
      </c>
      <c r="P71" s="23" t="inlineStr">
        <is>
          <t>مدير الاستثمار</t>
        </is>
      </c>
      <c r="Q71" s="26" t="inlineStr">
        <is>
          <t>نظام إدارة العقود (CRM)</t>
        </is>
      </c>
      <c r="R71" s="23" t="inlineStr">
        <is>
          <t>شهري</t>
        </is>
      </c>
    </row>
    <row r="72">
      <c r="A72" s="22" t="inlineStr">
        <is>
          <t>الاستثمار</t>
        </is>
      </c>
      <c r="B72" s="22" t="inlineStr">
        <is>
          <t>كفاءة الدورة</t>
        </is>
      </c>
      <c r="C72" s="22" t="inlineStr">
        <is>
          <t>متوسط مدة إغلاق عقد الاستثمار</t>
        </is>
      </c>
      <c r="D72" s="23" t="inlineStr">
        <is>
          <t>🎯 نتيجة</t>
        </is>
      </c>
      <c r="E72" s="35" t="inlineStr">
        <is>
          <t>أسبوع</t>
        </is>
      </c>
      <c r="F72" s="35" t="inlineStr">
        <is>
          <t>↓</t>
        </is>
      </c>
      <c r="G72" s="23" t="inlineStr">
        <is>
          <t>🔴 رئيسي</t>
        </is>
      </c>
      <c r="H72" s="32" t="n">
        <v>0.05</v>
      </c>
      <c r="I72" s="35" t="n">
        <v>1</v>
      </c>
      <c r="J72" s="35" t="n">
        <v>0.912</v>
      </c>
      <c r="K72" s="32" t="n">
        <v>1</v>
      </c>
      <c r="L72" s="14" t="inlineStr">
        <is>
          <t>✅ محقق</t>
        </is>
      </c>
      <c r="M72" s="14" t="inlineStr">
        <is>
          <t>النمو</t>
        </is>
      </c>
      <c r="N72" s="26" t="inlineStr">
        <is>
          <t>التوسع في المواقع</t>
        </is>
      </c>
      <c r="O72" s="23" t="inlineStr">
        <is>
          <t>العمليات الداخلية</t>
        </is>
      </c>
      <c r="P72" s="23" t="inlineStr">
        <is>
          <t>مدير الاستثمار</t>
        </is>
      </c>
      <c r="Q72" s="26" t="inlineStr">
        <is>
          <t>نظام إدارة العقود (CRM)</t>
        </is>
      </c>
      <c r="R72" s="23" t="inlineStr">
        <is>
          <t>شهري</t>
        </is>
      </c>
    </row>
    <row r="73">
      <c r="A73" s="22" t="inlineStr">
        <is>
          <t>الاستثمار</t>
        </is>
      </c>
      <c r="B73" s="22" t="inlineStr">
        <is>
          <t>كفاءة الدورة</t>
        </is>
      </c>
      <c r="C73" s="22" t="inlineStr">
        <is>
          <t>نسبة العقود المتحوّلة لمحطات مشغّلة</t>
        </is>
      </c>
      <c r="D73" s="23" t="inlineStr">
        <is>
          <t>🔧 تشغيلي</t>
        </is>
      </c>
      <c r="E73" s="35" t="inlineStr">
        <is>
          <t>%</t>
        </is>
      </c>
      <c r="F73" s="35" t="inlineStr">
        <is>
          <t>↑</t>
        </is>
      </c>
      <c r="G73" s="23" t="inlineStr">
        <is>
          <t>🔴 رئيسي</t>
        </is>
      </c>
      <c r="H73" s="32" t="n">
        <v>0.05</v>
      </c>
      <c r="I73" s="35" t="n">
        <v>0.3</v>
      </c>
      <c r="J73" s="35" t="n">
        <v>0.308</v>
      </c>
      <c r="K73" s="32" t="n">
        <v>1</v>
      </c>
      <c r="L73" s="14" t="inlineStr">
        <is>
          <t>✅ محقق</t>
        </is>
      </c>
      <c r="M73" s="14" t="inlineStr">
        <is>
          <t>النمو</t>
        </is>
      </c>
      <c r="N73" s="26" t="inlineStr">
        <is>
          <t>التوسع في المواقع</t>
        </is>
      </c>
      <c r="O73" s="23" t="inlineStr">
        <is>
          <t>العمليات الداخلية</t>
        </is>
      </c>
      <c r="P73" s="23" t="inlineStr">
        <is>
          <t>مدير الاستثمار</t>
        </is>
      </c>
      <c r="Q73" s="26" t="inlineStr">
        <is>
          <t>نظام إدارة العقود (CRM)</t>
        </is>
      </c>
      <c r="R73" s="23" t="inlineStr">
        <is>
          <t>شهري</t>
        </is>
      </c>
    </row>
    <row r="74">
      <c r="A74" s="22" t="inlineStr">
        <is>
          <t>الاستثمار</t>
        </is>
      </c>
      <c r="B74" s="22" t="inlineStr">
        <is>
          <t>كفاءة الدورة</t>
        </is>
      </c>
      <c r="C74" s="22" t="inlineStr">
        <is>
          <t>نسبة تخفيض إيجار المواقع عالية التكاليف</t>
        </is>
      </c>
      <c r="D74" s="23" t="inlineStr">
        <is>
          <t>🔧 تشغيلي</t>
        </is>
      </c>
      <c r="E74" s="35" t="inlineStr">
        <is>
          <t>%</t>
        </is>
      </c>
      <c r="F74" s="35" t="inlineStr">
        <is>
          <t>↑</t>
        </is>
      </c>
      <c r="G74" s="23" t="inlineStr">
        <is>
          <t>🟠 مهم</t>
        </is>
      </c>
      <c r="H74" s="32" t="n">
        <v>0.03</v>
      </c>
      <c r="I74" s="35" t="n">
        <v>0.3</v>
      </c>
      <c r="J74" s="35" t="n">
        <v>0.221</v>
      </c>
      <c r="K74" s="32" t="n">
        <v>0.7366666666666667</v>
      </c>
      <c r="L74" s="14" t="inlineStr">
        <is>
          <t>🔴 تحت الهدف</t>
        </is>
      </c>
      <c r="M74" s="14" t="inlineStr">
        <is>
          <t>الاستدامة</t>
        </is>
      </c>
      <c r="N74" s="26" t="inlineStr">
        <is>
          <t>جودة التشغيل</t>
        </is>
      </c>
      <c r="O74" s="23" t="inlineStr">
        <is>
          <t>العمليات الداخلية</t>
        </is>
      </c>
      <c r="P74" s="23" t="inlineStr">
        <is>
          <t>مدير الاستثمار</t>
        </is>
      </c>
      <c r="Q74" s="26" t="inlineStr">
        <is>
          <t>نظام إدارة العقود (CRM)</t>
        </is>
      </c>
      <c r="R74" s="23" t="inlineStr">
        <is>
          <t>شهري</t>
        </is>
      </c>
    </row>
    <row r="75">
      <c r="A75" s="22" t="inlineStr">
        <is>
          <t>الاستثمار</t>
        </is>
      </c>
      <c r="B75" s="22" t="inlineStr">
        <is>
          <t>الامتثال</t>
        </is>
      </c>
      <c r="C75" s="22" t="inlineStr">
        <is>
          <t>نسبة اكتمال المستندات النظامية قبل التوقيع</t>
        </is>
      </c>
      <c r="D75" s="23" t="inlineStr">
        <is>
          <t>⚙️ نشاط</t>
        </is>
      </c>
      <c r="E75" s="35" t="inlineStr">
        <is>
          <t>%</t>
        </is>
      </c>
      <c r="F75" s="35" t="inlineStr">
        <is>
          <t>↑</t>
        </is>
      </c>
      <c r="G75" s="23" t="inlineStr">
        <is>
          <t>🏁 معلم</t>
        </is>
      </c>
      <c r="H75" s="32" t="n">
        <v>0.01</v>
      </c>
      <c r="I75" s="35" t="n">
        <v>1</v>
      </c>
      <c r="J75" s="35" t="n">
        <v>0.751</v>
      </c>
      <c r="K75" s="32" t="n">
        <v>0.751</v>
      </c>
      <c r="L75" s="14" t="inlineStr">
        <is>
          <t>🔴 تحت الهدف</t>
        </is>
      </c>
      <c r="M75" s="14" t="inlineStr">
        <is>
          <t>الاستدامة</t>
        </is>
      </c>
      <c r="N75" s="26" t="inlineStr">
        <is>
          <t>جودة التشغيل</t>
        </is>
      </c>
      <c r="O75" s="23" t="inlineStr">
        <is>
          <t>العمليات الداخلية</t>
        </is>
      </c>
      <c r="P75" s="23" t="inlineStr">
        <is>
          <t>مدير الاستثمار</t>
        </is>
      </c>
      <c r="Q75" s="26" t="inlineStr">
        <is>
          <t>نظام إدارة الجودة (QMS)</t>
        </is>
      </c>
      <c r="R75" s="23" t="inlineStr">
        <is>
          <t>شهري</t>
        </is>
      </c>
    </row>
    <row r="76">
      <c r="A76" s="22" t="inlineStr">
        <is>
          <t>الاستثمار</t>
        </is>
      </c>
      <c r="B76" s="22" t="inlineStr">
        <is>
          <t>الامتثال</t>
        </is>
      </c>
      <c r="C76" s="22" t="inlineStr">
        <is>
          <t>نسبة العقود المؤرشفة إلكترونياً خلال 48 ساعة</t>
        </is>
      </c>
      <c r="D76" s="23" t="inlineStr">
        <is>
          <t>🔧 تشغيلي</t>
        </is>
      </c>
      <c r="E76" s="35" t="inlineStr">
        <is>
          <t>%</t>
        </is>
      </c>
      <c r="F76" s="35" t="inlineStr">
        <is>
          <t>↑</t>
        </is>
      </c>
      <c r="G76" s="23" t="inlineStr">
        <is>
          <t>🔴 رئيسي</t>
        </is>
      </c>
      <c r="H76" s="32" t="n">
        <v>0.05</v>
      </c>
      <c r="I76" s="35" t="n">
        <v>0.95</v>
      </c>
      <c r="J76" s="35" t="n">
        <v>0.736</v>
      </c>
      <c r="K76" s="32" t="n">
        <v>0.7747368421052632</v>
      </c>
      <c r="L76" s="14" t="inlineStr">
        <is>
          <t>🔴 تحت الهدف</t>
        </is>
      </c>
      <c r="M76" s="14" t="inlineStr">
        <is>
          <t>الاستدامة</t>
        </is>
      </c>
      <c r="N76" s="26" t="inlineStr">
        <is>
          <t>جودة التشغيل</t>
        </is>
      </c>
      <c r="O76" s="23" t="inlineStr">
        <is>
          <t>العمليات الداخلية</t>
        </is>
      </c>
      <c r="P76" s="23" t="inlineStr">
        <is>
          <t>مدير الاستثمار</t>
        </is>
      </c>
      <c r="Q76" s="26" t="inlineStr">
        <is>
          <t>نظام إدارة الجودة (QMS)</t>
        </is>
      </c>
      <c r="R76" s="23" t="inlineStr">
        <is>
          <t>شهري</t>
        </is>
      </c>
    </row>
    <row r="77">
      <c r="A77" s="22" t="inlineStr">
        <is>
          <t>الاستثمار</t>
        </is>
      </c>
      <c r="B77" s="22" t="inlineStr">
        <is>
          <t>جودة التعاقد</t>
        </is>
      </c>
      <c r="C77" s="22" t="inlineStr">
        <is>
          <t>جودة التفاوض مع المستثمرين</t>
        </is>
      </c>
      <c r="D77" s="23" t="inlineStr">
        <is>
          <t>🔧 تشغيلي</t>
        </is>
      </c>
      <c r="E77" s="35" t="inlineStr">
        <is>
          <t>%</t>
        </is>
      </c>
      <c r="F77" s="35" t="inlineStr">
        <is>
          <t>↑</t>
        </is>
      </c>
      <c r="G77" s="23" t="inlineStr">
        <is>
          <t>🟠 مهم</t>
        </is>
      </c>
      <c r="H77" s="32" t="n">
        <v>0.03</v>
      </c>
      <c r="I77" s="35" t="n">
        <v>0.98</v>
      </c>
      <c r="J77" s="35" t="n">
        <v>1.009</v>
      </c>
      <c r="K77" s="32" t="n">
        <v>1</v>
      </c>
      <c r="L77" s="14" t="inlineStr">
        <is>
          <t>✅ محقق</t>
        </is>
      </c>
      <c r="M77" s="14" t="inlineStr">
        <is>
          <t>النمو</t>
        </is>
      </c>
      <c r="N77" s="26" t="inlineStr">
        <is>
          <t>التوسع في المواقع</t>
        </is>
      </c>
      <c r="O77" s="23" t="inlineStr">
        <is>
          <t>العمليات الداخلية</t>
        </is>
      </c>
      <c r="P77" s="23" t="inlineStr">
        <is>
          <t>مدير الاستثمار</t>
        </is>
      </c>
      <c r="Q77" s="26" t="inlineStr">
        <is>
          <t>نظام إدارة الجودة (QMS)</t>
        </is>
      </c>
      <c r="R77" s="23" t="inlineStr">
        <is>
          <t>شهري</t>
        </is>
      </c>
    </row>
    <row r="78">
      <c r="A78" s="22" t="inlineStr">
        <is>
          <t>الاستثمار</t>
        </is>
      </c>
      <c r="B78" s="22" t="inlineStr">
        <is>
          <t>جودة التعاقد</t>
        </is>
      </c>
      <c r="C78" s="22" t="inlineStr">
        <is>
          <t>سرعة إنجاز إجراءات التعاقد</t>
        </is>
      </c>
      <c r="D78" s="23" t="inlineStr">
        <is>
          <t>🔧 تشغيلي</t>
        </is>
      </c>
      <c r="E78" s="35" t="inlineStr">
        <is>
          <t>أسبوع</t>
        </is>
      </c>
      <c r="F78" s="35" t="inlineStr">
        <is>
          <t>↓</t>
        </is>
      </c>
      <c r="G78" s="23" t="inlineStr">
        <is>
          <t>🟠 مهم</t>
        </is>
      </c>
      <c r="H78" s="32" t="n">
        <v>0.03</v>
      </c>
      <c r="I78" s="35" t="n">
        <v>1</v>
      </c>
      <c r="J78" s="35" t="n">
        <v>1.061</v>
      </c>
      <c r="K78" s="32" t="n">
        <v>0.942507068803016</v>
      </c>
      <c r="L78" s="14" t="inlineStr">
        <is>
          <t>🟡 قريب</t>
        </is>
      </c>
      <c r="M78" s="14" t="inlineStr">
        <is>
          <t>النمو</t>
        </is>
      </c>
      <c r="N78" s="26" t="inlineStr">
        <is>
          <t>التوسع في المواقع</t>
        </is>
      </c>
      <c r="O78" s="23" t="inlineStr">
        <is>
          <t>العمليات الداخلية</t>
        </is>
      </c>
      <c r="P78" s="23" t="inlineStr">
        <is>
          <t>مدير الاستثمار</t>
        </is>
      </c>
      <c r="Q78" s="26" t="inlineStr">
        <is>
          <t>نظام إدارة الجودة (QMS)</t>
        </is>
      </c>
      <c r="R78" s="23" t="inlineStr">
        <is>
          <t>شهري</t>
        </is>
      </c>
    </row>
    <row r="79">
      <c r="A79" s="22" t="inlineStr">
        <is>
          <t>الاستثمار</t>
        </is>
      </c>
      <c r="B79" s="22" t="inlineStr">
        <is>
          <t>جودة التعاقد</t>
        </is>
      </c>
      <c r="C79" s="22" t="inlineStr">
        <is>
          <t>مدى رضا المستثمرين وشركاء الاستثمار</t>
        </is>
      </c>
      <c r="D79" s="23" t="inlineStr">
        <is>
          <t>🎯 نتيجة</t>
        </is>
      </c>
      <c r="E79" s="35" t="inlineStr">
        <is>
          <t>%</t>
        </is>
      </c>
      <c r="F79" s="35" t="inlineStr">
        <is>
          <t>↑</t>
        </is>
      </c>
      <c r="G79" s="23" t="inlineStr">
        <is>
          <t>🔴 رئيسي</t>
        </is>
      </c>
      <c r="H79" s="32" t="n">
        <v>0.05</v>
      </c>
      <c r="I79" s="35" t="n">
        <v>0.8</v>
      </c>
      <c r="J79" s="35" t="n">
        <v>0.786</v>
      </c>
      <c r="K79" s="32" t="n">
        <v>0.9825</v>
      </c>
      <c r="L79" s="14" t="inlineStr">
        <is>
          <t>🟡 قريب</t>
        </is>
      </c>
      <c r="M79" s="14" t="inlineStr">
        <is>
          <t>الاستدامة</t>
        </is>
      </c>
      <c r="N79" s="26" t="inlineStr">
        <is>
          <t>تعزيز تجربة العملاء</t>
        </is>
      </c>
      <c r="O79" s="23" t="inlineStr">
        <is>
          <t>العملاء</t>
        </is>
      </c>
      <c r="P79" s="23" t="inlineStr">
        <is>
          <t>مدير الاستثمار</t>
        </is>
      </c>
      <c r="Q79" s="26" t="inlineStr">
        <is>
          <t>استبيان دوري</t>
        </is>
      </c>
      <c r="R79" s="23" t="inlineStr">
        <is>
          <t>ربعي</t>
        </is>
      </c>
    </row>
    <row r="80">
      <c r="A80" s="22" t="inlineStr">
        <is>
          <t>الاستثمار</t>
        </is>
      </c>
      <c r="B80" s="22" t="inlineStr">
        <is>
          <t>جودة التعاقد</t>
        </is>
      </c>
      <c r="C80" s="22" t="inlineStr">
        <is>
          <t>نسبة اكتمال أرشفة ملفات العملاء</t>
        </is>
      </c>
      <c r="D80" s="23" t="inlineStr">
        <is>
          <t>⚙️ نشاط</t>
        </is>
      </c>
      <c r="E80" s="35" t="inlineStr">
        <is>
          <t>%</t>
        </is>
      </c>
      <c r="F80" s="35" t="inlineStr">
        <is>
          <t>↑</t>
        </is>
      </c>
      <c r="G80" s="23" t="inlineStr">
        <is>
          <t>🏁 معلم</t>
        </is>
      </c>
      <c r="H80" s="32" t="n">
        <v>0.01</v>
      </c>
      <c r="I80" s="35" t="n">
        <v>1</v>
      </c>
      <c r="J80" s="35" t="n">
        <v>0.972</v>
      </c>
      <c r="K80" s="32" t="n">
        <v>0.972</v>
      </c>
      <c r="L80" s="14" t="inlineStr">
        <is>
          <t>🟡 قريب</t>
        </is>
      </c>
      <c r="M80" s="14" t="inlineStr">
        <is>
          <t>الاستدامة</t>
        </is>
      </c>
      <c r="N80" s="26" t="inlineStr">
        <is>
          <t>جودة التشغيل</t>
        </is>
      </c>
      <c r="O80" s="23" t="inlineStr">
        <is>
          <t>العملاء</t>
        </is>
      </c>
      <c r="P80" s="23" t="inlineStr">
        <is>
          <t>مدير الاستثمار</t>
        </is>
      </c>
      <c r="Q80" s="26" t="inlineStr">
        <is>
          <t>نظام إدارة الجودة (QMS)</t>
        </is>
      </c>
      <c r="R80" s="23" t="inlineStr">
        <is>
          <t>شهري</t>
        </is>
      </c>
    </row>
    <row r="81">
      <c r="A81" s="22" t="inlineStr">
        <is>
          <t>الاستثمار</t>
        </is>
      </c>
      <c r="B81" s="22" t="inlineStr">
        <is>
          <t>جودة التعاقد</t>
        </is>
      </c>
      <c r="C81" s="22" t="inlineStr">
        <is>
          <t>نسبة إنجاز التقارير الدورية في موعدها</t>
        </is>
      </c>
      <c r="D81" s="23" t="inlineStr">
        <is>
          <t>⚙️ نشاط</t>
        </is>
      </c>
      <c r="E81" s="35" t="inlineStr">
        <is>
          <t>%</t>
        </is>
      </c>
      <c r="F81" s="35" t="inlineStr">
        <is>
          <t>↑</t>
        </is>
      </c>
      <c r="G81" s="23" t="inlineStr">
        <is>
          <t>🟡 متابعة</t>
        </is>
      </c>
      <c r="H81" s="32" t="n">
        <v>0.01</v>
      </c>
      <c r="I81" s="35" t="n">
        <v>1</v>
      </c>
      <c r="J81" s="35" t="n">
        <v>0.961</v>
      </c>
      <c r="K81" s="32" t="n">
        <v>0.961</v>
      </c>
      <c r="L81" s="14" t="inlineStr">
        <is>
          <t>🟡 قريب</t>
        </is>
      </c>
      <c r="M81" s="14" t="inlineStr">
        <is>
          <t>الاستدامة</t>
        </is>
      </c>
      <c r="N81" s="26" t="inlineStr">
        <is>
          <t>جودة التشغيل</t>
        </is>
      </c>
      <c r="O81" s="23" t="inlineStr">
        <is>
          <t>العمليات الداخلية</t>
        </is>
      </c>
      <c r="P81" s="23" t="inlineStr">
        <is>
          <t>مدير الاستثمار</t>
        </is>
      </c>
      <c r="Q81" s="26" t="inlineStr">
        <is>
          <t>نظام إدارة الجودة (QMS)</t>
        </is>
      </c>
      <c r="R81" s="23" t="inlineStr">
        <is>
          <t>شهري</t>
        </is>
      </c>
    </row>
    <row r="82">
      <c r="A82" s="22" t="inlineStr">
        <is>
          <t>العقار</t>
        </is>
      </c>
      <c r="B82" s="22" t="inlineStr">
        <is>
          <t>الإدارة</t>
        </is>
      </c>
      <c r="C82" s="22" t="inlineStr">
        <is>
          <t>نمو الإيرادات الإيجارية</t>
        </is>
      </c>
      <c r="D82" s="23" t="inlineStr">
        <is>
          <t>🎯 نتيجة</t>
        </is>
      </c>
      <c r="E82" s="35" t="inlineStr">
        <is>
          <t>%</t>
        </is>
      </c>
      <c r="F82" s="35" t="inlineStr">
        <is>
          <t>↑</t>
        </is>
      </c>
      <c r="G82" s="23" t="inlineStr">
        <is>
          <t>🔴 رئيسي</t>
        </is>
      </c>
      <c r="H82" s="32" t="n">
        <v>0.08</v>
      </c>
      <c r="I82" s="35" t="n">
        <v>0.08</v>
      </c>
      <c r="J82" s="35" t="n">
        <v>0.068</v>
      </c>
      <c r="K82" s="32" t="n">
        <v>0.8500000000000001</v>
      </c>
      <c r="L82" s="14" t="inlineStr">
        <is>
          <t>🟡 قريب</t>
        </is>
      </c>
      <c r="M82" s="14" t="inlineStr">
        <is>
          <t>الاستدامة</t>
        </is>
      </c>
      <c r="N82" s="26" t="inlineStr">
        <is>
          <t>منظومة التأجير</t>
        </is>
      </c>
      <c r="O82" s="23" t="inlineStr">
        <is>
          <t>مالي</t>
        </is>
      </c>
      <c r="P82" s="23" t="inlineStr">
        <is>
          <t>مدير العقار</t>
        </is>
      </c>
      <c r="Q82" s="26" t="inlineStr">
        <is>
          <t>نظام المحاسبة / ERP (D365)</t>
        </is>
      </c>
      <c r="R82" s="23" t="inlineStr">
        <is>
          <t>ربعي</t>
        </is>
      </c>
    </row>
    <row r="83">
      <c r="A83" s="22" t="inlineStr">
        <is>
          <t>العقار</t>
        </is>
      </c>
      <c r="B83" s="22" t="inlineStr">
        <is>
          <t>الإدارة</t>
        </is>
      </c>
      <c r="C83" s="22" t="inlineStr">
        <is>
          <t>نسبة الالتزام بالعقود</t>
        </is>
      </c>
      <c r="D83" s="23" t="inlineStr">
        <is>
          <t>🎯 نتيجة</t>
        </is>
      </c>
      <c r="E83" s="35" t="inlineStr">
        <is>
          <t>%</t>
        </is>
      </c>
      <c r="F83" s="35" t="inlineStr">
        <is>
          <t>↑</t>
        </is>
      </c>
      <c r="G83" s="23" t="inlineStr">
        <is>
          <t>🔴 رئيسي</t>
        </is>
      </c>
      <c r="H83" s="32" t="n">
        <v>0.08</v>
      </c>
      <c r="I83" s="35" t="n">
        <v>1</v>
      </c>
      <c r="J83" s="35" t="n">
        <v>1.03</v>
      </c>
      <c r="K83" s="32" t="n">
        <v>1</v>
      </c>
      <c r="L83" s="14" t="inlineStr">
        <is>
          <t>✅ محقق</t>
        </is>
      </c>
      <c r="M83" s="14" t="inlineStr">
        <is>
          <t>الاستدامة</t>
        </is>
      </c>
      <c r="N83" s="26" t="inlineStr">
        <is>
          <t>منظومة التأجير</t>
        </is>
      </c>
      <c r="O83" s="23" t="inlineStr">
        <is>
          <t>العمليات الداخلية</t>
        </is>
      </c>
      <c r="P83" s="23" t="inlineStr">
        <is>
          <t>مدير العقار</t>
        </is>
      </c>
      <c r="Q83" s="26" t="inlineStr">
        <is>
          <t>نظام إدارة العقود (CRM)</t>
        </is>
      </c>
      <c r="R83" s="23" t="inlineStr">
        <is>
          <t>شهري</t>
        </is>
      </c>
    </row>
    <row r="84">
      <c r="A84" s="22" t="inlineStr">
        <is>
          <t>العقار</t>
        </is>
      </c>
      <c r="B84" s="22" t="inlineStr">
        <is>
          <t>الإدارة</t>
        </is>
      </c>
      <c r="C84" s="22" t="inlineStr">
        <is>
          <t>نسبة تحصيل الإيجارات</t>
        </is>
      </c>
      <c r="D84" s="23" t="inlineStr">
        <is>
          <t>🎯 نتيجة</t>
        </is>
      </c>
      <c r="E84" s="35" t="inlineStr">
        <is>
          <t>%</t>
        </is>
      </c>
      <c r="F84" s="35" t="inlineStr">
        <is>
          <t>↑</t>
        </is>
      </c>
      <c r="G84" s="23" t="inlineStr">
        <is>
          <t>🔴 رئيسي</t>
        </is>
      </c>
      <c r="H84" s="32" t="n">
        <v>0.08</v>
      </c>
      <c r="I84" s="35" t="n">
        <v>0.95</v>
      </c>
      <c r="J84" s="35" t="n">
        <v>0.805</v>
      </c>
      <c r="K84" s="32" t="n">
        <v>0.8473684210526317</v>
      </c>
      <c r="L84" s="14" t="inlineStr">
        <is>
          <t>🔴 تحت الهدف</t>
        </is>
      </c>
      <c r="M84" s="14" t="inlineStr">
        <is>
          <t>الاستدامة</t>
        </is>
      </c>
      <c r="N84" s="26" t="inlineStr">
        <is>
          <t>منظومة التأجير</t>
        </is>
      </c>
      <c r="O84" s="23" t="inlineStr">
        <is>
          <t>مالي</t>
        </is>
      </c>
      <c r="P84" s="23" t="inlineStr">
        <is>
          <t>مدير العقار</t>
        </is>
      </c>
      <c r="Q84" s="26" t="inlineStr">
        <is>
          <t>نظام المحاسبة / ERP (D365)</t>
        </is>
      </c>
      <c r="R84" s="23" t="inlineStr">
        <is>
          <t>شهري</t>
        </is>
      </c>
    </row>
    <row r="85">
      <c r="A85" s="22" t="inlineStr">
        <is>
          <t>العقار</t>
        </is>
      </c>
      <c r="B85" s="22" t="inlineStr">
        <is>
          <t>التأجير</t>
        </is>
      </c>
      <c r="C85" s="22" t="inlineStr">
        <is>
          <t>نسبة الإشغال</t>
        </is>
      </c>
      <c r="D85" s="23" t="inlineStr">
        <is>
          <t>🎯 نتيجة</t>
        </is>
      </c>
      <c r="E85" s="35" t="inlineStr">
        <is>
          <t>%</t>
        </is>
      </c>
      <c r="F85" s="35" t="inlineStr">
        <is>
          <t>↑</t>
        </is>
      </c>
      <c r="G85" s="23" t="inlineStr">
        <is>
          <t>🔴 رئيسي</t>
        </is>
      </c>
      <c r="H85" s="32" t="n">
        <v>0.08</v>
      </c>
      <c r="I85" s="35" t="n">
        <v>0.6</v>
      </c>
      <c r="J85" s="35" t="n">
        <v>0.611</v>
      </c>
      <c r="K85" s="32" t="n">
        <v>1</v>
      </c>
      <c r="L85" s="14" t="inlineStr">
        <is>
          <t>✅ محقق</t>
        </is>
      </c>
      <c r="M85" s="14" t="inlineStr">
        <is>
          <t>الاستدامة</t>
        </is>
      </c>
      <c r="N85" s="26" t="inlineStr">
        <is>
          <t>منظومة التأجير</t>
        </is>
      </c>
      <c r="O85" s="23" t="inlineStr">
        <is>
          <t>العمليات الداخلية</t>
        </is>
      </c>
      <c r="P85" s="23" t="inlineStr">
        <is>
          <t>مدير العقار</t>
        </is>
      </c>
      <c r="Q85" s="26" t="inlineStr">
        <is>
          <t>نظام إدارة العقود (CRM)</t>
        </is>
      </c>
      <c r="R85" s="23" t="inlineStr">
        <is>
          <t>شهري</t>
        </is>
      </c>
    </row>
    <row r="86">
      <c r="A86" s="22" t="inlineStr">
        <is>
          <t>العقار</t>
        </is>
      </c>
      <c r="B86" s="22" t="inlineStr">
        <is>
          <t>التأجير</t>
        </is>
      </c>
      <c r="C86" s="22" t="inlineStr">
        <is>
          <t>الوحدات المؤجَّرة شهرياً</t>
        </is>
      </c>
      <c r="D86" s="23" t="inlineStr">
        <is>
          <t>🔧 تشغيلي</t>
        </is>
      </c>
      <c r="E86" s="35" t="inlineStr">
        <is>
          <t>وحدة</t>
        </is>
      </c>
      <c r="F86" s="35" t="inlineStr">
        <is>
          <t>↑</t>
        </is>
      </c>
      <c r="G86" s="23" t="inlineStr">
        <is>
          <t>🟠 مهم</t>
        </is>
      </c>
      <c r="H86" s="32" t="n">
        <v>0.05</v>
      </c>
      <c r="I86" s="35" t="n">
        <v>68</v>
      </c>
      <c r="J86" s="35" t="n">
        <v>54.8</v>
      </c>
      <c r="K86" s="32" t="n">
        <v>0.8058823529411764</v>
      </c>
      <c r="L86" s="14" t="inlineStr">
        <is>
          <t>🔴 تحت الهدف</t>
        </is>
      </c>
      <c r="M86" s="14" t="inlineStr">
        <is>
          <t>الاستدامة</t>
        </is>
      </c>
      <c r="N86" s="26" t="inlineStr">
        <is>
          <t>منظومة التأجير</t>
        </is>
      </c>
      <c r="O86" s="23" t="inlineStr">
        <is>
          <t>العمليات الداخلية</t>
        </is>
      </c>
      <c r="P86" s="23" t="inlineStr">
        <is>
          <t>مدير العقار</t>
        </is>
      </c>
      <c r="Q86" s="26" t="inlineStr">
        <is>
          <t>نظام إدارة العقود (CRM)</t>
        </is>
      </c>
      <c r="R86" s="23" t="inlineStr">
        <is>
          <t>شهري</t>
        </is>
      </c>
    </row>
    <row r="87">
      <c r="A87" s="22" t="inlineStr">
        <is>
          <t>العقار</t>
        </is>
      </c>
      <c r="B87" s="22" t="inlineStr">
        <is>
          <t>التأجير</t>
        </is>
      </c>
      <c r="C87" s="22" t="inlineStr">
        <is>
          <t>العملاء المحتملون (LEADS)</t>
        </is>
      </c>
      <c r="D87" s="23" t="inlineStr">
        <is>
          <t>🔧 تشغيلي</t>
        </is>
      </c>
      <c r="E87" s="35" t="inlineStr">
        <is>
          <t>عميل</t>
        </is>
      </c>
      <c r="F87" s="35" t="inlineStr">
        <is>
          <t>↑</t>
        </is>
      </c>
      <c r="G87" s="23" t="inlineStr">
        <is>
          <t>🟠 مهم</t>
        </is>
      </c>
      <c r="H87" s="32" t="n">
        <v>0.05</v>
      </c>
      <c r="I87" s="35" t="n">
        <v>680</v>
      </c>
      <c r="J87" s="35" t="n">
        <v>531.8</v>
      </c>
      <c r="K87" s="32" t="n">
        <v>0.7820588235294117</v>
      </c>
      <c r="L87" s="14" t="inlineStr">
        <is>
          <t>🔴 تحت الهدف</t>
        </is>
      </c>
      <c r="M87" s="14" t="inlineStr">
        <is>
          <t>النمو</t>
        </is>
      </c>
      <c r="N87" s="26" t="inlineStr">
        <is>
          <t>زيادة وصول العملاء</t>
        </is>
      </c>
      <c r="O87" s="23" t="inlineStr">
        <is>
          <t>العملاء</t>
        </is>
      </c>
      <c r="P87" s="23" t="inlineStr">
        <is>
          <t>مدير العقار</t>
        </is>
      </c>
      <c r="Q87" s="26" t="inlineStr">
        <is>
          <t>نظام إدارة العقود (CRM)</t>
        </is>
      </c>
      <c r="R87" s="23" t="inlineStr">
        <is>
          <t>شهري</t>
        </is>
      </c>
    </row>
    <row r="88">
      <c r="A88" s="22" t="inlineStr">
        <is>
          <t>العقار</t>
        </is>
      </c>
      <c r="B88" s="22" t="inlineStr">
        <is>
          <t>التأجير</t>
        </is>
      </c>
      <c r="C88" s="22" t="inlineStr">
        <is>
          <t>معدل التحويل</t>
        </is>
      </c>
      <c r="D88" s="23" t="inlineStr">
        <is>
          <t>🔧 تشغيلي</t>
        </is>
      </c>
      <c r="E88" s="35" t="inlineStr">
        <is>
          <t>%</t>
        </is>
      </c>
      <c r="F88" s="35" t="inlineStr">
        <is>
          <t>↑</t>
        </is>
      </c>
      <c r="G88" s="23" t="inlineStr">
        <is>
          <t>🔴 رئيسي</t>
        </is>
      </c>
      <c r="H88" s="32" t="n">
        <v>0.08</v>
      </c>
      <c r="I88" s="35" t="n">
        <v>0.2</v>
      </c>
      <c r="J88" s="35" t="n">
        <v>0.208</v>
      </c>
      <c r="K88" s="32" t="n">
        <v>1</v>
      </c>
      <c r="L88" s="14" t="inlineStr">
        <is>
          <t>✅ محقق</t>
        </is>
      </c>
      <c r="M88" s="14" t="inlineStr">
        <is>
          <t>النمو</t>
        </is>
      </c>
      <c r="N88" s="26" t="inlineStr">
        <is>
          <t>زيادة وصول العملاء</t>
        </is>
      </c>
      <c r="O88" s="23" t="inlineStr">
        <is>
          <t>العمليات الداخلية</t>
        </is>
      </c>
      <c r="P88" s="23" t="inlineStr">
        <is>
          <t>مدير العقار</t>
        </is>
      </c>
      <c r="Q88" s="26" t="inlineStr">
        <is>
          <t>نظام إدارة العقود (CRM)</t>
        </is>
      </c>
      <c r="R88" s="23" t="inlineStr">
        <is>
          <t>شهري</t>
        </is>
      </c>
    </row>
    <row r="89">
      <c r="A89" s="22" t="inlineStr">
        <is>
          <t>العقار</t>
        </is>
      </c>
      <c r="B89" s="22" t="inlineStr">
        <is>
          <t>التأجير</t>
        </is>
      </c>
      <c r="C89" s="22" t="inlineStr">
        <is>
          <t>زيادة عدد العلامات التجارية</t>
        </is>
      </c>
      <c r="D89" s="23" t="inlineStr">
        <is>
          <t>⚙️ نشاط</t>
        </is>
      </c>
      <c r="E89" s="35" t="inlineStr">
        <is>
          <t>علامة</t>
        </is>
      </c>
      <c r="F89" s="35" t="inlineStr">
        <is>
          <t>↑</t>
        </is>
      </c>
      <c r="G89" s="23" t="inlineStr">
        <is>
          <t>🟠 مهم</t>
        </is>
      </c>
      <c r="H89" s="32" t="n">
        <v>0.05</v>
      </c>
      <c r="I89" s="35" t="n">
        <v>246</v>
      </c>
      <c r="J89" s="35" t="n">
        <v>202.6</v>
      </c>
      <c r="K89" s="32" t="n">
        <v>0.8235772357723578</v>
      </c>
      <c r="L89" s="14" t="inlineStr">
        <is>
          <t>🔴 تحت الهدف</t>
        </is>
      </c>
      <c r="M89" s="14" t="inlineStr">
        <is>
          <t>الاستدامة</t>
        </is>
      </c>
      <c r="N89" s="26" t="inlineStr">
        <is>
          <t>منظومة التأجير</t>
        </is>
      </c>
      <c r="O89" s="23" t="inlineStr">
        <is>
          <t>العمليات الداخلية</t>
        </is>
      </c>
      <c r="P89" s="23" t="inlineStr">
        <is>
          <t>مدير العقار</t>
        </is>
      </c>
      <c r="Q89" s="26" t="inlineStr">
        <is>
          <t>نظام إدارة العقود (CRM)</t>
        </is>
      </c>
      <c r="R89" s="23" t="inlineStr">
        <is>
          <t>شهري</t>
        </is>
      </c>
    </row>
    <row r="90">
      <c r="A90" s="22" t="inlineStr">
        <is>
          <t>العقار</t>
        </is>
      </c>
      <c r="B90" s="22" t="inlineStr">
        <is>
          <t>الإبداع والتكامل</t>
        </is>
      </c>
      <c r="C90" s="22" t="inlineStr">
        <is>
          <t>نسبة تأجير ساحة درب</t>
        </is>
      </c>
      <c r="D90" s="23" t="inlineStr">
        <is>
          <t>🔧 تشغيلي</t>
        </is>
      </c>
      <c r="E90" s="35" t="inlineStr">
        <is>
          <t>%</t>
        </is>
      </c>
      <c r="F90" s="35" t="inlineStr">
        <is>
          <t>↑</t>
        </is>
      </c>
      <c r="G90" s="23" t="inlineStr">
        <is>
          <t>🟠 مهم</t>
        </is>
      </c>
      <c r="H90" s="32" t="n">
        <v>0.05</v>
      </c>
      <c r="I90" s="35" t="n">
        <v>0.8</v>
      </c>
      <c r="J90" s="35" t="n">
        <v>0.671</v>
      </c>
      <c r="K90" s="32" t="n">
        <v>0.83875</v>
      </c>
      <c r="L90" s="14" t="inlineStr">
        <is>
          <t>🔴 تحت الهدف</t>
        </is>
      </c>
      <c r="M90" s="14" t="inlineStr">
        <is>
          <t>الابتكار</t>
        </is>
      </c>
      <c r="N90" s="26" t="inlineStr">
        <is>
          <t>ساحات درب</t>
        </is>
      </c>
      <c r="O90" s="23" t="inlineStr">
        <is>
          <t>العمليات الداخلية</t>
        </is>
      </c>
      <c r="P90" s="23" t="inlineStr">
        <is>
          <t>مدير العقار</t>
        </is>
      </c>
      <c r="Q90" s="26" t="inlineStr">
        <is>
          <t>مكتب إدارة المشاريع (PMO)</t>
        </is>
      </c>
      <c r="R90" s="23" t="inlineStr">
        <is>
          <t>شهري</t>
        </is>
      </c>
    </row>
    <row r="91">
      <c r="A91" s="22" t="inlineStr">
        <is>
          <t>العقار</t>
        </is>
      </c>
      <c r="B91" s="22" t="inlineStr">
        <is>
          <t>الإبداع والتكامل</t>
        </is>
      </c>
      <c r="C91" s="22" t="inlineStr">
        <is>
          <t>علامات تجارية جديدة (ساحة درب)</t>
        </is>
      </c>
      <c r="D91" s="23" t="inlineStr">
        <is>
          <t>🔧 تشغيلي</t>
        </is>
      </c>
      <c r="E91" s="35" t="inlineStr">
        <is>
          <t>علامة</t>
        </is>
      </c>
      <c r="F91" s="35" t="inlineStr">
        <is>
          <t>↑</t>
        </is>
      </c>
      <c r="G91" s="23" t="inlineStr">
        <is>
          <t>🟠 مهم</t>
        </is>
      </c>
      <c r="H91" s="32" t="n">
        <v>0.05</v>
      </c>
      <c r="I91" s="35" t="n">
        <v>6</v>
      </c>
      <c r="J91" s="35" t="n">
        <v>5.769</v>
      </c>
      <c r="K91" s="32" t="n">
        <v>0.9615</v>
      </c>
      <c r="L91" s="14" t="inlineStr">
        <is>
          <t>🟡 قريب</t>
        </is>
      </c>
      <c r="M91" s="14" t="inlineStr">
        <is>
          <t>الابتكار</t>
        </is>
      </c>
      <c r="N91" s="26" t="inlineStr">
        <is>
          <t>ساحات درب</t>
        </is>
      </c>
      <c r="O91" s="23" t="inlineStr">
        <is>
          <t>العمليات الداخلية</t>
        </is>
      </c>
      <c r="P91" s="23" t="inlineStr">
        <is>
          <t>مدير العقار</t>
        </is>
      </c>
      <c r="Q91" s="26" t="inlineStr">
        <is>
          <t>مكتب إدارة المشاريع (PMO)</t>
        </is>
      </c>
      <c r="R91" s="23" t="inlineStr">
        <is>
          <t>شهري</t>
        </is>
      </c>
    </row>
    <row r="92">
      <c r="A92" s="22" t="inlineStr">
        <is>
          <t>العقار</t>
        </is>
      </c>
      <c r="B92" s="22" t="inlineStr">
        <is>
          <t>الإبداع والتكامل</t>
        </is>
      </c>
      <c r="C92" s="22" t="inlineStr">
        <is>
          <t>الشراكات الاستراتيجية</t>
        </is>
      </c>
      <c r="D92" s="23" t="inlineStr">
        <is>
          <t>🔧 تشغيلي</t>
        </is>
      </c>
      <c r="E92" s="35" t="inlineStr">
        <is>
          <t>شراكة</t>
        </is>
      </c>
      <c r="F92" s="35" t="inlineStr">
        <is>
          <t>↑</t>
        </is>
      </c>
      <c r="G92" s="23" t="inlineStr">
        <is>
          <t>🟠 مهم</t>
        </is>
      </c>
      <c r="H92" s="32" t="n">
        <v>0.05</v>
      </c>
      <c r="I92" s="35" t="n">
        <v>5</v>
      </c>
      <c r="J92" s="35" t="n">
        <v>4.59</v>
      </c>
      <c r="K92" s="32" t="n">
        <v>0.9179999999999999</v>
      </c>
      <c r="L92" s="14" t="inlineStr">
        <is>
          <t>🟡 قريب</t>
        </is>
      </c>
      <c r="M92" s="14" t="inlineStr">
        <is>
          <t>الابتكار</t>
        </is>
      </c>
      <c r="N92" s="26" t="inlineStr">
        <is>
          <t>إطلاق مشاريع جديدة</t>
        </is>
      </c>
      <c r="O92" s="23" t="inlineStr">
        <is>
          <t>التعلّم والنمو</t>
        </is>
      </c>
      <c r="P92" s="23" t="inlineStr">
        <is>
          <t>مدير العقار</t>
        </is>
      </c>
      <c r="Q92" s="26" t="inlineStr">
        <is>
          <t>مكتب إدارة المشاريع (PMO)</t>
        </is>
      </c>
      <c r="R92" s="23" t="inlineStr">
        <is>
          <t>شهري</t>
        </is>
      </c>
    </row>
    <row r="93">
      <c r="A93" s="22" t="inlineStr">
        <is>
          <t>العقار</t>
        </is>
      </c>
      <c r="B93" s="22" t="inlineStr">
        <is>
          <t>إدارة الأملاك</t>
        </is>
      </c>
      <c r="C93" s="22" t="inlineStr">
        <is>
          <t>نسبة تجديد العقود</t>
        </is>
      </c>
      <c r="D93" s="23" t="inlineStr">
        <is>
          <t>🎯 نتيجة</t>
        </is>
      </c>
      <c r="E93" s="35" t="inlineStr">
        <is>
          <t>%</t>
        </is>
      </c>
      <c r="F93" s="35" t="inlineStr">
        <is>
          <t>↑</t>
        </is>
      </c>
      <c r="G93" s="23" t="inlineStr">
        <is>
          <t>🔴 رئيسي</t>
        </is>
      </c>
      <c r="H93" s="32" t="n">
        <v>0.08</v>
      </c>
      <c r="I93" s="35" t="n">
        <v>1</v>
      </c>
      <c r="J93" s="35" t="n">
        <v>0.792</v>
      </c>
      <c r="K93" s="32" t="n">
        <v>0.792</v>
      </c>
      <c r="L93" s="14" t="inlineStr">
        <is>
          <t>🔴 تحت الهدف</t>
        </is>
      </c>
      <c r="M93" s="14" t="inlineStr">
        <is>
          <t>الاستدامة</t>
        </is>
      </c>
      <c r="N93" s="26" t="inlineStr">
        <is>
          <t>منظومة التأجير</t>
        </is>
      </c>
      <c r="O93" s="23" t="inlineStr">
        <is>
          <t>العمليات الداخلية</t>
        </is>
      </c>
      <c r="P93" s="23" t="inlineStr">
        <is>
          <t>مدير العقار</t>
        </is>
      </c>
      <c r="Q93" s="26" t="inlineStr">
        <is>
          <t>نظام إدارة العقود (CRM)</t>
        </is>
      </c>
      <c r="R93" s="23" t="inlineStr">
        <is>
          <t>شهري</t>
        </is>
      </c>
    </row>
    <row r="94">
      <c r="A94" s="22" t="inlineStr">
        <is>
          <t>العقار</t>
        </is>
      </c>
      <c r="B94" s="22" t="inlineStr">
        <is>
          <t>تنسيق المشاريع</t>
        </is>
      </c>
      <c r="C94" s="22" t="inlineStr">
        <is>
          <t>متوسط زمن تسليم الوحدة</t>
        </is>
      </c>
      <c r="D94" s="23" t="inlineStr">
        <is>
          <t>🔧 تشغيلي</t>
        </is>
      </c>
      <c r="E94" s="35" t="inlineStr">
        <is>
          <t>يوم</t>
        </is>
      </c>
      <c r="F94" s="35" t="inlineStr">
        <is>
          <t>↓</t>
        </is>
      </c>
      <c r="G94" s="23" t="inlineStr">
        <is>
          <t>🟠 مهم</t>
        </is>
      </c>
      <c r="H94" s="32" t="n">
        <v>0.05</v>
      </c>
      <c r="I94" s="35" t="n">
        <v>7</v>
      </c>
      <c r="J94" s="35" t="n">
        <v>7.983</v>
      </c>
      <c r="K94" s="32" t="n">
        <v>0.8768633345859953</v>
      </c>
      <c r="L94" s="14" t="inlineStr">
        <is>
          <t>🟡 قريب</t>
        </is>
      </c>
      <c r="M94" s="14" t="inlineStr">
        <is>
          <t>الاستدامة</t>
        </is>
      </c>
      <c r="N94" s="26" t="inlineStr">
        <is>
          <t>جودة التشغيل</t>
        </is>
      </c>
      <c r="O94" s="23" t="inlineStr">
        <is>
          <t>العمليات الداخلية</t>
        </is>
      </c>
      <c r="P94" s="23" t="inlineStr">
        <is>
          <t>مدير العقار</t>
        </is>
      </c>
      <c r="Q94" s="26" t="inlineStr">
        <is>
          <t>سجلات الإدارة</t>
        </is>
      </c>
      <c r="R94" s="23" t="inlineStr">
        <is>
          <t>شهري</t>
        </is>
      </c>
    </row>
    <row r="95">
      <c r="A95" s="22" t="inlineStr">
        <is>
          <t>العقار</t>
        </is>
      </c>
      <c r="B95" s="22" t="inlineStr">
        <is>
          <t>تنسيق المشاريع</t>
        </is>
      </c>
      <c r="C95" s="22" t="inlineStr">
        <is>
          <t>نسبة إغلاق الطلبات خلال 3 أسابيع</t>
        </is>
      </c>
      <c r="D95" s="23" t="inlineStr">
        <is>
          <t>🎯 نتيجة</t>
        </is>
      </c>
      <c r="E95" s="35" t="inlineStr">
        <is>
          <t>%</t>
        </is>
      </c>
      <c r="F95" s="35" t="inlineStr">
        <is>
          <t>↑</t>
        </is>
      </c>
      <c r="G95" s="23" t="inlineStr">
        <is>
          <t>🟠 مهم</t>
        </is>
      </c>
      <c r="H95" s="32" t="n">
        <v>0.05</v>
      </c>
      <c r="I95" s="35" t="n">
        <v>0.9</v>
      </c>
      <c r="J95" s="35" t="n">
        <v>0.698</v>
      </c>
      <c r="K95" s="32" t="n">
        <v>0.7755555555555554</v>
      </c>
      <c r="L95" s="14" t="inlineStr">
        <is>
          <t>🔴 تحت الهدف</t>
        </is>
      </c>
      <c r="M95" s="14" t="inlineStr">
        <is>
          <t>الاستدامة</t>
        </is>
      </c>
      <c r="N95" s="26" t="inlineStr">
        <is>
          <t>جودة التشغيل</t>
        </is>
      </c>
      <c r="O95" s="23" t="inlineStr">
        <is>
          <t>العمليات الداخلية</t>
        </is>
      </c>
      <c r="P95" s="23" t="inlineStr">
        <is>
          <t>مدير العقار</t>
        </is>
      </c>
      <c r="Q95" s="26" t="inlineStr">
        <is>
          <t>سجلات الإدارة</t>
        </is>
      </c>
      <c r="R95" s="23" t="inlineStr">
        <is>
          <t>شهري</t>
        </is>
      </c>
    </row>
    <row r="96">
      <c r="A96" s="22" t="inlineStr">
        <is>
          <t>العقار</t>
        </is>
      </c>
      <c r="B96" s="22" t="inlineStr">
        <is>
          <t>الجودة والاستدامة</t>
        </is>
      </c>
      <c r="C96" s="22" t="inlineStr">
        <is>
          <t>استدامة المستأجرين (لم يُنهَ مبكراً)</t>
        </is>
      </c>
      <c r="D96" s="23" t="inlineStr">
        <is>
          <t>🎯 نتيجة</t>
        </is>
      </c>
      <c r="E96" s="35" t="inlineStr">
        <is>
          <t>%</t>
        </is>
      </c>
      <c r="F96" s="35" t="inlineStr">
        <is>
          <t>↑</t>
        </is>
      </c>
      <c r="G96" s="23" t="inlineStr">
        <is>
          <t>🟠 مهم</t>
        </is>
      </c>
      <c r="H96" s="32" t="n">
        <v>0.05</v>
      </c>
      <c r="I96" s="35" t="n">
        <v>0.8</v>
      </c>
      <c r="J96" s="35" t="n">
        <v>0.695</v>
      </c>
      <c r="K96" s="32" t="n">
        <v>0.8687499999999999</v>
      </c>
      <c r="L96" s="14" t="inlineStr">
        <is>
          <t>🟡 قريب</t>
        </is>
      </c>
      <c r="M96" s="14" t="inlineStr">
        <is>
          <t>الاستدامة</t>
        </is>
      </c>
      <c r="N96" s="26" t="inlineStr">
        <is>
          <t>تعزيز تجربة العملاء</t>
        </is>
      </c>
      <c r="O96" s="23" t="inlineStr">
        <is>
          <t>العملاء</t>
        </is>
      </c>
      <c r="P96" s="23" t="inlineStr">
        <is>
          <t>مدير العقار</t>
        </is>
      </c>
      <c r="Q96" s="26" t="inlineStr">
        <is>
          <t>نظام إدارة الجودة (QMS)</t>
        </is>
      </c>
      <c r="R96" s="23" t="inlineStr">
        <is>
          <t>شهري</t>
        </is>
      </c>
    </row>
    <row r="97">
      <c r="A97" s="22" t="inlineStr">
        <is>
          <t>العقار</t>
        </is>
      </c>
      <c r="B97" s="22" t="inlineStr">
        <is>
          <t>الجودة والاستدامة</t>
        </is>
      </c>
      <c r="C97" s="22" t="inlineStr">
        <is>
          <t>معدل رضا المستأجرين (استبيان ربعي)</t>
        </is>
      </c>
      <c r="D97" s="23" t="inlineStr">
        <is>
          <t>🎯 نتيجة</t>
        </is>
      </c>
      <c r="E97" s="35" t="inlineStr">
        <is>
          <t>%</t>
        </is>
      </c>
      <c r="F97" s="35" t="inlineStr">
        <is>
          <t>↑</t>
        </is>
      </c>
      <c r="G97" s="23" t="inlineStr">
        <is>
          <t>🔴 رئيسي</t>
        </is>
      </c>
      <c r="H97" s="32" t="n">
        <v>0.07000000000000001</v>
      </c>
      <c r="I97" s="35" t="n">
        <v>0.9</v>
      </c>
      <c r="J97" s="35" t="n">
        <v>0.894</v>
      </c>
      <c r="K97" s="32" t="n">
        <v>0.9933333333333333</v>
      </c>
      <c r="L97" s="14" t="inlineStr">
        <is>
          <t>🟡 قريب</t>
        </is>
      </c>
      <c r="M97" s="14" t="inlineStr">
        <is>
          <t>الاستدامة</t>
        </is>
      </c>
      <c r="N97" s="26" t="inlineStr">
        <is>
          <t>تعزيز تجربة العملاء</t>
        </is>
      </c>
      <c r="O97" s="23" t="inlineStr">
        <is>
          <t>العملاء</t>
        </is>
      </c>
      <c r="P97" s="23" t="inlineStr">
        <is>
          <t>مدير العقار</t>
        </is>
      </c>
      <c r="Q97" s="26" t="inlineStr">
        <is>
          <t>استبيان دوري</t>
        </is>
      </c>
      <c r="R97" s="23" t="inlineStr">
        <is>
          <t>ربعي</t>
        </is>
      </c>
    </row>
    <row r="98">
      <c r="A98" s="22" t="inlineStr">
        <is>
          <t>التقنية الرقمية</t>
        </is>
      </c>
      <c r="B98" s="22" t="inlineStr">
        <is>
          <t>أداء المشاريع</t>
        </is>
      </c>
      <c r="C98" s="22" t="inlineStr">
        <is>
          <t>نسبة إنجاز محفظة مشاريع التحول الرقمي</t>
        </is>
      </c>
      <c r="D98" s="23" t="inlineStr">
        <is>
          <t>🎯 نتيجة</t>
        </is>
      </c>
      <c r="E98" s="35" t="inlineStr">
        <is>
          <t>%</t>
        </is>
      </c>
      <c r="F98" s="35" t="inlineStr">
        <is>
          <t>↑</t>
        </is>
      </c>
      <c r="G98" s="23" t="inlineStr">
        <is>
          <t>🟠 مهم</t>
        </is>
      </c>
      <c r="H98" s="32" t="n">
        <v>0.1</v>
      </c>
      <c r="I98" s="35" t="n">
        <v>1</v>
      </c>
      <c r="J98" s="35" t="n">
        <v>0.06</v>
      </c>
      <c r="K98" s="32" t="n">
        <v>0.06</v>
      </c>
      <c r="L98" s="14" t="inlineStr">
        <is>
          <t>🔴 تحت الهدف</t>
        </is>
      </c>
      <c r="M98" s="14" t="inlineStr">
        <is>
          <t>الابتكار</t>
        </is>
      </c>
      <c r="N98" s="26" t="inlineStr">
        <is>
          <t>التحول التقني</t>
        </is>
      </c>
      <c r="O98" s="23" t="inlineStr">
        <is>
          <t>التعلّم والنمو</t>
        </is>
      </c>
      <c r="P98" s="23" t="inlineStr">
        <is>
          <t>مدير التقنية</t>
        </is>
      </c>
      <c r="Q98" s="26" t="inlineStr">
        <is>
          <t>سجلات الإدارة</t>
        </is>
      </c>
      <c r="R98" s="23" t="inlineStr">
        <is>
          <t>شهري</t>
        </is>
      </c>
    </row>
    <row r="99">
      <c r="A99" s="22" t="inlineStr">
        <is>
          <t>التقنية الرقمية</t>
        </is>
      </c>
      <c r="B99" s="22" t="inlineStr">
        <is>
          <t>أداء المشاريع</t>
        </is>
      </c>
      <c r="C99" s="22" t="inlineStr">
        <is>
          <t>معدل تسليم المشاريع في الموعد المحدد</t>
        </is>
      </c>
      <c r="D99" s="23" t="inlineStr">
        <is>
          <t>🔧 تشغيلي</t>
        </is>
      </c>
      <c r="E99" s="35" t="inlineStr">
        <is>
          <t>%</t>
        </is>
      </c>
      <c r="F99" s="35" t="inlineStr">
        <is>
          <t>↑</t>
        </is>
      </c>
      <c r="G99" s="23" t="inlineStr">
        <is>
          <t>🟠 مهم</t>
        </is>
      </c>
      <c r="H99" s="32" t="n">
        <v>0.1</v>
      </c>
      <c r="I99" s="35" t="n">
        <v>0.9</v>
      </c>
      <c r="J99" s="35" t="n">
        <v>0.83</v>
      </c>
      <c r="K99" s="32" t="n">
        <v>0.9222222222222222</v>
      </c>
      <c r="L99" s="14" t="inlineStr">
        <is>
          <t>🟡 قريب</t>
        </is>
      </c>
      <c r="M99" s="14" t="inlineStr">
        <is>
          <t>الابتكار</t>
        </is>
      </c>
      <c r="N99" s="26" t="inlineStr">
        <is>
          <t>التحول التقني</t>
        </is>
      </c>
      <c r="O99" s="23" t="inlineStr">
        <is>
          <t>العمليات الداخلية</t>
        </is>
      </c>
      <c r="P99" s="23" t="inlineStr">
        <is>
          <t>مدير التقنية</t>
        </is>
      </c>
      <c r="Q99" s="26" t="inlineStr">
        <is>
          <t>سجلات الإدارة</t>
        </is>
      </c>
      <c r="R99" s="23" t="inlineStr">
        <is>
          <t>شهري</t>
        </is>
      </c>
    </row>
    <row r="100">
      <c r="A100" s="22" t="inlineStr">
        <is>
          <t>التقنية الرقمية</t>
        </is>
      </c>
      <c r="B100" s="22" t="inlineStr">
        <is>
          <t>أداء المشاريع</t>
        </is>
      </c>
      <c r="C100" s="22" t="inlineStr">
        <is>
          <t>نسبة الالتزام بميزانية المشاريع</t>
        </is>
      </c>
      <c r="D100" s="23" t="inlineStr">
        <is>
          <t>🎯 نتيجة</t>
        </is>
      </c>
      <c r="E100" s="35" t="inlineStr">
        <is>
          <t>%</t>
        </is>
      </c>
      <c r="F100" s="35" t="inlineStr">
        <is>
          <t>↑</t>
        </is>
      </c>
      <c r="G100" s="23" t="inlineStr">
        <is>
          <t>🟠 مهم</t>
        </is>
      </c>
      <c r="H100" s="32" t="n">
        <v>0.1</v>
      </c>
      <c r="I100" s="35" t="n">
        <v>0.95</v>
      </c>
      <c r="J100" s="35" t="n">
        <v>0.753</v>
      </c>
      <c r="K100" s="32" t="n">
        <v>0.7926315789473685</v>
      </c>
      <c r="L100" s="14" t="inlineStr">
        <is>
          <t>🔴 تحت الهدف</t>
        </is>
      </c>
      <c r="M100" s="14" t="inlineStr">
        <is>
          <t>الابتكار</t>
        </is>
      </c>
      <c r="N100" s="26" t="inlineStr">
        <is>
          <t>التحول التقني</t>
        </is>
      </c>
      <c r="O100" s="23" t="inlineStr">
        <is>
          <t>العمليات الداخلية</t>
        </is>
      </c>
      <c r="P100" s="23" t="inlineStr">
        <is>
          <t>مدير التقنية</t>
        </is>
      </c>
      <c r="Q100" s="26" t="inlineStr">
        <is>
          <t>نظام المحاسبة / ERP (D365)</t>
        </is>
      </c>
      <c r="R100" s="23" t="inlineStr">
        <is>
          <t>شهري</t>
        </is>
      </c>
    </row>
    <row r="101">
      <c r="A101" s="22" t="inlineStr">
        <is>
          <t>التقنية الرقمية</t>
        </is>
      </c>
      <c r="B101" s="22" t="inlineStr">
        <is>
          <t>أداء المشاريع</t>
        </is>
      </c>
      <c r="C101" s="22" t="inlineStr">
        <is>
          <t>نسبة الالتزام بنطاق العمل</t>
        </is>
      </c>
      <c r="D101" s="23" t="inlineStr">
        <is>
          <t>🎯 نتيجة</t>
        </is>
      </c>
      <c r="E101" s="35" t="inlineStr">
        <is>
          <t>%</t>
        </is>
      </c>
      <c r="F101" s="35" t="inlineStr">
        <is>
          <t>↑</t>
        </is>
      </c>
      <c r="G101" s="23" t="inlineStr">
        <is>
          <t>🟠 مهم</t>
        </is>
      </c>
      <c r="H101" s="32" t="n">
        <v>0.1</v>
      </c>
      <c r="I101" s="35" t="n">
        <v>0.95</v>
      </c>
      <c r="J101" s="35" t="n">
        <v>0.703</v>
      </c>
      <c r="K101" s="32" t="n">
        <v>0.74</v>
      </c>
      <c r="L101" s="14" t="inlineStr">
        <is>
          <t>🔴 تحت الهدف</t>
        </is>
      </c>
      <c r="M101" s="14" t="inlineStr">
        <is>
          <t>الابتكار</t>
        </is>
      </c>
      <c r="N101" s="26" t="inlineStr">
        <is>
          <t>التحول التقني</t>
        </is>
      </c>
      <c r="O101" s="23" t="inlineStr">
        <is>
          <t>العمليات الداخلية</t>
        </is>
      </c>
      <c r="P101" s="23" t="inlineStr">
        <is>
          <t>مدير التقنية</t>
        </is>
      </c>
      <c r="Q101" s="26" t="inlineStr">
        <is>
          <t>سجلات الإدارة</t>
        </is>
      </c>
      <c r="R101" s="23" t="inlineStr">
        <is>
          <t>شهري</t>
        </is>
      </c>
    </row>
    <row r="102">
      <c r="A102" s="22" t="inlineStr">
        <is>
          <t>التقنية الرقمية</t>
        </is>
      </c>
      <c r="B102" s="22" t="inlineStr">
        <is>
          <t>الكفاءة التشغيلية</t>
        </is>
      </c>
      <c r="C102" s="22" t="inlineStr">
        <is>
          <t>نسبة تفعيل الأنظمة الأساسية بالمحطات</t>
        </is>
      </c>
      <c r="D102" s="23" t="inlineStr">
        <is>
          <t>🔧 تشغيلي</t>
        </is>
      </c>
      <c r="E102" s="35" t="inlineStr">
        <is>
          <t>%</t>
        </is>
      </c>
      <c r="F102" s="35" t="inlineStr">
        <is>
          <t>↑</t>
        </is>
      </c>
      <c r="G102" s="23" t="inlineStr">
        <is>
          <t>🏁 معلم</t>
        </is>
      </c>
      <c r="H102" s="32" t="n">
        <v>0.15</v>
      </c>
      <c r="I102" s="35" t="n">
        <v>1</v>
      </c>
      <c r="J102" s="35" t="n">
        <v>0.33</v>
      </c>
      <c r="K102" s="32" t="n">
        <v>0.33</v>
      </c>
      <c r="L102" s="14" t="inlineStr">
        <is>
          <t>🔴 تحت الهدف</t>
        </is>
      </c>
      <c r="M102" s="14" t="inlineStr">
        <is>
          <t>الاستدامة</t>
        </is>
      </c>
      <c r="N102" s="26" t="inlineStr">
        <is>
          <t>جودة التشغيل</t>
        </is>
      </c>
      <c r="O102" s="23" t="inlineStr">
        <is>
          <t>التعلّم والنمو</t>
        </is>
      </c>
      <c r="P102" s="23" t="inlineStr">
        <is>
          <t>مدير التقنية</t>
        </is>
      </c>
      <c r="Q102" s="26" t="inlineStr">
        <is>
          <t>مكتب إدارة المشاريع (PMO)</t>
        </is>
      </c>
      <c r="R102" s="23" t="inlineStr">
        <is>
          <t>شهري</t>
        </is>
      </c>
    </row>
    <row r="103">
      <c r="A103" s="22" t="inlineStr">
        <is>
          <t>التقنية الرقمية</t>
        </is>
      </c>
      <c r="B103" s="22" t="inlineStr">
        <is>
          <t>الكفاءة التشغيلية</t>
        </is>
      </c>
      <c r="C103" s="22" t="inlineStr">
        <is>
          <t>متوسط جاهزية أنظمة المركز الرئيسي (Uptime)</t>
        </is>
      </c>
      <c r="D103" s="23" t="inlineStr">
        <is>
          <t>🎯 نتيجة</t>
        </is>
      </c>
      <c r="E103" s="35" t="inlineStr">
        <is>
          <t>%</t>
        </is>
      </c>
      <c r="F103" s="35" t="inlineStr">
        <is>
          <t>↑</t>
        </is>
      </c>
      <c r="G103" s="23" t="inlineStr">
        <is>
          <t>🔴 رئيسي</t>
        </is>
      </c>
      <c r="H103" s="32" t="n">
        <v>0.15</v>
      </c>
      <c r="I103" s="35" t="n">
        <v>0.99</v>
      </c>
      <c r="J103" s="35" t="n">
        <v>0.9</v>
      </c>
      <c r="K103" s="32" t="n">
        <v>0.9090909090909092</v>
      </c>
      <c r="L103" s="14" t="inlineStr">
        <is>
          <t>🟡 قريب</t>
        </is>
      </c>
      <c r="M103" s="14" t="inlineStr">
        <is>
          <t>الاستدامة</t>
        </is>
      </c>
      <c r="N103" s="26" t="inlineStr">
        <is>
          <t>جودة التشغيل</t>
        </is>
      </c>
      <c r="O103" s="23" t="inlineStr">
        <is>
          <t>التعلّم والنمو</t>
        </is>
      </c>
      <c r="P103" s="23" t="inlineStr">
        <is>
          <t>مدير التقنية</t>
        </is>
      </c>
      <c r="Q103" s="26" t="inlineStr">
        <is>
          <t>مكتب إدارة المشاريع (PMO)</t>
        </is>
      </c>
      <c r="R103" s="23" t="inlineStr">
        <is>
          <t>شهري</t>
        </is>
      </c>
    </row>
    <row r="104">
      <c r="A104" s="22" t="inlineStr">
        <is>
          <t>التقنية الرقمية</t>
        </is>
      </c>
      <c r="B104" s="22" t="inlineStr">
        <is>
          <t>الكفاءة التشغيلية</t>
        </is>
      </c>
      <c r="C104" s="22" t="inlineStr">
        <is>
          <t>نسبة الامتثال للأمن السيبراني</t>
        </is>
      </c>
      <c r="D104" s="23" t="inlineStr">
        <is>
          <t>🎯 نتيجة</t>
        </is>
      </c>
      <c r="E104" s="35" t="inlineStr">
        <is>
          <t>%</t>
        </is>
      </c>
      <c r="F104" s="35" t="inlineStr">
        <is>
          <t>↑</t>
        </is>
      </c>
      <c r="G104" s="23" t="inlineStr">
        <is>
          <t>🟠 مهم</t>
        </is>
      </c>
      <c r="H104" s="32" t="n">
        <v>0.1</v>
      </c>
      <c r="I104" s="35" t="n">
        <v>1</v>
      </c>
      <c r="J104" s="35" t="n">
        <v>0.3</v>
      </c>
      <c r="K104" s="32" t="n">
        <v>0.3</v>
      </c>
      <c r="L104" s="14" t="inlineStr">
        <is>
          <t>🔴 تحت الهدف</t>
        </is>
      </c>
      <c r="M104" s="14" t="inlineStr">
        <is>
          <t>الاستدامة</t>
        </is>
      </c>
      <c r="N104" s="26" t="inlineStr">
        <is>
          <t>جودة التشغيل</t>
        </is>
      </c>
      <c r="O104" s="23" t="inlineStr">
        <is>
          <t>التعلّم والنمو</t>
        </is>
      </c>
      <c r="P104" s="23" t="inlineStr">
        <is>
          <t>مدير التقنية</t>
        </is>
      </c>
      <c r="Q104" s="26" t="inlineStr">
        <is>
          <t>مكتب إدارة المشاريع (PMO)</t>
        </is>
      </c>
      <c r="R104" s="23" t="inlineStr">
        <is>
          <t>شهري</t>
        </is>
      </c>
    </row>
    <row r="105">
      <c r="A105" s="22" t="inlineStr">
        <is>
          <t>التقنية الرقمية</t>
        </is>
      </c>
      <c r="B105" s="22" t="inlineStr">
        <is>
          <t>الكفاءة التشغيلية</t>
        </is>
      </c>
      <c r="C105" s="22" t="inlineStr">
        <is>
          <t>متوسط زمن استجابة الدعم الفني</t>
        </is>
      </c>
      <c r="D105" s="23" t="inlineStr">
        <is>
          <t>🔧 تشغيلي</t>
        </is>
      </c>
      <c r="E105" s="35" t="inlineStr">
        <is>
          <t>ساعة</t>
        </is>
      </c>
      <c r="F105" s="35" t="inlineStr">
        <is>
          <t>↓</t>
        </is>
      </c>
      <c r="G105" s="23" t="inlineStr">
        <is>
          <t>🟠 مهم</t>
        </is>
      </c>
      <c r="H105" s="32" t="n">
        <v>0.1</v>
      </c>
      <c r="I105" s="35" t="n">
        <v>1</v>
      </c>
      <c r="J105" s="35" t="n">
        <v>0.8</v>
      </c>
      <c r="K105" s="32" t="n">
        <v>1</v>
      </c>
      <c r="L105" s="14" t="inlineStr">
        <is>
          <t>✅ محقق</t>
        </is>
      </c>
      <c r="M105" s="14" t="inlineStr">
        <is>
          <t>الاستدامة</t>
        </is>
      </c>
      <c r="N105" s="26" t="inlineStr">
        <is>
          <t>جودة التشغيل</t>
        </is>
      </c>
      <c r="O105" s="23" t="inlineStr">
        <is>
          <t>العمليات الداخلية</t>
        </is>
      </c>
      <c r="P105" s="23" t="inlineStr">
        <is>
          <t>مدير التقنية</t>
        </is>
      </c>
      <c r="Q105" s="26" t="inlineStr">
        <is>
          <t>سجلات الإدارة</t>
        </is>
      </c>
      <c r="R105" s="23" t="inlineStr">
        <is>
          <t>شهري</t>
        </is>
      </c>
    </row>
    <row r="106">
      <c r="A106" s="22" t="inlineStr">
        <is>
          <t>التقنية الرقمية</t>
        </is>
      </c>
      <c r="B106" s="22" t="inlineStr">
        <is>
          <t>الكفاءة التشغيلية</t>
        </is>
      </c>
      <c r="C106" s="22" t="inlineStr">
        <is>
          <t>نسبة التكامل الرقمي (ERP/واثق/الولاء)</t>
        </is>
      </c>
      <c r="D106" s="23" t="inlineStr">
        <is>
          <t>🔧 تشغيلي</t>
        </is>
      </c>
      <c r="E106" s="35" t="inlineStr">
        <is>
          <t>%</t>
        </is>
      </c>
      <c r="F106" s="35" t="inlineStr">
        <is>
          <t>↑</t>
        </is>
      </c>
      <c r="G106" s="23" t="inlineStr">
        <is>
          <t>🟠 مهم</t>
        </is>
      </c>
      <c r="H106" s="32" t="n">
        <v>0.1</v>
      </c>
      <c r="I106" s="35" t="n">
        <v>1</v>
      </c>
      <c r="J106" s="35" t="n">
        <v>0.2</v>
      </c>
      <c r="K106" s="32" t="n">
        <v>0.2</v>
      </c>
      <c r="L106" s="14" t="inlineStr">
        <is>
          <t>🔴 تحت الهدف</t>
        </is>
      </c>
      <c r="M106" s="14" t="inlineStr">
        <is>
          <t>الاستدامة</t>
        </is>
      </c>
      <c r="N106" s="26" t="inlineStr">
        <is>
          <t>جودة التشغيل</t>
        </is>
      </c>
      <c r="O106" s="23" t="inlineStr">
        <is>
          <t>التعلّم والنمو</t>
        </is>
      </c>
      <c r="P106" s="23" t="inlineStr">
        <is>
          <t>مدير التقنية</t>
        </is>
      </c>
      <c r="Q106" s="26" t="inlineStr">
        <is>
          <t>أنظمة التسويق الرقمي / تانكي</t>
        </is>
      </c>
      <c r="R106" s="23" t="inlineStr">
        <is>
          <t>شهري</t>
        </is>
      </c>
    </row>
    <row r="107">
      <c r="A107" s="22" t="inlineStr">
        <is>
          <t>الموارد البشرية</t>
        </is>
      </c>
      <c r="B107" s="22" t="inlineStr">
        <is>
          <t>التوظيف والتوطين</t>
        </is>
      </c>
      <c r="C107" s="22" t="inlineStr">
        <is>
          <t>نسبة السعودة / التوطين</t>
        </is>
      </c>
      <c r="D107" s="23" t="inlineStr">
        <is>
          <t>🎯 نتيجة</t>
        </is>
      </c>
      <c r="E107" s="35" t="inlineStr">
        <is>
          <t>%</t>
        </is>
      </c>
      <c r="F107" s="35" t="inlineStr">
        <is>
          <t>↑</t>
        </is>
      </c>
      <c r="G107" s="23" t="inlineStr">
        <is>
          <t>🟠 مهم</t>
        </is>
      </c>
      <c r="H107" s="32" t="n">
        <v>0.06</v>
      </c>
      <c r="I107" s="35" t="n"/>
      <c r="J107" s="35" t="n"/>
      <c r="K107" s="32" t="n"/>
      <c r="L107" s="14" t="inlineStr">
        <is>
          <t>⏳ بانتظار هدف</t>
        </is>
      </c>
      <c r="M107" s="14" t="inlineStr">
        <is>
          <t>الاستدامة</t>
        </is>
      </c>
      <c r="N107" s="26" t="inlineStr">
        <is>
          <t>الاستثمار في الموظفين</t>
        </is>
      </c>
      <c r="O107" s="23" t="inlineStr">
        <is>
          <t>التعلّم والنمو</t>
        </is>
      </c>
      <c r="P107" s="23" t="inlineStr">
        <is>
          <t>مدير الموارد البشرية</t>
        </is>
      </c>
      <c r="Q107" s="26" t="inlineStr">
        <is>
          <t>نظام الموارد البشرية (HRMS)</t>
        </is>
      </c>
      <c r="R107" s="23" t="inlineStr">
        <is>
          <t>شهري</t>
        </is>
      </c>
    </row>
    <row r="108">
      <c r="A108" s="22" t="inlineStr">
        <is>
          <t>الموارد البشرية</t>
        </is>
      </c>
      <c r="B108" s="22" t="inlineStr">
        <is>
          <t>التوظيف والتوطين</t>
        </is>
      </c>
      <c r="C108" s="22" t="inlineStr">
        <is>
          <t>الارتقاء بآليات اختيار المرشحين</t>
        </is>
      </c>
      <c r="D108" s="23" t="inlineStr">
        <is>
          <t>🔧 تشغيلي</t>
        </is>
      </c>
      <c r="E108" s="35" t="inlineStr">
        <is>
          <t>%</t>
        </is>
      </c>
      <c r="F108" s="35" t="inlineStr">
        <is>
          <t>↑</t>
        </is>
      </c>
      <c r="G108" s="23" t="inlineStr">
        <is>
          <t>🟠 مهم</t>
        </is>
      </c>
      <c r="H108" s="32" t="n">
        <v>0.06</v>
      </c>
      <c r="I108" s="35" t="n">
        <v>1</v>
      </c>
      <c r="J108" s="35" t="n">
        <v>0.723</v>
      </c>
      <c r="K108" s="32" t="n">
        <v>0.723</v>
      </c>
      <c r="L108" s="14" t="inlineStr">
        <is>
          <t>🔴 تحت الهدف</t>
        </is>
      </c>
      <c r="M108" s="14" t="inlineStr">
        <is>
          <t>الاستدامة</t>
        </is>
      </c>
      <c r="N108" s="26" t="inlineStr">
        <is>
          <t>الاستثمار في الموظفين</t>
        </is>
      </c>
      <c r="O108" s="23" t="inlineStr">
        <is>
          <t>العمليات الداخلية</t>
        </is>
      </c>
      <c r="P108" s="23" t="inlineStr">
        <is>
          <t>مدير الموارد البشرية</t>
        </is>
      </c>
      <c r="Q108" s="26" t="inlineStr">
        <is>
          <t>نظام الموارد البشرية (HRMS)</t>
        </is>
      </c>
      <c r="R108" s="23" t="inlineStr">
        <is>
          <t>شهري</t>
        </is>
      </c>
    </row>
    <row r="109">
      <c r="A109" s="22" t="inlineStr">
        <is>
          <t>الموارد البشرية</t>
        </is>
      </c>
      <c r="B109" s="22" t="inlineStr">
        <is>
          <t>التوظيف والتوطين</t>
        </is>
      </c>
      <c r="C109" s="22" t="inlineStr">
        <is>
          <t>نسبة شغل الشواغر خلال 30 يوم</t>
        </is>
      </c>
      <c r="D109" s="23" t="inlineStr">
        <is>
          <t>🔧 تشغيلي</t>
        </is>
      </c>
      <c r="E109" s="35" t="inlineStr">
        <is>
          <t>%</t>
        </is>
      </c>
      <c r="F109" s="35" t="inlineStr">
        <is>
          <t>↑</t>
        </is>
      </c>
      <c r="G109" s="23" t="inlineStr">
        <is>
          <t>🟠 مهم</t>
        </is>
      </c>
      <c r="H109" s="32" t="n">
        <v>0.06</v>
      </c>
      <c r="I109" s="35" t="n">
        <v>0.85</v>
      </c>
      <c r="J109" s="35" t="n">
        <v>0.73</v>
      </c>
      <c r="K109" s="32" t="n">
        <v>0.8588235294117647</v>
      </c>
      <c r="L109" s="14" t="inlineStr">
        <is>
          <t>🟡 قريب</t>
        </is>
      </c>
      <c r="M109" s="14" t="inlineStr">
        <is>
          <t>الاستدامة</t>
        </is>
      </c>
      <c r="N109" s="26" t="inlineStr">
        <is>
          <t>الاستثمار في الموظفين</t>
        </is>
      </c>
      <c r="O109" s="23" t="inlineStr">
        <is>
          <t>العمليات الداخلية</t>
        </is>
      </c>
      <c r="P109" s="23" t="inlineStr">
        <is>
          <t>مدير الموارد البشرية</t>
        </is>
      </c>
      <c r="Q109" s="26" t="inlineStr">
        <is>
          <t>نظام الموارد البشرية (HRMS)</t>
        </is>
      </c>
      <c r="R109" s="23" t="inlineStr">
        <is>
          <t>شهري</t>
        </is>
      </c>
    </row>
    <row r="110">
      <c r="A110" s="22" t="inlineStr">
        <is>
          <t>الموارد البشرية</t>
        </is>
      </c>
      <c r="B110" s="22" t="inlineStr">
        <is>
          <t>الاستبقاء</t>
        </is>
      </c>
      <c r="C110" s="22" t="inlineStr">
        <is>
          <t>معدل استبقاء الموظفين (Retention)</t>
        </is>
      </c>
      <c r="D110" s="23" t="inlineStr">
        <is>
          <t>🎯 نتيجة</t>
        </is>
      </c>
      <c r="E110" s="35" t="inlineStr">
        <is>
          <t>%</t>
        </is>
      </c>
      <c r="F110" s="35" t="inlineStr">
        <is>
          <t>↑</t>
        </is>
      </c>
      <c r="G110" s="23" t="inlineStr">
        <is>
          <t>🔴 رئيسي</t>
        </is>
      </c>
      <c r="H110" s="32" t="n">
        <v>0.08</v>
      </c>
      <c r="I110" s="35" t="n">
        <v>0.9</v>
      </c>
      <c r="J110" s="35" t="n">
        <v>0.795</v>
      </c>
      <c r="K110" s="32" t="n">
        <v>0.8833333333333333</v>
      </c>
      <c r="L110" s="14" t="inlineStr">
        <is>
          <t>🟡 قريب</t>
        </is>
      </c>
      <c r="M110" s="14" t="inlineStr">
        <is>
          <t>الاستدامة</t>
        </is>
      </c>
      <c r="N110" s="26" t="inlineStr">
        <is>
          <t>الاستثمار في الموظفين</t>
        </is>
      </c>
      <c r="O110" s="23" t="inlineStr">
        <is>
          <t>التعلّم والنمو</t>
        </is>
      </c>
      <c r="P110" s="23" t="inlineStr">
        <is>
          <t>مدير الموارد البشرية</t>
        </is>
      </c>
      <c r="Q110" s="26" t="inlineStr">
        <is>
          <t>نظام الموارد البشرية (HRMS)</t>
        </is>
      </c>
      <c r="R110" s="23" t="inlineStr">
        <is>
          <t>شهري</t>
        </is>
      </c>
    </row>
    <row r="111">
      <c r="A111" s="22" t="inlineStr">
        <is>
          <t>الموارد البشرية</t>
        </is>
      </c>
      <c r="B111" s="22" t="inlineStr">
        <is>
          <t>الاستبقاء</t>
        </is>
      </c>
      <c r="C111" s="22" t="inlineStr">
        <is>
          <t>معدل دوران الموظفين (Turnover)</t>
        </is>
      </c>
      <c r="D111" s="23" t="inlineStr">
        <is>
          <t>🔧 تشغيلي</t>
        </is>
      </c>
      <c r="E111" s="35" t="inlineStr">
        <is>
          <t>%</t>
        </is>
      </c>
      <c r="F111" s="35" t="inlineStr">
        <is>
          <t>↓</t>
        </is>
      </c>
      <c r="G111" s="23" t="inlineStr">
        <is>
          <t>🟠 مهم</t>
        </is>
      </c>
      <c r="H111" s="32" t="n">
        <v>0.06</v>
      </c>
      <c r="I111" s="35" t="n">
        <v>0.1</v>
      </c>
      <c r="J111" s="35" t="n">
        <v>0.111</v>
      </c>
      <c r="K111" s="32" t="n">
        <v>0.9009009009009009</v>
      </c>
      <c r="L111" s="14" t="inlineStr">
        <is>
          <t>🟡 قريب</t>
        </is>
      </c>
      <c r="M111" s="14" t="inlineStr">
        <is>
          <t>الاستدامة</t>
        </is>
      </c>
      <c r="N111" s="26" t="inlineStr">
        <is>
          <t>الاستثمار في الموظفين</t>
        </is>
      </c>
      <c r="O111" s="23" t="inlineStr">
        <is>
          <t>التعلّم والنمو</t>
        </is>
      </c>
      <c r="P111" s="23" t="inlineStr">
        <is>
          <t>مدير الموارد البشرية</t>
        </is>
      </c>
      <c r="Q111" s="26" t="inlineStr">
        <is>
          <t>نظام الموارد البشرية (HRMS)</t>
        </is>
      </c>
      <c r="R111" s="23" t="inlineStr">
        <is>
          <t>شهري</t>
        </is>
      </c>
    </row>
    <row r="112">
      <c r="A112" s="22" t="inlineStr">
        <is>
          <t>الموارد البشرية</t>
        </is>
      </c>
      <c r="B112" s="22" t="inlineStr">
        <is>
          <t>التدريب والتطوير</t>
        </is>
      </c>
      <c r="C112" s="22" t="inlineStr">
        <is>
          <t>عدد الدورات الإدارية المنعقدة</t>
        </is>
      </c>
      <c r="D112" s="23" t="inlineStr">
        <is>
          <t>⚙️ نشاط</t>
        </is>
      </c>
      <c r="E112" s="35" t="inlineStr">
        <is>
          <t>دورة</t>
        </is>
      </c>
      <c r="F112" s="35" t="inlineStr">
        <is>
          <t>↑</t>
        </is>
      </c>
      <c r="G112" s="23" t="inlineStr">
        <is>
          <t>🔴 رئيسي</t>
        </is>
      </c>
      <c r="H112" s="32" t="n">
        <v>0.08</v>
      </c>
      <c r="I112" s="35" t="n">
        <v>6</v>
      </c>
      <c r="J112" s="35" t="n">
        <v>4.53</v>
      </c>
      <c r="K112" s="32" t="n">
        <v>0.755</v>
      </c>
      <c r="L112" s="14" t="inlineStr">
        <is>
          <t>🔴 تحت الهدف</t>
        </is>
      </c>
      <c r="M112" s="14" t="inlineStr">
        <is>
          <t>الاستدامة</t>
        </is>
      </c>
      <c r="N112" s="26" t="inlineStr">
        <is>
          <t>الاستثمار في الموظفين</t>
        </is>
      </c>
      <c r="O112" s="23" t="inlineStr">
        <is>
          <t>العمليات الداخلية</t>
        </is>
      </c>
      <c r="P112" s="23" t="inlineStr">
        <is>
          <t>مدير الموارد البشرية</t>
        </is>
      </c>
      <c r="Q112" s="26" t="inlineStr">
        <is>
          <t>نظام الموارد البشرية (HRMS)</t>
        </is>
      </c>
      <c r="R112" s="23" t="inlineStr">
        <is>
          <t>شهري</t>
        </is>
      </c>
    </row>
    <row r="113">
      <c r="A113" s="22" t="inlineStr">
        <is>
          <t>الموارد البشرية</t>
        </is>
      </c>
      <c r="B113" s="22" t="inlineStr">
        <is>
          <t>التدريب والتطوير</t>
        </is>
      </c>
      <c r="C113" s="22" t="inlineStr">
        <is>
          <t>متوسط ساعات التدريب لكل موظف</t>
        </is>
      </c>
      <c r="D113" s="23" t="inlineStr">
        <is>
          <t>⚙️ نشاط</t>
        </is>
      </c>
      <c r="E113" s="35" t="inlineStr">
        <is>
          <t>ساعة</t>
        </is>
      </c>
      <c r="F113" s="35" t="inlineStr">
        <is>
          <t>↑</t>
        </is>
      </c>
      <c r="G113" s="23" t="inlineStr">
        <is>
          <t>🟠 مهم</t>
        </is>
      </c>
      <c r="H113" s="32" t="n">
        <v>0.06</v>
      </c>
      <c r="I113" s="35" t="n">
        <v>40</v>
      </c>
      <c r="J113" s="35" t="n">
        <v>33.6</v>
      </c>
      <c r="K113" s="32" t="n">
        <v>0.8400000000000001</v>
      </c>
      <c r="L113" s="14" t="inlineStr">
        <is>
          <t>🔴 تحت الهدف</t>
        </is>
      </c>
      <c r="M113" s="14" t="inlineStr">
        <is>
          <t>الاستدامة</t>
        </is>
      </c>
      <c r="N113" s="26" t="inlineStr">
        <is>
          <t>الاستثمار في الموظفين</t>
        </is>
      </c>
      <c r="O113" s="23" t="inlineStr">
        <is>
          <t>التعلّم والنمو</t>
        </is>
      </c>
      <c r="P113" s="23" t="inlineStr">
        <is>
          <t>مدير الموارد البشرية</t>
        </is>
      </c>
      <c r="Q113" s="26" t="inlineStr">
        <is>
          <t>نظام الموارد البشرية (HRMS)</t>
        </is>
      </c>
      <c r="R113" s="23" t="inlineStr">
        <is>
          <t>شهري</t>
        </is>
      </c>
    </row>
    <row r="114">
      <c r="A114" s="22" t="inlineStr">
        <is>
          <t>الموارد البشرية</t>
        </is>
      </c>
      <c r="B114" s="22" t="inlineStr">
        <is>
          <t>التدريب والتطوير</t>
        </is>
      </c>
      <c r="C114" s="22" t="inlineStr">
        <is>
          <t>نسبة الموظفين المشمولين بخطة تطوير</t>
        </is>
      </c>
      <c r="D114" s="23" t="inlineStr">
        <is>
          <t>🔧 تشغيلي</t>
        </is>
      </c>
      <c r="E114" s="35" t="inlineStr">
        <is>
          <t>%</t>
        </is>
      </c>
      <c r="F114" s="35" t="inlineStr">
        <is>
          <t>↑</t>
        </is>
      </c>
      <c r="G114" s="23" t="inlineStr">
        <is>
          <t>🟠 مهم</t>
        </is>
      </c>
      <c r="H114" s="32" t="n">
        <v>0.05</v>
      </c>
      <c r="I114" s="35" t="n">
        <v>0.8</v>
      </c>
      <c r="J114" s="35" t="n">
        <v>0.644</v>
      </c>
      <c r="K114" s="32" t="n">
        <v>0.8049999999999999</v>
      </c>
      <c r="L114" s="14" t="inlineStr">
        <is>
          <t>🔴 تحت الهدف</t>
        </is>
      </c>
      <c r="M114" s="14" t="inlineStr">
        <is>
          <t>الاستدامة</t>
        </is>
      </c>
      <c r="N114" s="26" t="inlineStr">
        <is>
          <t>الاستثمار في الموظفين</t>
        </is>
      </c>
      <c r="O114" s="23" t="inlineStr">
        <is>
          <t>التعلّم والنمو</t>
        </is>
      </c>
      <c r="P114" s="23" t="inlineStr">
        <is>
          <t>مدير الموارد البشرية</t>
        </is>
      </c>
      <c r="Q114" s="26" t="inlineStr">
        <is>
          <t>نظام الموارد البشرية (HRMS)</t>
        </is>
      </c>
      <c r="R114" s="23" t="inlineStr">
        <is>
          <t>شهري</t>
        </is>
      </c>
    </row>
    <row r="115">
      <c r="A115" s="22" t="inlineStr">
        <is>
          <t>الموارد البشرية</t>
        </is>
      </c>
      <c r="B115" s="22" t="inlineStr">
        <is>
          <t>الرضا والثقافة</t>
        </is>
      </c>
      <c r="C115" s="22" t="inlineStr">
        <is>
          <t>مؤشر رضا الموظفين (eNPS)</t>
        </is>
      </c>
      <c r="D115" s="23" t="inlineStr">
        <is>
          <t>🎯 نتيجة</t>
        </is>
      </c>
      <c r="E115" s="35" t="inlineStr">
        <is>
          <t>نقطة</t>
        </is>
      </c>
      <c r="F115" s="35" t="inlineStr">
        <is>
          <t>↑</t>
        </is>
      </c>
      <c r="G115" s="23" t="inlineStr">
        <is>
          <t>🔴 رئيسي</t>
        </is>
      </c>
      <c r="H115" s="32" t="n">
        <v>0.08</v>
      </c>
      <c r="I115" s="35" t="n">
        <v>30</v>
      </c>
      <c r="J115" s="35" t="n">
        <v>27.5</v>
      </c>
      <c r="K115" s="32" t="n">
        <v>0.9166666666666666</v>
      </c>
      <c r="L115" s="14" t="inlineStr">
        <is>
          <t>🟡 قريب</t>
        </is>
      </c>
      <c r="M115" s="14" t="inlineStr">
        <is>
          <t>الاستدامة</t>
        </is>
      </c>
      <c r="N115" s="26" t="inlineStr">
        <is>
          <t>الاستثمار في الموظفين</t>
        </is>
      </c>
      <c r="O115" s="23" t="inlineStr">
        <is>
          <t>التعلّم والنمو</t>
        </is>
      </c>
      <c r="P115" s="23" t="inlineStr">
        <is>
          <t>مدير الموارد البشرية</t>
        </is>
      </c>
      <c r="Q115" s="26" t="inlineStr">
        <is>
          <t>استبيان دوري</t>
        </is>
      </c>
      <c r="R115" s="23" t="inlineStr">
        <is>
          <t>ربعي</t>
        </is>
      </c>
    </row>
    <row r="116">
      <c r="A116" s="22" t="inlineStr">
        <is>
          <t>الموارد البشرية</t>
        </is>
      </c>
      <c r="B116" s="22" t="inlineStr">
        <is>
          <t>الرضا والثقافة</t>
        </is>
      </c>
      <c r="C116" s="22" t="inlineStr">
        <is>
          <t>تحسين مستوى الرضا الوظيفي</t>
        </is>
      </c>
      <c r="D116" s="23" t="inlineStr">
        <is>
          <t>🎯 نتيجة</t>
        </is>
      </c>
      <c r="E116" s="35" t="inlineStr">
        <is>
          <t>%</t>
        </is>
      </c>
      <c r="F116" s="35" t="inlineStr">
        <is>
          <t>↑</t>
        </is>
      </c>
      <c r="G116" s="23" t="inlineStr">
        <is>
          <t>🔴 رئيسي</t>
        </is>
      </c>
      <c r="H116" s="32" t="n">
        <v>0.08</v>
      </c>
      <c r="I116" s="35" t="n"/>
      <c r="J116" s="35" t="n"/>
      <c r="K116" s="32" t="n"/>
      <c r="L116" s="14" t="inlineStr">
        <is>
          <t>⏳ بانتظار هدف</t>
        </is>
      </c>
      <c r="M116" s="14" t="inlineStr">
        <is>
          <t>الاستدامة</t>
        </is>
      </c>
      <c r="N116" s="26" t="inlineStr">
        <is>
          <t>الاستثمار في الموظفين</t>
        </is>
      </c>
      <c r="O116" s="23" t="inlineStr">
        <is>
          <t>العملاء</t>
        </is>
      </c>
      <c r="P116" s="23" t="inlineStr">
        <is>
          <t>مدير الموارد البشرية</t>
        </is>
      </c>
      <c r="Q116" s="26" t="inlineStr">
        <is>
          <t>استبيان دوري</t>
        </is>
      </c>
      <c r="R116" s="23" t="inlineStr">
        <is>
          <t>ربعي</t>
        </is>
      </c>
    </row>
    <row r="117">
      <c r="A117" s="22" t="inlineStr">
        <is>
          <t>الموارد البشرية</t>
        </is>
      </c>
      <c r="B117" s="22" t="inlineStr">
        <is>
          <t>الرضا والثقافة</t>
        </is>
      </c>
      <c r="C117" s="22" t="inlineStr">
        <is>
          <t>ترسيخ القيم والثقافة المؤسسية</t>
        </is>
      </c>
      <c r="D117" s="23" t="inlineStr">
        <is>
          <t>🔧 تشغيلي</t>
        </is>
      </c>
      <c r="E117" s="35" t="inlineStr">
        <is>
          <t>%</t>
        </is>
      </c>
      <c r="F117" s="35" t="inlineStr">
        <is>
          <t>↑</t>
        </is>
      </c>
      <c r="G117" s="23" t="inlineStr">
        <is>
          <t>🏁 معلم</t>
        </is>
      </c>
      <c r="H117" s="32" t="n">
        <v>0.05</v>
      </c>
      <c r="I117" s="35" t="n">
        <v>1</v>
      </c>
      <c r="J117" s="35" t="n">
        <v>0.742</v>
      </c>
      <c r="K117" s="32" t="n">
        <v>0.742</v>
      </c>
      <c r="L117" s="14" t="inlineStr">
        <is>
          <t>🔴 تحت الهدف</t>
        </is>
      </c>
      <c r="M117" s="14" t="inlineStr">
        <is>
          <t>الاستدامة</t>
        </is>
      </c>
      <c r="N117" s="26" t="inlineStr">
        <is>
          <t>الاستثمار في الموظفين</t>
        </is>
      </c>
      <c r="O117" s="23" t="inlineStr">
        <is>
          <t>العمليات الداخلية</t>
        </is>
      </c>
      <c r="P117" s="23" t="inlineStr">
        <is>
          <t>مدير الموارد البشرية</t>
        </is>
      </c>
      <c r="Q117" s="26" t="inlineStr">
        <is>
          <t>استبيان دوري</t>
        </is>
      </c>
      <c r="R117" s="23" t="inlineStr">
        <is>
          <t>شهري</t>
        </is>
      </c>
    </row>
    <row r="118">
      <c r="A118" s="22" t="inlineStr">
        <is>
          <t>الموارد البشرية</t>
        </is>
      </c>
      <c r="B118" s="22" t="inlineStr">
        <is>
          <t>الأتمتة والتوثيق</t>
        </is>
      </c>
      <c r="C118" s="22" t="inlineStr">
        <is>
          <t>نسبة أتمتة عمليات الموارد البشرية</t>
        </is>
      </c>
      <c r="D118" s="23" t="inlineStr">
        <is>
          <t>🔧 تشغيلي</t>
        </is>
      </c>
      <c r="E118" s="35" t="inlineStr">
        <is>
          <t>%</t>
        </is>
      </c>
      <c r="F118" s="35" t="inlineStr">
        <is>
          <t>↑</t>
        </is>
      </c>
      <c r="G118" s="23" t="inlineStr">
        <is>
          <t>🏁 معلم</t>
        </is>
      </c>
      <c r="H118" s="32" t="n">
        <v>0.05</v>
      </c>
      <c r="I118" s="35" t="n">
        <v>1</v>
      </c>
      <c r="J118" s="35" t="n">
        <v>0.84</v>
      </c>
      <c r="K118" s="32" t="n">
        <v>0.84</v>
      </c>
      <c r="L118" s="14" t="inlineStr">
        <is>
          <t>🔴 تحت الهدف</t>
        </is>
      </c>
      <c r="M118" s="14" t="inlineStr">
        <is>
          <t>الابتكار</t>
        </is>
      </c>
      <c r="N118" s="26" t="inlineStr">
        <is>
          <t>التحول التقني</t>
        </is>
      </c>
      <c r="O118" s="23" t="inlineStr">
        <is>
          <t>التعلّم والنمو</t>
        </is>
      </c>
      <c r="P118" s="23" t="inlineStr">
        <is>
          <t>مدير الموارد البشرية</t>
        </is>
      </c>
      <c r="Q118" s="26" t="inlineStr">
        <is>
          <t>مكتب إدارة المشاريع (PMO)</t>
        </is>
      </c>
      <c r="R118" s="23" t="inlineStr">
        <is>
          <t>شهري</t>
        </is>
      </c>
    </row>
    <row r="119">
      <c r="A119" s="22" t="inlineStr">
        <is>
          <t>الموارد البشرية</t>
        </is>
      </c>
      <c r="B119" s="22" t="inlineStr">
        <is>
          <t>الأتمتة والتوثيق</t>
        </is>
      </c>
      <c r="C119" s="22" t="inlineStr">
        <is>
          <t>نسبة توثيق أنظمة العمل</t>
        </is>
      </c>
      <c r="D119" s="23" t="inlineStr">
        <is>
          <t>🔧 تشغيلي</t>
        </is>
      </c>
      <c r="E119" s="35" t="inlineStr">
        <is>
          <t>%</t>
        </is>
      </c>
      <c r="F119" s="35" t="inlineStr">
        <is>
          <t>↑</t>
        </is>
      </c>
      <c r="G119" s="23" t="inlineStr">
        <is>
          <t>🟡 متابعة</t>
        </is>
      </c>
      <c r="H119" s="32" t="n">
        <v>0.03</v>
      </c>
      <c r="I119" s="35" t="n">
        <v>0.8</v>
      </c>
      <c r="J119" s="35" t="n">
        <v>0.775</v>
      </c>
      <c r="K119" s="32" t="n">
        <v>0.96875</v>
      </c>
      <c r="L119" s="14" t="inlineStr">
        <is>
          <t>🟡 قريب</t>
        </is>
      </c>
      <c r="M119" s="14" t="inlineStr">
        <is>
          <t>الاستدامة</t>
        </is>
      </c>
      <c r="N119" s="26" t="inlineStr">
        <is>
          <t>جودة التشغيل</t>
        </is>
      </c>
      <c r="O119" s="23" t="inlineStr">
        <is>
          <t>التعلّم والنمو</t>
        </is>
      </c>
      <c r="P119" s="23" t="inlineStr">
        <is>
          <t>مدير الموارد البشرية</t>
        </is>
      </c>
      <c r="Q119" s="26" t="inlineStr">
        <is>
          <t>مكتب إدارة المشاريع (PMO)</t>
        </is>
      </c>
      <c r="R119" s="23" t="inlineStr">
        <is>
          <t>شهري</t>
        </is>
      </c>
    </row>
    <row r="120">
      <c r="A120" s="22" t="inlineStr">
        <is>
          <t>الموارد البشرية</t>
        </is>
      </c>
      <c r="B120" s="22" t="inlineStr">
        <is>
          <t>الأتمتة والتوثيق</t>
        </is>
      </c>
      <c r="C120" s="22" t="inlineStr">
        <is>
          <t>ترسيخ الأنظمة الإدارية</t>
        </is>
      </c>
      <c r="D120" s="23" t="inlineStr">
        <is>
          <t>🔧 تشغيلي</t>
        </is>
      </c>
      <c r="E120" s="35" t="inlineStr">
        <is>
          <t>%</t>
        </is>
      </c>
      <c r="F120" s="35" t="inlineStr">
        <is>
          <t>↑</t>
        </is>
      </c>
      <c r="G120" s="23" t="inlineStr">
        <is>
          <t>🟠 مهم</t>
        </is>
      </c>
      <c r="H120" s="32" t="n">
        <v>0.05</v>
      </c>
      <c r="I120" s="35" t="n">
        <v>0.8</v>
      </c>
      <c r="J120" s="35" t="n">
        <v>0.671</v>
      </c>
      <c r="K120" s="32" t="n">
        <v>0.83875</v>
      </c>
      <c r="L120" s="14" t="inlineStr">
        <is>
          <t>🔴 تحت الهدف</t>
        </is>
      </c>
      <c r="M120" s="14" t="inlineStr">
        <is>
          <t>الاستدامة</t>
        </is>
      </c>
      <c r="N120" s="26" t="inlineStr">
        <is>
          <t>جودة التشغيل</t>
        </is>
      </c>
      <c r="O120" s="23" t="inlineStr">
        <is>
          <t>التعلّم والنمو</t>
        </is>
      </c>
      <c r="P120" s="23" t="inlineStr">
        <is>
          <t>مدير الموارد البشرية</t>
        </is>
      </c>
      <c r="Q120" s="26" t="inlineStr">
        <is>
          <t>مكتب إدارة المشاريع (PMO)</t>
        </is>
      </c>
      <c r="R120" s="23" t="inlineStr">
        <is>
          <t>شهري</t>
        </is>
      </c>
    </row>
    <row r="121">
      <c r="A121" s="22" t="inlineStr">
        <is>
          <t>الموارد البشرية</t>
        </is>
      </c>
      <c r="B121" s="22" t="inlineStr">
        <is>
          <t>الهيكلة</t>
        </is>
      </c>
      <c r="C121" s="22" t="inlineStr">
        <is>
          <t>اعتماد الهيكل التنظيمي</t>
        </is>
      </c>
      <c r="D121" s="23" t="inlineStr">
        <is>
          <t>⚙️ نشاط</t>
        </is>
      </c>
      <c r="E121" s="35" t="inlineStr">
        <is>
          <t>%</t>
        </is>
      </c>
      <c r="F121" s="35" t="inlineStr">
        <is>
          <t>↑</t>
        </is>
      </c>
      <c r="G121" s="23" t="inlineStr">
        <is>
          <t>🏁 معلم</t>
        </is>
      </c>
      <c r="H121" s="32" t="n">
        <v>0.05</v>
      </c>
      <c r="I121" s="35" t="n">
        <v>1</v>
      </c>
      <c r="J121" s="35" t="n">
        <v>0.984</v>
      </c>
      <c r="K121" s="32" t="n">
        <v>0.984</v>
      </c>
      <c r="L121" s="14" t="inlineStr">
        <is>
          <t>🟡 قريب</t>
        </is>
      </c>
      <c r="M121" s="14" t="inlineStr">
        <is>
          <t>الاستدامة</t>
        </is>
      </c>
      <c r="N121" s="26" t="inlineStr">
        <is>
          <t>جودة التشغيل</t>
        </is>
      </c>
      <c r="O121" s="23" t="inlineStr">
        <is>
          <t>العمليات الداخلية</t>
        </is>
      </c>
      <c r="P121" s="23" t="inlineStr">
        <is>
          <t>مدير الموارد البشرية</t>
        </is>
      </c>
      <c r="Q121" s="26" t="inlineStr">
        <is>
          <t>نظام الموارد البشرية (HRMS)</t>
        </is>
      </c>
      <c r="R121" s="23" t="inlineStr">
        <is>
          <t>شهري</t>
        </is>
      </c>
    </row>
    <row r="122">
      <c r="A122" s="22" t="inlineStr">
        <is>
          <t>الموارد البشرية</t>
        </is>
      </c>
      <c r="B122" s="22" t="inlineStr">
        <is>
          <t>الهيكلة</t>
        </is>
      </c>
      <c r="C122" s="22" t="inlineStr">
        <is>
          <t>اكتمال الأوصاف الوظيفية (+KPI)</t>
        </is>
      </c>
      <c r="D122" s="23" t="inlineStr">
        <is>
          <t>⚙️ نشاط</t>
        </is>
      </c>
      <c r="E122" s="35" t="inlineStr">
        <is>
          <t>%</t>
        </is>
      </c>
      <c r="F122" s="35" t="inlineStr">
        <is>
          <t>↑</t>
        </is>
      </c>
      <c r="G122" s="23" t="inlineStr">
        <is>
          <t>🏁 معلم</t>
        </is>
      </c>
      <c r="H122" s="32" t="n">
        <v>0.05</v>
      </c>
      <c r="I122" s="35" t="n">
        <v>1</v>
      </c>
      <c r="J122" s="35" t="n">
        <v>0.926</v>
      </c>
      <c r="K122" s="32" t="n">
        <v>0.926</v>
      </c>
      <c r="L122" s="14" t="inlineStr">
        <is>
          <t>🟡 قريب</t>
        </is>
      </c>
      <c r="M122" s="14" t="inlineStr">
        <is>
          <t>الاستدامة</t>
        </is>
      </c>
      <c r="N122" s="26" t="inlineStr">
        <is>
          <t>جودة التشغيل</t>
        </is>
      </c>
      <c r="O122" s="23" t="inlineStr">
        <is>
          <t>العمليات الداخلية</t>
        </is>
      </c>
      <c r="P122" s="23" t="inlineStr">
        <is>
          <t>مدير الموارد البشرية</t>
        </is>
      </c>
      <c r="Q122" s="26" t="inlineStr">
        <is>
          <t>نظام الموارد البشرية (HRMS)</t>
        </is>
      </c>
      <c r="R122" s="23" t="inlineStr">
        <is>
          <t>شهري</t>
        </is>
      </c>
    </row>
    <row r="123">
      <c r="A123" s="22" t="inlineStr">
        <is>
          <t>الموارد البشرية</t>
        </is>
      </c>
      <c r="B123" s="22" t="inlineStr">
        <is>
          <t>الأداء</t>
        </is>
      </c>
      <c r="C123" s="22" t="inlineStr">
        <is>
          <t>نسبة إنجاز تقييمات الأداء في موعدها</t>
        </is>
      </c>
      <c r="D123" s="23" t="inlineStr">
        <is>
          <t>🎯 نتيجة</t>
        </is>
      </c>
      <c r="E123" s="35" t="inlineStr">
        <is>
          <t>%</t>
        </is>
      </c>
      <c r="F123" s="35" t="inlineStr">
        <is>
          <t>↑</t>
        </is>
      </c>
      <c r="G123" s="23" t="inlineStr">
        <is>
          <t>🟠 مهم</t>
        </is>
      </c>
      <c r="H123" s="32" t="n">
        <v>0.05</v>
      </c>
      <c r="I123" s="35" t="n">
        <v>1</v>
      </c>
      <c r="J123" s="35" t="n">
        <v>0.8080000000000001</v>
      </c>
      <c r="K123" s="32" t="n">
        <v>0.8080000000000001</v>
      </c>
      <c r="L123" s="14" t="inlineStr">
        <is>
          <t>🔴 تحت الهدف</t>
        </is>
      </c>
      <c r="M123" s="14" t="inlineStr">
        <is>
          <t>الاستدامة</t>
        </is>
      </c>
      <c r="N123" s="26" t="inlineStr">
        <is>
          <t>الاستثمار في الموظفين</t>
        </is>
      </c>
      <c r="O123" s="23" t="inlineStr">
        <is>
          <t>العمليات الداخلية</t>
        </is>
      </c>
      <c r="P123" s="23" t="inlineStr">
        <is>
          <t>مدير الموارد البشرية</t>
        </is>
      </c>
      <c r="Q123" s="26" t="inlineStr">
        <is>
          <t>سجلات الإدارة</t>
        </is>
      </c>
      <c r="R123" s="23" t="inlineStr">
        <is>
          <t>شهري</t>
        </is>
      </c>
    </row>
    <row r="124">
      <c r="A124" s="22" t="inlineStr">
        <is>
          <t>التسويق</t>
        </is>
      </c>
      <c r="B124" s="22" t="inlineStr">
        <is>
          <t>الإدارة العامة</t>
        </is>
      </c>
      <c r="C124" s="22" t="inlineStr">
        <is>
          <t>الوصول الكلي (Total Reach)</t>
        </is>
      </c>
      <c r="D124" s="23" t="inlineStr">
        <is>
          <t>🎯 نتيجة</t>
        </is>
      </c>
      <c r="E124" s="35" t="inlineStr">
        <is>
          <t>وصول</t>
        </is>
      </c>
      <c r="F124" s="35" t="inlineStr">
        <is>
          <t>↑</t>
        </is>
      </c>
      <c r="G124" s="23" t="inlineStr">
        <is>
          <t>🔴 رئيسي</t>
        </is>
      </c>
      <c r="H124" s="32" t="n">
        <v>0.08</v>
      </c>
      <c r="I124" s="35" t="n">
        <v>50000000</v>
      </c>
      <c r="J124" s="35" t="n">
        <v>5000000</v>
      </c>
      <c r="K124" s="32" t="n">
        <v>0.1</v>
      </c>
      <c r="L124" s="14" t="inlineStr">
        <is>
          <t>🔴 تحت الهدف</t>
        </is>
      </c>
      <c r="M124" s="14" t="inlineStr">
        <is>
          <t>النمو</t>
        </is>
      </c>
      <c r="N124" s="26" t="inlineStr">
        <is>
          <t>زيادة وصول العملاء</t>
        </is>
      </c>
      <c r="O124" s="23" t="inlineStr">
        <is>
          <t>العملاء</t>
        </is>
      </c>
      <c r="P124" s="23" t="inlineStr">
        <is>
          <t>مدير التسويق</t>
        </is>
      </c>
      <c r="Q124" s="26" t="inlineStr">
        <is>
          <t>أنظمة التسويق الرقمي / تانكي</t>
        </is>
      </c>
      <c r="R124" s="23" t="inlineStr">
        <is>
          <t>شهري</t>
        </is>
      </c>
    </row>
    <row r="125">
      <c r="A125" s="22" t="inlineStr">
        <is>
          <t>التسويق</t>
        </is>
      </c>
      <c r="B125" s="22" t="inlineStr">
        <is>
          <t>الإدارة العامة</t>
        </is>
      </c>
      <c r="C125" s="22" t="inlineStr">
        <is>
          <t>عملاء تجاريون جدد</t>
        </is>
      </c>
      <c r="D125" s="23" t="inlineStr">
        <is>
          <t>🔧 تشغيلي</t>
        </is>
      </c>
      <c r="E125" s="35" t="inlineStr">
        <is>
          <t>عميل</t>
        </is>
      </c>
      <c r="F125" s="35" t="inlineStr">
        <is>
          <t>↑</t>
        </is>
      </c>
      <c r="G125" s="23" t="inlineStr">
        <is>
          <t>🟠 مهم</t>
        </is>
      </c>
      <c r="H125" s="32" t="n">
        <v>0.06</v>
      </c>
      <c r="I125" s="35" t="n">
        <v>200</v>
      </c>
      <c r="J125" s="35" t="n">
        <v>1</v>
      </c>
      <c r="K125" s="32" t="n">
        <v>0.005</v>
      </c>
      <c r="L125" s="14" t="inlineStr">
        <is>
          <t>🔴 تحت الهدف</t>
        </is>
      </c>
      <c r="M125" s="14" t="inlineStr">
        <is>
          <t>النمو</t>
        </is>
      </c>
      <c r="N125" s="26" t="inlineStr">
        <is>
          <t>زيادة وصول العملاء</t>
        </is>
      </c>
      <c r="O125" s="23" t="inlineStr">
        <is>
          <t>العملاء</t>
        </is>
      </c>
      <c r="P125" s="23" t="inlineStr">
        <is>
          <t>مدير التسويق</t>
        </is>
      </c>
      <c r="Q125" s="26" t="inlineStr">
        <is>
          <t>سجلات الإدارة</t>
        </is>
      </c>
      <c r="R125" s="23" t="inlineStr">
        <is>
          <t>شهري</t>
        </is>
      </c>
    </row>
    <row r="126">
      <c r="A126" s="22" t="inlineStr">
        <is>
          <t>التسويق</t>
        </is>
      </c>
      <c r="B126" s="22" t="inlineStr">
        <is>
          <t>الفريق الإبداعي</t>
        </is>
      </c>
      <c r="C126" s="22" t="inlineStr">
        <is>
          <t>إجمالي المتابعين (كل المنصات)</t>
        </is>
      </c>
      <c r="D126" s="23" t="inlineStr">
        <is>
          <t>🔧 تشغيلي</t>
        </is>
      </c>
      <c r="E126" s="35" t="inlineStr">
        <is>
          <t>متابع</t>
        </is>
      </c>
      <c r="F126" s="35" t="inlineStr">
        <is>
          <t>↑</t>
        </is>
      </c>
      <c r="G126" s="23" t="inlineStr">
        <is>
          <t>🔴 رئيسي</t>
        </is>
      </c>
      <c r="H126" s="32" t="n">
        <v>0.08</v>
      </c>
      <c r="I126" s="35" t="n">
        <v>380000</v>
      </c>
      <c r="J126" s="35" t="n">
        <v>253000</v>
      </c>
      <c r="K126" s="32" t="n">
        <v>0.6657894736842105</v>
      </c>
      <c r="L126" s="14" t="inlineStr">
        <is>
          <t>🔴 تحت الهدف</t>
        </is>
      </c>
      <c r="M126" s="14" t="inlineStr">
        <is>
          <t>النمو</t>
        </is>
      </c>
      <c r="N126" s="26" t="inlineStr">
        <is>
          <t>زيادة وصول العملاء</t>
        </is>
      </c>
      <c r="O126" s="23" t="inlineStr">
        <is>
          <t>العملاء</t>
        </is>
      </c>
      <c r="P126" s="23" t="inlineStr">
        <is>
          <t>مدير التسويق</t>
        </is>
      </c>
      <c r="Q126" s="26" t="inlineStr">
        <is>
          <t>أنظمة التسويق الرقمي / تانكي</t>
        </is>
      </c>
      <c r="R126" s="23" t="inlineStr">
        <is>
          <t>شهري</t>
        </is>
      </c>
    </row>
    <row r="127">
      <c r="A127" s="22" t="inlineStr">
        <is>
          <t>التسويق</t>
        </is>
      </c>
      <c r="B127" s="22" t="inlineStr">
        <is>
          <t>الفريق الإبداعي</t>
        </is>
      </c>
      <c r="C127" s="22" t="inlineStr">
        <is>
          <t>معدل التفاعل (Engagement)</t>
        </is>
      </c>
      <c r="D127" s="23" t="inlineStr">
        <is>
          <t>🔧 تشغيلي</t>
        </is>
      </c>
      <c r="E127" s="35" t="inlineStr">
        <is>
          <t>%</t>
        </is>
      </c>
      <c r="F127" s="35" t="inlineStr">
        <is>
          <t>↑</t>
        </is>
      </c>
      <c r="G127" s="23" t="inlineStr">
        <is>
          <t>🔴 رئيسي</t>
        </is>
      </c>
      <c r="H127" s="32" t="n">
        <v>0.08</v>
      </c>
      <c r="I127" s="35" t="n">
        <v>0.5</v>
      </c>
      <c r="J127" s="35" t="n">
        <v>0</v>
      </c>
      <c r="K127" s="32" t="n">
        <v>0</v>
      </c>
      <c r="L127" s="14" t="inlineStr">
        <is>
          <t>🔴 تحت الهدف</t>
        </is>
      </c>
      <c r="M127" s="14" t="inlineStr">
        <is>
          <t>النمو</t>
        </is>
      </c>
      <c r="N127" s="26" t="inlineStr">
        <is>
          <t>زيادة وصول العملاء</t>
        </is>
      </c>
      <c r="O127" s="23" t="inlineStr">
        <is>
          <t>العملاء</t>
        </is>
      </c>
      <c r="P127" s="23" t="inlineStr">
        <is>
          <t>مدير التسويق</t>
        </is>
      </c>
      <c r="Q127" s="26" t="inlineStr">
        <is>
          <t>أنظمة التسويق الرقمي / تانكي</t>
        </is>
      </c>
      <c r="R127" s="23" t="inlineStr">
        <is>
          <t>شهري</t>
        </is>
      </c>
    </row>
    <row r="128">
      <c r="A128" s="22" t="inlineStr">
        <is>
          <t>التسويق</t>
        </is>
      </c>
      <c r="B128" s="22" t="inlineStr">
        <is>
          <t>الحملات التسويقية</t>
        </is>
      </c>
      <c r="C128" s="22" t="inlineStr">
        <is>
          <t>حملات تسويقية منجزة</t>
        </is>
      </c>
      <c r="D128" s="23" t="inlineStr">
        <is>
          <t>⚙️ نشاط</t>
        </is>
      </c>
      <c r="E128" s="35" t="inlineStr">
        <is>
          <t>حملة</t>
        </is>
      </c>
      <c r="F128" s="35" t="inlineStr">
        <is>
          <t>↑</t>
        </is>
      </c>
      <c r="G128" s="23" t="inlineStr">
        <is>
          <t>🟠 مهم</t>
        </is>
      </c>
      <c r="H128" s="32" t="n">
        <v>0.06</v>
      </c>
      <c r="I128" s="35" t="n">
        <v>48</v>
      </c>
      <c r="J128" s="35" t="n">
        <v>11</v>
      </c>
      <c r="K128" s="32" t="n">
        <v>0.2291666666666667</v>
      </c>
      <c r="L128" s="14" t="inlineStr">
        <is>
          <t>🔴 تحت الهدف</t>
        </is>
      </c>
      <c r="M128" s="14" t="inlineStr">
        <is>
          <t>النمو</t>
        </is>
      </c>
      <c r="N128" s="26" t="inlineStr">
        <is>
          <t>زيادة وصول العملاء</t>
        </is>
      </c>
      <c r="O128" s="23" t="inlineStr">
        <is>
          <t>العمليات الداخلية</t>
        </is>
      </c>
      <c r="P128" s="23" t="inlineStr">
        <is>
          <t>مدير التسويق</t>
        </is>
      </c>
      <c r="Q128" s="26" t="inlineStr">
        <is>
          <t>أنظمة التسويق الرقمي / تانكي</t>
        </is>
      </c>
      <c r="R128" s="23" t="inlineStr">
        <is>
          <t>شهري</t>
        </is>
      </c>
    </row>
    <row r="129">
      <c r="A129" s="22" t="inlineStr">
        <is>
          <t>التسويق</t>
        </is>
      </c>
      <c r="B129" s="22" t="inlineStr">
        <is>
          <t>الحملات التسويقية</t>
        </is>
      </c>
      <c r="C129" s="22" t="inlineStr">
        <is>
          <t>تحويل الفرص إلى عقود</t>
        </is>
      </c>
      <c r="D129" s="23" t="inlineStr">
        <is>
          <t>🔧 تشغيلي</t>
        </is>
      </c>
      <c r="E129" s="35" t="inlineStr">
        <is>
          <t>%</t>
        </is>
      </c>
      <c r="F129" s="35" t="inlineStr">
        <is>
          <t>↑</t>
        </is>
      </c>
      <c r="G129" s="23" t="inlineStr">
        <is>
          <t>🔴 رئيسي</t>
        </is>
      </c>
      <c r="H129" s="32" t="n">
        <v>0.08</v>
      </c>
      <c r="I129" s="35" t="n">
        <v>0.25</v>
      </c>
      <c r="J129" s="35" t="n">
        <v>0.17</v>
      </c>
      <c r="K129" s="32" t="n">
        <v>0.68</v>
      </c>
      <c r="L129" s="14" t="inlineStr">
        <is>
          <t>🔴 تحت الهدف</t>
        </is>
      </c>
      <c r="M129" s="14" t="inlineStr">
        <is>
          <t>النمو</t>
        </is>
      </c>
      <c r="N129" s="26" t="inlineStr">
        <is>
          <t>زيادة وصول العملاء</t>
        </is>
      </c>
      <c r="O129" s="23" t="inlineStr">
        <is>
          <t>العمليات الداخلية</t>
        </is>
      </c>
      <c r="P129" s="23" t="inlineStr">
        <is>
          <t>مدير التسويق</t>
        </is>
      </c>
      <c r="Q129" s="26" t="inlineStr">
        <is>
          <t>أنظمة التسويق الرقمي / تانكي</t>
        </is>
      </c>
      <c r="R129" s="23" t="inlineStr">
        <is>
          <t>شهري</t>
        </is>
      </c>
    </row>
    <row r="130">
      <c r="A130" s="22" t="inlineStr">
        <is>
          <t>التسويق</t>
        </is>
      </c>
      <c r="B130" s="22" t="inlineStr">
        <is>
          <t>الحملات التسويقية</t>
        </is>
      </c>
      <c r="C130" s="22" t="inlineStr">
        <is>
          <t>نسبة المبيعات لكل حملة</t>
        </is>
      </c>
      <c r="D130" s="23" t="inlineStr">
        <is>
          <t>⚙️ نشاط</t>
        </is>
      </c>
      <c r="E130" s="35" t="inlineStr">
        <is>
          <t>%</t>
        </is>
      </c>
      <c r="F130" s="35" t="inlineStr">
        <is>
          <t>↑</t>
        </is>
      </c>
      <c r="G130" s="23" t="inlineStr">
        <is>
          <t>🔴 رئيسي</t>
        </is>
      </c>
      <c r="H130" s="32" t="n">
        <v>0.08</v>
      </c>
      <c r="I130" s="35" t="n">
        <v>1</v>
      </c>
      <c r="J130" s="35" t="n">
        <v>0.16</v>
      </c>
      <c r="K130" s="32" t="n">
        <v>0.16</v>
      </c>
      <c r="L130" s="14" t="inlineStr">
        <is>
          <t>🔴 تحت الهدف</t>
        </is>
      </c>
      <c r="M130" s="14" t="inlineStr">
        <is>
          <t>النمو</t>
        </is>
      </c>
      <c r="N130" s="26" t="inlineStr">
        <is>
          <t>زيادة وصول العملاء</t>
        </is>
      </c>
      <c r="O130" s="23" t="inlineStr">
        <is>
          <t>مالي</t>
        </is>
      </c>
      <c r="P130" s="23" t="inlineStr">
        <is>
          <t>مدير التسويق</t>
        </is>
      </c>
      <c r="Q130" s="26" t="inlineStr">
        <is>
          <t>أنظمة التسويق الرقمي / تانكي</t>
        </is>
      </c>
      <c r="R130" s="23" t="inlineStr">
        <is>
          <t>شهري</t>
        </is>
      </c>
    </row>
    <row r="131">
      <c r="A131" s="22" t="inlineStr">
        <is>
          <t>التسويق</t>
        </is>
      </c>
      <c r="B131" s="22" t="inlineStr">
        <is>
          <t>الدعاية والإعلان</t>
        </is>
      </c>
      <c r="C131" s="22" t="inlineStr">
        <is>
          <t>نسبة التزام الهوية البصرية</t>
        </is>
      </c>
      <c r="D131" s="23" t="inlineStr">
        <is>
          <t>🎯 نتيجة</t>
        </is>
      </c>
      <c r="E131" s="35" t="inlineStr">
        <is>
          <t>%</t>
        </is>
      </c>
      <c r="F131" s="35" t="inlineStr">
        <is>
          <t>↑</t>
        </is>
      </c>
      <c r="G131" s="23" t="inlineStr">
        <is>
          <t>🔴 رئيسي</t>
        </is>
      </c>
      <c r="H131" s="32" t="n">
        <v>0.08</v>
      </c>
      <c r="I131" s="35" t="n">
        <v>1</v>
      </c>
      <c r="J131" s="35" t="n">
        <v>0.1</v>
      </c>
      <c r="K131" s="32" t="n">
        <v>0.1</v>
      </c>
      <c r="L131" s="14" t="inlineStr">
        <is>
          <t>🔴 تحت الهدف</t>
        </is>
      </c>
      <c r="M131" s="14" t="inlineStr">
        <is>
          <t>الابتكار</t>
        </is>
      </c>
      <c r="N131" s="26" t="inlineStr">
        <is>
          <t>تطوير التصاميم والهوية</t>
        </is>
      </c>
      <c r="O131" s="23" t="inlineStr">
        <is>
          <t>التعلّم والنمو</t>
        </is>
      </c>
      <c r="P131" s="23" t="inlineStr">
        <is>
          <t>مدير التسويق</t>
        </is>
      </c>
      <c r="Q131" s="26" t="inlineStr">
        <is>
          <t>سجلات الإدارة</t>
        </is>
      </c>
      <c r="R131" s="23" t="inlineStr">
        <is>
          <t>شهري</t>
        </is>
      </c>
    </row>
    <row r="132">
      <c r="A132" s="22" t="inlineStr">
        <is>
          <t>التسويق</t>
        </is>
      </c>
      <c r="B132" s="22" t="inlineStr">
        <is>
          <t>العلاقات والشراكات</t>
        </is>
      </c>
      <c r="C132" s="22" t="inlineStr">
        <is>
          <t>وصول العلاقات العامة (PR)</t>
        </is>
      </c>
      <c r="D132" s="23" t="inlineStr">
        <is>
          <t>🔧 تشغيلي</t>
        </is>
      </c>
      <c r="E132" s="35" t="inlineStr">
        <is>
          <t>وصول</t>
        </is>
      </c>
      <c r="F132" s="35" t="inlineStr">
        <is>
          <t>↑</t>
        </is>
      </c>
      <c r="G132" s="23" t="inlineStr">
        <is>
          <t>🟠 مهم</t>
        </is>
      </c>
      <c r="H132" s="32" t="n">
        <v>0.06</v>
      </c>
      <c r="I132" s="35" t="n">
        <v>7000000</v>
      </c>
      <c r="J132" s="35" t="n">
        <v>1500000</v>
      </c>
      <c r="K132" s="32" t="n">
        <v>0.2142857142857143</v>
      </c>
      <c r="L132" s="14" t="inlineStr">
        <is>
          <t>🔴 تحت الهدف</t>
        </is>
      </c>
      <c r="M132" s="14" t="inlineStr">
        <is>
          <t>النمو</t>
        </is>
      </c>
      <c r="N132" s="26" t="inlineStr">
        <is>
          <t>زيادة وصول العملاء</t>
        </is>
      </c>
      <c r="O132" s="23" t="inlineStr">
        <is>
          <t>العملاء</t>
        </is>
      </c>
      <c r="P132" s="23" t="inlineStr">
        <is>
          <t>مدير التسويق</t>
        </is>
      </c>
      <c r="Q132" s="26" t="inlineStr">
        <is>
          <t>أنظمة التسويق الرقمي / تانكي</t>
        </is>
      </c>
      <c r="R132" s="23" t="inlineStr">
        <is>
          <t>شهري</t>
        </is>
      </c>
    </row>
    <row r="133">
      <c r="A133" s="22" t="inlineStr">
        <is>
          <t>التسويق</t>
        </is>
      </c>
      <c r="B133" s="22" t="inlineStr">
        <is>
          <t>العلاقات والشراكات</t>
        </is>
      </c>
      <c r="C133" s="22" t="inlineStr">
        <is>
          <t>عدد المعارض بالسنة</t>
        </is>
      </c>
      <c r="D133" s="23" t="inlineStr">
        <is>
          <t>⚙️ نشاط</t>
        </is>
      </c>
      <c r="E133" s="35" t="inlineStr">
        <is>
          <t>معرض</t>
        </is>
      </c>
      <c r="F133" s="35" t="inlineStr">
        <is>
          <t>↑</t>
        </is>
      </c>
      <c r="G133" s="23" t="inlineStr">
        <is>
          <t>🟠 مهم</t>
        </is>
      </c>
      <c r="H133" s="32" t="n">
        <v>0.06</v>
      </c>
      <c r="I133" s="35" t="n">
        <v>3</v>
      </c>
      <c r="J133" s="35" t="n">
        <v>0</v>
      </c>
      <c r="K133" s="32" t="n">
        <v>0</v>
      </c>
      <c r="L133" s="14" t="inlineStr">
        <is>
          <t>🔴 تحت الهدف</t>
        </is>
      </c>
      <c r="M133" s="14" t="inlineStr">
        <is>
          <t>الابتكار</t>
        </is>
      </c>
      <c r="N133" s="26" t="inlineStr">
        <is>
          <t>إطلاق مشاريع جديدة</t>
        </is>
      </c>
      <c r="O133" s="23" t="inlineStr">
        <is>
          <t>العمليات الداخلية</t>
        </is>
      </c>
      <c r="P133" s="23" t="inlineStr">
        <is>
          <t>مدير التسويق</t>
        </is>
      </c>
      <c r="Q133" s="26" t="inlineStr">
        <is>
          <t>سجلات الإدارة</t>
        </is>
      </c>
      <c r="R133" s="23" t="inlineStr">
        <is>
          <t>شهري</t>
        </is>
      </c>
    </row>
    <row r="134">
      <c r="A134" s="22" t="inlineStr">
        <is>
          <t>التسويق</t>
        </is>
      </c>
      <c r="B134" s="22" t="inlineStr">
        <is>
          <t>العلاقات والشراكات</t>
        </is>
      </c>
      <c r="C134" s="22" t="inlineStr">
        <is>
          <t>اتفاقيات استراتيجية</t>
        </is>
      </c>
      <c r="D134" s="23" t="inlineStr">
        <is>
          <t>🔧 تشغيلي</t>
        </is>
      </c>
      <c r="E134" s="35" t="inlineStr">
        <is>
          <t>اتفاقية</t>
        </is>
      </c>
      <c r="F134" s="35" t="inlineStr">
        <is>
          <t>↑</t>
        </is>
      </c>
      <c r="G134" s="23" t="inlineStr">
        <is>
          <t>🟠 مهم</t>
        </is>
      </c>
      <c r="H134" s="32" t="n">
        <v>0.06</v>
      </c>
      <c r="I134" s="35" t="n">
        <v>3</v>
      </c>
      <c r="J134" s="35" t="n">
        <v>0</v>
      </c>
      <c r="K134" s="32" t="n">
        <v>0</v>
      </c>
      <c r="L134" s="14" t="inlineStr">
        <is>
          <t>🔴 تحت الهدف</t>
        </is>
      </c>
      <c r="M134" s="14" t="inlineStr">
        <is>
          <t>الابتكار</t>
        </is>
      </c>
      <c r="N134" s="26" t="inlineStr">
        <is>
          <t>إطلاق مشاريع جديدة</t>
        </is>
      </c>
      <c r="O134" s="23" t="inlineStr">
        <is>
          <t>العمليات الداخلية</t>
        </is>
      </c>
      <c r="P134" s="23" t="inlineStr">
        <is>
          <t>مدير التسويق</t>
        </is>
      </c>
      <c r="Q134" s="26" t="inlineStr">
        <is>
          <t>سجلات الإدارة</t>
        </is>
      </c>
      <c r="R134" s="23" t="inlineStr">
        <is>
          <t>شهري</t>
        </is>
      </c>
    </row>
    <row r="135">
      <c r="A135" s="22" t="inlineStr">
        <is>
          <t>التسويق</t>
        </is>
      </c>
      <c r="B135" s="22" t="inlineStr">
        <is>
          <t>خدمة العملاء والدعم</t>
        </is>
      </c>
      <c r="C135" s="22" t="inlineStr">
        <is>
          <t>تقييم خرائط قوقل</t>
        </is>
      </c>
      <c r="D135" s="23" t="inlineStr">
        <is>
          <t>🎯 نتيجة</t>
        </is>
      </c>
      <c r="E135" s="35" t="inlineStr">
        <is>
          <t>نجمة/5</t>
        </is>
      </c>
      <c r="F135" s="35" t="inlineStr">
        <is>
          <t>↑</t>
        </is>
      </c>
      <c r="G135" s="23" t="inlineStr">
        <is>
          <t>🟠 مهم</t>
        </is>
      </c>
      <c r="H135" s="32" t="n">
        <v>0.06</v>
      </c>
      <c r="I135" s="35" t="n">
        <v>4.7</v>
      </c>
      <c r="J135" s="35" t="n">
        <v>4</v>
      </c>
      <c r="K135" s="32" t="n">
        <v>0.851063829787234</v>
      </c>
      <c r="L135" s="14" t="inlineStr">
        <is>
          <t>🟡 قريب</t>
        </is>
      </c>
      <c r="M135" s="14" t="inlineStr">
        <is>
          <t>الاستدامة</t>
        </is>
      </c>
      <c r="N135" s="26" t="inlineStr">
        <is>
          <t>تعزيز تجربة العملاء</t>
        </is>
      </c>
      <c r="O135" s="23" t="inlineStr">
        <is>
          <t>العملاء</t>
        </is>
      </c>
      <c r="P135" s="23" t="inlineStr">
        <is>
          <t>مدير التسويق</t>
        </is>
      </c>
      <c r="Q135" s="26" t="inlineStr">
        <is>
          <t>تقييمات خرائط قوقل</t>
        </is>
      </c>
      <c r="R135" s="23" t="inlineStr">
        <is>
          <t>شهري</t>
        </is>
      </c>
    </row>
    <row r="136">
      <c r="A136" s="22" t="inlineStr">
        <is>
          <t>التسويق</t>
        </is>
      </c>
      <c r="B136" s="22" t="inlineStr">
        <is>
          <t>خدمة العملاء والدعم</t>
        </is>
      </c>
      <c r="C136" s="22" t="inlineStr">
        <is>
          <t>معدل خفض الشكاوى</t>
        </is>
      </c>
      <c r="D136" s="23" t="inlineStr">
        <is>
          <t>🎯 نتيجة</t>
        </is>
      </c>
      <c r="E136" s="35" t="inlineStr">
        <is>
          <t>%</t>
        </is>
      </c>
      <c r="F136" s="35" t="inlineStr">
        <is>
          <t>↑</t>
        </is>
      </c>
      <c r="G136" s="23" t="inlineStr">
        <is>
          <t>🟠 مهم</t>
        </is>
      </c>
      <c r="H136" s="32" t="n">
        <v>0.06</v>
      </c>
      <c r="I136" s="35" t="n">
        <v>0.3</v>
      </c>
      <c r="J136" s="35" t="n">
        <v>0.21</v>
      </c>
      <c r="K136" s="32" t="n">
        <v>0.7</v>
      </c>
      <c r="L136" s="14" t="inlineStr">
        <is>
          <t>🔴 تحت الهدف</t>
        </is>
      </c>
      <c r="M136" s="14" t="inlineStr">
        <is>
          <t>الاستدامة</t>
        </is>
      </c>
      <c r="N136" s="26" t="inlineStr">
        <is>
          <t>تعزيز تجربة العملاء</t>
        </is>
      </c>
      <c r="O136" s="23" t="inlineStr">
        <is>
          <t>العملاء</t>
        </is>
      </c>
      <c r="P136" s="23" t="inlineStr">
        <is>
          <t>مدير التسويق</t>
        </is>
      </c>
      <c r="Q136" s="26" t="inlineStr">
        <is>
          <t>سجلات الإدارة</t>
        </is>
      </c>
      <c r="R136" s="23" t="inlineStr">
        <is>
          <t>شهري</t>
        </is>
      </c>
    </row>
    <row r="137">
      <c r="A137" s="22" t="inlineStr">
        <is>
          <t>التسويق</t>
        </is>
      </c>
      <c r="B137" s="22" t="inlineStr">
        <is>
          <t>تطبيق تانكي</t>
        </is>
      </c>
      <c r="C137" s="22" t="inlineStr">
        <is>
          <t>وصول محتوى تطبيق تانكي</t>
        </is>
      </c>
      <c r="D137" s="23" t="inlineStr">
        <is>
          <t>🔧 تشغيلي</t>
        </is>
      </c>
      <c r="E137" s="35" t="inlineStr">
        <is>
          <t>وصول</t>
        </is>
      </c>
      <c r="F137" s="35" t="inlineStr">
        <is>
          <t>↑</t>
        </is>
      </c>
      <c r="G137" s="23" t="inlineStr">
        <is>
          <t>🟠 مهم</t>
        </is>
      </c>
      <c r="H137" s="32" t="n">
        <v>0.05</v>
      </c>
      <c r="I137" s="35" t="n">
        <v>1000000</v>
      </c>
      <c r="J137" s="35" t="n">
        <v>946380</v>
      </c>
      <c r="K137" s="32" t="n">
        <v>0.94638</v>
      </c>
      <c r="L137" s="14" t="inlineStr">
        <is>
          <t>🟡 قريب</t>
        </is>
      </c>
      <c r="M137" s="14" t="inlineStr">
        <is>
          <t>الابتكار</t>
        </is>
      </c>
      <c r="N137" s="26" t="inlineStr">
        <is>
          <t>تطبيق «تانكي»</t>
        </is>
      </c>
      <c r="O137" s="23" t="inlineStr">
        <is>
          <t>العملاء</t>
        </is>
      </c>
      <c r="P137" s="23" t="inlineStr">
        <is>
          <t>مدير التسويق</t>
        </is>
      </c>
      <c r="Q137" s="26" t="inlineStr">
        <is>
          <t>أنظمة التسويق الرقمي / تانكي</t>
        </is>
      </c>
      <c r="R137" s="23" t="inlineStr">
        <is>
          <t>شهري</t>
        </is>
      </c>
    </row>
    <row r="138">
      <c r="A138" s="22" t="inlineStr">
        <is>
          <t>التسويق</t>
        </is>
      </c>
      <c r="B138" s="22" t="inlineStr">
        <is>
          <t>تطبيق تانكي</t>
        </is>
      </c>
      <c r="C138" s="22" t="inlineStr">
        <is>
          <t>مشاركات تطبيق تانكي</t>
        </is>
      </c>
      <c r="D138" s="23" t="inlineStr">
        <is>
          <t>🔧 تشغيلي</t>
        </is>
      </c>
      <c r="E138" s="35" t="inlineStr">
        <is>
          <t>مشاركة</t>
        </is>
      </c>
      <c r="F138" s="35" t="inlineStr">
        <is>
          <t>↑</t>
        </is>
      </c>
      <c r="G138" s="23" t="inlineStr">
        <is>
          <t>🟠 مهم</t>
        </is>
      </c>
      <c r="H138" s="32" t="n">
        <v>0.05</v>
      </c>
      <c r="I138" s="35" t="n">
        <v>250</v>
      </c>
      <c r="J138" s="35" t="n">
        <v>180.7</v>
      </c>
      <c r="K138" s="32" t="n">
        <v>0.7228</v>
      </c>
      <c r="L138" s="14" t="inlineStr">
        <is>
          <t>🔴 تحت الهدف</t>
        </is>
      </c>
      <c r="M138" s="14" t="inlineStr">
        <is>
          <t>الابتكار</t>
        </is>
      </c>
      <c r="N138" s="26" t="inlineStr">
        <is>
          <t>تطبيق «تانكي»</t>
        </is>
      </c>
      <c r="O138" s="23" t="inlineStr">
        <is>
          <t>العمليات الداخلية</t>
        </is>
      </c>
      <c r="P138" s="23" t="inlineStr">
        <is>
          <t>مدير التسويق</t>
        </is>
      </c>
      <c r="Q138" s="26" t="inlineStr">
        <is>
          <t>أنظمة التسويق الرقمي / تانكي</t>
        </is>
      </c>
      <c r="R138" s="23" t="inlineStr">
        <is>
          <t>شهري</t>
        </is>
      </c>
    </row>
    <row r="139">
      <c r="A139" s="22" t="inlineStr">
        <is>
          <t>الجودة</t>
        </is>
      </c>
      <c r="B139" s="22" t="inlineStr">
        <is>
          <t>مخاطر الجودة</t>
        </is>
      </c>
      <c r="C139" s="22" t="inlineStr">
        <is>
          <t>نسبة المحطات الحرجة</t>
        </is>
      </c>
      <c r="D139" s="23" t="inlineStr">
        <is>
          <t>🔧 تشغيلي</t>
        </is>
      </c>
      <c r="E139" s="35" t="inlineStr">
        <is>
          <t>%</t>
        </is>
      </c>
      <c r="F139" s="35" t="inlineStr">
        <is>
          <t>↓</t>
        </is>
      </c>
      <c r="G139" s="23" t="inlineStr">
        <is>
          <t>🔴 رئيسي</t>
        </is>
      </c>
      <c r="H139" s="32" t="n">
        <v>0.1</v>
      </c>
      <c r="I139" s="35" t="n">
        <v>0.05</v>
      </c>
      <c r="J139" s="35" t="n">
        <v>0.054</v>
      </c>
      <c r="K139" s="32" t="n">
        <v>0.925925925925926</v>
      </c>
      <c r="L139" s="14" t="inlineStr">
        <is>
          <t>🟡 قريب</t>
        </is>
      </c>
      <c r="M139" s="14" t="inlineStr">
        <is>
          <t>الاستدامة</t>
        </is>
      </c>
      <c r="N139" s="26" t="inlineStr">
        <is>
          <t>جودة التشغيل</t>
        </is>
      </c>
      <c r="O139" s="23" t="inlineStr">
        <is>
          <t>العمليات الداخلية</t>
        </is>
      </c>
      <c r="P139" s="23" t="inlineStr">
        <is>
          <t>مدير الجودة</t>
        </is>
      </c>
      <c r="Q139" s="26" t="inlineStr">
        <is>
          <t>نظام إدارة الجودة (QMS)</t>
        </is>
      </c>
      <c r="R139" s="23" t="inlineStr">
        <is>
          <t>شهري</t>
        </is>
      </c>
    </row>
    <row r="140">
      <c r="A140" s="22" t="inlineStr">
        <is>
          <t>الجودة</t>
        </is>
      </c>
      <c r="B140" s="22" t="inlineStr">
        <is>
          <t>جودة الوقود</t>
        </is>
      </c>
      <c r="C140" s="22" t="inlineStr">
        <is>
          <t>نسبة مطابقة جودة الوقود</t>
        </is>
      </c>
      <c r="D140" s="23" t="inlineStr">
        <is>
          <t>🎯 نتيجة</t>
        </is>
      </c>
      <c r="E140" s="35" t="inlineStr">
        <is>
          <t>%</t>
        </is>
      </c>
      <c r="F140" s="35" t="inlineStr">
        <is>
          <t>↑</t>
        </is>
      </c>
      <c r="G140" s="23" t="inlineStr">
        <is>
          <t>🟠 مهم</t>
        </is>
      </c>
      <c r="H140" s="32" t="n">
        <v>0.07000000000000001</v>
      </c>
      <c r="I140" s="35" t="n">
        <v>0.995</v>
      </c>
      <c r="J140" s="35" t="n">
        <v>0.804</v>
      </c>
      <c r="K140" s="32" t="n">
        <v>0.8080402010050252</v>
      </c>
      <c r="L140" s="14" t="inlineStr">
        <is>
          <t>🔴 تحت الهدف</t>
        </is>
      </c>
      <c r="M140" s="14" t="inlineStr">
        <is>
          <t>الاستدامة</t>
        </is>
      </c>
      <c r="N140" s="26" t="inlineStr">
        <is>
          <t>جودة التشغيل</t>
        </is>
      </c>
      <c r="O140" s="23" t="inlineStr">
        <is>
          <t>العمليات الداخلية</t>
        </is>
      </c>
      <c r="P140" s="23" t="inlineStr">
        <is>
          <t>مدير الجودة</t>
        </is>
      </c>
      <c r="Q140" s="26" t="inlineStr">
        <is>
          <t>نظام إدارة الجودة (QMS)</t>
        </is>
      </c>
      <c r="R140" s="23" t="inlineStr">
        <is>
          <t>شهري</t>
        </is>
      </c>
    </row>
    <row r="141">
      <c r="A141" s="22" t="inlineStr">
        <is>
          <t>الجودة</t>
        </is>
      </c>
      <c r="B141" s="22" t="inlineStr">
        <is>
          <t>معالجة وتصحيح</t>
        </is>
      </c>
      <c r="C141" s="22" t="inlineStr">
        <is>
          <t>نسبة إغلاق الملاحظات في الوقت المحدد</t>
        </is>
      </c>
      <c r="D141" s="23" t="inlineStr">
        <is>
          <t>🎯 نتيجة</t>
        </is>
      </c>
      <c r="E141" s="35" t="inlineStr">
        <is>
          <t>%</t>
        </is>
      </c>
      <c r="F141" s="35" t="inlineStr">
        <is>
          <t>↑</t>
        </is>
      </c>
      <c r="G141" s="23" t="inlineStr">
        <is>
          <t>🟠 مهم</t>
        </is>
      </c>
      <c r="H141" s="32" t="n">
        <v>0.07000000000000001</v>
      </c>
      <c r="I141" s="35" t="n">
        <v>0.9</v>
      </c>
      <c r="J141" s="35" t="n">
        <v>0.6870000000000001</v>
      </c>
      <c r="K141" s="32" t="n">
        <v>0.7633333333333334</v>
      </c>
      <c r="L141" s="14" t="inlineStr">
        <is>
          <t>🔴 تحت الهدف</t>
        </is>
      </c>
      <c r="M141" s="14" t="inlineStr">
        <is>
          <t>الاستدامة</t>
        </is>
      </c>
      <c r="N141" s="26" t="inlineStr">
        <is>
          <t>جودة التشغيل</t>
        </is>
      </c>
      <c r="O141" s="23" t="inlineStr">
        <is>
          <t>العمليات الداخلية</t>
        </is>
      </c>
      <c r="P141" s="23" t="inlineStr">
        <is>
          <t>مدير الجودة</t>
        </is>
      </c>
      <c r="Q141" s="26" t="inlineStr">
        <is>
          <t>نظام إدارة الجودة (QMS)</t>
        </is>
      </c>
      <c r="R141" s="23" t="inlineStr">
        <is>
          <t>شهري</t>
        </is>
      </c>
    </row>
    <row r="142">
      <c r="A142" s="22" t="inlineStr">
        <is>
          <t>الجودة</t>
        </is>
      </c>
      <c r="B142" s="22" t="inlineStr">
        <is>
          <t>تحسين ووقاية</t>
        </is>
      </c>
      <c r="C142" s="22" t="inlineStr">
        <is>
          <t>نسبة فعالية الإجراءات التصحيحية</t>
        </is>
      </c>
      <c r="D142" s="23" t="inlineStr">
        <is>
          <t>🎯 نتيجة</t>
        </is>
      </c>
      <c r="E142" s="35" t="inlineStr">
        <is>
          <t>%</t>
        </is>
      </c>
      <c r="F142" s="35" t="inlineStr">
        <is>
          <t>↑</t>
        </is>
      </c>
      <c r="G142" s="23" t="inlineStr">
        <is>
          <t>🟠 مهم</t>
        </is>
      </c>
      <c r="H142" s="32" t="n">
        <v>0.07000000000000001</v>
      </c>
      <c r="I142" s="35" t="n">
        <v>0.85</v>
      </c>
      <c r="J142" s="35" t="n">
        <v>0.648</v>
      </c>
      <c r="K142" s="32" t="n">
        <v>0.7623529411764707</v>
      </c>
      <c r="L142" s="14" t="inlineStr">
        <is>
          <t>🔴 تحت الهدف</t>
        </is>
      </c>
      <c r="M142" s="14" t="inlineStr">
        <is>
          <t>الاستدامة</t>
        </is>
      </c>
      <c r="N142" s="26" t="inlineStr">
        <is>
          <t>جودة التشغيل</t>
        </is>
      </c>
      <c r="O142" s="23" t="inlineStr">
        <is>
          <t>العمليات الداخلية</t>
        </is>
      </c>
      <c r="P142" s="23" t="inlineStr">
        <is>
          <t>مدير الجودة</t>
        </is>
      </c>
      <c r="Q142" s="26" t="inlineStr">
        <is>
          <t>سجلات الإدارة</t>
        </is>
      </c>
      <c r="R142" s="23" t="inlineStr">
        <is>
          <t>شهري</t>
        </is>
      </c>
    </row>
    <row r="143">
      <c r="A143" s="22" t="inlineStr">
        <is>
          <t>الجودة</t>
        </is>
      </c>
      <c r="B143" s="22" t="inlineStr">
        <is>
          <t>منع التكرار</t>
        </is>
      </c>
      <c r="C143" s="22" t="inlineStr">
        <is>
          <t>نسبة تكرار الملاحظات</t>
        </is>
      </c>
      <c r="D143" s="23" t="inlineStr">
        <is>
          <t>🔧 تشغيلي</t>
        </is>
      </c>
      <c r="E143" s="35" t="inlineStr">
        <is>
          <t>%</t>
        </is>
      </c>
      <c r="F143" s="35" t="inlineStr">
        <is>
          <t>↓</t>
        </is>
      </c>
      <c r="G143" s="23" t="inlineStr">
        <is>
          <t>🟠 مهم</t>
        </is>
      </c>
      <c r="H143" s="32" t="n">
        <v>0.07000000000000001</v>
      </c>
      <c r="I143" s="35" t="n">
        <v>0.1</v>
      </c>
      <c r="J143" s="35" t="n">
        <v>0.114</v>
      </c>
      <c r="K143" s="32" t="n">
        <v>0.8771929824561404</v>
      </c>
      <c r="L143" s="14" t="inlineStr">
        <is>
          <t>🟡 قريب</t>
        </is>
      </c>
      <c r="M143" s="14" t="inlineStr">
        <is>
          <t>الاستدامة</t>
        </is>
      </c>
      <c r="N143" s="26" t="inlineStr">
        <is>
          <t>جودة التشغيل</t>
        </is>
      </c>
      <c r="O143" s="23" t="inlineStr">
        <is>
          <t>العمليات الداخلية</t>
        </is>
      </c>
      <c r="P143" s="23" t="inlineStr">
        <is>
          <t>مدير الجودة</t>
        </is>
      </c>
      <c r="Q143" s="26" t="inlineStr">
        <is>
          <t>نظام إدارة الجودة (QMS)</t>
        </is>
      </c>
      <c r="R143" s="23" t="inlineStr">
        <is>
          <t>شهري</t>
        </is>
      </c>
    </row>
    <row r="144">
      <c r="A144" s="22" t="inlineStr">
        <is>
          <t>الجودة</t>
        </is>
      </c>
      <c r="B144" s="22" t="inlineStr">
        <is>
          <t>تفتيش وتدقيق</t>
        </is>
      </c>
      <c r="C144" s="22" t="inlineStr">
        <is>
          <t>نسبة تنفيذ خطة التفتيش والتدقيق</t>
        </is>
      </c>
      <c r="D144" s="23" t="inlineStr">
        <is>
          <t>⚙️ نشاط</t>
        </is>
      </c>
      <c r="E144" s="35" t="inlineStr">
        <is>
          <t>%</t>
        </is>
      </c>
      <c r="F144" s="35" t="inlineStr">
        <is>
          <t>↑</t>
        </is>
      </c>
      <c r="G144" s="23" t="inlineStr">
        <is>
          <t>🟠 مهم</t>
        </is>
      </c>
      <c r="H144" s="32" t="n">
        <v>0.07000000000000001</v>
      </c>
      <c r="I144" s="35" t="n">
        <v>0.95</v>
      </c>
      <c r="J144" s="35" t="n">
        <v>0.728</v>
      </c>
      <c r="K144" s="32" t="n">
        <v>0.7663157894736842</v>
      </c>
      <c r="L144" s="14" t="inlineStr">
        <is>
          <t>🔴 تحت الهدف</t>
        </is>
      </c>
      <c r="M144" s="14" t="inlineStr">
        <is>
          <t>الاستدامة</t>
        </is>
      </c>
      <c r="N144" s="26" t="inlineStr">
        <is>
          <t>جودة التشغيل</t>
        </is>
      </c>
      <c r="O144" s="23" t="inlineStr">
        <is>
          <t>العمليات الداخلية</t>
        </is>
      </c>
      <c r="P144" s="23" t="inlineStr">
        <is>
          <t>مدير الجودة</t>
        </is>
      </c>
      <c r="Q144" s="26" t="inlineStr">
        <is>
          <t>نظام المحاسبة / ERP (D365)</t>
        </is>
      </c>
      <c r="R144" s="23" t="inlineStr">
        <is>
          <t>ربعي</t>
        </is>
      </c>
    </row>
    <row r="145">
      <c r="A145" s="22" t="inlineStr">
        <is>
          <t>الجودة</t>
        </is>
      </c>
      <c r="B145" s="22" t="inlineStr">
        <is>
          <t>حوكمة الجودة</t>
        </is>
      </c>
      <c r="C145" s="22" t="inlineStr">
        <is>
          <t>نسبة جاهزية نظام إدارة الجودة QMS</t>
        </is>
      </c>
      <c r="D145" s="23" t="inlineStr">
        <is>
          <t>🎯 نتيجة</t>
        </is>
      </c>
      <c r="E145" s="35" t="inlineStr">
        <is>
          <t>%</t>
        </is>
      </c>
      <c r="F145" s="35" t="inlineStr">
        <is>
          <t>↑</t>
        </is>
      </c>
      <c r="G145" s="23" t="inlineStr">
        <is>
          <t>🔴 رئيسي</t>
        </is>
      </c>
      <c r="H145" s="32" t="n">
        <v>0.1</v>
      </c>
      <c r="I145" s="35" t="n">
        <v>0.9</v>
      </c>
      <c r="J145" s="35" t="n">
        <v>0.754</v>
      </c>
      <c r="K145" s="32" t="n">
        <v>0.8377777777777777</v>
      </c>
      <c r="L145" s="14" t="inlineStr">
        <is>
          <t>🔴 تحت الهدف</t>
        </is>
      </c>
      <c r="M145" s="14" t="inlineStr">
        <is>
          <t>الاستدامة</t>
        </is>
      </c>
      <c r="N145" s="26" t="inlineStr">
        <is>
          <t>جودة التشغيل</t>
        </is>
      </c>
      <c r="O145" s="23" t="inlineStr">
        <is>
          <t>العمليات الداخلية</t>
        </is>
      </c>
      <c r="P145" s="23" t="inlineStr">
        <is>
          <t>مدير الجودة</t>
        </is>
      </c>
      <c r="Q145" s="26" t="inlineStr">
        <is>
          <t>نظام إدارة الجودة (QMS)</t>
        </is>
      </c>
      <c r="R145" s="23" t="inlineStr">
        <is>
          <t>شهري</t>
        </is>
      </c>
    </row>
    <row r="146">
      <c r="A146" s="22" t="inlineStr">
        <is>
          <t>الجودة</t>
        </is>
      </c>
      <c r="B146" s="22" t="inlineStr">
        <is>
          <t>مخاطر الجودة</t>
        </is>
      </c>
      <c r="C146" s="22" t="inlineStr">
        <is>
          <t>عدد مخاطر الجودة الحرجة المفتوحة</t>
        </is>
      </c>
      <c r="D146" s="23" t="inlineStr">
        <is>
          <t>⚙️ نشاط</t>
        </is>
      </c>
      <c r="E146" s="35" t="inlineStr">
        <is>
          <t>خطر</t>
        </is>
      </c>
      <c r="F146" s="35" t="inlineStr">
        <is>
          <t>↓</t>
        </is>
      </c>
      <c r="G146" s="23" t="inlineStr">
        <is>
          <t>🟠 مهم</t>
        </is>
      </c>
      <c r="H146" s="32" t="n">
        <v>0.07000000000000001</v>
      </c>
      <c r="I146" s="35" t="n">
        <v>0</v>
      </c>
      <c r="J146" s="35" t="n"/>
      <c r="K146" s="32" t="n"/>
      <c r="L146" s="14" t="inlineStr">
        <is>
          <t>⏳ بانتظار هدف</t>
        </is>
      </c>
      <c r="M146" s="14" t="inlineStr">
        <is>
          <t>الاستدامة</t>
        </is>
      </c>
      <c r="N146" s="26" t="inlineStr">
        <is>
          <t>جودة التشغيل</t>
        </is>
      </c>
      <c r="O146" s="23" t="inlineStr">
        <is>
          <t>العمليات الداخلية</t>
        </is>
      </c>
      <c r="P146" s="23" t="inlineStr">
        <is>
          <t>مدير الجودة</t>
        </is>
      </c>
      <c r="Q146" s="26" t="inlineStr">
        <is>
          <t>نظام إدارة الجودة (QMS)</t>
        </is>
      </c>
      <c r="R146" s="23" t="inlineStr">
        <is>
          <t>شهري</t>
        </is>
      </c>
    </row>
    <row r="147">
      <c r="A147" s="22" t="inlineStr">
        <is>
          <t>الجودة</t>
        </is>
      </c>
      <c r="B147" s="22" t="inlineStr">
        <is>
          <t>مخاطر الجودة</t>
        </is>
      </c>
      <c r="C147" s="22" t="inlineStr">
        <is>
          <t>نسبة إغلاق مخاطر الجودة في الوقت المحدد</t>
        </is>
      </c>
      <c r="D147" s="23" t="inlineStr">
        <is>
          <t>🎯 نتيجة</t>
        </is>
      </c>
      <c r="E147" s="35" t="inlineStr">
        <is>
          <t>%</t>
        </is>
      </c>
      <c r="F147" s="35" t="inlineStr">
        <is>
          <t>↑</t>
        </is>
      </c>
      <c r="G147" s="23" t="inlineStr">
        <is>
          <t>🟠 مهم</t>
        </is>
      </c>
      <c r="H147" s="32" t="n">
        <v>0.07000000000000001</v>
      </c>
      <c r="I147" s="35" t="n">
        <v>0.9</v>
      </c>
      <c r="J147" s="35" t="n">
        <v>0.908</v>
      </c>
      <c r="K147" s="32" t="n">
        <v>1</v>
      </c>
      <c r="L147" s="14" t="inlineStr">
        <is>
          <t>✅ محقق</t>
        </is>
      </c>
      <c r="M147" s="14" t="inlineStr">
        <is>
          <t>الاستدامة</t>
        </is>
      </c>
      <c r="N147" s="26" t="inlineStr">
        <is>
          <t>جودة التشغيل</t>
        </is>
      </c>
      <c r="O147" s="23" t="inlineStr">
        <is>
          <t>العمليات الداخلية</t>
        </is>
      </c>
      <c r="P147" s="23" t="inlineStr">
        <is>
          <t>مدير الجودة</t>
        </is>
      </c>
      <c r="Q147" s="26" t="inlineStr">
        <is>
          <t>نظام إدارة الجودة (QMS)</t>
        </is>
      </c>
      <c r="R147" s="23" t="inlineStr">
        <is>
          <t>شهري</t>
        </is>
      </c>
    </row>
    <row r="148">
      <c r="A148" s="22" t="inlineStr">
        <is>
          <t>الجودة</t>
        </is>
      </c>
      <c r="B148" s="22" t="inlineStr">
        <is>
          <t>تجربة العميل</t>
        </is>
      </c>
      <c r="C148" s="22" t="inlineStr">
        <is>
          <t>نسبة انخفاض الشكاوى المتكررة ذات العلاقة بالجودة</t>
        </is>
      </c>
      <c r="D148" s="23" t="inlineStr">
        <is>
          <t>🎯 نتيجة</t>
        </is>
      </c>
      <c r="E148" s="35" t="inlineStr">
        <is>
          <t>%</t>
        </is>
      </c>
      <c r="F148" s="35" t="inlineStr">
        <is>
          <t>↑</t>
        </is>
      </c>
      <c r="G148" s="23" t="inlineStr">
        <is>
          <t>🟠 مهم</t>
        </is>
      </c>
      <c r="H148" s="32" t="n">
        <v>0.07000000000000001</v>
      </c>
      <c r="I148" s="35" t="n">
        <v>0.15</v>
      </c>
      <c r="J148" s="35" t="n">
        <v>0.126</v>
      </c>
      <c r="K148" s="32" t="n">
        <v>0.8400000000000001</v>
      </c>
      <c r="L148" s="14" t="inlineStr">
        <is>
          <t>🔴 تحت الهدف</t>
        </is>
      </c>
      <c r="M148" s="14" t="inlineStr">
        <is>
          <t>الاستدامة</t>
        </is>
      </c>
      <c r="N148" s="26" t="inlineStr">
        <is>
          <t>تعزيز تجربة العملاء</t>
        </is>
      </c>
      <c r="O148" s="23" t="inlineStr">
        <is>
          <t>العملاء</t>
        </is>
      </c>
      <c r="P148" s="23" t="inlineStr">
        <is>
          <t>مدير الجودة</t>
        </is>
      </c>
      <c r="Q148" s="26" t="inlineStr">
        <is>
          <t>نظام إدارة الجودة (QMS)</t>
        </is>
      </c>
      <c r="R148" s="23" t="inlineStr">
        <is>
          <t>شهري</t>
        </is>
      </c>
    </row>
    <row r="149">
      <c r="A149" s="22" t="inlineStr">
        <is>
          <t>الجودة</t>
        </is>
      </c>
      <c r="B149" s="22" t="inlineStr">
        <is>
          <t>الجودة الإدارية</t>
        </is>
      </c>
      <c r="C149" s="22" t="inlineStr">
        <is>
          <t>نسبة اكتمال وتحديث الإجراءات المعتمدة</t>
        </is>
      </c>
      <c r="D149" s="23" t="inlineStr">
        <is>
          <t>🔧 تشغيلي</t>
        </is>
      </c>
      <c r="E149" s="35" t="inlineStr">
        <is>
          <t>%</t>
        </is>
      </c>
      <c r="F149" s="35" t="inlineStr">
        <is>
          <t>↑</t>
        </is>
      </c>
      <c r="G149" s="23" t="inlineStr">
        <is>
          <t>🟡 متابعة</t>
        </is>
      </c>
      <c r="H149" s="32" t="n">
        <v>0.03</v>
      </c>
      <c r="I149" s="35" t="n">
        <v>0.95</v>
      </c>
      <c r="J149" s="35" t="n">
        <v>0.944</v>
      </c>
      <c r="K149" s="32" t="n">
        <v>0.9936842105263158</v>
      </c>
      <c r="L149" s="14" t="inlineStr">
        <is>
          <t>🟡 قريب</t>
        </is>
      </c>
      <c r="M149" s="14" t="inlineStr">
        <is>
          <t>الاستدامة</t>
        </is>
      </c>
      <c r="N149" s="26" t="inlineStr">
        <is>
          <t>جودة التشغيل</t>
        </is>
      </c>
      <c r="O149" s="23" t="inlineStr">
        <is>
          <t>العمليات الداخلية</t>
        </is>
      </c>
      <c r="P149" s="23" t="inlineStr">
        <is>
          <t>مدير الجودة</t>
        </is>
      </c>
      <c r="Q149" s="26" t="inlineStr">
        <is>
          <t>نظام إدارة الجودة (QMS)</t>
        </is>
      </c>
      <c r="R149" s="23" t="inlineStr">
        <is>
          <t>شهري</t>
        </is>
      </c>
    </row>
    <row r="150">
      <c r="A150" s="22" t="inlineStr">
        <is>
          <t>الجودة</t>
        </is>
      </c>
      <c r="B150" s="22" t="inlineStr">
        <is>
          <t>توثيق وحوكمة</t>
        </is>
      </c>
      <c r="C150" s="22" t="inlineStr">
        <is>
          <t>نسبة اكتمال سجلات الجودة</t>
        </is>
      </c>
      <c r="D150" s="23" t="inlineStr">
        <is>
          <t>🔧 تشغيلي</t>
        </is>
      </c>
      <c r="E150" s="35" t="inlineStr">
        <is>
          <t>%</t>
        </is>
      </c>
      <c r="F150" s="35" t="inlineStr">
        <is>
          <t>↑</t>
        </is>
      </c>
      <c r="G150" s="23" t="inlineStr">
        <is>
          <t>🟠 مهم</t>
        </is>
      </c>
      <c r="H150" s="32" t="n">
        <v>0.07000000000000001</v>
      </c>
      <c r="I150" s="35" t="n">
        <v>0.95</v>
      </c>
      <c r="J150" s="35" t="n">
        <v>0.982</v>
      </c>
      <c r="K150" s="32" t="n">
        <v>1</v>
      </c>
      <c r="L150" s="14" t="inlineStr">
        <is>
          <t>✅ محقق</t>
        </is>
      </c>
      <c r="M150" s="14" t="inlineStr">
        <is>
          <t>الاستدامة</t>
        </is>
      </c>
      <c r="N150" s="26" t="inlineStr">
        <is>
          <t>جودة التشغيل</t>
        </is>
      </c>
      <c r="O150" s="23" t="inlineStr">
        <is>
          <t>العمليات الداخلية</t>
        </is>
      </c>
      <c r="P150" s="23" t="inlineStr">
        <is>
          <t>مدير الجودة</t>
        </is>
      </c>
      <c r="Q150" s="26" t="inlineStr">
        <is>
          <t>نظام إدارة الجودة (QMS)</t>
        </is>
      </c>
      <c r="R150" s="23" t="inlineStr">
        <is>
          <t>شهري</t>
        </is>
      </c>
    </row>
    <row r="151">
      <c r="A151" s="22" t="inlineStr">
        <is>
          <t>الجودة</t>
        </is>
      </c>
      <c r="B151" s="22" t="inlineStr">
        <is>
          <t>الابتكار والرقمنة</t>
        </is>
      </c>
      <c r="C151" s="22" t="inlineStr">
        <is>
          <t>نسبة رقمنة عمليات الجودة</t>
        </is>
      </c>
      <c r="D151" s="23" t="inlineStr">
        <is>
          <t>🔧 تشغيلي</t>
        </is>
      </c>
      <c r="E151" s="35" t="inlineStr">
        <is>
          <t>%</t>
        </is>
      </c>
      <c r="F151" s="35" t="inlineStr">
        <is>
          <t>↑</t>
        </is>
      </c>
      <c r="G151" s="23" t="inlineStr">
        <is>
          <t>🟠 مهم</t>
        </is>
      </c>
      <c r="H151" s="32" t="n">
        <v>0.07000000000000001</v>
      </c>
      <c r="I151" s="35" t="n">
        <v>0.8</v>
      </c>
      <c r="J151" s="35" t="n">
        <v>0.834</v>
      </c>
      <c r="K151" s="32" t="n">
        <v>1</v>
      </c>
      <c r="L151" s="14" t="inlineStr">
        <is>
          <t>✅ محقق</t>
        </is>
      </c>
      <c r="M151" s="14" t="inlineStr">
        <is>
          <t>الابتكار</t>
        </is>
      </c>
      <c r="N151" s="26" t="inlineStr">
        <is>
          <t>التحول التقني</t>
        </is>
      </c>
      <c r="O151" s="23" t="inlineStr">
        <is>
          <t>التعلّم والنمو</t>
        </is>
      </c>
      <c r="P151" s="23" t="inlineStr">
        <is>
          <t>مدير الجودة</t>
        </is>
      </c>
      <c r="Q151" s="26" t="inlineStr">
        <is>
          <t>نظام إدارة الجودة (QMS)</t>
        </is>
      </c>
      <c r="R151" s="23" t="inlineStr">
        <is>
          <t>شهري</t>
        </is>
      </c>
    </row>
    <row r="152">
      <c r="A152" s="22" t="inlineStr">
        <is>
          <t>الجودة</t>
        </is>
      </c>
      <c r="B152" s="22" t="inlineStr">
        <is>
          <t>التحسين المستمر</t>
        </is>
      </c>
      <c r="C152" s="22" t="inlineStr">
        <is>
          <t>عدد مبادرات التحسين المؤثرة</t>
        </is>
      </c>
      <c r="D152" s="23" t="inlineStr">
        <is>
          <t>⚙️ نشاط</t>
        </is>
      </c>
      <c r="E152" s="35" t="inlineStr">
        <is>
          <t>مبادرة</t>
        </is>
      </c>
      <c r="F152" s="35" t="inlineStr">
        <is>
          <t>↑</t>
        </is>
      </c>
      <c r="G152" s="23" t="inlineStr">
        <is>
          <t>🟠 مهم</t>
        </is>
      </c>
      <c r="H152" s="32" t="n">
        <v>0.07000000000000001</v>
      </c>
      <c r="I152" s="35" t="n">
        <v>8</v>
      </c>
      <c r="J152" s="35" t="n">
        <v>6.827</v>
      </c>
      <c r="K152" s="32" t="n">
        <v>0.853375</v>
      </c>
      <c r="L152" s="14" t="inlineStr">
        <is>
          <t>🟡 قريب</t>
        </is>
      </c>
      <c r="M152" s="14" t="inlineStr">
        <is>
          <t>الاستدامة</t>
        </is>
      </c>
      <c r="N152" s="26" t="inlineStr">
        <is>
          <t>جودة التشغيل</t>
        </is>
      </c>
      <c r="O152" s="23" t="inlineStr">
        <is>
          <t>التعلّم والنمو</t>
        </is>
      </c>
      <c r="P152" s="23" t="inlineStr">
        <is>
          <t>مدير الجودة</t>
        </is>
      </c>
      <c r="Q152" s="26" t="inlineStr">
        <is>
          <t>سجلات الإدارة</t>
        </is>
      </c>
      <c r="R152" s="23" t="inlineStr">
        <is>
          <t>ربعي</t>
        </is>
      </c>
    </row>
    <row r="153">
      <c r="A153" s="22" t="inlineStr">
        <is>
          <t>الإدارة القانونية</t>
        </is>
      </c>
      <c r="B153" s="22" t="inlineStr">
        <is>
          <t>أعمال العقود</t>
        </is>
      </c>
      <c r="C153" s="22" t="inlineStr">
        <is>
          <t>نسبة العقود المُراجَعة قانونياً قبل التوقيع</t>
        </is>
      </c>
      <c r="D153" s="23" t="inlineStr">
        <is>
          <t>🔧 تشغيلي</t>
        </is>
      </c>
      <c r="E153" s="35" t="inlineStr">
        <is>
          <t>%</t>
        </is>
      </c>
      <c r="F153" s="35" t="inlineStr">
        <is>
          <t>↑</t>
        </is>
      </c>
      <c r="G153" s="23" t="inlineStr">
        <is>
          <t>🔴 رئيسي</t>
        </is>
      </c>
      <c r="H153" s="32" t="n">
        <v>0.15</v>
      </c>
      <c r="I153" s="35" t="n">
        <v>1</v>
      </c>
      <c r="J153" s="35" t="n">
        <v>1.013</v>
      </c>
      <c r="K153" s="32" t="n">
        <v>1</v>
      </c>
      <c r="L153" s="14" t="inlineStr">
        <is>
          <t>✅ محقق</t>
        </is>
      </c>
      <c r="M153" s="14" t="inlineStr">
        <is>
          <t>الاستدامة</t>
        </is>
      </c>
      <c r="N153" s="26" t="inlineStr">
        <is>
          <t>جودة التشغيل</t>
        </is>
      </c>
      <c r="O153" s="23" t="inlineStr">
        <is>
          <t>العمليات الداخلية</t>
        </is>
      </c>
      <c r="P153" s="23" t="inlineStr">
        <is>
          <t>المدير القانوني</t>
        </is>
      </c>
      <c r="Q153" s="26" t="inlineStr">
        <is>
          <t>نظام إدارة العقود (CRM)</t>
        </is>
      </c>
      <c r="R153" s="23" t="inlineStr">
        <is>
          <t>شهري</t>
        </is>
      </c>
    </row>
    <row r="154">
      <c r="A154" s="22" t="inlineStr">
        <is>
          <t>الإدارة القانونية</t>
        </is>
      </c>
      <c r="B154" s="22" t="inlineStr">
        <is>
          <t>أعمال العقود</t>
        </is>
      </c>
      <c r="C154" s="22" t="inlineStr">
        <is>
          <t>متوسط زمن صياغة ومراجعة العقد</t>
        </is>
      </c>
      <c r="D154" s="23" t="inlineStr">
        <is>
          <t>🔧 تشغيلي</t>
        </is>
      </c>
      <c r="E154" s="35" t="inlineStr">
        <is>
          <t>يوم</t>
        </is>
      </c>
      <c r="F154" s="35" t="inlineStr">
        <is>
          <t>↓</t>
        </is>
      </c>
      <c r="G154" s="23" t="inlineStr">
        <is>
          <t>🔴 رئيسي</t>
        </is>
      </c>
      <c r="H154" s="32" t="n">
        <v>0.15</v>
      </c>
      <c r="I154" s="35" t="n">
        <v>3</v>
      </c>
      <c r="J154" s="35" t="n">
        <v>2.994</v>
      </c>
      <c r="K154" s="32" t="n">
        <v>1</v>
      </c>
      <c r="L154" s="14" t="inlineStr">
        <is>
          <t>✅ محقق</t>
        </is>
      </c>
      <c r="M154" s="14" t="inlineStr">
        <is>
          <t>الاستدامة</t>
        </is>
      </c>
      <c r="N154" s="26" t="inlineStr">
        <is>
          <t>جودة التشغيل</t>
        </is>
      </c>
      <c r="O154" s="23" t="inlineStr">
        <is>
          <t>العمليات الداخلية</t>
        </is>
      </c>
      <c r="P154" s="23" t="inlineStr">
        <is>
          <t>المدير القانوني</t>
        </is>
      </c>
      <c r="Q154" s="26" t="inlineStr">
        <is>
          <t>نظام إدارة العقود/القضايا</t>
        </is>
      </c>
      <c r="R154" s="23" t="inlineStr">
        <is>
          <t>شهري</t>
        </is>
      </c>
    </row>
    <row r="155">
      <c r="A155" s="22" t="inlineStr">
        <is>
          <t>الإدارة القانونية</t>
        </is>
      </c>
      <c r="B155" s="22" t="inlineStr">
        <is>
          <t>أعمال العقود</t>
        </is>
      </c>
      <c r="C155" s="22" t="inlineStr">
        <is>
          <t>نسبة العقود الخالية من الملاحظات والمخاطر القانونية</t>
        </is>
      </c>
      <c r="D155" s="23" t="inlineStr">
        <is>
          <t>🎯 نتيجة</t>
        </is>
      </c>
      <c r="E155" s="35" t="inlineStr">
        <is>
          <t>%</t>
        </is>
      </c>
      <c r="F155" s="35" t="inlineStr">
        <is>
          <t>↑</t>
        </is>
      </c>
      <c r="G155" s="23" t="inlineStr">
        <is>
          <t>🔴 رئيسي</t>
        </is>
      </c>
      <c r="H155" s="32" t="n">
        <v>0.15</v>
      </c>
      <c r="I155" s="35" t="n">
        <v>0.95</v>
      </c>
      <c r="J155" s="35" t="n">
        <v>0.924</v>
      </c>
      <c r="K155" s="32" t="n">
        <v>0.9726315789473685</v>
      </c>
      <c r="L155" s="14" t="inlineStr">
        <is>
          <t>🟡 قريب</t>
        </is>
      </c>
      <c r="M155" s="14" t="inlineStr">
        <is>
          <t>الاستدامة</t>
        </is>
      </c>
      <c r="N155" s="26" t="inlineStr">
        <is>
          <t>جودة التشغيل</t>
        </is>
      </c>
      <c r="O155" s="23" t="inlineStr">
        <is>
          <t>العمليات الداخلية</t>
        </is>
      </c>
      <c r="P155" s="23" t="inlineStr">
        <is>
          <t>المدير القانوني</t>
        </is>
      </c>
      <c r="Q155" s="26" t="inlineStr">
        <is>
          <t>نظام إدارة الجودة (QMS)</t>
        </is>
      </c>
      <c r="R155" s="23" t="inlineStr">
        <is>
          <t>شهري</t>
        </is>
      </c>
    </row>
    <row r="156">
      <c r="A156" s="22" t="inlineStr">
        <is>
          <t>الإدارة القانونية</t>
        </is>
      </c>
      <c r="B156" s="22" t="inlineStr">
        <is>
          <t>أعمال القضايا</t>
        </is>
      </c>
      <c r="C156" s="22" t="inlineStr">
        <is>
          <t>نسبة القضايا المُغلقة لصالح الشركة</t>
        </is>
      </c>
      <c r="D156" s="23" t="inlineStr">
        <is>
          <t>🔧 تشغيلي</t>
        </is>
      </c>
      <c r="E156" s="35" t="inlineStr">
        <is>
          <t>%</t>
        </is>
      </c>
      <c r="F156" s="35" t="inlineStr">
        <is>
          <t>↑</t>
        </is>
      </c>
      <c r="G156" s="23" t="inlineStr">
        <is>
          <t>🟠 مهم</t>
        </is>
      </c>
      <c r="H156" s="32" t="n">
        <v>0.1</v>
      </c>
      <c r="I156" s="35" t="n">
        <v>0.8</v>
      </c>
      <c r="J156" s="35" t="n">
        <v>0.664</v>
      </c>
      <c r="K156" s="32" t="n">
        <v>0.83</v>
      </c>
      <c r="L156" s="14" t="inlineStr">
        <is>
          <t>🔴 تحت الهدف</t>
        </is>
      </c>
      <c r="M156" s="14" t="inlineStr">
        <is>
          <t>الاستدامة</t>
        </is>
      </c>
      <c r="N156" s="26" t="inlineStr">
        <is>
          <t>جودة التشغيل</t>
        </is>
      </c>
      <c r="O156" s="23" t="inlineStr">
        <is>
          <t>العمليات الداخلية</t>
        </is>
      </c>
      <c r="P156" s="23" t="inlineStr">
        <is>
          <t>المدير القانوني</t>
        </is>
      </c>
      <c r="Q156" s="26" t="inlineStr">
        <is>
          <t>نظام إدارة العقود/القضايا</t>
        </is>
      </c>
      <c r="R156" s="23" t="inlineStr">
        <is>
          <t>شهري</t>
        </is>
      </c>
    </row>
    <row r="157">
      <c r="A157" s="22" t="inlineStr">
        <is>
          <t>الإدارة القانونية</t>
        </is>
      </c>
      <c r="B157" s="22" t="inlineStr">
        <is>
          <t>أعمال القضايا</t>
        </is>
      </c>
      <c r="C157" s="22" t="inlineStr">
        <is>
          <t>نسبة تقديم المذكرات والردود في المواعيد النظامية</t>
        </is>
      </c>
      <c r="D157" s="23" t="inlineStr">
        <is>
          <t>🔧 تشغيلي</t>
        </is>
      </c>
      <c r="E157" s="35" t="inlineStr">
        <is>
          <t>%</t>
        </is>
      </c>
      <c r="F157" s="35" t="inlineStr">
        <is>
          <t>↑</t>
        </is>
      </c>
      <c r="G157" s="23" t="inlineStr">
        <is>
          <t>🟠 مهم</t>
        </is>
      </c>
      <c r="H157" s="32" t="n">
        <v>0.1</v>
      </c>
      <c r="I157" s="35" t="n">
        <v>1</v>
      </c>
      <c r="J157" s="35" t="n">
        <v>0.797</v>
      </c>
      <c r="K157" s="32" t="n">
        <v>0.797</v>
      </c>
      <c r="L157" s="14" t="inlineStr">
        <is>
          <t>🔴 تحت الهدف</t>
        </is>
      </c>
      <c r="M157" s="14" t="inlineStr">
        <is>
          <t>الاستدامة</t>
        </is>
      </c>
      <c r="N157" s="26" t="inlineStr">
        <is>
          <t>جودة التشغيل</t>
        </is>
      </c>
      <c r="O157" s="23" t="inlineStr">
        <is>
          <t>العمليات الداخلية</t>
        </is>
      </c>
      <c r="P157" s="23" t="inlineStr">
        <is>
          <t>المدير القانوني</t>
        </is>
      </c>
      <c r="Q157" s="26" t="inlineStr">
        <is>
          <t>نظام إدارة العقود/القضايا</t>
        </is>
      </c>
      <c r="R157" s="23" t="inlineStr">
        <is>
          <t>شهري</t>
        </is>
      </c>
    </row>
    <row r="158">
      <c r="A158" s="22" t="inlineStr">
        <is>
          <t>الإدارة القانونية</t>
        </is>
      </c>
      <c r="B158" s="22" t="inlineStr">
        <is>
          <t>أعمال القضايا</t>
        </is>
      </c>
      <c r="C158" s="22" t="inlineStr">
        <is>
          <t>متوسط زمن إعداد المذكرة القانونية</t>
        </is>
      </c>
      <c r="D158" s="23" t="inlineStr">
        <is>
          <t>⚙️ نشاط</t>
        </is>
      </c>
      <c r="E158" s="35" t="inlineStr">
        <is>
          <t>يوم</t>
        </is>
      </c>
      <c r="F158" s="35" t="inlineStr">
        <is>
          <t>↓</t>
        </is>
      </c>
      <c r="G158" s="23" t="inlineStr">
        <is>
          <t>🟠 مهم</t>
        </is>
      </c>
      <c r="H158" s="32" t="n">
        <v>0.1</v>
      </c>
      <c r="I158" s="35" t="n">
        <v>5</v>
      </c>
      <c r="J158" s="35" t="n">
        <v>4.545</v>
      </c>
      <c r="K158" s="32" t="n">
        <v>1</v>
      </c>
      <c r="L158" s="14" t="inlineStr">
        <is>
          <t>✅ محقق</t>
        </is>
      </c>
      <c r="M158" s="14" t="inlineStr">
        <is>
          <t>الاستدامة</t>
        </is>
      </c>
      <c r="N158" s="26" t="inlineStr">
        <is>
          <t>جودة التشغيل</t>
        </is>
      </c>
      <c r="O158" s="23" t="inlineStr">
        <is>
          <t>العمليات الداخلية</t>
        </is>
      </c>
      <c r="P158" s="23" t="inlineStr">
        <is>
          <t>المدير القانوني</t>
        </is>
      </c>
      <c r="Q158" s="26" t="inlineStr">
        <is>
          <t>نظام إدارة العقود/القضايا</t>
        </is>
      </c>
      <c r="R158" s="23" t="inlineStr">
        <is>
          <t>شهري</t>
        </is>
      </c>
    </row>
    <row r="159">
      <c r="A159" s="22" t="inlineStr">
        <is>
          <t>الإدارة القانونية</t>
        </is>
      </c>
      <c r="B159" s="22" t="inlineStr">
        <is>
          <t>الاستشارات القانونية</t>
        </is>
      </c>
      <c r="C159" s="22" t="inlineStr">
        <is>
          <t>نسبة الاستشارات المُنجزة ضمن المدة المستهدفة (SLA)</t>
        </is>
      </c>
      <c r="D159" s="23" t="inlineStr">
        <is>
          <t>🔧 تشغيلي</t>
        </is>
      </c>
      <c r="E159" s="35" t="inlineStr">
        <is>
          <t>%</t>
        </is>
      </c>
      <c r="F159" s="35" t="inlineStr">
        <is>
          <t>↑</t>
        </is>
      </c>
      <c r="G159" s="23" t="inlineStr">
        <is>
          <t>🟠 مهم</t>
        </is>
      </c>
      <c r="H159" s="32" t="n">
        <v>0.1</v>
      </c>
      <c r="I159" s="35" t="n">
        <v>0.9</v>
      </c>
      <c r="J159" s="35" t="n">
        <v>0.659</v>
      </c>
      <c r="K159" s="32" t="n">
        <v>0.7322222222222222</v>
      </c>
      <c r="L159" s="14" t="inlineStr">
        <is>
          <t>🔴 تحت الهدف</t>
        </is>
      </c>
      <c r="M159" s="14" t="inlineStr">
        <is>
          <t>الاستدامة</t>
        </is>
      </c>
      <c r="N159" s="26" t="inlineStr">
        <is>
          <t>جودة التشغيل</t>
        </is>
      </c>
      <c r="O159" s="23" t="inlineStr">
        <is>
          <t>العمليات الداخلية</t>
        </is>
      </c>
      <c r="P159" s="23" t="inlineStr">
        <is>
          <t>المدير القانوني</t>
        </is>
      </c>
      <c r="Q159" s="26" t="inlineStr">
        <is>
          <t>نظام إدارة العقود/القضايا</t>
        </is>
      </c>
      <c r="R159" s="23" t="inlineStr">
        <is>
          <t>شهري</t>
        </is>
      </c>
    </row>
    <row r="160">
      <c r="A160" s="22" t="inlineStr">
        <is>
          <t>الإدارة القانونية</t>
        </is>
      </c>
      <c r="B160" s="22" t="inlineStr">
        <is>
          <t>الاستشارات القانونية</t>
        </is>
      </c>
      <c r="C160" s="22" t="inlineStr">
        <is>
          <t>مستوى رضا الإدارات عن الدعم القانوني</t>
        </is>
      </c>
      <c r="D160" s="23" t="inlineStr">
        <is>
          <t>🎯 نتيجة</t>
        </is>
      </c>
      <c r="E160" s="35" t="inlineStr">
        <is>
          <t>%</t>
        </is>
      </c>
      <c r="F160" s="35" t="inlineStr">
        <is>
          <t>↑</t>
        </is>
      </c>
      <c r="G160" s="23" t="inlineStr">
        <is>
          <t>🔴 رئيسي</t>
        </is>
      </c>
      <c r="H160" s="32" t="n">
        <v>0.15</v>
      </c>
      <c r="I160" s="35" t="n">
        <v>0.85</v>
      </c>
      <c r="J160" s="35" t="n">
        <v>0.674</v>
      </c>
      <c r="K160" s="32" t="n">
        <v>0.7929411764705883</v>
      </c>
      <c r="L160" s="14" t="inlineStr">
        <is>
          <t>🔴 تحت الهدف</t>
        </is>
      </c>
      <c r="M160" s="14" t="inlineStr">
        <is>
          <t>الاستدامة</t>
        </is>
      </c>
      <c r="N160" s="26" t="inlineStr">
        <is>
          <t>جودة التشغيل</t>
        </is>
      </c>
      <c r="O160" s="23" t="inlineStr">
        <is>
          <t>العملاء</t>
        </is>
      </c>
      <c r="P160" s="23" t="inlineStr">
        <is>
          <t>المدير القانوني</t>
        </is>
      </c>
      <c r="Q160" s="26" t="inlineStr">
        <is>
          <t>استبيان دوري</t>
        </is>
      </c>
      <c r="R160" s="23" t="inlineStr">
        <is>
          <t>ربعي</t>
        </is>
      </c>
    </row>
    <row r="161">
      <c r="A161" s="22" t="inlineStr">
        <is>
          <t>الإدارة المالية</t>
        </is>
      </c>
      <c r="B161" s="22" t="inlineStr">
        <is>
          <t>المالية الاستراتيجية</t>
        </is>
      </c>
      <c r="C161" s="22" t="inlineStr">
        <is>
          <t>نمو الإيرادات السنوي</t>
        </is>
      </c>
      <c r="D161" s="23" t="inlineStr">
        <is>
          <t>🎯 نتيجة</t>
        </is>
      </c>
      <c r="E161" s="35" t="inlineStr">
        <is>
          <t>%</t>
        </is>
      </c>
      <c r="F161" s="35" t="inlineStr">
        <is>
          <t>↑</t>
        </is>
      </c>
      <c r="G161" s="23" t="inlineStr">
        <is>
          <t>🔴 رئيسي</t>
        </is>
      </c>
      <c r="H161" s="32" t="n">
        <v>0.05</v>
      </c>
      <c r="I161" s="35" t="n">
        <v>0.2</v>
      </c>
      <c r="J161" s="35" t="n">
        <v>0.169</v>
      </c>
      <c r="K161" s="32" t="n">
        <v>0.845</v>
      </c>
      <c r="L161" s="14" t="inlineStr">
        <is>
          <t>🔴 تحت الهدف</t>
        </is>
      </c>
      <c r="M161" s="14" t="inlineStr">
        <is>
          <t>النمو</t>
        </is>
      </c>
      <c r="N161" s="26" t="inlineStr">
        <is>
          <t>زيادة وصول العملاء</t>
        </is>
      </c>
      <c r="O161" s="23" t="inlineStr">
        <is>
          <t>مالي</t>
        </is>
      </c>
      <c r="P161" s="23" t="inlineStr">
        <is>
          <t>المدير المالي</t>
        </is>
      </c>
      <c r="Q161" s="26" t="inlineStr">
        <is>
          <t>نظام المحاسبة / ERP (D365)</t>
        </is>
      </c>
      <c r="R161" s="23" t="inlineStr">
        <is>
          <t>ربعي</t>
        </is>
      </c>
    </row>
    <row r="162">
      <c r="A162" s="22" t="inlineStr">
        <is>
          <t>الإدارة المالية</t>
        </is>
      </c>
      <c r="B162" s="22" t="inlineStr">
        <is>
          <t>المالية الاستراتيجية</t>
        </is>
      </c>
      <c r="C162" s="22" t="inlineStr">
        <is>
          <t>هامش EBITDA</t>
        </is>
      </c>
      <c r="D162" s="23" t="inlineStr">
        <is>
          <t>🎯 نتيجة</t>
        </is>
      </c>
      <c r="E162" s="35" t="inlineStr">
        <is>
          <t>%</t>
        </is>
      </c>
      <c r="F162" s="35" t="inlineStr">
        <is>
          <t>↑</t>
        </is>
      </c>
      <c r="G162" s="23" t="inlineStr">
        <is>
          <t>🟠 مهم</t>
        </is>
      </c>
      <c r="H162" s="32" t="n">
        <v>0.04</v>
      </c>
      <c r="I162" s="35" t="n">
        <v>0.08</v>
      </c>
      <c r="J162" s="35" t="n">
        <v>0.062</v>
      </c>
      <c r="K162" s="32" t="n">
        <v>0.775</v>
      </c>
      <c r="L162" s="14" t="inlineStr">
        <is>
          <t>🔴 تحت الهدف</t>
        </is>
      </c>
      <c r="M162" s="14" t="inlineStr">
        <is>
          <t>النمو</t>
        </is>
      </c>
      <c r="N162" s="26" t="inlineStr">
        <is>
          <t>زيادة وصول العملاء</t>
        </is>
      </c>
      <c r="O162" s="23" t="inlineStr">
        <is>
          <t>مالي</t>
        </is>
      </c>
      <c r="P162" s="23" t="inlineStr">
        <is>
          <t>المدير المالي</t>
        </is>
      </c>
      <c r="Q162" s="26" t="inlineStr">
        <is>
          <t>نظام المحاسبة / ERP (D365)</t>
        </is>
      </c>
      <c r="R162" s="23" t="inlineStr">
        <is>
          <t>شهري</t>
        </is>
      </c>
    </row>
    <row r="163">
      <c r="A163" s="22" t="inlineStr">
        <is>
          <t>الإدارة المالية</t>
        </is>
      </c>
      <c r="B163" s="22" t="inlineStr">
        <is>
          <t>المالية الاستراتيجية</t>
        </is>
      </c>
      <c r="C163" s="22" t="inlineStr">
        <is>
          <t>هامش صافي الربح</t>
        </is>
      </c>
      <c r="D163" s="23" t="inlineStr">
        <is>
          <t>🎯 نتيجة</t>
        </is>
      </c>
      <c r="E163" s="35" t="inlineStr">
        <is>
          <t>%</t>
        </is>
      </c>
      <c r="F163" s="35" t="inlineStr">
        <is>
          <t>↑</t>
        </is>
      </c>
      <c r="G163" s="23" t="inlineStr">
        <is>
          <t>🟠 مهم</t>
        </is>
      </c>
      <c r="H163" s="32" t="n">
        <v>0.04</v>
      </c>
      <c r="I163" s="35" t="n">
        <v>0.01</v>
      </c>
      <c r="J163" s="35" t="n">
        <v>0.008</v>
      </c>
      <c r="K163" s="32" t="n">
        <v>0.8</v>
      </c>
      <c r="L163" s="14" t="inlineStr">
        <is>
          <t>🔴 تحت الهدف</t>
        </is>
      </c>
      <c r="M163" s="14" t="inlineStr">
        <is>
          <t>النمو</t>
        </is>
      </c>
      <c r="N163" s="26" t="inlineStr">
        <is>
          <t>زيادة وصول العملاء</t>
        </is>
      </c>
      <c r="O163" s="23" t="inlineStr">
        <is>
          <t>مالي</t>
        </is>
      </c>
      <c r="P163" s="23" t="inlineStr">
        <is>
          <t>المدير المالي</t>
        </is>
      </c>
      <c r="Q163" s="26" t="inlineStr">
        <is>
          <t>نظام المحاسبة / ERP (D365)</t>
        </is>
      </c>
      <c r="R163" s="23" t="inlineStr">
        <is>
          <t>شهري</t>
        </is>
      </c>
    </row>
    <row r="164">
      <c r="A164" s="22" t="inlineStr">
        <is>
          <t>الإدارة المالية</t>
        </is>
      </c>
      <c r="B164" s="22" t="inlineStr">
        <is>
          <t>المالية الاستراتيجية</t>
        </is>
      </c>
      <c r="C164" s="22" t="inlineStr">
        <is>
          <t>العائد على حقوق الملكية (ROE)</t>
        </is>
      </c>
      <c r="D164" s="23" t="inlineStr">
        <is>
          <t>🎯 نتيجة</t>
        </is>
      </c>
      <c r="E164" s="35" t="inlineStr">
        <is>
          <t>%</t>
        </is>
      </c>
      <c r="F164" s="35" t="inlineStr">
        <is>
          <t>↑</t>
        </is>
      </c>
      <c r="G164" s="23" t="inlineStr">
        <is>
          <t>🔴 رئيسي</t>
        </is>
      </c>
      <c r="H164" s="32" t="n">
        <v>0.05</v>
      </c>
      <c r="I164" s="35" t="n">
        <v>0.1</v>
      </c>
      <c r="J164" s="35" t="n">
        <v>0.074</v>
      </c>
      <c r="K164" s="32" t="n">
        <v>0.7399999999999999</v>
      </c>
      <c r="L164" s="14" t="inlineStr">
        <is>
          <t>🔴 تحت الهدف</t>
        </is>
      </c>
      <c r="M164" s="14" t="inlineStr">
        <is>
          <t>النمو</t>
        </is>
      </c>
      <c r="N164" s="26" t="inlineStr">
        <is>
          <t>زيادة وصول العملاء</t>
        </is>
      </c>
      <c r="O164" s="23" t="inlineStr">
        <is>
          <t>مالي</t>
        </is>
      </c>
      <c r="P164" s="23" t="inlineStr">
        <is>
          <t>المدير المالي</t>
        </is>
      </c>
      <c r="Q164" s="26" t="inlineStr">
        <is>
          <t>نظام المحاسبة / ERP (D365)</t>
        </is>
      </c>
      <c r="R164" s="23" t="inlineStr">
        <is>
          <t>ربعي</t>
        </is>
      </c>
    </row>
    <row r="165">
      <c r="A165" s="22" t="inlineStr">
        <is>
          <t>الإدارة المالية</t>
        </is>
      </c>
      <c r="B165" s="22" t="inlineStr">
        <is>
          <t>المالية الاستراتيجية</t>
        </is>
      </c>
      <c r="C165" s="22" t="inlineStr">
        <is>
          <t>نسبة التدفق النقدي التشغيلي</t>
        </is>
      </c>
      <c r="D165" s="23" t="inlineStr">
        <is>
          <t>🔧 تشغيلي</t>
        </is>
      </c>
      <c r="E165" s="35" t="inlineStr">
        <is>
          <t>نسبة</t>
        </is>
      </c>
      <c r="F165" s="35" t="inlineStr">
        <is>
          <t>↑</t>
        </is>
      </c>
      <c r="G165" s="23" t="inlineStr">
        <is>
          <t>🟠 مهم</t>
        </is>
      </c>
      <c r="H165" s="32" t="n">
        <v>0.04</v>
      </c>
      <c r="I165" s="35" t="n">
        <v>1</v>
      </c>
      <c r="J165" s="35" t="n">
        <v>0.902</v>
      </c>
      <c r="K165" s="32" t="n">
        <v>0.902</v>
      </c>
      <c r="L165" s="14" t="inlineStr">
        <is>
          <t>🟡 قريب</t>
        </is>
      </c>
      <c r="M165" s="14" t="inlineStr">
        <is>
          <t>الاستدامة</t>
        </is>
      </c>
      <c r="N165" s="26" t="inlineStr">
        <is>
          <t>جودة التشغيل</t>
        </is>
      </c>
      <c r="O165" s="23" t="inlineStr">
        <is>
          <t>العمليات الداخلية</t>
        </is>
      </c>
      <c r="P165" s="23" t="inlineStr">
        <is>
          <t>المدير المالي</t>
        </is>
      </c>
      <c r="Q165" s="26" t="inlineStr">
        <is>
          <t>نظام المحاسبة / ERP (D365)</t>
        </is>
      </c>
      <c r="R165" s="23" t="inlineStr">
        <is>
          <t>شهري</t>
        </is>
      </c>
    </row>
    <row r="166">
      <c r="A166" s="22" t="inlineStr">
        <is>
          <t>الإدارة المالية</t>
        </is>
      </c>
      <c r="B166" s="22" t="inlineStr">
        <is>
          <t>السيولة ورأس المال</t>
        </is>
      </c>
      <c r="C166" s="22" t="inlineStr">
        <is>
          <t>النسبة الجارية (Current Ratio)</t>
        </is>
      </c>
      <c r="D166" s="23" t="inlineStr">
        <is>
          <t>🔧 تشغيلي</t>
        </is>
      </c>
      <c r="E166" s="35" t="inlineStr">
        <is>
          <t>نسبة</t>
        </is>
      </c>
      <c r="F166" s="35" t="inlineStr">
        <is>
          <t>↑</t>
        </is>
      </c>
      <c r="G166" s="23" t="inlineStr">
        <is>
          <t>🟠 مهم</t>
        </is>
      </c>
      <c r="H166" s="32" t="n">
        <v>0.04</v>
      </c>
      <c r="I166" s="35" t="n">
        <v>1</v>
      </c>
      <c r="J166" s="35" t="n">
        <v>0.852</v>
      </c>
      <c r="K166" s="32" t="n">
        <v>0.852</v>
      </c>
      <c r="L166" s="14" t="inlineStr">
        <is>
          <t>🟡 قريب</t>
        </is>
      </c>
      <c r="M166" s="14" t="inlineStr">
        <is>
          <t>الاستدامة</t>
        </is>
      </c>
      <c r="N166" s="26" t="inlineStr">
        <is>
          <t>جودة التشغيل</t>
        </is>
      </c>
      <c r="O166" s="23" t="inlineStr">
        <is>
          <t>العمليات الداخلية</t>
        </is>
      </c>
      <c r="P166" s="23" t="inlineStr">
        <is>
          <t>المدير المالي</t>
        </is>
      </c>
      <c r="Q166" s="26" t="inlineStr">
        <is>
          <t>سجلات الإدارة</t>
        </is>
      </c>
      <c r="R166" s="23" t="inlineStr">
        <is>
          <t>شهري</t>
        </is>
      </c>
    </row>
    <row r="167">
      <c r="A167" s="22" t="inlineStr">
        <is>
          <t>الإدارة المالية</t>
        </is>
      </c>
      <c r="B167" s="22" t="inlineStr">
        <is>
          <t>السيولة ورأس المال</t>
        </is>
      </c>
      <c r="C167" s="22" t="inlineStr">
        <is>
          <t>دورة التحويل النقدي</t>
        </is>
      </c>
      <c r="D167" s="23" t="inlineStr">
        <is>
          <t>🔧 تشغيلي</t>
        </is>
      </c>
      <c r="E167" s="35" t="inlineStr">
        <is>
          <t>يوم</t>
        </is>
      </c>
      <c r="F167" s="35" t="inlineStr">
        <is>
          <t>↓</t>
        </is>
      </c>
      <c r="G167" s="23" t="inlineStr">
        <is>
          <t>🔴 رئيسي</t>
        </is>
      </c>
      <c r="H167" s="32" t="n">
        <v>0.05</v>
      </c>
      <c r="I167" s="35" t="n">
        <v>20</v>
      </c>
      <c r="J167" s="35" t="n">
        <v>19.3</v>
      </c>
      <c r="K167" s="32" t="n">
        <v>1</v>
      </c>
      <c r="L167" s="14" t="inlineStr">
        <is>
          <t>✅ محقق</t>
        </is>
      </c>
      <c r="M167" s="14" t="inlineStr">
        <is>
          <t>الاستدامة</t>
        </is>
      </c>
      <c r="N167" s="26" t="inlineStr">
        <is>
          <t>جودة التشغيل</t>
        </is>
      </c>
      <c r="O167" s="23" t="inlineStr">
        <is>
          <t>العمليات الداخلية</t>
        </is>
      </c>
      <c r="P167" s="23" t="inlineStr">
        <is>
          <t>المدير المالي</t>
        </is>
      </c>
      <c r="Q167" s="26" t="inlineStr">
        <is>
          <t>نظام المحاسبة / ERP (D365)</t>
        </is>
      </c>
      <c r="R167" s="23" t="inlineStr">
        <is>
          <t>شهري</t>
        </is>
      </c>
    </row>
    <row r="168">
      <c r="A168" s="22" t="inlineStr">
        <is>
          <t>الإدارة المالية</t>
        </is>
      </c>
      <c r="B168" s="22" t="inlineStr">
        <is>
          <t>الذمم المدينة</t>
        </is>
      </c>
      <c r="C168" s="22" t="inlineStr">
        <is>
          <t>متوسط أيام التحصيل العام (DSO)</t>
        </is>
      </c>
      <c r="D168" s="23" t="inlineStr">
        <is>
          <t>🎯 نتيجة</t>
        </is>
      </c>
      <c r="E168" s="35" t="inlineStr">
        <is>
          <t>يوم</t>
        </is>
      </c>
      <c r="F168" s="35" t="inlineStr">
        <is>
          <t>↓</t>
        </is>
      </c>
      <c r="G168" s="23" t="inlineStr">
        <is>
          <t>🔴 رئيسي</t>
        </is>
      </c>
      <c r="H168" s="32" t="n">
        <v>0.05</v>
      </c>
      <c r="I168" s="35" t="n">
        <v>30</v>
      </c>
      <c r="J168" s="35" t="n">
        <v>28.1</v>
      </c>
      <c r="K168" s="32" t="n">
        <v>1</v>
      </c>
      <c r="L168" s="14" t="inlineStr">
        <is>
          <t>✅ محقق</t>
        </is>
      </c>
      <c r="M168" s="14" t="inlineStr">
        <is>
          <t>الاستدامة</t>
        </is>
      </c>
      <c r="N168" s="26" t="inlineStr">
        <is>
          <t>جودة التشغيل</t>
        </is>
      </c>
      <c r="O168" s="23" t="inlineStr">
        <is>
          <t>مالي</t>
        </is>
      </c>
      <c r="P168" s="23" t="inlineStr">
        <is>
          <t>المدير المالي</t>
        </is>
      </c>
      <c r="Q168" s="26" t="inlineStr">
        <is>
          <t>نظام المحاسبة / ERP (D365)</t>
        </is>
      </c>
      <c r="R168" s="23" t="inlineStr">
        <is>
          <t>شهري</t>
        </is>
      </c>
    </row>
    <row r="169">
      <c r="A169" s="22" t="inlineStr">
        <is>
          <t>الإدارة المالية</t>
        </is>
      </c>
      <c r="B169" s="22" t="inlineStr">
        <is>
          <t>الذمم المدينة</t>
        </is>
      </c>
      <c r="C169" s="22" t="inlineStr">
        <is>
          <t>نسبة التحصيل العام (الشركة)</t>
        </is>
      </c>
      <c r="D169" s="23" t="inlineStr">
        <is>
          <t>🎯 نتيجة</t>
        </is>
      </c>
      <c r="E169" s="35" t="inlineStr">
        <is>
          <t>%</t>
        </is>
      </c>
      <c r="F169" s="35" t="inlineStr">
        <is>
          <t>↑</t>
        </is>
      </c>
      <c r="G169" s="23" t="inlineStr">
        <is>
          <t>🔴 رئيسي</t>
        </is>
      </c>
      <c r="H169" s="32" t="n">
        <v>0.05</v>
      </c>
      <c r="I169" s="35" t="n">
        <v>0.95</v>
      </c>
      <c r="J169" s="35" t="n">
        <v>0.699</v>
      </c>
      <c r="K169" s="32" t="n">
        <v>0.7357894736842105</v>
      </c>
      <c r="L169" s="14" t="inlineStr">
        <is>
          <t>🔴 تحت الهدف</t>
        </is>
      </c>
      <c r="M169" s="14" t="inlineStr">
        <is>
          <t>الاستدامة</t>
        </is>
      </c>
      <c r="N169" s="26" t="inlineStr">
        <is>
          <t>جودة التشغيل</t>
        </is>
      </c>
      <c r="O169" s="23" t="inlineStr">
        <is>
          <t>مالي</t>
        </is>
      </c>
      <c r="P169" s="23" t="inlineStr">
        <is>
          <t>المدير المالي</t>
        </is>
      </c>
      <c r="Q169" s="26" t="inlineStr">
        <is>
          <t>نظام المحاسبة / ERP (D365)</t>
        </is>
      </c>
      <c r="R169" s="23" t="inlineStr">
        <is>
          <t>شهري</t>
        </is>
      </c>
    </row>
    <row r="170">
      <c r="A170" s="22" t="inlineStr">
        <is>
          <t>الإدارة المالية</t>
        </is>
      </c>
      <c r="B170" s="22" t="inlineStr">
        <is>
          <t>الذمم المدينة</t>
        </is>
      </c>
      <c r="C170" s="22" t="inlineStr">
        <is>
          <t>نسبة الذمم المتأخرة</t>
        </is>
      </c>
      <c r="D170" s="23" t="inlineStr">
        <is>
          <t>🔧 تشغيلي</t>
        </is>
      </c>
      <c r="E170" s="35" t="inlineStr">
        <is>
          <t>%</t>
        </is>
      </c>
      <c r="F170" s="35" t="inlineStr">
        <is>
          <t>↓</t>
        </is>
      </c>
      <c r="G170" s="23" t="inlineStr">
        <is>
          <t>🟠 مهم</t>
        </is>
      </c>
      <c r="H170" s="32" t="n">
        <v>0.04</v>
      </c>
      <c r="I170" s="35" t="n">
        <v>0.1</v>
      </c>
      <c r="J170" s="35" t="n">
        <v>0.099</v>
      </c>
      <c r="K170" s="32" t="n">
        <v>1</v>
      </c>
      <c r="L170" s="14" t="inlineStr">
        <is>
          <t>✅ محقق</t>
        </is>
      </c>
      <c r="M170" s="14" t="inlineStr">
        <is>
          <t>الاستدامة</t>
        </is>
      </c>
      <c r="N170" s="26" t="inlineStr">
        <is>
          <t>جودة التشغيل</t>
        </is>
      </c>
      <c r="O170" s="23" t="inlineStr">
        <is>
          <t>العمليات الداخلية</t>
        </is>
      </c>
      <c r="P170" s="23" t="inlineStr">
        <is>
          <t>المدير المالي</t>
        </is>
      </c>
      <c r="Q170" s="26" t="inlineStr">
        <is>
          <t>نظام المحاسبة / ERP (D365)</t>
        </is>
      </c>
      <c r="R170" s="23" t="inlineStr">
        <is>
          <t>شهري</t>
        </is>
      </c>
    </row>
    <row r="171">
      <c r="A171" s="22" t="inlineStr">
        <is>
          <t>الإدارة المالية</t>
        </is>
      </c>
      <c r="B171" s="22" t="inlineStr">
        <is>
          <t>الذمم المدينة</t>
        </is>
      </c>
      <c r="C171" s="22" t="inlineStr">
        <is>
          <t>نسبة الديون المعدومة</t>
        </is>
      </c>
      <c r="D171" s="23" t="inlineStr">
        <is>
          <t>🔧 تشغيلي</t>
        </is>
      </c>
      <c r="E171" s="35" t="inlineStr">
        <is>
          <t>%</t>
        </is>
      </c>
      <c r="F171" s="35" t="inlineStr">
        <is>
          <t>↓</t>
        </is>
      </c>
      <c r="G171" s="23" t="inlineStr">
        <is>
          <t>🟠 مهم</t>
        </is>
      </c>
      <c r="H171" s="32" t="n">
        <v>0.04</v>
      </c>
      <c r="I171" s="35" t="n">
        <v>0.01</v>
      </c>
      <c r="J171" s="35" t="n">
        <v>0.008999999999999999</v>
      </c>
      <c r="K171" s="32" t="n">
        <v>1</v>
      </c>
      <c r="L171" s="14" t="inlineStr">
        <is>
          <t>✅ محقق</t>
        </is>
      </c>
      <c r="M171" s="14" t="inlineStr">
        <is>
          <t>الاستدامة</t>
        </is>
      </c>
      <c r="N171" s="26" t="inlineStr">
        <is>
          <t>جودة التشغيل</t>
        </is>
      </c>
      <c r="O171" s="23" t="inlineStr">
        <is>
          <t>العمليات الداخلية</t>
        </is>
      </c>
      <c r="P171" s="23" t="inlineStr">
        <is>
          <t>المدير المالي</t>
        </is>
      </c>
      <c r="Q171" s="26" t="inlineStr">
        <is>
          <t>نظام المحاسبة / ERP (D365)</t>
        </is>
      </c>
      <c r="R171" s="23" t="inlineStr">
        <is>
          <t>شهري</t>
        </is>
      </c>
    </row>
    <row r="172">
      <c r="A172" s="22" t="inlineStr">
        <is>
          <t>الإدارة المالية</t>
        </is>
      </c>
      <c r="B172" s="22" t="inlineStr">
        <is>
          <t>الذمم الدائنة</t>
        </is>
      </c>
      <c r="C172" s="22" t="inlineStr">
        <is>
          <t>سداد الموردين في الموعد</t>
        </is>
      </c>
      <c r="D172" s="23" t="inlineStr">
        <is>
          <t>🔧 تشغيلي</t>
        </is>
      </c>
      <c r="E172" s="35" t="inlineStr">
        <is>
          <t>%</t>
        </is>
      </c>
      <c r="F172" s="35" t="inlineStr">
        <is>
          <t>↑</t>
        </is>
      </c>
      <c r="G172" s="23" t="inlineStr">
        <is>
          <t>🟠 مهم</t>
        </is>
      </c>
      <c r="H172" s="32" t="n">
        <v>0.04</v>
      </c>
      <c r="I172" s="35" t="n">
        <v>0.98</v>
      </c>
      <c r="J172" s="35" t="n">
        <v>0.754</v>
      </c>
      <c r="K172" s="32" t="n">
        <v>0.7693877551020408</v>
      </c>
      <c r="L172" s="14" t="inlineStr">
        <is>
          <t>🔴 تحت الهدف</t>
        </is>
      </c>
      <c r="M172" s="14" t="inlineStr">
        <is>
          <t>الاستدامة</t>
        </is>
      </c>
      <c r="N172" s="26" t="inlineStr">
        <is>
          <t>جودة التشغيل</t>
        </is>
      </c>
      <c r="O172" s="23" t="inlineStr">
        <is>
          <t>مالي</t>
        </is>
      </c>
      <c r="P172" s="23" t="inlineStr">
        <is>
          <t>المدير المالي</t>
        </is>
      </c>
      <c r="Q172" s="26" t="inlineStr">
        <is>
          <t>نظام المحاسبة / ERP (D365)</t>
        </is>
      </c>
      <c r="R172" s="23" t="inlineStr">
        <is>
          <t>شهري</t>
        </is>
      </c>
    </row>
    <row r="173">
      <c r="A173" s="22" t="inlineStr">
        <is>
          <t>الإدارة المالية</t>
        </is>
      </c>
      <c r="B173" s="22" t="inlineStr">
        <is>
          <t>الذمم الدائنة</t>
        </is>
      </c>
      <c r="C173" s="22" t="inlineStr">
        <is>
          <t>اكتمال مطابقة حسابات الموردين</t>
        </is>
      </c>
      <c r="D173" s="23" t="inlineStr">
        <is>
          <t>🎯 نتيجة</t>
        </is>
      </c>
      <c r="E173" s="35" t="inlineStr">
        <is>
          <t>%</t>
        </is>
      </c>
      <c r="F173" s="35" t="inlineStr">
        <is>
          <t>↑</t>
        </is>
      </c>
      <c r="G173" s="23" t="inlineStr">
        <is>
          <t>🟠 مهم</t>
        </is>
      </c>
      <c r="H173" s="32" t="n">
        <v>0.04</v>
      </c>
      <c r="I173" s="35" t="n">
        <v>0.95</v>
      </c>
      <c r="J173" s="35" t="n">
        <v>0.926</v>
      </c>
      <c r="K173" s="32" t="n">
        <v>0.9747368421052632</v>
      </c>
      <c r="L173" s="14" t="inlineStr">
        <is>
          <t>🟡 قريب</t>
        </is>
      </c>
      <c r="M173" s="14" t="inlineStr">
        <is>
          <t>الاستدامة</t>
        </is>
      </c>
      <c r="N173" s="26" t="inlineStr">
        <is>
          <t>جودة التشغيل</t>
        </is>
      </c>
      <c r="O173" s="23" t="inlineStr">
        <is>
          <t>العمليات الداخلية</t>
        </is>
      </c>
      <c r="P173" s="23" t="inlineStr">
        <is>
          <t>المدير المالي</t>
        </is>
      </c>
      <c r="Q173" s="26" t="inlineStr">
        <is>
          <t>نظام المحاسبة / ERP (D365)</t>
        </is>
      </c>
      <c r="R173" s="23" t="inlineStr">
        <is>
          <t>شهري</t>
        </is>
      </c>
    </row>
    <row r="174">
      <c r="A174" s="22" t="inlineStr">
        <is>
          <t>الإدارة المالية</t>
        </is>
      </c>
      <c r="B174" s="22" t="inlineStr">
        <is>
          <t>الخزينة</t>
        </is>
      </c>
      <c r="C174" s="22" t="inlineStr">
        <is>
          <t>دقة التنبؤ النقدي</t>
        </is>
      </c>
      <c r="D174" s="23" t="inlineStr">
        <is>
          <t>🎯 نتيجة</t>
        </is>
      </c>
      <c r="E174" s="35" t="inlineStr">
        <is>
          <t>%</t>
        </is>
      </c>
      <c r="F174" s="35" t="inlineStr">
        <is>
          <t>↑</t>
        </is>
      </c>
      <c r="G174" s="23" t="inlineStr">
        <is>
          <t>🟠 مهم</t>
        </is>
      </c>
      <c r="H174" s="32" t="n">
        <v>0.04</v>
      </c>
      <c r="I174" s="35" t="n">
        <v>0.9</v>
      </c>
      <c r="J174" s="35" t="n">
        <v>0.9</v>
      </c>
      <c r="K174" s="32" t="n">
        <v>1</v>
      </c>
      <c r="L174" s="14" t="inlineStr">
        <is>
          <t>✅ محقق</t>
        </is>
      </c>
      <c r="M174" s="14" t="inlineStr">
        <is>
          <t>الاستدامة</t>
        </is>
      </c>
      <c r="N174" s="26" t="inlineStr">
        <is>
          <t>جودة التشغيل</t>
        </is>
      </c>
      <c r="O174" s="23" t="inlineStr">
        <is>
          <t>العمليات الداخلية</t>
        </is>
      </c>
      <c r="P174" s="23" t="inlineStr">
        <is>
          <t>المدير المالي</t>
        </is>
      </c>
      <c r="Q174" s="26" t="inlineStr">
        <is>
          <t>نظام المحاسبة / ERP (D365)</t>
        </is>
      </c>
      <c r="R174" s="23" t="inlineStr">
        <is>
          <t>شهري</t>
        </is>
      </c>
    </row>
    <row r="175">
      <c r="A175" s="22" t="inlineStr">
        <is>
          <t>الإدارة المالية</t>
        </is>
      </c>
      <c r="B175" s="22" t="inlineStr">
        <is>
          <t>صناعة الوقود</t>
        </is>
      </c>
      <c r="C175" s="22" t="inlineStr">
        <is>
          <t>تباين مخزون الوقود</t>
        </is>
      </c>
      <c r="D175" s="23" t="inlineStr">
        <is>
          <t>🔧 تشغيلي</t>
        </is>
      </c>
      <c r="E175" s="35" t="inlineStr">
        <is>
          <t>%</t>
        </is>
      </c>
      <c r="F175" s="35" t="inlineStr">
        <is>
          <t>↓</t>
        </is>
      </c>
      <c r="G175" s="23" t="inlineStr">
        <is>
          <t>🟠 مهم</t>
        </is>
      </c>
      <c r="H175" s="32" t="n">
        <v>0.04</v>
      </c>
      <c r="I175" s="35" t="n">
        <v>0.001</v>
      </c>
      <c r="J175" s="35" t="n">
        <v>0.001</v>
      </c>
      <c r="K175" s="32" t="n">
        <v>1</v>
      </c>
      <c r="L175" s="14" t="inlineStr">
        <is>
          <t>✅ محقق</t>
        </is>
      </c>
      <c r="M175" s="14" t="inlineStr">
        <is>
          <t>الاستدامة</t>
        </is>
      </c>
      <c r="N175" s="26" t="inlineStr">
        <is>
          <t>جودة التشغيل</t>
        </is>
      </c>
      <c r="O175" s="23" t="inlineStr">
        <is>
          <t>العمليات الداخلية</t>
        </is>
      </c>
      <c r="P175" s="23" t="inlineStr">
        <is>
          <t>المدير المالي</t>
        </is>
      </c>
      <c r="Q175" s="26" t="inlineStr">
        <is>
          <t>نظام تشغيل المحطات</t>
        </is>
      </c>
      <c r="R175" s="23" t="inlineStr">
        <is>
          <t>شهري</t>
        </is>
      </c>
    </row>
    <row r="176">
      <c r="A176" s="22" t="inlineStr">
        <is>
          <t>الإدارة المالية</t>
        </is>
      </c>
      <c r="B176" s="22" t="inlineStr">
        <is>
          <t>صناعة الوقود</t>
        </is>
      </c>
      <c r="C176" s="22" t="inlineStr">
        <is>
          <t>دقة مطابقة المخزون</t>
        </is>
      </c>
      <c r="D176" s="23" t="inlineStr">
        <is>
          <t>🎯 نتيجة</t>
        </is>
      </c>
      <c r="E176" s="35" t="inlineStr">
        <is>
          <t>%</t>
        </is>
      </c>
      <c r="F176" s="35" t="inlineStr">
        <is>
          <t>↑</t>
        </is>
      </c>
      <c r="G176" s="23" t="inlineStr">
        <is>
          <t>🟠 مهم</t>
        </is>
      </c>
      <c r="H176" s="32" t="n">
        <v>0.03</v>
      </c>
      <c r="I176" s="35" t="n">
        <v>0.995</v>
      </c>
      <c r="J176" s="35" t="n">
        <v>0.776</v>
      </c>
      <c r="K176" s="32" t="n">
        <v>0.7798994974874373</v>
      </c>
      <c r="L176" s="14" t="inlineStr">
        <is>
          <t>🔴 تحت الهدف</t>
        </is>
      </c>
      <c r="M176" s="14" t="inlineStr">
        <is>
          <t>الاستدامة</t>
        </is>
      </c>
      <c r="N176" s="26" t="inlineStr">
        <is>
          <t>جودة التشغيل</t>
        </is>
      </c>
      <c r="O176" s="23" t="inlineStr">
        <is>
          <t>العمليات الداخلية</t>
        </is>
      </c>
      <c r="P176" s="23" t="inlineStr">
        <is>
          <t>المدير المالي</t>
        </is>
      </c>
      <c r="Q176" s="26" t="inlineStr">
        <is>
          <t>نظام إدارة الجودة (QMS)</t>
        </is>
      </c>
      <c r="R176" s="23" t="inlineStr">
        <is>
          <t>شهري</t>
        </is>
      </c>
    </row>
    <row r="177">
      <c r="A177" s="22" t="inlineStr">
        <is>
          <t>الإدارة المالية</t>
        </is>
      </c>
      <c r="B177" s="22" t="inlineStr">
        <is>
          <t>صناعة الوقود</t>
        </is>
      </c>
      <c r="C177" s="22" t="inlineStr">
        <is>
          <t>دقة تسوية أرامكو</t>
        </is>
      </c>
      <c r="D177" s="23" t="inlineStr">
        <is>
          <t>🎯 نتيجة</t>
        </is>
      </c>
      <c r="E177" s="35" t="inlineStr">
        <is>
          <t>%</t>
        </is>
      </c>
      <c r="F177" s="35" t="inlineStr">
        <is>
          <t>↑</t>
        </is>
      </c>
      <c r="G177" s="23" t="inlineStr">
        <is>
          <t>🟠 مهم</t>
        </is>
      </c>
      <c r="H177" s="32" t="n">
        <v>0.03</v>
      </c>
      <c r="I177" s="35" t="n">
        <v>1</v>
      </c>
      <c r="J177" s="35" t="n">
        <v>0.76</v>
      </c>
      <c r="K177" s="32" t="n">
        <v>0.76</v>
      </c>
      <c r="L177" s="14" t="inlineStr">
        <is>
          <t>🔴 تحت الهدف</t>
        </is>
      </c>
      <c r="M177" s="14" t="inlineStr">
        <is>
          <t>الاستدامة</t>
        </is>
      </c>
      <c r="N177" s="26" t="inlineStr">
        <is>
          <t>جودة التشغيل</t>
        </is>
      </c>
      <c r="O177" s="23" t="inlineStr">
        <is>
          <t>العمليات الداخلية</t>
        </is>
      </c>
      <c r="P177" s="23" t="inlineStr">
        <is>
          <t>المدير المالي</t>
        </is>
      </c>
      <c r="Q177" s="26" t="inlineStr">
        <is>
          <t>نظام تشغيل المحطات</t>
        </is>
      </c>
      <c r="R177" s="23" t="inlineStr">
        <is>
          <t>شهري</t>
        </is>
      </c>
    </row>
    <row r="178">
      <c r="A178" s="22" t="inlineStr">
        <is>
          <t>الإدارة المالية</t>
        </is>
      </c>
      <c r="B178" s="22" t="inlineStr">
        <is>
          <t>تمويل الامتياز</t>
        </is>
      </c>
      <c r="C178" s="22" t="inlineStr">
        <is>
          <t>نسبة تحصيل الامتياز</t>
        </is>
      </c>
      <c r="D178" s="23" t="inlineStr">
        <is>
          <t>🎯 نتيجة</t>
        </is>
      </c>
      <c r="E178" s="35" t="inlineStr">
        <is>
          <t>%</t>
        </is>
      </c>
      <c r="F178" s="35" t="inlineStr">
        <is>
          <t>↑</t>
        </is>
      </c>
      <c r="G178" s="23" t="inlineStr">
        <is>
          <t>🔴 رئيسي</t>
        </is>
      </c>
      <c r="H178" s="32" t="n">
        <v>0.05</v>
      </c>
      <c r="I178" s="35" t="n">
        <v>0.98</v>
      </c>
      <c r="J178" s="35" t="n">
        <v>0.91</v>
      </c>
      <c r="K178" s="32" t="n">
        <v>0.9285714285714286</v>
      </c>
      <c r="L178" s="14" t="inlineStr">
        <is>
          <t>🟡 قريب</t>
        </is>
      </c>
      <c r="M178" s="14" t="inlineStr">
        <is>
          <t>النمو</t>
        </is>
      </c>
      <c r="N178" s="26" t="inlineStr">
        <is>
          <t>الامتياز التجاري</t>
        </is>
      </c>
      <c r="O178" s="23" t="inlineStr">
        <is>
          <t>مالي</t>
        </is>
      </c>
      <c r="P178" s="23" t="inlineStr">
        <is>
          <t>المدير المالي</t>
        </is>
      </c>
      <c r="Q178" s="26" t="inlineStr">
        <is>
          <t>نظام المحاسبة / ERP (D365)</t>
        </is>
      </c>
      <c r="R178" s="23" t="inlineStr">
        <is>
          <t>شهري</t>
        </is>
      </c>
    </row>
    <row r="179">
      <c r="A179" s="22" t="inlineStr">
        <is>
          <t>الإدارة المالية</t>
        </is>
      </c>
      <c r="B179" s="22" t="inlineStr">
        <is>
          <t>تمويل الامتياز</t>
        </is>
      </c>
      <c r="C179" s="22" t="inlineStr">
        <is>
          <t>أيام تحصيل رسوم الامتياز</t>
        </is>
      </c>
      <c r="D179" s="23" t="inlineStr">
        <is>
          <t>🎯 نتيجة</t>
        </is>
      </c>
      <c r="E179" s="35" t="inlineStr">
        <is>
          <t>يوم</t>
        </is>
      </c>
      <c r="F179" s="35" t="inlineStr">
        <is>
          <t>↓</t>
        </is>
      </c>
      <c r="G179" s="23" t="inlineStr">
        <is>
          <t>🔴 رئيسي</t>
        </is>
      </c>
      <c r="H179" s="32" t="n">
        <v>0.05</v>
      </c>
      <c r="I179" s="35" t="n">
        <v>15</v>
      </c>
      <c r="J179" s="35" t="n">
        <v>15.8</v>
      </c>
      <c r="K179" s="32" t="n">
        <v>0.9493670886075949</v>
      </c>
      <c r="L179" s="14" t="inlineStr">
        <is>
          <t>🟡 قريب</t>
        </is>
      </c>
      <c r="M179" s="14" t="inlineStr">
        <is>
          <t>النمو</t>
        </is>
      </c>
      <c r="N179" s="26" t="inlineStr">
        <is>
          <t>الامتياز التجاري</t>
        </is>
      </c>
      <c r="O179" s="23" t="inlineStr">
        <is>
          <t>مالي</t>
        </is>
      </c>
      <c r="P179" s="23" t="inlineStr">
        <is>
          <t>المدير المالي</t>
        </is>
      </c>
      <c r="Q179" s="26" t="inlineStr">
        <is>
          <t>نظام المحاسبة / ERP (D365)</t>
        </is>
      </c>
      <c r="R179" s="23" t="inlineStr">
        <is>
          <t>شهري</t>
        </is>
      </c>
    </row>
    <row r="180">
      <c r="A180" s="22" t="inlineStr">
        <is>
          <t>الإدارة المالية</t>
        </is>
      </c>
      <c r="B180" s="22" t="inlineStr">
        <is>
          <t>العقار والإيجار</t>
        </is>
      </c>
      <c r="C180" s="22" t="inlineStr">
        <is>
          <t>نسبة تحصيل الإيجار</t>
        </is>
      </c>
      <c r="D180" s="23" t="inlineStr">
        <is>
          <t>🎯 نتيجة</t>
        </is>
      </c>
      <c r="E180" s="35" t="inlineStr">
        <is>
          <t>%</t>
        </is>
      </c>
      <c r="F180" s="35" t="inlineStr">
        <is>
          <t>↑</t>
        </is>
      </c>
      <c r="G180" s="23" t="inlineStr">
        <is>
          <t>🔴 رئيسي</t>
        </is>
      </c>
      <c r="H180" s="32" t="n">
        <v>0.05</v>
      </c>
      <c r="I180" s="35" t="n">
        <v>0.98</v>
      </c>
      <c r="J180" s="35" t="n">
        <v>1.027</v>
      </c>
      <c r="K180" s="32" t="n">
        <v>1</v>
      </c>
      <c r="L180" s="14" t="inlineStr">
        <is>
          <t>✅ محقق</t>
        </is>
      </c>
      <c r="M180" s="14" t="inlineStr">
        <is>
          <t>الاستدامة</t>
        </is>
      </c>
      <c r="N180" s="26" t="inlineStr">
        <is>
          <t>منظومة التأجير</t>
        </is>
      </c>
      <c r="O180" s="23" t="inlineStr">
        <is>
          <t>مالي</t>
        </is>
      </c>
      <c r="P180" s="23" t="inlineStr">
        <is>
          <t>المدير المالي</t>
        </is>
      </c>
      <c r="Q180" s="26" t="inlineStr">
        <is>
          <t>نظام المحاسبة / ERP (D365)</t>
        </is>
      </c>
      <c r="R180" s="23" t="inlineStr">
        <is>
          <t>شهري</t>
        </is>
      </c>
    </row>
    <row r="181">
      <c r="A181" s="22" t="inlineStr">
        <is>
          <t>الإدارة المالية</t>
        </is>
      </c>
      <c r="B181" s="22" t="inlineStr">
        <is>
          <t>العقار والإيجار</t>
        </is>
      </c>
      <c r="C181" s="22" t="inlineStr">
        <is>
          <t>معدل تجديد عقود الإيجار</t>
        </is>
      </c>
      <c r="D181" s="23" t="inlineStr">
        <is>
          <t>🎯 نتيجة</t>
        </is>
      </c>
      <c r="E181" s="35" t="inlineStr">
        <is>
          <t>%</t>
        </is>
      </c>
      <c r="F181" s="35" t="inlineStr">
        <is>
          <t>↑</t>
        </is>
      </c>
      <c r="G181" s="23" t="inlineStr">
        <is>
          <t>🔴 رئيسي</t>
        </is>
      </c>
      <c r="H181" s="32" t="n">
        <v>0.05</v>
      </c>
      <c r="I181" s="35" t="n">
        <v>0.9</v>
      </c>
      <c r="J181" s="35" t="n">
        <v>0.702</v>
      </c>
      <c r="K181" s="32" t="n">
        <v>0.7799999999999999</v>
      </c>
      <c r="L181" s="14" t="inlineStr">
        <is>
          <t>🔴 تحت الهدف</t>
        </is>
      </c>
      <c r="M181" s="14" t="inlineStr">
        <is>
          <t>الاستدامة</t>
        </is>
      </c>
      <c r="N181" s="26" t="inlineStr">
        <is>
          <t>منظومة التأجير</t>
        </is>
      </c>
      <c r="O181" s="23" t="inlineStr">
        <is>
          <t>العمليات الداخلية</t>
        </is>
      </c>
      <c r="P181" s="23" t="inlineStr">
        <is>
          <t>المدير المالي</t>
        </is>
      </c>
      <c r="Q181" s="26" t="inlineStr">
        <is>
          <t>نظام إدارة العقود (CRM)</t>
        </is>
      </c>
      <c r="R181" s="23" t="inlineStr">
        <is>
          <t>شهري</t>
        </is>
      </c>
    </row>
    <row r="182">
      <c r="A182" s="22" t="inlineStr">
        <is>
          <t>الإدارة المالية</t>
        </is>
      </c>
      <c r="B182" s="22" t="inlineStr">
        <is>
          <t>الموازنة والتقارير</t>
        </is>
      </c>
      <c r="C182" s="22" t="inlineStr">
        <is>
          <t>انحراف الموازنة</t>
        </is>
      </c>
      <c r="D182" s="23" t="inlineStr">
        <is>
          <t>🔧 تشغيلي</t>
        </is>
      </c>
      <c r="E182" s="35" t="inlineStr">
        <is>
          <t>%</t>
        </is>
      </c>
      <c r="F182" s="35" t="inlineStr">
        <is>
          <t>↓</t>
        </is>
      </c>
      <c r="G182" s="23" t="inlineStr">
        <is>
          <t>🟠 مهم</t>
        </is>
      </c>
      <c r="H182" s="32" t="n">
        <v>0.03</v>
      </c>
      <c r="I182" s="35" t="n">
        <v>0.1</v>
      </c>
      <c r="J182" s="35" t="n">
        <v>0.101</v>
      </c>
      <c r="K182" s="32" t="n">
        <v>0.9900990099009901</v>
      </c>
      <c r="L182" s="14" t="inlineStr">
        <is>
          <t>🟡 قريب</t>
        </is>
      </c>
      <c r="M182" s="14" t="inlineStr">
        <is>
          <t>الاستدامة</t>
        </is>
      </c>
      <c r="N182" s="26" t="inlineStr">
        <is>
          <t>جودة التشغيل</t>
        </is>
      </c>
      <c r="O182" s="23" t="inlineStr">
        <is>
          <t>العمليات الداخلية</t>
        </is>
      </c>
      <c r="P182" s="23" t="inlineStr">
        <is>
          <t>المدير المالي</t>
        </is>
      </c>
      <c r="Q182" s="26" t="inlineStr">
        <is>
          <t>نظام المحاسبة / ERP (D365)</t>
        </is>
      </c>
      <c r="R182" s="23" t="inlineStr">
        <is>
          <t>ربعي</t>
        </is>
      </c>
    </row>
    <row r="183">
      <c r="A183" s="22" t="inlineStr">
        <is>
          <t>الإدارة المالية</t>
        </is>
      </c>
      <c r="B183" s="22" t="inlineStr">
        <is>
          <t>الموازنة والتقارير</t>
        </is>
      </c>
      <c r="C183" s="22" t="inlineStr">
        <is>
          <t>أيام الإقفال الشهري</t>
        </is>
      </c>
      <c r="D183" s="23" t="inlineStr">
        <is>
          <t>🔧 تشغيلي</t>
        </is>
      </c>
      <c r="E183" s="35" t="inlineStr">
        <is>
          <t>يوم</t>
        </is>
      </c>
      <c r="F183" s="35" t="inlineStr">
        <is>
          <t>↓</t>
        </is>
      </c>
      <c r="G183" s="23" t="inlineStr">
        <is>
          <t>🟠 مهم</t>
        </is>
      </c>
      <c r="H183" s="32" t="n">
        <v>0.03</v>
      </c>
      <c r="I183" s="35" t="n">
        <v>6</v>
      </c>
      <c r="J183" s="35" t="n">
        <v>7.044</v>
      </c>
      <c r="K183" s="32" t="n">
        <v>0.8517887563884157</v>
      </c>
      <c r="L183" s="14" t="inlineStr">
        <is>
          <t>🟡 قريب</t>
        </is>
      </c>
      <c r="M183" s="14" t="inlineStr">
        <is>
          <t>الاستدامة</t>
        </is>
      </c>
      <c r="N183" s="26" t="inlineStr">
        <is>
          <t>جودة التشغيل</t>
        </is>
      </c>
      <c r="O183" s="23" t="inlineStr">
        <is>
          <t>العمليات الداخلية</t>
        </is>
      </c>
      <c r="P183" s="23" t="inlineStr">
        <is>
          <t>المدير المالي</t>
        </is>
      </c>
      <c r="Q183" s="26" t="inlineStr">
        <is>
          <t>نظام المحاسبة / ERP (D365)</t>
        </is>
      </c>
      <c r="R183" s="23" t="inlineStr">
        <is>
          <t>شهري</t>
        </is>
      </c>
    </row>
    <row r="184">
      <c r="A184" s="22" t="inlineStr">
        <is>
          <t>الإدارة المالية</t>
        </is>
      </c>
      <c r="B184" s="22" t="inlineStr">
        <is>
          <t>الموازنة والتقارير</t>
        </is>
      </c>
      <c r="C184" s="22" t="inlineStr">
        <is>
          <t>نسبة تسويات التدقيق</t>
        </is>
      </c>
      <c r="D184" s="23" t="inlineStr">
        <is>
          <t>🔧 تشغيلي</t>
        </is>
      </c>
      <c r="E184" s="35" t="inlineStr">
        <is>
          <t>%</t>
        </is>
      </c>
      <c r="F184" s="35" t="inlineStr">
        <is>
          <t>↓</t>
        </is>
      </c>
      <c r="G184" s="23" t="inlineStr">
        <is>
          <t>🟠 مهم</t>
        </is>
      </c>
      <c r="H184" s="32" t="n">
        <v>0.03</v>
      </c>
      <c r="I184" s="35" t="n">
        <v>0.02</v>
      </c>
      <c r="J184" s="35" t="n">
        <v>0.02</v>
      </c>
      <c r="K184" s="32" t="n">
        <v>1</v>
      </c>
      <c r="L184" s="14" t="inlineStr">
        <is>
          <t>✅ محقق</t>
        </is>
      </c>
      <c r="M184" s="14" t="inlineStr">
        <is>
          <t>الاستدامة</t>
        </is>
      </c>
      <c r="N184" s="26" t="inlineStr">
        <is>
          <t>جودة التشغيل</t>
        </is>
      </c>
      <c r="O184" s="23" t="inlineStr">
        <is>
          <t>العمليات الداخلية</t>
        </is>
      </c>
      <c r="P184" s="23" t="inlineStr">
        <is>
          <t>المدير المالي</t>
        </is>
      </c>
      <c r="Q184" s="26" t="inlineStr">
        <is>
          <t>نظام المحاسبة / ERP (D365)</t>
        </is>
      </c>
      <c r="R184" s="23" t="inlineStr">
        <is>
          <t>ربعي</t>
        </is>
      </c>
    </row>
  </sheetData>
  <autoFilter ref="A1:R18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النمو</t>
        </is>
      </c>
      <c r="C4" s="9" t="inlineStr">
        <is>
          <t>إجمالي المحطات المشغّلة — الشركة (تراكمي)</t>
        </is>
      </c>
      <c r="D4" s="35" t="inlineStr">
        <is>
          <t>محطة</t>
        </is>
      </c>
      <c r="E4" s="35" t="inlineStr">
        <is>
          <t>↑</t>
        </is>
      </c>
      <c r="F4" s="23" t="inlineStr">
        <is>
          <t>🔴 رئيسي</t>
        </is>
      </c>
      <c r="G4" s="32" t="n">
        <v>0.12</v>
      </c>
      <c r="H4" s="37" t="n">
        <v>235</v>
      </c>
      <c r="I4" s="38" t="inlineStr">
        <is>
          <t>≥ 235 محطة</t>
        </is>
      </c>
      <c r="J4" s="39" t="inlineStr">
        <is>
          <t>النمو</t>
        </is>
      </c>
      <c r="K4" s="31" t="inlineStr">
        <is>
          <t>التوسع في المواقع</t>
        </is>
      </c>
      <c r="L4" s="23" t="inlineStr">
        <is>
          <t>العمليات الداخلية</t>
        </is>
      </c>
      <c r="M4" s="40" t="n">
        <v>206.1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النمو</t>
        </is>
      </c>
      <c r="C5" s="9" t="inlineStr">
        <is>
          <t>إجمالي العقود الجديدة — الشركة</t>
        </is>
      </c>
      <c r="D5" s="35" t="inlineStr">
        <is>
          <t>عقد</t>
        </is>
      </c>
      <c r="E5" s="35" t="inlineStr">
        <is>
          <t>↑</t>
        </is>
      </c>
      <c r="F5" s="23" t="inlineStr">
        <is>
          <t>🔴 رئيسي</t>
        </is>
      </c>
      <c r="G5" s="32" t="n">
        <v>0.12</v>
      </c>
      <c r="H5" s="37" t="n">
        <v>357</v>
      </c>
      <c r="I5" s="38" t="inlineStr">
        <is>
          <t>357 عقد</t>
        </is>
      </c>
      <c r="J5" s="39" t="inlineStr">
        <is>
          <t>النمو</t>
        </is>
      </c>
      <c r="K5" s="31" t="inlineStr">
        <is>
          <t>الامتياز التجاري</t>
        </is>
      </c>
      <c r="L5" s="23" t="inlineStr">
        <is>
          <t>العمليات الداخلية</t>
        </is>
      </c>
      <c r="M5" s="40" t="n">
        <v>346.6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النمو</t>
        </is>
      </c>
      <c r="C6" s="9" t="inlineStr">
        <is>
          <t>إجمالي إيرادات الشركة السنوية</t>
        </is>
      </c>
      <c r="D6" s="35" t="inlineStr">
        <is>
          <t>ر.س</t>
        </is>
      </c>
      <c r="E6" s="35" t="inlineStr">
        <is>
          <t>↑</t>
        </is>
      </c>
      <c r="F6" s="23" t="inlineStr">
        <is>
          <t>🔴 رئيسي</t>
        </is>
      </c>
      <c r="G6" s="32" t="n">
        <v>0.11</v>
      </c>
      <c r="H6" s="35" t="inlineStr"/>
      <c r="I6" s="38" t="inlineStr">
        <is>
          <t>تصاعدي مستمر</t>
        </is>
      </c>
      <c r="J6" s="39" t="inlineStr">
        <is>
          <t>النمو</t>
        </is>
      </c>
      <c r="K6" s="31" t="inlineStr">
        <is>
          <t>زيادة وصول العملاء</t>
        </is>
      </c>
      <c r="L6" s="23" t="inlineStr">
        <is>
          <t>مالي</t>
        </is>
      </c>
      <c r="M6" s="41" t="n"/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النمو</t>
        </is>
      </c>
      <c r="C7" s="9" t="inlineStr">
        <is>
          <t>نسبة نمو إيرادات الشركة (سنوي)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0.11</v>
      </c>
      <c r="H7" s="35" t="inlineStr"/>
      <c r="I7" s="38" t="inlineStr">
        <is>
          <t>مستهدف تنفيذي</t>
        </is>
      </c>
      <c r="J7" s="39" t="inlineStr">
        <is>
          <t>النمو</t>
        </is>
      </c>
      <c r="K7" s="31" t="inlineStr">
        <is>
          <t>زيادة وصول العملاء</t>
        </is>
      </c>
      <c r="L7" s="23" t="inlineStr">
        <is>
          <t>مالي</t>
        </is>
      </c>
      <c r="M7" s="42" t="n"/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الابتكار</t>
        </is>
      </c>
      <c r="C8" s="9" t="inlineStr">
        <is>
          <t>نسبة إنجاز مشاريع الخارطة التنفيذية</t>
        </is>
      </c>
      <c r="D8" s="35" t="inlineStr">
        <is>
          <t>%</t>
        </is>
      </c>
      <c r="E8" s="35" t="inlineStr">
        <is>
          <t>↑</t>
        </is>
      </c>
      <c r="F8" s="23" t="inlineStr">
        <is>
          <t>🟠 مهم</t>
        </is>
      </c>
      <c r="G8" s="32" t="n">
        <v>0.08</v>
      </c>
      <c r="H8" s="32" t="n">
        <v>1</v>
      </c>
      <c r="I8" s="38" t="inlineStr">
        <is>
          <t>100%</t>
        </is>
      </c>
      <c r="J8" s="39" t="inlineStr">
        <is>
          <t>الابتكار</t>
        </is>
      </c>
      <c r="K8" s="31" t="inlineStr">
        <is>
          <t>إطلاق مشاريع جديدة</t>
        </is>
      </c>
      <c r="L8" s="23" t="inlineStr">
        <is>
          <t>العمليات الداخلية</t>
        </is>
      </c>
      <c r="M8" s="42" t="n">
        <v>0.906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الابتكار</t>
        </is>
      </c>
      <c r="C9" s="9" t="inlineStr">
        <is>
          <t>نسبة التحول الرقمي على مستوى الشركة</t>
        </is>
      </c>
      <c r="D9" s="35" t="inlineStr">
        <is>
          <t>%</t>
        </is>
      </c>
      <c r="E9" s="35" t="inlineStr">
        <is>
          <t>↑</t>
        </is>
      </c>
      <c r="F9" s="23" t="inlineStr">
        <is>
          <t>🟠 مهم</t>
        </is>
      </c>
      <c r="G9" s="32" t="n">
        <v>0.08</v>
      </c>
      <c r="H9" s="32" t="n">
        <v>0.9</v>
      </c>
      <c r="I9" s="38" t="inlineStr">
        <is>
          <t>≥ 90%</t>
        </is>
      </c>
      <c r="J9" s="39" t="inlineStr">
        <is>
          <t>الابتكار</t>
        </is>
      </c>
      <c r="K9" s="31" t="inlineStr">
        <is>
          <t>التحول التقني</t>
        </is>
      </c>
      <c r="L9" s="23" t="inlineStr">
        <is>
          <t>التعلّم والنمو</t>
        </is>
      </c>
      <c r="M9" s="42" t="n">
        <v>0.9389999999999999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الاستدامة</t>
        </is>
      </c>
      <c r="C10" s="9" t="inlineStr">
        <is>
          <t>مؤشر رضا العملاء العام (الشركة)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🔴 رئيسي</t>
        </is>
      </c>
      <c r="G10" s="32" t="n">
        <v>0.11</v>
      </c>
      <c r="H10" s="32" t="n">
        <v>0.9</v>
      </c>
      <c r="I10" s="38" t="inlineStr">
        <is>
          <t>≥ 90%</t>
        </is>
      </c>
      <c r="J10" s="39" t="inlineStr">
        <is>
          <t>الاستدامة</t>
        </is>
      </c>
      <c r="K10" s="31" t="inlineStr">
        <is>
          <t>تعزيز تجربة العملاء</t>
        </is>
      </c>
      <c r="L10" s="23" t="inlineStr">
        <is>
          <t>العملاء</t>
        </is>
      </c>
      <c r="M10" s="42" t="n">
        <v>0.922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الاستدامة</t>
        </is>
      </c>
      <c r="C11" s="9" t="inlineStr">
        <is>
          <t>مؤشر رضا الموظفين العام (eNPS)</t>
        </is>
      </c>
      <c r="D11" s="35" t="inlineStr">
        <is>
          <t>نقطة</t>
        </is>
      </c>
      <c r="E11" s="35" t="inlineStr">
        <is>
          <t>↑</t>
        </is>
      </c>
      <c r="F11" s="23" t="inlineStr">
        <is>
          <t>🔴 رئيسي</t>
        </is>
      </c>
      <c r="G11" s="32" t="n">
        <v>0.11</v>
      </c>
      <c r="H11" s="43" t="n">
        <v>30</v>
      </c>
      <c r="I11" s="38" t="inlineStr">
        <is>
          <t>≥ 30</t>
        </is>
      </c>
      <c r="J11" s="39" t="inlineStr">
        <is>
          <t>الاستدامة</t>
        </is>
      </c>
      <c r="K11" s="31" t="inlineStr">
        <is>
          <t>الاستثمار في الموظفين</t>
        </is>
      </c>
      <c r="L11" s="23" t="inlineStr">
        <is>
          <t>التعلّم والنمو</t>
        </is>
      </c>
      <c r="M11" s="44" t="n">
        <v>22.5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الاستدامة</t>
        </is>
      </c>
      <c r="C12" s="9" t="inlineStr">
        <is>
          <t>نسبة تحقيق المستهدفات الاستراتيجية العامة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🟠 مهم</t>
        </is>
      </c>
      <c r="G12" s="32" t="n">
        <v>0.08</v>
      </c>
      <c r="H12" s="32" t="n">
        <v>1</v>
      </c>
      <c r="I12" s="38" t="inlineStr">
        <is>
          <t>100%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العمليات الداخلية</t>
        </is>
      </c>
      <c r="M12" s="42" t="n">
        <v>0.85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النمو</t>
        </is>
      </c>
      <c r="C13" s="9" t="inlineStr">
        <is>
          <t>الالتزام بمعايير وزارة الطاقة (تغطية 13 منطقة)</t>
        </is>
      </c>
      <c r="D13" s="35" t="inlineStr">
        <is>
          <t>%</t>
        </is>
      </c>
      <c r="E13" s="35" t="inlineStr">
        <is>
          <t>↑</t>
        </is>
      </c>
      <c r="F13" s="23" t="inlineStr">
        <is>
          <t>🟠 مهم</t>
        </is>
      </c>
      <c r="G13" s="32" t="n">
        <v>0.08</v>
      </c>
      <c r="H13" s="32" t="n">
        <v>1</v>
      </c>
      <c r="I13" s="38" t="inlineStr">
        <is>
          <t>100%</t>
        </is>
      </c>
      <c r="J13" s="39" t="inlineStr">
        <is>
          <t>النمو</t>
        </is>
      </c>
      <c r="K13" s="31" t="inlineStr">
        <is>
          <t>التوسع في المواقع</t>
        </is>
      </c>
      <c r="L13" s="23" t="inlineStr">
        <is>
          <t>العمليات الداخلية</t>
        </is>
      </c>
      <c r="M13" s="42" t="n">
        <v>0.749</v>
      </c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</sheetData>
  <autoFilter ref="A3:O13"/>
  <mergeCells count="2">
    <mergeCell ref="A1:O1"/>
    <mergeCell ref="A2:O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النمو والتوسع</t>
        </is>
      </c>
      <c r="C4" s="9" t="inlineStr">
        <is>
          <t>عدد محطات الامتياز المشغّلة (تراكمي)</t>
        </is>
      </c>
      <c r="D4" s="35" t="inlineStr">
        <is>
          <t>محطة</t>
        </is>
      </c>
      <c r="E4" s="35" t="inlineStr">
        <is>
          <t>↑</t>
        </is>
      </c>
      <c r="F4" s="23" t="inlineStr">
        <is>
          <t>🔴 رئيسي</t>
        </is>
      </c>
      <c r="G4" s="32" t="n">
        <v>0.04</v>
      </c>
      <c r="H4" s="37" t="n">
        <v>150</v>
      </c>
      <c r="I4" s="38" t="inlineStr">
        <is>
          <t>150 محطة</t>
        </is>
      </c>
      <c r="J4" s="39" t="inlineStr">
        <is>
          <t>النمو</t>
        </is>
      </c>
      <c r="K4" s="31" t="inlineStr">
        <is>
          <t>التوسع في المواقع</t>
        </is>
      </c>
      <c r="L4" s="23" t="inlineStr">
        <is>
          <t>العمليات الداخلية</t>
        </is>
      </c>
      <c r="M4" s="40" t="n">
        <v>110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النمو والتوسع</t>
        </is>
      </c>
      <c r="C5" s="9" t="inlineStr">
        <is>
          <t>عدد عقود الامتياز الجديدة الموقّعة</t>
        </is>
      </c>
      <c r="D5" s="35" t="inlineStr">
        <is>
          <t>عقد</t>
        </is>
      </c>
      <c r="E5" s="35" t="inlineStr">
        <is>
          <t>↑</t>
        </is>
      </c>
      <c r="F5" s="23" t="inlineStr">
        <is>
          <t>🔴 رئيسي</t>
        </is>
      </c>
      <c r="G5" s="32" t="n">
        <v>0.04</v>
      </c>
      <c r="H5" s="37" t="n">
        <v>167</v>
      </c>
      <c r="I5" s="38" t="inlineStr">
        <is>
          <t>167 عقد</t>
        </is>
      </c>
      <c r="J5" s="39" t="inlineStr">
        <is>
          <t>النمو</t>
        </is>
      </c>
      <c r="K5" s="31" t="inlineStr">
        <is>
          <t>الامتياز التجاري</t>
        </is>
      </c>
      <c r="L5" s="23" t="inlineStr">
        <is>
          <t>العمليات الداخلية</t>
        </is>
      </c>
      <c r="M5" s="40" t="n">
        <v>159.2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المبيعات والأداء التجاري</t>
        </is>
      </c>
      <c r="C6" s="9" t="inlineStr">
        <is>
          <t>إجمالي مبيعات وقود محطات الامتياز</t>
        </is>
      </c>
      <c r="D6" s="35" t="inlineStr">
        <is>
          <t>لتر</t>
        </is>
      </c>
      <c r="E6" s="35" t="inlineStr">
        <is>
          <t>↑</t>
        </is>
      </c>
      <c r="F6" s="23" t="inlineStr">
        <is>
          <t>🔴 رئيسي</t>
        </is>
      </c>
      <c r="G6" s="32" t="n">
        <v>0.04</v>
      </c>
      <c r="H6" s="37" t="n">
        <v>718838077</v>
      </c>
      <c r="I6" s="38" t="inlineStr">
        <is>
          <t>718.8M لتر</t>
        </is>
      </c>
      <c r="J6" s="39" t="inlineStr">
        <is>
          <t>النمو</t>
        </is>
      </c>
      <c r="K6" s="31" t="inlineStr">
        <is>
          <t>زيادة وصول العملاء</t>
        </is>
      </c>
      <c r="L6" s="23" t="inlineStr">
        <is>
          <t>مالي</t>
        </is>
      </c>
      <c r="M6" s="40" t="n">
        <v>576630340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المبيعات والأداء التجاري</t>
        </is>
      </c>
      <c r="C7" s="9" t="inlineStr">
        <is>
          <t>نسبة المحطات التي حققت مستهدف المبيعات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0.04</v>
      </c>
      <c r="H7" s="32" t="n">
        <v>0.9</v>
      </c>
      <c r="I7" s="38" t="inlineStr">
        <is>
          <t>90%+</t>
        </is>
      </c>
      <c r="J7" s="39" t="inlineStr">
        <is>
          <t>النمو</t>
        </is>
      </c>
      <c r="K7" s="31" t="inlineStr">
        <is>
          <t>زيادة وصول العملاء</t>
        </is>
      </c>
      <c r="L7" s="23" t="inlineStr">
        <is>
          <t>مالي</t>
        </is>
      </c>
      <c r="M7" s="42" t="n">
        <v>0.788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المبيعات والأداء التجاري</t>
        </is>
      </c>
      <c r="C8" s="9" t="inlineStr">
        <is>
          <t>متوسط مبيعات المحطة الواحدة شهرياً</t>
        </is>
      </c>
      <c r="D8" s="35" t="inlineStr">
        <is>
          <t>لتر/محطة</t>
        </is>
      </c>
      <c r="E8" s="35" t="inlineStr">
        <is>
          <t>↑</t>
        </is>
      </c>
      <c r="F8" s="23" t="inlineStr">
        <is>
          <t>🔴 رئيسي</t>
        </is>
      </c>
      <c r="G8" s="32" t="n">
        <v>0.04</v>
      </c>
      <c r="H8" s="35" t="inlineStr"/>
      <c r="I8" s="38" t="inlineStr">
        <is>
          <t>+10% نمو شهري</t>
        </is>
      </c>
      <c r="J8" s="39" t="inlineStr">
        <is>
          <t>النمو</t>
        </is>
      </c>
      <c r="K8" s="31" t="inlineStr">
        <is>
          <t>زيادة وصول العملاء</t>
        </is>
      </c>
      <c r="L8" s="23" t="inlineStr">
        <is>
          <t>مالي</t>
        </is>
      </c>
      <c r="M8" s="40" t="n"/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المبيعات والأداء التجاري</t>
        </is>
      </c>
      <c r="C9" s="9" t="inlineStr">
        <is>
          <t>نسبة تأجير وحدات الامتياز</t>
        </is>
      </c>
      <c r="D9" s="35" t="inlineStr">
        <is>
          <t>%</t>
        </is>
      </c>
      <c r="E9" s="35" t="inlineStr">
        <is>
          <t>↑</t>
        </is>
      </c>
      <c r="F9" s="23" t="inlineStr">
        <is>
          <t>🟠 مهم</t>
        </is>
      </c>
      <c r="G9" s="32" t="n">
        <v>0.03</v>
      </c>
      <c r="H9" s="32" t="n">
        <v>0.7</v>
      </c>
      <c r="I9" s="38" t="inlineStr">
        <is>
          <t>70%</t>
        </is>
      </c>
      <c r="J9" s="39" t="inlineStr">
        <is>
          <t>الاستدامة</t>
        </is>
      </c>
      <c r="K9" s="31" t="inlineStr">
        <is>
          <t>منظومة التأجير</t>
        </is>
      </c>
      <c r="L9" s="23" t="inlineStr">
        <is>
          <t>العمليات الداخلية</t>
        </is>
      </c>
      <c r="M9" s="42" t="n">
        <v>0.709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الأداء المالي</t>
        </is>
      </c>
      <c r="C10" s="9" t="inlineStr">
        <is>
          <t>إجمالي إيرادات إدارة الامتياز</t>
        </is>
      </c>
      <c r="D10" s="35" t="inlineStr">
        <is>
          <t>ر.س</t>
        </is>
      </c>
      <c r="E10" s="35" t="inlineStr">
        <is>
          <t>↑</t>
        </is>
      </c>
      <c r="F10" s="23" t="inlineStr">
        <is>
          <t>🔴 رئيسي</t>
        </is>
      </c>
      <c r="G10" s="32" t="n">
        <v>0.04</v>
      </c>
      <c r="H10" s="35" t="inlineStr"/>
      <c r="I10" s="38" t="inlineStr">
        <is>
          <t>تصاعدي مستمر</t>
        </is>
      </c>
      <c r="J10" s="39" t="inlineStr">
        <is>
          <t>النمو</t>
        </is>
      </c>
      <c r="K10" s="31" t="inlineStr">
        <is>
          <t>الامتياز التجاري</t>
        </is>
      </c>
      <c r="L10" s="23" t="inlineStr">
        <is>
          <t>مالي</t>
        </is>
      </c>
      <c r="M10" s="41" t="n"/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الأداء المالي</t>
        </is>
      </c>
      <c r="C11" s="9" t="inlineStr">
        <is>
          <t>رفع هامش الربحية للامتياز</t>
        </is>
      </c>
      <c r="D11" s="35" t="inlineStr">
        <is>
          <t>هللة/لتر</t>
        </is>
      </c>
      <c r="E11" s="35" t="inlineStr">
        <is>
          <t>↑</t>
        </is>
      </c>
      <c r="F11" s="23" t="inlineStr">
        <is>
          <t>🟠 مهم</t>
        </is>
      </c>
      <c r="G11" s="32" t="n">
        <v>0.03</v>
      </c>
      <c r="H11" s="43" t="n">
        <v>1.8</v>
      </c>
      <c r="I11" s="38" t="inlineStr">
        <is>
          <t>+1.8 هللة/لتر</t>
        </is>
      </c>
      <c r="J11" s="39" t="inlineStr">
        <is>
          <t>النمو</t>
        </is>
      </c>
      <c r="K11" s="31" t="inlineStr">
        <is>
          <t>الامتياز التجاري</t>
        </is>
      </c>
      <c r="L11" s="23" t="inlineStr">
        <is>
          <t>مالي</t>
        </is>
      </c>
      <c r="M11" s="44" t="n">
        <v>1.564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الأداء المالي</t>
        </is>
      </c>
      <c r="C12" s="9" t="inlineStr">
        <is>
          <t>نسبة التحصيل المالي من شركاء الامتياز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🔴 رئيسي</t>
        </is>
      </c>
      <c r="G12" s="32" t="n">
        <v>0.04</v>
      </c>
      <c r="H12" s="32" t="n">
        <v>0.95</v>
      </c>
      <c r="I12" s="38" t="inlineStr">
        <is>
          <t>95%+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مالي</t>
        </is>
      </c>
      <c r="M12" s="42" t="n">
        <v>0.8120000000000001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الأداء المالي</t>
        </is>
      </c>
      <c r="C13" s="9" t="inlineStr">
        <is>
          <t>متوسط أيام تحصيل شركاء الامتياز (DSO)</t>
        </is>
      </c>
      <c r="D13" s="35" t="inlineStr">
        <is>
          <t>يوم</t>
        </is>
      </c>
      <c r="E13" s="35" t="inlineStr">
        <is>
          <t>↓</t>
        </is>
      </c>
      <c r="F13" s="23" t="inlineStr">
        <is>
          <t>🔴 رئيسي</t>
        </is>
      </c>
      <c r="G13" s="32" t="n">
        <v>0.04</v>
      </c>
      <c r="H13" s="43" t="n">
        <v>30</v>
      </c>
      <c r="I13" s="38" t="inlineStr">
        <is>
          <t>≤ 30 يوم</t>
        </is>
      </c>
      <c r="J13" s="39" t="inlineStr">
        <is>
          <t>الاستدامة</t>
        </is>
      </c>
      <c r="K13" s="31" t="inlineStr">
        <is>
          <t>جودة التشغيل</t>
        </is>
      </c>
      <c r="L13" s="23" t="inlineStr">
        <is>
          <t>مالي</t>
        </is>
      </c>
      <c r="M13" s="44" t="n">
        <v>26.2</v>
      </c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الأداء المالي</t>
        </is>
      </c>
      <c r="C14" s="9" t="inlineStr">
        <is>
          <t>إجمالي المستحقات المتأخرة (+30 يوم)</t>
        </is>
      </c>
      <c r="D14" s="35" t="inlineStr">
        <is>
          <t>ر.س</t>
        </is>
      </c>
      <c r="E14" s="35" t="inlineStr">
        <is>
          <t>↓</t>
        </is>
      </c>
      <c r="F14" s="23" t="inlineStr">
        <is>
          <t>🟠 مهم</t>
        </is>
      </c>
      <c r="G14" s="32" t="n">
        <v>0.03</v>
      </c>
      <c r="H14" s="35" t="inlineStr"/>
      <c r="I14" s="38" t="inlineStr">
        <is>
          <t>تراجع مستمر</t>
        </is>
      </c>
      <c r="J14" s="39" t="inlineStr">
        <is>
          <t>الاستدامة</t>
        </is>
      </c>
      <c r="K14" s="31" t="inlineStr">
        <is>
          <t>جودة التشغيل</t>
        </is>
      </c>
      <c r="L14" s="23" t="inlineStr">
        <is>
          <t>مالي</t>
        </is>
      </c>
      <c r="M14" s="41" t="n"/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الأداء المالي</t>
        </is>
      </c>
      <c r="C15" s="9" t="inlineStr">
        <is>
          <t>نسبة الشركاء الملتزمين بمواعيد السداد</t>
        </is>
      </c>
      <c r="D15" s="35" t="inlineStr">
        <is>
          <t>%</t>
        </is>
      </c>
      <c r="E15" s="35" t="inlineStr">
        <is>
          <t>↑</t>
        </is>
      </c>
      <c r="F15" s="23" t="inlineStr">
        <is>
          <t>🟠 مهم</t>
        </is>
      </c>
      <c r="G15" s="32" t="n">
        <v>0.03</v>
      </c>
      <c r="H15" s="32" t="n">
        <v>0.9</v>
      </c>
      <c r="I15" s="38" t="inlineStr">
        <is>
          <t>90%+</t>
        </is>
      </c>
      <c r="J15" s="39" t="inlineStr">
        <is>
          <t>الاستدامة</t>
        </is>
      </c>
      <c r="K15" s="31" t="inlineStr">
        <is>
          <t>جودة التشغيل</t>
        </is>
      </c>
      <c r="L15" s="23" t="inlineStr">
        <is>
          <t>مالي</t>
        </is>
      </c>
      <c r="M15" s="42" t="n">
        <v>0.705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الأداء المالي</t>
        </is>
      </c>
      <c r="C16" s="9" t="inlineStr">
        <is>
          <t>معدل دوران رأس المال (أيام الدورة)</t>
        </is>
      </c>
      <c r="D16" s="35" t="inlineStr">
        <is>
          <t>يوم</t>
        </is>
      </c>
      <c r="E16" s="35" t="inlineStr">
        <is>
          <t>↓</t>
        </is>
      </c>
      <c r="F16" s="23" t="inlineStr">
        <is>
          <t>🟠 مهم</t>
        </is>
      </c>
      <c r="G16" s="32" t="n">
        <v>0.03</v>
      </c>
      <c r="H16" s="43" t="n">
        <v>5</v>
      </c>
      <c r="I16" s="38" t="inlineStr">
        <is>
          <t>≤ 5 أيام</t>
        </is>
      </c>
      <c r="J16" s="39" t="inlineStr">
        <is>
          <t>الاستدامة</t>
        </is>
      </c>
      <c r="K16" s="31" t="inlineStr">
        <is>
          <t>جودة التشغيل</t>
        </is>
      </c>
      <c r="L16" s="23" t="inlineStr">
        <is>
          <t>مالي</t>
        </is>
      </c>
      <c r="M16" s="44" t="n">
        <v>4.329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التشغيل والجودة</t>
        </is>
      </c>
      <c r="C17" s="9" t="inlineStr">
        <is>
          <t>نسبة جاهزية محطات الامتياز (صفر انقطاع)</t>
        </is>
      </c>
      <c r="D17" s="35" t="inlineStr">
        <is>
          <t>%</t>
        </is>
      </c>
      <c r="E17" s="35" t="inlineStr">
        <is>
          <t>↑</t>
        </is>
      </c>
      <c r="F17" s="23" t="inlineStr">
        <is>
          <t>🔴 رئيسي</t>
        </is>
      </c>
      <c r="G17" s="32" t="n">
        <v>0.04</v>
      </c>
      <c r="H17" s="32" t="n">
        <v>0.99</v>
      </c>
      <c r="I17" s="38" t="inlineStr">
        <is>
          <t>99%+</t>
        </is>
      </c>
      <c r="J17" s="39" t="inlineStr">
        <is>
          <t>الاستدامة</t>
        </is>
      </c>
      <c r="K17" s="31" t="inlineStr">
        <is>
          <t>جودة التشغيل</t>
        </is>
      </c>
      <c r="L17" s="23" t="inlineStr">
        <is>
          <t>العمليات الداخلية</t>
        </is>
      </c>
      <c r="M17" s="42" t="n">
        <v>1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التشغيل والجودة</t>
        </is>
      </c>
      <c r="C18" s="9" t="inlineStr">
        <is>
          <t>عدد حالات انقطاع الوقود الموثّقة</t>
        </is>
      </c>
      <c r="D18" s="35" t="inlineStr">
        <is>
          <t>حالة</t>
        </is>
      </c>
      <c r="E18" s="35" t="inlineStr">
        <is>
          <t>↓</t>
        </is>
      </c>
      <c r="F18" s="23" t="inlineStr">
        <is>
          <t>🟠 مهم</t>
        </is>
      </c>
      <c r="G18" s="32" t="n">
        <v>0.03</v>
      </c>
      <c r="H18" s="37" t="n">
        <v>0</v>
      </c>
      <c r="I18" s="38" t="inlineStr">
        <is>
          <t>0 حالة</t>
        </is>
      </c>
      <c r="J18" s="39" t="inlineStr">
        <is>
          <t>الاستدامة</t>
        </is>
      </c>
      <c r="K18" s="31" t="inlineStr">
        <is>
          <t>جودة التشغيل</t>
        </is>
      </c>
      <c r="L18" s="23" t="inlineStr">
        <is>
          <t>العمليات الداخلية</t>
        </is>
      </c>
      <c r="M18" s="40" t="n"/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  <row r="19" ht="24" customHeight="1">
      <c r="A19" s="15" t="n">
        <v>16</v>
      </c>
      <c r="B19" s="9" t="inlineStr">
        <is>
          <t>التشغيل والجودة</t>
        </is>
      </c>
      <c r="C19" s="9" t="inlineStr">
        <is>
          <t>نسبة إغلاق ملاحظات الجودة الميدانية</t>
        </is>
      </c>
      <c r="D19" s="35" t="inlineStr">
        <is>
          <t>%</t>
        </is>
      </c>
      <c r="E19" s="35" t="inlineStr">
        <is>
          <t>↑</t>
        </is>
      </c>
      <c r="F19" s="23" t="inlineStr">
        <is>
          <t>🟠 مهم</t>
        </is>
      </c>
      <c r="G19" s="32" t="n">
        <v>0.03</v>
      </c>
      <c r="H19" s="32" t="n">
        <v>0.95</v>
      </c>
      <c r="I19" s="38" t="inlineStr">
        <is>
          <t>95%+</t>
        </is>
      </c>
      <c r="J19" s="39" t="inlineStr">
        <is>
          <t>الاستدامة</t>
        </is>
      </c>
      <c r="K19" s="31" t="inlineStr">
        <is>
          <t>جودة التشغيل</t>
        </is>
      </c>
      <c r="L19" s="23" t="inlineStr">
        <is>
          <t>العمليات الداخلية</t>
        </is>
      </c>
      <c r="M19" s="42" t="n">
        <v>0.879</v>
      </c>
      <c r="N19" s="16">
        <f>IF($H19="","",IF($M19="","",MIN(1,IF($H19=0,IF($M19&lt;=0,1,0),IF($E19="↓",IFERROR($H19/$M19,0),IFERROR($M19/$H19,0))))))</f>
        <v/>
      </c>
      <c r="O19" s="15">
        <f>IF($N19="","⏳ بانتظار هدف",IF($N19&gt;=1,"✅ محقق",IF($N19&gt;=0.85,"🟡 قريب","🔴 تحت الهدف")))</f>
        <v/>
      </c>
    </row>
    <row r="20" ht="24" customHeight="1">
      <c r="A20" s="15" t="n">
        <v>17</v>
      </c>
      <c r="B20" s="9" t="inlineStr">
        <is>
          <t>التشغيل والجودة</t>
        </is>
      </c>
      <c r="C20" s="9" t="inlineStr">
        <is>
          <t>متوسط درجة تقييم جودة المحطة (قائمة التحقق)</t>
        </is>
      </c>
      <c r="D20" s="35" t="inlineStr">
        <is>
          <t>درجة/100</t>
        </is>
      </c>
      <c r="E20" s="35" t="inlineStr">
        <is>
          <t>↑</t>
        </is>
      </c>
      <c r="F20" s="23" t="inlineStr">
        <is>
          <t>🔴 رئيسي</t>
        </is>
      </c>
      <c r="G20" s="32" t="n">
        <v>0.04</v>
      </c>
      <c r="H20" s="43" t="n">
        <v>85</v>
      </c>
      <c r="I20" s="38" t="inlineStr">
        <is>
          <t>85+</t>
        </is>
      </c>
      <c r="J20" s="39" t="inlineStr">
        <is>
          <t>الاستدامة</t>
        </is>
      </c>
      <c r="K20" s="31" t="inlineStr">
        <is>
          <t>جودة التشغيل</t>
        </is>
      </c>
      <c r="L20" s="23" t="inlineStr">
        <is>
          <t>العمليات الداخلية</t>
        </is>
      </c>
      <c r="M20" s="44" t="n">
        <v>78.8</v>
      </c>
      <c r="N20" s="16">
        <f>IF($H20="","",IF($M20="","",MIN(1,IF($H20=0,IF($M20&lt;=0,1,0),IF($E20="↓",IFERROR($H20/$M20,0),IFERROR($M20/$H20,0))))))</f>
        <v/>
      </c>
      <c r="O20" s="15">
        <f>IF($N20="","⏳ بانتظار هدف",IF($N20&gt;=1,"✅ محقق",IF($N20&gt;=0.85,"🟡 قريب","🔴 تحت الهدف")))</f>
        <v/>
      </c>
    </row>
    <row r="21" ht="24" customHeight="1">
      <c r="A21" s="15" t="n">
        <v>18</v>
      </c>
      <c r="B21" s="9" t="inlineStr">
        <is>
          <t>التشغيل والجودة</t>
        </is>
      </c>
      <c r="C21" s="9" t="inlineStr">
        <is>
          <t>نسبة تنفيذ الزيارات الميدانية المجدولة</t>
        </is>
      </c>
      <c r="D21" s="35" t="inlineStr">
        <is>
          <t>%</t>
        </is>
      </c>
      <c r="E21" s="35" t="inlineStr">
        <is>
          <t>↑</t>
        </is>
      </c>
      <c r="F21" s="23" t="inlineStr">
        <is>
          <t>🟠 مهم</t>
        </is>
      </c>
      <c r="G21" s="32" t="n">
        <v>0.03</v>
      </c>
      <c r="H21" s="32" t="n">
        <v>1</v>
      </c>
      <c r="I21" s="38" t="inlineStr">
        <is>
          <t>100%</t>
        </is>
      </c>
      <c r="J21" s="39" t="inlineStr">
        <is>
          <t>الاستدامة</t>
        </is>
      </c>
      <c r="K21" s="31" t="inlineStr">
        <is>
          <t>جودة التشغيل</t>
        </is>
      </c>
      <c r="L21" s="23" t="inlineStr">
        <is>
          <t>العمليات الداخلية</t>
        </is>
      </c>
      <c r="M21" s="42" t="n">
        <v>1.034</v>
      </c>
      <c r="N21" s="16">
        <f>IF($H21="","",IF($M21="","",MIN(1,IF($H21=0,IF($M21&lt;=0,1,0),IF($E21="↓",IFERROR($H21/$M21,0),IFERROR($M21/$H21,0))))))</f>
        <v/>
      </c>
      <c r="O21" s="15">
        <f>IF($N21="","⏳ بانتظار هدف",IF($N21&gt;=1,"✅ محقق",IF($N21&gt;=0.85,"🟡 قريب","🔴 تحت الهدف")))</f>
        <v/>
      </c>
    </row>
    <row r="22" ht="24" customHeight="1">
      <c r="A22" s="15" t="n">
        <v>19</v>
      </c>
      <c r="B22" s="9" t="inlineStr">
        <is>
          <t>التشغيل والجودة</t>
        </is>
      </c>
      <c r="C22" s="9" t="inlineStr">
        <is>
          <t>نسبة المحطات المستوفية لمعايير السلامة</t>
        </is>
      </c>
      <c r="D22" s="35" t="inlineStr">
        <is>
          <t>%</t>
        </is>
      </c>
      <c r="E22" s="35" t="inlineStr">
        <is>
          <t>↑</t>
        </is>
      </c>
      <c r="F22" s="23" t="inlineStr">
        <is>
          <t>🔴 رئيسي</t>
        </is>
      </c>
      <c r="G22" s="32" t="n">
        <v>0.04</v>
      </c>
      <c r="H22" s="32" t="n">
        <v>1</v>
      </c>
      <c r="I22" s="38" t="inlineStr">
        <is>
          <t>100%</t>
        </is>
      </c>
      <c r="J22" s="39" t="inlineStr">
        <is>
          <t>الاستدامة</t>
        </is>
      </c>
      <c r="K22" s="31" t="inlineStr">
        <is>
          <t>جودة التشغيل</t>
        </is>
      </c>
      <c r="L22" s="23" t="inlineStr">
        <is>
          <t>العمليات الداخلية</t>
        </is>
      </c>
      <c r="M22" s="42" t="n">
        <v>0.911</v>
      </c>
      <c r="N22" s="16">
        <f>IF($H22="","",IF($M22="","",MIN(1,IF($H22=0,IF($M22&lt;=0,1,0),IF($E22="↓",IFERROR($H22/$M22,0),IFERROR($M22/$H22,0))))))</f>
        <v/>
      </c>
      <c r="O22" s="15">
        <f>IF($N22="","⏳ بانتظار هدف",IF($N22&gt;=1,"✅ محقق",IF($N22&gt;=0.85,"🟡 قريب","🔴 تحت الهدف")))</f>
        <v/>
      </c>
    </row>
    <row r="23" ht="24" customHeight="1">
      <c r="A23" s="15" t="n">
        <v>20</v>
      </c>
      <c r="B23" s="9" t="inlineStr">
        <is>
          <t>التشغيل والجودة</t>
        </is>
      </c>
      <c r="C23" s="9" t="inlineStr">
        <is>
          <t>متوسط وقت معالجة البلاغات التشغيلية</t>
        </is>
      </c>
      <c r="D23" s="35" t="inlineStr">
        <is>
          <t>ساعة</t>
        </is>
      </c>
      <c r="E23" s="35" t="inlineStr">
        <is>
          <t>↓</t>
        </is>
      </c>
      <c r="F23" s="23" t="inlineStr">
        <is>
          <t>🟠 مهم</t>
        </is>
      </c>
      <c r="G23" s="32" t="n">
        <v>0.03</v>
      </c>
      <c r="H23" s="43" t="n">
        <v>24</v>
      </c>
      <c r="I23" s="38" t="inlineStr">
        <is>
          <t>≤ 24 ساعة</t>
        </is>
      </c>
      <c r="J23" s="39" t="inlineStr">
        <is>
          <t>الاستدامة</t>
        </is>
      </c>
      <c r="K23" s="31" t="inlineStr">
        <is>
          <t>جودة التشغيل</t>
        </is>
      </c>
      <c r="L23" s="23" t="inlineStr">
        <is>
          <t>العمليات الداخلية</t>
        </is>
      </c>
      <c r="M23" s="44" t="n">
        <v>26.2</v>
      </c>
      <c r="N23" s="16">
        <f>IF($H23="","",IF($M23="","",MIN(1,IF($H23=0,IF($M23&lt;=0,1,0),IF($E23="↓",IFERROR($H23/$M23,0),IFERROR($M23/$H23,0))))))</f>
        <v/>
      </c>
      <c r="O23" s="15">
        <f>IF($N23="","⏳ بانتظار هدف",IF($N23&gt;=1,"✅ محقق",IF($N23&gt;=0.85,"🟡 قريب","🔴 تحت الهدف")))</f>
        <v/>
      </c>
    </row>
    <row r="24" ht="24" customHeight="1">
      <c r="A24" s="15" t="n">
        <v>21</v>
      </c>
      <c r="B24" s="9" t="inlineStr">
        <is>
          <t>التشغيل والجودة</t>
        </is>
      </c>
      <c r="C24" s="9" t="inlineStr">
        <is>
          <t>نسبة أتمتة محطات الامتياز</t>
        </is>
      </c>
      <c r="D24" s="35" t="inlineStr">
        <is>
          <t>%</t>
        </is>
      </c>
      <c r="E24" s="35" t="inlineStr">
        <is>
          <t>↑</t>
        </is>
      </c>
      <c r="F24" s="23" t="inlineStr">
        <is>
          <t>🔴 رئيسي</t>
        </is>
      </c>
      <c r="G24" s="32" t="n">
        <v>0.04</v>
      </c>
      <c r="H24" s="32" t="n">
        <v>0.9</v>
      </c>
      <c r="I24" s="38" t="inlineStr">
        <is>
          <t>90%</t>
        </is>
      </c>
      <c r="J24" s="39" t="inlineStr">
        <is>
          <t>الابتكار</t>
        </is>
      </c>
      <c r="K24" s="31" t="inlineStr">
        <is>
          <t>التحول التقني</t>
        </is>
      </c>
      <c r="L24" s="23" t="inlineStr">
        <is>
          <t>التعلّم والنمو</t>
        </is>
      </c>
      <c r="M24" s="42" t="n">
        <v>0.674</v>
      </c>
      <c r="N24" s="16">
        <f>IF($H24="","",IF($M24="","",MIN(1,IF($H24=0,IF($M24&lt;=0,1,0),IF($E24="↓",IFERROR($H24/$M24,0),IFERROR($M24/$H24,0))))))</f>
        <v/>
      </c>
      <c r="O24" s="15">
        <f>IF($N24="","⏳ بانتظار هدف",IF($N24&gt;=1,"✅ محقق",IF($N24&gt;=0.85,"🟡 قريب","🔴 تحت الهدف")))</f>
        <v/>
      </c>
    </row>
    <row r="25" ht="24" customHeight="1">
      <c r="A25" s="15" t="n">
        <v>22</v>
      </c>
      <c r="B25" s="9" t="inlineStr">
        <is>
          <t>التشغيل والجودة</t>
        </is>
      </c>
      <c r="C25" s="9" t="inlineStr">
        <is>
          <t>نسبة تطبيق المعيار الشامل داخل المحطات</t>
        </is>
      </c>
      <c r="D25" s="35" t="inlineStr">
        <is>
          <t>%</t>
        </is>
      </c>
      <c r="E25" s="35" t="inlineStr">
        <is>
          <t>↑</t>
        </is>
      </c>
      <c r="F25" s="23" t="inlineStr">
        <is>
          <t>🟡 متابعة</t>
        </is>
      </c>
      <c r="G25" s="32" t="n">
        <v>0.01</v>
      </c>
      <c r="H25" s="32" t="n">
        <v>0.3</v>
      </c>
      <c r="I25" s="38" t="inlineStr">
        <is>
          <t>30%</t>
        </is>
      </c>
      <c r="J25" s="39" t="inlineStr">
        <is>
          <t>الابتكار</t>
        </is>
      </c>
      <c r="K25" s="31" t="inlineStr">
        <is>
          <t>التحول التقني</t>
        </is>
      </c>
      <c r="L25" s="23" t="inlineStr">
        <is>
          <t>التعلّم والنمو</t>
        </is>
      </c>
      <c r="M25" s="42" t="n">
        <v>0.299</v>
      </c>
      <c r="N25" s="16">
        <f>IF($H25="","",IF($M25="","",MIN(1,IF($H25=0,IF($M25&lt;=0,1,0),IF($E25="↓",IFERROR($H25/$M25,0),IFERROR($M25/$H25,0))))))</f>
        <v/>
      </c>
      <c r="O25" s="15">
        <f>IF($N25="","⏳ بانتظار هدف",IF($N25&gt;=1,"✅ محقق",IF($N25&gt;=0.85,"🟡 قريب","🔴 تحت الهدف")))</f>
        <v/>
      </c>
    </row>
    <row r="26" ht="24" customHeight="1">
      <c r="A26" s="15" t="n">
        <v>23</v>
      </c>
      <c r="B26" s="9" t="inlineStr">
        <is>
          <t>الهوية والتسويق</t>
        </is>
      </c>
      <c r="C26" s="9" t="inlineStr">
        <is>
          <t>نسبة التزام المحطات بالهوية المؤسسية</t>
        </is>
      </c>
      <c r="D26" s="35" t="inlineStr">
        <is>
          <t>%</t>
        </is>
      </c>
      <c r="E26" s="35" t="inlineStr">
        <is>
          <t>↑</t>
        </is>
      </c>
      <c r="F26" s="23" t="inlineStr">
        <is>
          <t>🔴 رئيسي</t>
        </is>
      </c>
      <c r="G26" s="32" t="n">
        <v>0.04</v>
      </c>
      <c r="H26" s="32" t="n">
        <v>0.55</v>
      </c>
      <c r="I26" s="38" t="inlineStr">
        <is>
          <t>55%</t>
        </is>
      </c>
      <c r="J26" s="39" t="inlineStr">
        <is>
          <t>الابتكار</t>
        </is>
      </c>
      <c r="K26" s="31" t="inlineStr">
        <is>
          <t>تطوير التصاميم والهوية</t>
        </is>
      </c>
      <c r="L26" s="23" t="inlineStr">
        <is>
          <t>التعلّم والنمو</t>
        </is>
      </c>
      <c r="M26" s="42" t="n">
        <v>0.44</v>
      </c>
      <c r="N26" s="16">
        <f>IF($H26="","",IF($M26="","",MIN(1,IF($H26=0,IF($M26&lt;=0,1,0),IF($E26="↓",IFERROR($H26/$M26,0),IFERROR($M26/$H26,0))))))</f>
        <v/>
      </c>
      <c r="O26" s="15">
        <f>IF($N26="","⏳ بانتظار هدف",IF($N26&gt;=1,"✅ محقق",IF($N26&gt;=0.85,"🟡 قريب","🔴 تحت الهدف")))</f>
        <v/>
      </c>
    </row>
    <row r="27" ht="24" customHeight="1">
      <c r="A27" s="15" t="n">
        <v>24</v>
      </c>
      <c r="B27" s="9" t="inlineStr">
        <is>
          <t>تجربة العملاء والشركاء</t>
        </is>
      </c>
      <c r="C27" s="9" t="inlineStr">
        <is>
          <t>متوسط تقييم المحطات على خرائط قوقل</t>
        </is>
      </c>
      <c r="D27" s="35" t="inlineStr">
        <is>
          <t>نجمة/5</t>
        </is>
      </c>
      <c r="E27" s="35" t="inlineStr">
        <is>
          <t>↑</t>
        </is>
      </c>
      <c r="F27" s="23" t="inlineStr">
        <is>
          <t>🔴 رئيسي</t>
        </is>
      </c>
      <c r="G27" s="32" t="n">
        <v>0.04</v>
      </c>
      <c r="H27" s="43" t="n">
        <v>4.7</v>
      </c>
      <c r="I27" s="38" t="inlineStr">
        <is>
          <t>≥ 4.7 نجمة</t>
        </is>
      </c>
      <c r="J27" s="39" t="inlineStr">
        <is>
          <t>الاستدامة</t>
        </is>
      </c>
      <c r="K27" s="31" t="inlineStr">
        <is>
          <t>تعزيز تجربة العملاء</t>
        </is>
      </c>
      <c r="L27" s="23" t="inlineStr">
        <is>
          <t>العملاء</t>
        </is>
      </c>
      <c r="M27" s="44" t="n">
        <v>3.474</v>
      </c>
      <c r="N27" s="16">
        <f>IF($H27="","",IF($M27="","",MIN(1,IF($H27=0,IF($M27&lt;=0,1,0),IF($E27="↓",IFERROR($H27/$M27,0),IFERROR($M27/$H27,0))))))</f>
        <v/>
      </c>
      <c r="O27" s="15">
        <f>IF($N27="","⏳ بانتظار هدف",IF($N27&gt;=1,"✅ محقق",IF($N27&gt;=0.85,"🟡 قريب","🔴 تحت الهدف")))</f>
        <v/>
      </c>
    </row>
    <row r="28" ht="24" customHeight="1">
      <c r="A28" s="15" t="n">
        <v>25</v>
      </c>
      <c r="B28" s="9" t="inlineStr">
        <is>
          <t>تجربة العملاء والشركاء</t>
        </is>
      </c>
      <c r="C28" s="9" t="inlineStr">
        <is>
          <t>معدل رضا شركاء الامتياز (CSAT)</t>
        </is>
      </c>
      <c r="D28" s="35" t="inlineStr">
        <is>
          <t>%</t>
        </is>
      </c>
      <c r="E28" s="35" t="inlineStr">
        <is>
          <t>↑</t>
        </is>
      </c>
      <c r="F28" s="23" t="inlineStr">
        <is>
          <t>🔴 رئيسي</t>
        </is>
      </c>
      <c r="G28" s="32" t="n">
        <v>0.04</v>
      </c>
      <c r="H28" s="32" t="n">
        <v>0.9</v>
      </c>
      <c r="I28" s="38" t="inlineStr">
        <is>
          <t>90%+</t>
        </is>
      </c>
      <c r="J28" s="39" t="inlineStr">
        <is>
          <t>الاستدامة</t>
        </is>
      </c>
      <c r="K28" s="31" t="inlineStr">
        <is>
          <t>تعزيز تجربة العملاء</t>
        </is>
      </c>
      <c r="L28" s="23" t="inlineStr">
        <is>
          <t>العملاء</t>
        </is>
      </c>
      <c r="M28" s="42" t="n">
        <v>0.837</v>
      </c>
      <c r="N28" s="16">
        <f>IF($H28="","",IF($M28="","",MIN(1,IF($H28=0,IF($M28&lt;=0,1,0),IF($E28="↓",IFERROR($H28/$M28,0),IFERROR($M28/$H28,0))))))</f>
        <v/>
      </c>
      <c r="O28" s="15">
        <f>IF($N28="","⏳ بانتظار هدف",IF($N28&gt;=1,"✅ محقق",IF($N28&gt;=0.85,"🟡 قريب","🔴 تحت الهدف")))</f>
        <v/>
      </c>
    </row>
    <row r="29" ht="24" customHeight="1">
      <c r="A29" s="15" t="n">
        <v>26</v>
      </c>
      <c r="B29" s="9" t="inlineStr">
        <is>
          <t>تجربة العملاء والشركاء</t>
        </is>
      </c>
      <c r="C29" s="9" t="inlineStr">
        <is>
          <t>نسبة حل الشكاوى خلال المدة المحددة</t>
        </is>
      </c>
      <c r="D29" s="35" t="inlineStr">
        <is>
          <t>%</t>
        </is>
      </c>
      <c r="E29" s="35" t="inlineStr">
        <is>
          <t>↑</t>
        </is>
      </c>
      <c r="F29" s="23" t="inlineStr">
        <is>
          <t>🟠 مهم</t>
        </is>
      </c>
      <c r="G29" s="32" t="n">
        <v>0.02</v>
      </c>
      <c r="H29" s="32" t="n">
        <v>0.95</v>
      </c>
      <c r="I29" s="38" t="inlineStr">
        <is>
          <t>95%+</t>
        </is>
      </c>
      <c r="J29" s="39" t="inlineStr">
        <is>
          <t>الاستدامة</t>
        </is>
      </c>
      <c r="K29" s="31" t="inlineStr">
        <is>
          <t>تعزيز تجربة العملاء</t>
        </is>
      </c>
      <c r="L29" s="23" t="inlineStr">
        <is>
          <t>العملاء</t>
        </is>
      </c>
      <c r="M29" s="42" t="n">
        <v>0.922</v>
      </c>
      <c r="N29" s="16">
        <f>IF($H29="","",IF($M29="","",MIN(1,IF($H29=0,IF($M29&lt;=0,1,0),IF($E29="↓",IFERROR($H29/$M29,0),IFERROR($M29/$H29,0))))))</f>
        <v/>
      </c>
      <c r="O29" s="15">
        <f>IF($N29="","⏳ بانتظار هدف",IF($N29&gt;=1,"✅ محقق",IF($N29&gt;=0.85,"🟡 قريب","🔴 تحت الهدف")))</f>
        <v/>
      </c>
    </row>
    <row r="30" ht="24" customHeight="1">
      <c r="A30" s="15" t="n">
        <v>27</v>
      </c>
      <c r="B30" s="9" t="inlineStr">
        <is>
          <t>تجربة العملاء والشركاء</t>
        </is>
      </c>
      <c r="C30" s="9" t="inlineStr">
        <is>
          <t>نسبة انخفاض الشكاوى التشغيلية والإدارية</t>
        </is>
      </c>
      <c r="D30" s="35" t="inlineStr">
        <is>
          <t>%</t>
        </is>
      </c>
      <c r="E30" s="35" t="inlineStr">
        <is>
          <t>↑</t>
        </is>
      </c>
      <c r="F30" s="23" t="inlineStr">
        <is>
          <t>🟠 مهم</t>
        </is>
      </c>
      <c r="G30" s="32" t="n">
        <v>0.02</v>
      </c>
      <c r="H30" s="35" t="inlineStr"/>
      <c r="I30" s="38" t="inlineStr">
        <is>
          <t>-30%</t>
        </is>
      </c>
      <c r="J30" s="39" t="inlineStr">
        <is>
          <t>الاستدامة</t>
        </is>
      </c>
      <c r="K30" s="31" t="inlineStr">
        <is>
          <t>تعزيز تجربة العملاء</t>
        </is>
      </c>
      <c r="L30" s="23" t="inlineStr">
        <is>
          <t>العملاء</t>
        </is>
      </c>
      <c r="M30" s="42" t="n"/>
      <c r="N30" s="16">
        <f>IF($H30="","",IF($M30="","",MIN(1,IF($H30=0,IF($M30&lt;=0,1,0),IF($E30="↓",IFERROR($H30/$M30,0),IFERROR($M30/$H30,0))))))</f>
        <v/>
      </c>
      <c r="O30" s="15">
        <f>IF($N30="","⏳ بانتظار هدف",IF($N30&gt;=1,"✅ محقق",IF($N30&gt;=0.85,"🟡 قريب","🔴 تحت الهدف")))</f>
        <v/>
      </c>
    </row>
    <row r="31" ht="24" customHeight="1">
      <c r="A31" s="15" t="n">
        <v>28</v>
      </c>
      <c r="B31" s="9" t="inlineStr">
        <is>
          <t>استدامة الشراكة والامتثال</t>
        </is>
      </c>
      <c r="C31" s="9" t="inlineStr">
        <is>
          <t>نسبة استدامة أصحاب الامتياز (Retention)</t>
        </is>
      </c>
      <c r="D31" s="35" t="inlineStr">
        <is>
          <t>%</t>
        </is>
      </c>
      <c r="E31" s="35" t="inlineStr">
        <is>
          <t>↑</t>
        </is>
      </c>
      <c r="F31" s="23" t="inlineStr">
        <is>
          <t>🟠 مهم</t>
        </is>
      </c>
      <c r="G31" s="32" t="n">
        <v>0.02</v>
      </c>
      <c r="H31" s="32" t="n">
        <v>0.9</v>
      </c>
      <c r="I31" s="38" t="inlineStr">
        <is>
          <t>90%</t>
        </is>
      </c>
      <c r="J31" s="39" t="inlineStr">
        <is>
          <t>الاستدامة</t>
        </is>
      </c>
      <c r="K31" s="31" t="inlineStr">
        <is>
          <t>تعزيز تجربة العملاء</t>
        </is>
      </c>
      <c r="L31" s="23" t="inlineStr">
        <is>
          <t>العمليات الداخلية</t>
        </is>
      </c>
      <c r="M31" s="42" t="n">
        <v>0.853</v>
      </c>
      <c r="N31" s="16">
        <f>IF($H31="","",IF($M31="","",MIN(1,IF($H31=0,IF($M31&lt;=0,1,0),IF($E31="↓",IFERROR($H31/$M31,0),IFERROR($M31/$H31,0))))))</f>
        <v/>
      </c>
      <c r="O31" s="15">
        <f>IF($N31="","⏳ بانتظار هدف",IF($N31&gt;=1,"✅ محقق",IF($N31&gt;=0.85,"🟡 قريب","🔴 تحت الهدف")))</f>
        <v/>
      </c>
    </row>
    <row r="32" ht="24" customHeight="1">
      <c r="A32" s="15" t="n">
        <v>29</v>
      </c>
      <c r="B32" s="9" t="inlineStr">
        <is>
          <t>استدامة الشراكة والامتثال</t>
        </is>
      </c>
      <c r="C32" s="9" t="inlineStr">
        <is>
          <t>نسبة زيادة عدد أصحاب الامتياز</t>
        </is>
      </c>
      <c r="D32" s="35" t="inlineStr">
        <is>
          <t>%</t>
        </is>
      </c>
      <c r="E32" s="35" t="inlineStr">
        <is>
          <t>↑</t>
        </is>
      </c>
      <c r="F32" s="23" t="inlineStr">
        <is>
          <t>🟠 مهم</t>
        </is>
      </c>
      <c r="G32" s="32" t="n">
        <v>0.02</v>
      </c>
      <c r="H32" s="32" t="n">
        <v>1</v>
      </c>
      <c r="I32" s="38" t="inlineStr">
        <is>
          <t>100% نمو</t>
        </is>
      </c>
      <c r="J32" s="39" t="inlineStr">
        <is>
          <t>الاستدامة</t>
        </is>
      </c>
      <c r="K32" s="31" t="inlineStr">
        <is>
          <t>تعزيز تجربة العملاء</t>
        </is>
      </c>
      <c r="L32" s="23" t="inlineStr">
        <is>
          <t>العمليات الداخلية</t>
        </is>
      </c>
      <c r="M32" s="42" t="n">
        <v>0.8100000000000001</v>
      </c>
      <c r="N32" s="16">
        <f>IF($H32="","",IF($M32="","",MIN(1,IF($H32=0,IF($M32&lt;=0,1,0),IF($E32="↓",IFERROR($H32/$M32,0),IFERROR($M32/$H32,0))))))</f>
        <v/>
      </c>
      <c r="O32" s="15">
        <f>IF($N32="","⏳ بانتظار هدف",IF($N32&gt;=1,"✅ محقق",IF($N32&gt;=0.85,"🟡 قريب","🔴 تحت الهدف")))</f>
        <v/>
      </c>
    </row>
    <row r="33" ht="24" customHeight="1">
      <c r="A33" s="15" t="n">
        <v>30</v>
      </c>
      <c r="B33" s="9" t="inlineStr">
        <is>
          <t>استدامة الشراكة والامتثال</t>
        </is>
      </c>
      <c r="C33" s="9" t="inlineStr">
        <is>
          <t>متوسط مدة إغلاق عقد الامتياز</t>
        </is>
      </c>
      <c r="D33" s="35" t="inlineStr">
        <is>
          <t>أسبوع</t>
        </is>
      </c>
      <c r="E33" s="35" t="inlineStr">
        <is>
          <t>↓</t>
        </is>
      </c>
      <c r="F33" s="23" t="inlineStr">
        <is>
          <t>🔴 رئيسي</t>
        </is>
      </c>
      <c r="G33" s="32" t="n">
        <v>0.04</v>
      </c>
      <c r="H33" s="43" t="n">
        <v>1</v>
      </c>
      <c r="I33" s="38" t="inlineStr">
        <is>
          <t>≤ أسبوع</t>
        </is>
      </c>
      <c r="J33" s="39" t="inlineStr">
        <is>
          <t>النمو</t>
        </is>
      </c>
      <c r="K33" s="31" t="inlineStr">
        <is>
          <t>الامتياز التجاري</t>
        </is>
      </c>
      <c r="L33" s="23" t="inlineStr">
        <is>
          <t>العمليات الداخلية</t>
        </is>
      </c>
      <c r="M33" s="44" t="n">
        <v>0.899</v>
      </c>
      <c r="N33" s="16">
        <f>IF($H33="","",IF($M33="","",MIN(1,IF($H33=0,IF($M33&lt;=0,1,0),IF($E33="↓",IFERROR($H33/$M33,0),IFERROR($M33/$H33,0))))))</f>
        <v/>
      </c>
      <c r="O33" s="15">
        <f>IF($N33="","⏳ بانتظار هدف",IF($N33&gt;=1,"✅ محقق",IF($N33&gt;=0.85,"🟡 قريب","🔴 تحت الهدف")))</f>
        <v/>
      </c>
    </row>
  </sheetData>
  <autoFilter ref="A3:O33"/>
  <mergeCells count="2">
    <mergeCell ref="A1:O1"/>
    <mergeCell ref="A2:O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النمو</t>
        </is>
      </c>
      <c r="C4" s="9" t="inlineStr">
        <is>
          <t>عدد المحطات المشغّلة (تراكمي)</t>
        </is>
      </c>
      <c r="D4" s="35" t="inlineStr">
        <is>
          <t>محطة</t>
        </is>
      </c>
      <c r="E4" s="35" t="inlineStr">
        <is>
          <t>↑</t>
        </is>
      </c>
      <c r="F4" s="23" t="inlineStr">
        <is>
          <t>🔴 رئيسي</t>
        </is>
      </c>
      <c r="G4" s="32" t="n">
        <v>0.08</v>
      </c>
      <c r="H4" s="37" t="n">
        <v>85</v>
      </c>
      <c r="I4" s="38" t="inlineStr">
        <is>
          <t>85 محطة</t>
        </is>
      </c>
      <c r="J4" s="39" t="inlineStr">
        <is>
          <t>النمو</t>
        </is>
      </c>
      <c r="K4" s="31" t="inlineStr">
        <is>
          <t>التوسع في المواقع</t>
        </is>
      </c>
      <c r="L4" s="23" t="inlineStr">
        <is>
          <t>العمليات الداخلية</t>
        </is>
      </c>
      <c r="M4" s="40" t="n">
        <v>78.5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الربحية</t>
        </is>
      </c>
      <c r="C5" s="9" t="inlineStr">
        <is>
          <t>نمو مبيعات بنزين 91 مقارنة بالعام السابق</t>
        </is>
      </c>
      <c r="D5" s="35" t="inlineStr">
        <is>
          <t>%</t>
        </is>
      </c>
      <c r="E5" s="35" t="inlineStr">
        <is>
          <t>↑</t>
        </is>
      </c>
      <c r="F5" s="23" t="inlineStr">
        <is>
          <t>🔴 رئيسي</t>
        </is>
      </c>
      <c r="G5" s="32" t="n">
        <v>0.08</v>
      </c>
      <c r="H5" s="35" t="inlineStr"/>
      <c r="I5" s="38" t="inlineStr">
        <is>
          <t>يُحدد لاحقاً</t>
        </is>
      </c>
      <c r="J5" s="39" t="inlineStr">
        <is>
          <t>النمو</t>
        </is>
      </c>
      <c r="K5" s="31" t="inlineStr">
        <is>
          <t>زيادة وصول العملاء</t>
        </is>
      </c>
      <c r="L5" s="23" t="inlineStr">
        <is>
          <t>مالي</t>
        </is>
      </c>
      <c r="M5" s="42" t="n"/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الربحية</t>
        </is>
      </c>
      <c r="C6" s="9" t="inlineStr">
        <is>
          <t>نمو مبيعات بنزين 95 مقارنة بالعام السابق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🔴 رئيسي</t>
        </is>
      </c>
      <c r="G6" s="32" t="n">
        <v>0.08</v>
      </c>
      <c r="H6" s="35" t="inlineStr"/>
      <c r="I6" s="38" t="inlineStr">
        <is>
          <t>يُحدد لاحقاً</t>
        </is>
      </c>
      <c r="J6" s="39" t="inlineStr">
        <is>
          <t>النمو</t>
        </is>
      </c>
      <c r="K6" s="31" t="inlineStr">
        <is>
          <t>زيادة وصول العملاء</t>
        </is>
      </c>
      <c r="L6" s="23" t="inlineStr">
        <is>
          <t>مالي</t>
        </is>
      </c>
      <c r="M6" s="42" t="n"/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الربحية</t>
        </is>
      </c>
      <c r="C7" s="9" t="inlineStr">
        <is>
          <t>نمو مبيعات بنزين 98 مقارنة بالعام السابق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0.08</v>
      </c>
      <c r="H7" s="35" t="inlineStr"/>
      <c r="I7" s="38" t="inlineStr">
        <is>
          <t>يُحدد لاحقاً</t>
        </is>
      </c>
      <c r="J7" s="39" t="inlineStr">
        <is>
          <t>النمو</t>
        </is>
      </c>
      <c r="K7" s="31" t="inlineStr">
        <is>
          <t>زيادة وصول العملاء</t>
        </is>
      </c>
      <c r="L7" s="23" t="inlineStr">
        <is>
          <t>مالي</t>
        </is>
      </c>
      <c r="M7" s="42" t="n"/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الربحية</t>
        </is>
      </c>
      <c r="C8" s="9" t="inlineStr">
        <is>
          <t>نمو مبيعات الديزل مقارنة بالعام السابق</t>
        </is>
      </c>
      <c r="D8" s="35" t="inlineStr">
        <is>
          <t>%</t>
        </is>
      </c>
      <c r="E8" s="35" t="inlineStr">
        <is>
          <t>↑</t>
        </is>
      </c>
      <c r="F8" s="23" t="inlineStr">
        <is>
          <t>🔴 رئيسي</t>
        </is>
      </c>
      <c r="G8" s="32" t="n">
        <v>0.08</v>
      </c>
      <c r="H8" s="35" t="inlineStr"/>
      <c r="I8" s="38" t="inlineStr">
        <is>
          <t>يُحدد لاحقاً</t>
        </is>
      </c>
      <c r="J8" s="39" t="inlineStr">
        <is>
          <t>النمو</t>
        </is>
      </c>
      <c r="K8" s="31" t="inlineStr">
        <is>
          <t>زيادة وصول العملاء</t>
        </is>
      </c>
      <c r="L8" s="23" t="inlineStr">
        <is>
          <t>مالي</t>
        </is>
      </c>
      <c r="M8" s="42" t="n"/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حماية الإيراد</t>
        </is>
      </c>
      <c r="C9" s="9" t="inlineStr">
        <is>
          <t>نسبة جاهزية المحطة الشاملة (Uptime)</t>
        </is>
      </c>
      <c r="D9" s="35" t="inlineStr">
        <is>
          <t>%</t>
        </is>
      </c>
      <c r="E9" s="35" t="inlineStr">
        <is>
          <t>↑</t>
        </is>
      </c>
      <c r="F9" s="23" t="inlineStr">
        <is>
          <t>🔴 رئيسي</t>
        </is>
      </c>
      <c r="G9" s="32" t="n">
        <v>0.07000000000000001</v>
      </c>
      <c r="H9" s="32" t="n">
        <v>0.99</v>
      </c>
      <c r="I9" s="38" t="inlineStr">
        <is>
          <t>99%+</t>
        </is>
      </c>
      <c r="J9" s="39" t="inlineStr">
        <is>
          <t>الاستدامة</t>
        </is>
      </c>
      <c r="K9" s="31" t="inlineStr">
        <is>
          <t>جودة التشغيل</t>
        </is>
      </c>
      <c r="L9" s="23" t="inlineStr">
        <is>
          <t>العمليات الداخلية</t>
        </is>
      </c>
      <c r="M9" s="42" t="n">
        <v>0.831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حماية الإيراد</t>
        </is>
      </c>
      <c r="C10" s="9" t="inlineStr">
        <is>
          <t>نسبة المضخات العاملة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🟠 مهم</t>
        </is>
      </c>
      <c r="G10" s="32" t="n">
        <v>0.05</v>
      </c>
      <c r="H10" s="32" t="n">
        <v>0.97</v>
      </c>
      <c r="I10" s="38" t="inlineStr">
        <is>
          <t>≥ 97%</t>
        </is>
      </c>
      <c r="J10" s="39" t="inlineStr">
        <is>
          <t>الاستدامة</t>
        </is>
      </c>
      <c r="K10" s="31" t="inlineStr">
        <is>
          <t>جودة التشغيل</t>
        </is>
      </c>
      <c r="L10" s="23" t="inlineStr">
        <is>
          <t>العمليات الداخلية</t>
        </is>
      </c>
      <c r="M10" s="42" t="n">
        <v>0.953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ضغط التكلفة</t>
        </is>
      </c>
      <c r="C11" s="9" t="inlineStr">
        <is>
          <t>تكلفة التشغيل لكل لتر مباع</t>
        </is>
      </c>
      <c r="D11" s="35" t="inlineStr">
        <is>
          <t>هللة/لتر</t>
        </is>
      </c>
      <c r="E11" s="35" t="inlineStr">
        <is>
          <t>↓</t>
        </is>
      </c>
      <c r="F11" s="23" t="inlineStr">
        <is>
          <t>🟠 مهم</t>
        </is>
      </c>
      <c r="G11" s="32" t="n">
        <v>0.05</v>
      </c>
      <c r="H11" s="35" t="inlineStr"/>
      <c r="I11" s="38" t="inlineStr">
        <is>
          <t>خفض ≥5% سنوياً</t>
        </is>
      </c>
      <c r="J11" s="39" t="inlineStr">
        <is>
          <t>الاستدامة</t>
        </is>
      </c>
      <c r="K11" s="31" t="inlineStr">
        <is>
          <t>جودة التشغيل</t>
        </is>
      </c>
      <c r="L11" s="23" t="inlineStr">
        <is>
          <t>مالي</t>
        </is>
      </c>
      <c r="M11" s="44" t="n"/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حماية الأصول</t>
        </is>
      </c>
      <c r="C12" s="9" t="inlineStr">
        <is>
          <t>نسبة الصيانة الوقائية المنفذة في موعدها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🟠 مهم</t>
        </is>
      </c>
      <c r="G12" s="32" t="n">
        <v>0.05</v>
      </c>
      <c r="H12" s="32" t="n">
        <v>0.95</v>
      </c>
      <c r="I12" s="38" t="inlineStr">
        <is>
          <t>≥ 95%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العمليات الداخلية</t>
        </is>
      </c>
      <c r="M12" s="42" t="n">
        <v>0.758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تجربة العميل</t>
        </is>
      </c>
      <c r="C13" s="9" t="inlineStr">
        <is>
          <t>نسبة انخفاض الشكاوى مقارنة بالشهر السابق</t>
        </is>
      </c>
      <c r="D13" s="35" t="inlineStr">
        <is>
          <t>%</t>
        </is>
      </c>
      <c r="E13" s="35" t="inlineStr">
        <is>
          <t>↑</t>
        </is>
      </c>
      <c r="F13" s="23" t="inlineStr">
        <is>
          <t>🟠 مهم</t>
        </is>
      </c>
      <c r="G13" s="32" t="n">
        <v>0.05</v>
      </c>
      <c r="H13" s="35" t="inlineStr"/>
      <c r="I13" s="38" t="inlineStr">
        <is>
          <t>−30%</t>
        </is>
      </c>
      <c r="J13" s="39" t="inlineStr">
        <is>
          <t>الاستدامة</t>
        </is>
      </c>
      <c r="K13" s="31" t="inlineStr">
        <is>
          <t>تعزيز تجربة العملاء</t>
        </is>
      </c>
      <c r="L13" s="23" t="inlineStr">
        <is>
          <t>العملاء</t>
        </is>
      </c>
      <c r="M13" s="42" t="n"/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تجربة العميل</t>
        </is>
      </c>
      <c r="C14" s="9" t="inlineStr">
        <is>
          <t>تقييم Google Maps للمحطات</t>
        </is>
      </c>
      <c r="D14" s="35" t="inlineStr">
        <is>
          <t>نجمة/5</t>
        </is>
      </c>
      <c r="E14" s="35" t="inlineStr">
        <is>
          <t>↑</t>
        </is>
      </c>
      <c r="F14" s="23" t="inlineStr">
        <is>
          <t>🔴 رئيسي</t>
        </is>
      </c>
      <c r="G14" s="32" t="n">
        <v>0.07000000000000001</v>
      </c>
      <c r="H14" s="43" t="n">
        <v>4.5</v>
      </c>
      <c r="I14" s="38" t="inlineStr">
        <is>
          <t>≥ 4.5</t>
        </is>
      </c>
      <c r="J14" s="39" t="inlineStr">
        <is>
          <t>الاستدامة</t>
        </is>
      </c>
      <c r="K14" s="31" t="inlineStr">
        <is>
          <t>تعزيز تجربة العملاء</t>
        </is>
      </c>
      <c r="L14" s="23" t="inlineStr">
        <is>
          <t>العملاء</t>
        </is>
      </c>
      <c r="M14" s="44" t="n">
        <v>4.048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تجربة العميل</t>
        </is>
      </c>
      <c r="C15" s="9" t="inlineStr">
        <is>
          <t>سرعة تعبئة الوقود</t>
        </is>
      </c>
      <c r="D15" s="35" t="inlineStr">
        <is>
          <t>دقيقة</t>
        </is>
      </c>
      <c r="E15" s="35" t="inlineStr">
        <is>
          <t>↓</t>
        </is>
      </c>
      <c r="F15" s="23" t="inlineStr">
        <is>
          <t>🟠 مهم</t>
        </is>
      </c>
      <c r="G15" s="32" t="n">
        <v>0.05</v>
      </c>
      <c r="H15" s="43" t="n">
        <v>3</v>
      </c>
      <c r="I15" s="38" t="inlineStr">
        <is>
          <t>≤ 3 دقائق</t>
        </is>
      </c>
      <c r="J15" s="39" t="inlineStr">
        <is>
          <t>الاستدامة</t>
        </is>
      </c>
      <c r="K15" s="31" t="inlineStr">
        <is>
          <t>تعزيز تجربة العملاء</t>
        </is>
      </c>
      <c r="L15" s="23" t="inlineStr">
        <is>
          <t>العمليات الداخلية</t>
        </is>
      </c>
      <c r="M15" s="44" t="n">
        <v>3.352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تجربة العميل</t>
        </is>
      </c>
      <c r="C16" s="9" t="inlineStr">
        <is>
          <t>دقة التعبئة بدون أخطاء</t>
        </is>
      </c>
      <c r="D16" s="35" t="inlineStr">
        <is>
          <t>%</t>
        </is>
      </c>
      <c r="E16" s="35" t="inlineStr">
        <is>
          <t>↑</t>
        </is>
      </c>
      <c r="F16" s="23" t="inlineStr">
        <is>
          <t>🟠 مهم</t>
        </is>
      </c>
      <c r="G16" s="32" t="n">
        <v>0.05</v>
      </c>
      <c r="H16" s="32" t="n">
        <v>0.99</v>
      </c>
      <c r="I16" s="38" t="inlineStr">
        <is>
          <t>≥ 99%</t>
        </is>
      </c>
      <c r="J16" s="39" t="inlineStr">
        <is>
          <t>الاستدامة</t>
        </is>
      </c>
      <c r="K16" s="31" t="inlineStr">
        <is>
          <t>جودة التشغيل</t>
        </is>
      </c>
      <c r="L16" s="23" t="inlineStr">
        <is>
          <t>العمليات الداخلية</t>
        </is>
      </c>
      <c r="M16" s="42" t="n">
        <v>0.831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تجربة العميل</t>
        </is>
      </c>
      <c r="C17" s="9" t="inlineStr">
        <is>
          <t>تطبيق المعيار الشامل في المحطات</t>
        </is>
      </c>
      <c r="D17" s="35" t="inlineStr">
        <is>
          <t>%</t>
        </is>
      </c>
      <c r="E17" s="35" t="inlineStr">
        <is>
          <t>↑</t>
        </is>
      </c>
      <c r="F17" s="23" t="inlineStr">
        <is>
          <t>🟡 متابعة</t>
        </is>
      </c>
      <c r="G17" s="32" t="n">
        <v>0.02</v>
      </c>
      <c r="H17" s="32" t="n">
        <v>0.8</v>
      </c>
      <c r="I17" s="38" t="inlineStr">
        <is>
          <t>≥ 80%</t>
        </is>
      </c>
      <c r="J17" s="39" t="inlineStr">
        <is>
          <t>الابتكار</t>
        </is>
      </c>
      <c r="K17" s="31" t="inlineStr">
        <is>
          <t>التحول التقني</t>
        </is>
      </c>
      <c r="L17" s="23" t="inlineStr">
        <is>
          <t>التعلّم والنمو</t>
        </is>
      </c>
      <c r="M17" s="42" t="n">
        <v>0.787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السلامة</t>
        </is>
      </c>
      <c r="C18" s="9" t="inlineStr">
        <is>
          <t>الالتزام بمعايير السلامة داخل المحطة</t>
        </is>
      </c>
      <c r="D18" s="35" t="inlineStr">
        <is>
          <t>%</t>
        </is>
      </c>
      <c r="E18" s="35" t="inlineStr">
        <is>
          <t>↑</t>
        </is>
      </c>
      <c r="F18" s="23" t="inlineStr">
        <is>
          <t>🔴 رئيسي</t>
        </is>
      </c>
      <c r="G18" s="32" t="n">
        <v>0.07000000000000001</v>
      </c>
      <c r="H18" s="32" t="n">
        <v>1</v>
      </c>
      <c r="I18" s="38" t="inlineStr">
        <is>
          <t>100%</t>
        </is>
      </c>
      <c r="J18" s="39" t="inlineStr">
        <is>
          <t>الاستدامة</t>
        </is>
      </c>
      <c r="K18" s="31" t="inlineStr">
        <is>
          <t>جودة التشغيل</t>
        </is>
      </c>
      <c r="L18" s="23" t="inlineStr">
        <is>
          <t>العمليات الداخلية</t>
        </is>
      </c>
      <c r="M18" s="42" t="n">
        <v>0.837</v>
      </c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  <row r="19" ht="24" customHeight="1">
      <c r="A19" s="15" t="n">
        <v>16</v>
      </c>
      <c r="B19" s="9" t="inlineStr">
        <is>
          <t>البيئة</t>
        </is>
      </c>
      <c r="C19" s="9" t="inlineStr">
        <is>
          <t>التشجير داخل المحطة (معيار الوزارة)</t>
        </is>
      </c>
      <c r="D19" s="35" t="inlineStr">
        <is>
          <t>%</t>
        </is>
      </c>
      <c r="E19" s="35" t="inlineStr">
        <is>
          <t>↑</t>
        </is>
      </c>
      <c r="F19" s="23" t="inlineStr">
        <is>
          <t>🔴 رئيسي</t>
        </is>
      </c>
      <c r="G19" s="32" t="n">
        <v>0.07000000000000001</v>
      </c>
      <c r="H19" s="32" t="n">
        <v>1</v>
      </c>
      <c r="I19" s="38" t="inlineStr">
        <is>
          <t>100%</t>
        </is>
      </c>
      <c r="J19" s="39" t="inlineStr">
        <is>
          <t>الاستدامة</t>
        </is>
      </c>
      <c r="K19" s="31" t="inlineStr">
        <is>
          <t>جودة التشغيل</t>
        </is>
      </c>
      <c r="L19" s="23" t="inlineStr">
        <is>
          <t>العمليات الداخلية</t>
        </is>
      </c>
      <c r="M19" s="42" t="n">
        <v>0.747</v>
      </c>
      <c r="N19" s="16">
        <f>IF($H19="","",IF($M19="","",MIN(1,IF($H19=0,IF($M19&lt;=0,1,0),IF($E19="↓",IFERROR($H19/$M19,0),IFERROR($M19/$H19,0))))))</f>
        <v/>
      </c>
      <c r="O19" s="15">
        <f>IF($N19="","⏳ بانتظار هدف",IF($N19&gt;=1,"✅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الاستثمار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نمو المحفظة</t>
        </is>
      </c>
      <c r="C4" s="9" t="inlineStr">
        <is>
          <t>إجمالي عقود الاستثمار الجديدة (جميع النماذج)</t>
        </is>
      </c>
      <c r="D4" s="35" t="inlineStr">
        <is>
          <t>عقد</t>
        </is>
      </c>
      <c r="E4" s="35" t="inlineStr">
        <is>
          <t>↑</t>
        </is>
      </c>
      <c r="F4" s="23" t="inlineStr">
        <is>
          <t>🔴 رئيسي</t>
        </is>
      </c>
      <c r="G4" s="32" t="n">
        <v>0.05</v>
      </c>
      <c r="H4" s="37" t="n">
        <v>190</v>
      </c>
      <c r="I4" s="38" t="inlineStr">
        <is>
          <t>190 عقد</t>
        </is>
      </c>
      <c r="J4" s="39" t="inlineStr">
        <is>
          <t>النمو</t>
        </is>
      </c>
      <c r="K4" s="31" t="inlineStr">
        <is>
          <t>التوسع في المواقع</t>
        </is>
      </c>
      <c r="L4" s="23" t="inlineStr">
        <is>
          <t>العمليات الداخلية</t>
        </is>
      </c>
      <c r="M4" s="40" t="n">
        <v>165.7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نمو المحفظة</t>
        </is>
      </c>
      <c r="C5" s="9" t="inlineStr">
        <is>
          <t>عقود الاستثمار العادي الجديدة</t>
        </is>
      </c>
      <c r="D5" s="35" t="inlineStr">
        <is>
          <t>عقد</t>
        </is>
      </c>
      <c r="E5" s="35" t="inlineStr">
        <is>
          <t>↑</t>
        </is>
      </c>
      <c r="F5" s="23" t="inlineStr">
        <is>
          <t>🔴 رئيسي</t>
        </is>
      </c>
      <c r="G5" s="32" t="n">
        <v>0.05</v>
      </c>
      <c r="H5" s="37" t="n">
        <v>90</v>
      </c>
      <c r="I5" s="38" t="inlineStr">
        <is>
          <t>90 عقد</t>
        </is>
      </c>
      <c r="J5" s="39" t="inlineStr">
        <is>
          <t>النمو</t>
        </is>
      </c>
      <c r="K5" s="31" t="inlineStr">
        <is>
          <t>التوسع في المواقع</t>
        </is>
      </c>
      <c r="L5" s="23" t="inlineStr">
        <is>
          <t>العمليات الداخلية</t>
        </is>
      </c>
      <c r="M5" s="40" t="n">
        <v>76.3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نمو المحفظة</t>
        </is>
      </c>
      <c r="C6" s="9" t="inlineStr">
        <is>
          <t>عقود الاستحواذ الجديدة</t>
        </is>
      </c>
      <c r="D6" s="35" t="inlineStr">
        <is>
          <t>عقد</t>
        </is>
      </c>
      <c r="E6" s="35" t="inlineStr">
        <is>
          <t>↑</t>
        </is>
      </c>
      <c r="F6" s="23" t="inlineStr">
        <is>
          <t>🔴 رئيسي</t>
        </is>
      </c>
      <c r="G6" s="32" t="n">
        <v>0.05</v>
      </c>
      <c r="H6" s="37" t="n">
        <v>100</v>
      </c>
      <c r="I6" s="38" t="inlineStr">
        <is>
          <t>100 عقد</t>
        </is>
      </c>
      <c r="J6" s="39" t="inlineStr">
        <is>
          <t>النمو</t>
        </is>
      </c>
      <c r="K6" s="31" t="inlineStr">
        <is>
          <t>التوسع في المواقع</t>
        </is>
      </c>
      <c r="L6" s="23" t="inlineStr">
        <is>
          <t>العمليات الداخلية</t>
        </is>
      </c>
      <c r="M6" s="40" t="n">
        <v>82.2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نمو المحفظة</t>
        </is>
      </c>
      <c r="C7" s="9" t="inlineStr">
        <is>
          <t>المحطات المستحوَذ عليها المشغّلة (تراكمي)</t>
        </is>
      </c>
      <c r="D7" s="35" t="inlineStr">
        <is>
          <t>محطة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0.05</v>
      </c>
      <c r="H7" s="37" t="n">
        <v>120</v>
      </c>
      <c r="I7" s="38" t="inlineStr">
        <is>
          <t>120 محطة</t>
        </is>
      </c>
      <c r="J7" s="39" t="inlineStr">
        <is>
          <t>النمو</t>
        </is>
      </c>
      <c r="K7" s="31" t="inlineStr">
        <is>
          <t>التوسع في المواقع</t>
        </is>
      </c>
      <c r="L7" s="23" t="inlineStr">
        <is>
          <t>العمليات الداخلية</t>
        </is>
      </c>
      <c r="M7" s="40" t="n">
        <v>125.8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نمو المحفظة</t>
        </is>
      </c>
      <c r="C8" s="9" t="inlineStr">
        <is>
          <t>عقود تأجير الأرض الجديدة</t>
        </is>
      </c>
      <c r="D8" s="35" t="inlineStr">
        <is>
          <t>عقد</t>
        </is>
      </c>
      <c r="E8" s="35" t="inlineStr">
        <is>
          <t>↑</t>
        </is>
      </c>
      <c r="F8" s="23" t="inlineStr">
        <is>
          <t>🔴 رئيسي</t>
        </is>
      </c>
      <c r="G8" s="32" t="n">
        <v>0.05</v>
      </c>
      <c r="H8" s="37" t="n">
        <v>11</v>
      </c>
      <c r="I8" s="38" t="inlineStr">
        <is>
          <t>11 عقد</t>
        </is>
      </c>
      <c r="J8" s="39" t="inlineStr">
        <is>
          <t>النمو</t>
        </is>
      </c>
      <c r="K8" s="31" t="inlineStr">
        <is>
          <t>التوسع في المواقع</t>
        </is>
      </c>
      <c r="L8" s="23" t="inlineStr">
        <is>
          <t>العمليات الداخلية</t>
        </is>
      </c>
      <c r="M8" s="40" t="n">
        <v>8.1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نمو المحفظة</t>
        </is>
      </c>
      <c r="C9" s="9" t="inlineStr">
        <is>
          <t>عقود إيجار المحطة الجديدة</t>
        </is>
      </c>
      <c r="D9" s="35" t="inlineStr">
        <is>
          <t>عقد</t>
        </is>
      </c>
      <c r="E9" s="35" t="inlineStr">
        <is>
          <t>↑</t>
        </is>
      </c>
      <c r="F9" s="23" t="inlineStr">
        <is>
          <t>🔴 رئيسي</t>
        </is>
      </c>
      <c r="G9" s="32" t="n">
        <v>0.05</v>
      </c>
      <c r="H9" s="37" t="n">
        <v>12</v>
      </c>
      <c r="I9" s="38" t="inlineStr">
        <is>
          <t>12 عقد</t>
        </is>
      </c>
      <c r="J9" s="39" t="inlineStr">
        <is>
          <t>النمو</t>
        </is>
      </c>
      <c r="K9" s="31" t="inlineStr">
        <is>
          <t>التوسع في المواقع</t>
        </is>
      </c>
      <c r="L9" s="23" t="inlineStr">
        <is>
          <t>العمليات الداخلية</t>
        </is>
      </c>
      <c r="M9" s="40" t="n">
        <v>12.2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نمو المحفظة</t>
        </is>
      </c>
      <c r="C10" s="9" t="inlineStr">
        <is>
          <t>عقود تشغيل المحطة الجديدة</t>
        </is>
      </c>
      <c r="D10" s="35" t="inlineStr">
        <is>
          <t>عقد</t>
        </is>
      </c>
      <c r="E10" s="35" t="inlineStr">
        <is>
          <t>↑</t>
        </is>
      </c>
      <c r="F10" s="23" t="inlineStr">
        <is>
          <t>🔴 رئيسي</t>
        </is>
      </c>
      <c r="G10" s="32" t="n">
        <v>0.05</v>
      </c>
      <c r="H10" s="37" t="n">
        <v>68</v>
      </c>
      <c r="I10" s="38" t="inlineStr">
        <is>
          <t>68 عقد</t>
        </is>
      </c>
      <c r="J10" s="39" t="inlineStr">
        <is>
          <t>النمو</t>
        </is>
      </c>
      <c r="K10" s="31" t="inlineStr">
        <is>
          <t>التوسع في المواقع</t>
        </is>
      </c>
      <c r="L10" s="23" t="inlineStr">
        <is>
          <t>العمليات الداخلية</t>
        </is>
      </c>
      <c r="M10" s="40" t="n">
        <v>49.4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الربحية وجودة الموقع</t>
        </is>
      </c>
      <c r="C11" s="9" t="inlineStr">
        <is>
          <t>نسبة المواقع المعتمدة ذات العائد المجدي</t>
        </is>
      </c>
      <c r="D11" s="35" t="inlineStr">
        <is>
          <t>%</t>
        </is>
      </c>
      <c r="E11" s="35" t="inlineStr">
        <is>
          <t>↑</t>
        </is>
      </c>
      <c r="F11" s="23" t="inlineStr">
        <is>
          <t>🔴 رئيسي</t>
        </is>
      </c>
      <c r="G11" s="32" t="n">
        <v>0.05</v>
      </c>
      <c r="H11" s="32" t="n">
        <v>0.8</v>
      </c>
      <c r="I11" s="38" t="inlineStr">
        <is>
          <t>80%+</t>
        </is>
      </c>
      <c r="J11" s="39" t="inlineStr">
        <is>
          <t>الاستدامة</t>
        </is>
      </c>
      <c r="K11" s="31" t="inlineStr">
        <is>
          <t>جودة التشغيل</t>
        </is>
      </c>
      <c r="L11" s="23" t="inlineStr">
        <is>
          <t>مالي</t>
        </is>
      </c>
      <c r="M11" s="42" t="n">
        <v>0.649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الربحية وجودة الموقع</t>
        </is>
      </c>
      <c r="C12" s="9" t="inlineStr">
        <is>
          <t>متوسط فترة استرداد رأس المال</t>
        </is>
      </c>
      <c r="D12" s="35" t="inlineStr">
        <is>
          <t>سنة</t>
        </is>
      </c>
      <c r="E12" s="35" t="inlineStr">
        <is>
          <t>↓</t>
        </is>
      </c>
      <c r="F12" s="23" t="inlineStr">
        <is>
          <t>🟠 مهم</t>
        </is>
      </c>
      <c r="G12" s="32" t="n">
        <v>0.03</v>
      </c>
      <c r="H12" s="43" t="n">
        <v>5</v>
      </c>
      <c r="I12" s="38" t="inlineStr">
        <is>
          <t>≤ 5 سنوات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مالي</t>
        </is>
      </c>
      <c r="M12" s="44" t="n">
        <v>4.983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الربحية وجودة الموقع</t>
        </is>
      </c>
      <c r="C13" s="9" t="inlineStr">
        <is>
          <t>متوسط قيمة عقد الإيجار السنوي (أرض)</t>
        </is>
      </c>
      <c r="D13" s="35" t="inlineStr">
        <is>
          <t>ر.س</t>
        </is>
      </c>
      <c r="E13" s="35" t="inlineStr">
        <is>
          <t>↑</t>
        </is>
      </c>
      <c r="F13" s="23" t="inlineStr">
        <is>
          <t>🔴 رئيسي</t>
        </is>
      </c>
      <c r="G13" s="32" t="n">
        <v>0.05</v>
      </c>
      <c r="H13" s="35" t="inlineStr"/>
      <c r="I13" s="38" t="inlineStr">
        <is>
          <t>يُحدد لاحقاً</t>
        </is>
      </c>
      <c r="J13" s="39" t="inlineStr">
        <is>
          <t>النمو</t>
        </is>
      </c>
      <c r="K13" s="31" t="inlineStr">
        <is>
          <t>التوسع في المواقع</t>
        </is>
      </c>
      <c r="L13" s="23" t="inlineStr">
        <is>
          <t>مالي</t>
        </is>
      </c>
      <c r="M13" s="41" t="n"/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التوسع الإقليمي</t>
        </is>
      </c>
      <c r="C14" s="9" t="inlineStr">
        <is>
          <t>نسبة العقود التي تغطي المناطق الـ13</t>
        </is>
      </c>
      <c r="D14" s="35" t="inlineStr">
        <is>
          <t>%</t>
        </is>
      </c>
      <c r="E14" s="35" t="inlineStr">
        <is>
          <t>↑</t>
        </is>
      </c>
      <c r="F14" s="23" t="inlineStr">
        <is>
          <t>🔴 رئيسي</t>
        </is>
      </c>
      <c r="G14" s="32" t="n">
        <v>0.05</v>
      </c>
      <c r="H14" s="32" t="n">
        <v>1</v>
      </c>
      <c r="I14" s="38" t="inlineStr">
        <is>
          <t>100%</t>
        </is>
      </c>
      <c r="J14" s="39" t="inlineStr">
        <is>
          <t>النمو</t>
        </is>
      </c>
      <c r="K14" s="31" t="inlineStr">
        <is>
          <t>التوسع في المواقع</t>
        </is>
      </c>
      <c r="L14" s="23" t="inlineStr">
        <is>
          <t>العمليات الداخلية</t>
        </is>
      </c>
      <c r="M14" s="42" t="n">
        <v>1.028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التوسع الإقليمي</t>
        </is>
      </c>
      <c r="C15" s="9" t="inlineStr">
        <is>
          <t>نسبة العقود خارج المدن الرئيسية</t>
        </is>
      </c>
      <c r="D15" s="35" t="inlineStr">
        <is>
          <t>%</t>
        </is>
      </c>
      <c r="E15" s="35" t="inlineStr">
        <is>
          <t>↑</t>
        </is>
      </c>
      <c r="F15" s="23" t="inlineStr">
        <is>
          <t>🔴 رئيسي</t>
        </is>
      </c>
      <c r="G15" s="32" t="n">
        <v>0.05</v>
      </c>
      <c r="H15" s="32" t="n">
        <v>0.6</v>
      </c>
      <c r="I15" s="38" t="inlineStr">
        <is>
          <t>&gt; 60%</t>
        </is>
      </c>
      <c r="J15" s="39" t="inlineStr">
        <is>
          <t>النمو</t>
        </is>
      </c>
      <c r="K15" s="31" t="inlineStr">
        <is>
          <t>التوسع في المواقع</t>
        </is>
      </c>
      <c r="L15" s="23" t="inlineStr">
        <is>
          <t>العمليات الداخلية</t>
        </is>
      </c>
      <c r="M15" s="42" t="n">
        <v>0.516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التوسع الإقليمي</t>
        </is>
      </c>
      <c r="C16" s="9" t="inlineStr">
        <is>
          <t>نسبة العقود في الـ12 مدينة الرئيسية</t>
        </is>
      </c>
      <c r="D16" s="35" t="inlineStr">
        <is>
          <t>%</t>
        </is>
      </c>
      <c r="E16" s="35" t="inlineStr">
        <is>
          <t>↓</t>
        </is>
      </c>
      <c r="F16" s="23" t="inlineStr">
        <is>
          <t>🔴 رئيسي</t>
        </is>
      </c>
      <c r="G16" s="32" t="n">
        <v>0.05</v>
      </c>
      <c r="H16" s="32" t="n">
        <v>0.4</v>
      </c>
      <c r="I16" s="38" t="inlineStr">
        <is>
          <t>&lt; 40%</t>
        </is>
      </c>
      <c r="J16" s="39" t="inlineStr">
        <is>
          <t>النمو</t>
        </is>
      </c>
      <c r="K16" s="31" t="inlineStr">
        <is>
          <t>التوسع في المواقع</t>
        </is>
      </c>
      <c r="L16" s="23" t="inlineStr">
        <is>
          <t>العمليات الداخلية</t>
        </is>
      </c>
      <c r="M16" s="42" t="n">
        <v>0.415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التوسع الإقليمي</t>
        </is>
      </c>
      <c r="C17" s="9" t="inlineStr">
        <is>
          <t>نسبة العقود على الطرق الإقليمية</t>
        </is>
      </c>
      <c r="D17" s="35" t="inlineStr">
        <is>
          <t>%</t>
        </is>
      </c>
      <c r="E17" s="35" t="inlineStr">
        <is>
          <t>↑</t>
        </is>
      </c>
      <c r="F17" s="23" t="inlineStr">
        <is>
          <t>🔴 رئيسي</t>
        </is>
      </c>
      <c r="G17" s="32" t="n">
        <v>0.05</v>
      </c>
      <c r="H17" s="32" t="n">
        <v>0.25</v>
      </c>
      <c r="I17" s="38" t="inlineStr">
        <is>
          <t>&gt; 25%</t>
        </is>
      </c>
      <c r="J17" s="39" t="inlineStr">
        <is>
          <t>النمو</t>
        </is>
      </c>
      <c r="K17" s="31" t="inlineStr">
        <is>
          <t>التوسع في المواقع</t>
        </is>
      </c>
      <c r="L17" s="23" t="inlineStr">
        <is>
          <t>العمليات الداخلية</t>
        </is>
      </c>
      <c r="M17" s="42" t="n">
        <v>0.236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كفاءة الدورة</t>
        </is>
      </c>
      <c r="C18" s="9" t="inlineStr">
        <is>
          <t>متوسط مدة إغلاق عقد الاستثمار</t>
        </is>
      </c>
      <c r="D18" s="35" t="inlineStr">
        <is>
          <t>أسبوع</t>
        </is>
      </c>
      <c r="E18" s="35" t="inlineStr">
        <is>
          <t>↓</t>
        </is>
      </c>
      <c r="F18" s="23" t="inlineStr">
        <is>
          <t>🔴 رئيسي</t>
        </is>
      </c>
      <c r="G18" s="32" t="n">
        <v>0.05</v>
      </c>
      <c r="H18" s="43" t="n">
        <v>1</v>
      </c>
      <c r="I18" s="38" t="inlineStr">
        <is>
          <t>≤ أسبوع</t>
        </is>
      </c>
      <c r="J18" s="39" t="inlineStr">
        <is>
          <t>النمو</t>
        </is>
      </c>
      <c r="K18" s="31" t="inlineStr">
        <is>
          <t>التوسع في المواقع</t>
        </is>
      </c>
      <c r="L18" s="23" t="inlineStr">
        <is>
          <t>العمليات الداخلية</t>
        </is>
      </c>
      <c r="M18" s="44" t="n">
        <v>0.912</v>
      </c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  <row r="19" ht="24" customHeight="1">
      <c r="A19" s="15" t="n">
        <v>16</v>
      </c>
      <c r="B19" s="9" t="inlineStr">
        <is>
          <t>كفاءة الدورة</t>
        </is>
      </c>
      <c r="C19" s="9" t="inlineStr">
        <is>
          <t>نسبة العقود المتحوّلة لمحطات مشغّلة</t>
        </is>
      </c>
      <c r="D19" s="35" t="inlineStr">
        <is>
          <t>%</t>
        </is>
      </c>
      <c r="E19" s="35" t="inlineStr">
        <is>
          <t>↑</t>
        </is>
      </c>
      <c r="F19" s="23" t="inlineStr">
        <is>
          <t>🔴 رئيسي</t>
        </is>
      </c>
      <c r="G19" s="32" t="n">
        <v>0.05</v>
      </c>
      <c r="H19" s="32" t="n">
        <v>0.3</v>
      </c>
      <c r="I19" s="38" t="inlineStr">
        <is>
          <t>≥ 30%</t>
        </is>
      </c>
      <c r="J19" s="39" t="inlineStr">
        <is>
          <t>النمو</t>
        </is>
      </c>
      <c r="K19" s="31" t="inlineStr">
        <is>
          <t>التوسع في المواقع</t>
        </is>
      </c>
      <c r="L19" s="23" t="inlineStr">
        <is>
          <t>العمليات الداخلية</t>
        </is>
      </c>
      <c r="M19" s="42" t="n">
        <v>0.308</v>
      </c>
      <c r="N19" s="16">
        <f>IF($H19="","",IF($M19="","",MIN(1,IF($H19=0,IF($M19&lt;=0,1,0),IF($E19="↓",IFERROR($H19/$M19,0),IFERROR($M19/$H19,0))))))</f>
        <v/>
      </c>
      <c r="O19" s="15">
        <f>IF($N19="","⏳ بانتظار هدف",IF($N19&gt;=1,"✅ محقق",IF($N19&gt;=0.85,"🟡 قريب","🔴 تحت الهدف")))</f>
        <v/>
      </c>
    </row>
    <row r="20" ht="24" customHeight="1">
      <c r="A20" s="15" t="n">
        <v>17</v>
      </c>
      <c r="B20" s="9" t="inlineStr">
        <is>
          <t>كفاءة الدورة</t>
        </is>
      </c>
      <c r="C20" s="9" t="inlineStr">
        <is>
          <t>نسبة تخفيض إيجار المواقع عالية التكاليف</t>
        </is>
      </c>
      <c r="D20" s="35" t="inlineStr">
        <is>
          <t>%</t>
        </is>
      </c>
      <c r="E20" s="35" t="inlineStr">
        <is>
          <t>↑</t>
        </is>
      </c>
      <c r="F20" s="23" t="inlineStr">
        <is>
          <t>🟠 مهم</t>
        </is>
      </c>
      <c r="G20" s="32" t="n">
        <v>0.03</v>
      </c>
      <c r="H20" s="32" t="n">
        <v>0.3</v>
      </c>
      <c r="I20" s="38" t="inlineStr">
        <is>
          <t>≥ 30%</t>
        </is>
      </c>
      <c r="J20" s="39" t="inlineStr">
        <is>
          <t>الاستدامة</t>
        </is>
      </c>
      <c r="K20" s="31" t="inlineStr">
        <is>
          <t>جودة التشغيل</t>
        </is>
      </c>
      <c r="L20" s="23" t="inlineStr">
        <is>
          <t>العمليات الداخلية</t>
        </is>
      </c>
      <c r="M20" s="42" t="n">
        <v>0.221</v>
      </c>
      <c r="N20" s="16">
        <f>IF($H20="","",IF($M20="","",MIN(1,IF($H20=0,IF($M20&lt;=0,1,0),IF($E20="↓",IFERROR($H20/$M20,0),IFERROR($M20/$H20,0))))))</f>
        <v/>
      </c>
      <c r="O20" s="15">
        <f>IF($N20="","⏳ بانتظار هدف",IF($N20&gt;=1,"✅ محقق",IF($N20&gt;=0.85,"🟡 قريب","🔴 تحت الهدف")))</f>
        <v/>
      </c>
    </row>
    <row r="21" ht="24" customHeight="1">
      <c r="A21" s="15" t="n">
        <v>18</v>
      </c>
      <c r="B21" s="9" t="inlineStr">
        <is>
          <t>الامتثال</t>
        </is>
      </c>
      <c r="C21" s="9" t="inlineStr">
        <is>
          <t>نسبة اكتمال المستندات النظامية قبل التوقيع</t>
        </is>
      </c>
      <c r="D21" s="35" t="inlineStr">
        <is>
          <t>%</t>
        </is>
      </c>
      <c r="E21" s="35" t="inlineStr">
        <is>
          <t>↑</t>
        </is>
      </c>
      <c r="F21" s="23" t="inlineStr">
        <is>
          <t>🏁 معلم</t>
        </is>
      </c>
      <c r="G21" s="32" t="n">
        <v>0.01</v>
      </c>
      <c r="H21" s="32" t="n">
        <v>1</v>
      </c>
      <c r="I21" s="38" t="inlineStr">
        <is>
          <t>100%</t>
        </is>
      </c>
      <c r="J21" s="39" t="inlineStr">
        <is>
          <t>الاستدامة</t>
        </is>
      </c>
      <c r="K21" s="31" t="inlineStr">
        <is>
          <t>جودة التشغيل</t>
        </is>
      </c>
      <c r="L21" s="23" t="inlineStr">
        <is>
          <t>العمليات الداخلية</t>
        </is>
      </c>
      <c r="M21" s="42" t="n">
        <v>0.751</v>
      </c>
      <c r="N21" s="16">
        <f>IF($H21="","",IF($M21="","",MIN(1,IF($H21=0,IF($M21&lt;=0,1,0),IF($E21="↓",IFERROR($H21/$M21,0),IFERROR($M21/$H21,0))))))</f>
        <v/>
      </c>
      <c r="O21" s="15">
        <f>IF($N21="","⏳ بانتظار هدف",IF($N21&gt;=1,"✅ محقق",IF($N21&gt;=0.85,"🟡 قريب","🔴 تحت الهدف")))</f>
        <v/>
      </c>
    </row>
    <row r="22" ht="24" customHeight="1">
      <c r="A22" s="15" t="n">
        <v>19</v>
      </c>
      <c r="B22" s="9" t="inlineStr">
        <is>
          <t>الامتثال</t>
        </is>
      </c>
      <c r="C22" s="9" t="inlineStr">
        <is>
          <t>نسبة العقود المؤرشفة إلكترونياً خلال 48 ساعة</t>
        </is>
      </c>
      <c r="D22" s="35" t="inlineStr">
        <is>
          <t>%</t>
        </is>
      </c>
      <c r="E22" s="35" t="inlineStr">
        <is>
          <t>↑</t>
        </is>
      </c>
      <c r="F22" s="23" t="inlineStr">
        <is>
          <t>🔴 رئيسي</t>
        </is>
      </c>
      <c r="G22" s="32" t="n">
        <v>0.05</v>
      </c>
      <c r="H22" s="32" t="n">
        <v>0.95</v>
      </c>
      <c r="I22" s="38" t="inlineStr">
        <is>
          <t>95%+</t>
        </is>
      </c>
      <c r="J22" s="39" t="inlineStr">
        <is>
          <t>الاستدامة</t>
        </is>
      </c>
      <c r="K22" s="31" t="inlineStr">
        <is>
          <t>جودة التشغيل</t>
        </is>
      </c>
      <c r="L22" s="23" t="inlineStr">
        <is>
          <t>العمليات الداخلية</t>
        </is>
      </c>
      <c r="M22" s="42" t="n">
        <v>0.736</v>
      </c>
      <c r="N22" s="16">
        <f>IF($H22="","",IF($M22="","",MIN(1,IF($H22=0,IF($M22&lt;=0,1,0),IF($E22="↓",IFERROR($H22/$M22,0),IFERROR($M22/$H22,0))))))</f>
        <v/>
      </c>
      <c r="O22" s="15">
        <f>IF($N22="","⏳ بانتظار هدف",IF($N22&gt;=1,"✅ محقق",IF($N22&gt;=0.85,"🟡 قريب","🔴 تحت الهدف")))</f>
        <v/>
      </c>
    </row>
    <row r="23" ht="24" customHeight="1">
      <c r="A23" s="15" t="n">
        <v>20</v>
      </c>
      <c r="B23" s="9" t="inlineStr">
        <is>
          <t>جودة التعاقد</t>
        </is>
      </c>
      <c r="C23" s="9" t="inlineStr">
        <is>
          <t>جودة التفاوض مع المستثمرين</t>
        </is>
      </c>
      <c r="D23" s="35" t="inlineStr">
        <is>
          <t>%</t>
        </is>
      </c>
      <c r="E23" s="35" t="inlineStr">
        <is>
          <t>↑</t>
        </is>
      </c>
      <c r="F23" s="23" t="inlineStr">
        <is>
          <t>🟠 مهم</t>
        </is>
      </c>
      <c r="G23" s="32" t="n">
        <v>0.03</v>
      </c>
      <c r="H23" s="32" t="n">
        <v>0.98</v>
      </c>
      <c r="I23" s="38" t="inlineStr">
        <is>
          <t>98%</t>
        </is>
      </c>
      <c r="J23" s="39" t="inlineStr">
        <is>
          <t>النمو</t>
        </is>
      </c>
      <c r="K23" s="31" t="inlineStr">
        <is>
          <t>التوسع في المواقع</t>
        </is>
      </c>
      <c r="L23" s="23" t="inlineStr">
        <is>
          <t>العمليات الداخلية</t>
        </is>
      </c>
      <c r="M23" s="42" t="n">
        <v>1.009</v>
      </c>
      <c r="N23" s="16">
        <f>IF($H23="","",IF($M23="","",MIN(1,IF($H23=0,IF($M23&lt;=0,1,0),IF($E23="↓",IFERROR($H23/$M23,0),IFERROR($M23/$H23,0))))))</f>
        <v/>
      </c>
      <c r="O23" s="15">
        <f>IF($N23="","⏳ بانتظار هدف",IF($N23&gt;=1,"✅ محقق",IF($N23&gt;=0.85,"🟡 قريب","🔴 تحت الهدف")))</f>
        <v/>
      </c>
    </row>
    <row r="24" ht="24" customHeight="1">
      <c r="A24" s="15" t="n">
        <v>21</v>
      </c>
      <c r="B24" s="9" t="inlineStr">
        <is>
          <t>جودة التعاقد</t>
        </is>
      </c>
      <c r="C24" s="9" t="inlineStr">
        <is>
          <t>سرعة إنجاز إجراءات التعاقد</t>
        </is>
      </c>
      <c r="D24" s="35" t="inlineStr">
        <is>
          <t>أسبوع</t>
        </is>
      </c>
      <c r="E24" s="35" t="inlineStr">
        <is>
          <t>↓</t>
        </is>
      </c>
      <c r="F24" s="23" t="inlineStr">
        <is>
          <t>🟠 مهم</t>
        </is>
      </c>
      <c r="G24" s="32" t="n">
        <v>0.03</v>
      </c>
      <c r="H24" s="43" t="n">
        <v>1</v>
      </c>
      <c r="I24" s="38" t="inlineStr">
        <is>
          <t>≤ أسبوع</t>
        </is>
      </c>
      <c r="J24" s="39" t="inlineStr">
        <is>
          <t>النمو</t>
        </is>
      </c>
      <c r="K24" s="31" t="inlineStr">
        <is>
          <t>التوسع في المواقع</t>
        </is>
      </c>
      <c r="L24" s="23" t="inlineStr">
        <is>
          <t>العمليات الداخلية</t>
        </is>
      </c>
      <c r="M24" s="44" t="n">
        <v>1.061</v>
      </c>
      <c r="N24" s="16">
        <f>IF($H24="","",IF($M24="","",MIN(1,IF($H24=0,IF($M24&lt;=0,1,0),IF($E24="↓",IFERROR($H24/$M24,0),IFERROR($M24/$H24,0))))))</f>
        <v/>
      </c>
      <c r="O24" s="15">
        <f>IF($N24="","⏳ بانتظار هدف",IF($N24&gt;=1,"✅ محقق",IF($N24&gt;=0.85,"🟡 قريب","🔴 تحت الهدف")))</f>
        <v/>
      </c>
    </row>
    <row r="25" ht="24" customHeight="1">
      <c r="A25" s="15" t="n">
        <v>22</v>
      </c>
      <c r="B25" s="9" t="inlineStr">
        <is>
          <t>جودة التعاقد</t>
        </is>
      </c>
      <c r="C25" s="9" t="inlineStr">
        <is>
          <t>مدى رضا المستثمرين وشركاء الاستثمار</t>
        </is>
      </c>
      <c r="D25" s="35" t="inlineStr">
        <is>
          <t>%</t>
        </is>
      </c>
      <c r="E25" s="35" t="inlineStr">
        <is>
          <t>↑</t>
        </is>
      </c>
      <c r="F25" s="23" t="inlineStr">
        <is>
          <t>🔴 رئيسي</t>
        </is>
      </c>
      <c r="G25" s="32" t="n">
        <v>0.05</v>
      </c>
      <c r="H25" s="32" t="n">
        <v>0.8</v>
      </c>
      <c r="I25" s="38" t="inlineStr">
        <is>
          <t>80%+</t>
        </is>
      </c>
      <c r="J25" s="39" t="inlineStr">
        <is>
          <t>الاستدامة</t>
        </is>
      </c>
      <c r="K25" s="31" t="inlineStr">
        <is>
          <t>تعزيز تجربة العملاء</t>
        </is>
      </c>
      <c r="L25" s="23" t="inlineStr">
        <is>
          <t>العملاء</t>
        </is>
      </c>
      <c r="M25" s="42" t="n">
        <v>0.786</v>
      </c>
      <c r="N25" s="16">
        <f>IF($H25="","",IF($M25="","",MIN(1,IF($H25=0,IF($M25&lt;=0,1,0),IF($E25="↓",IFERROR($H25/$M25,0),IFERROR($M25/$H25,0))))))</f>
        <v/>
      </c>
      <c r="O25" s="15">
        <f>IF($N25="","⏳ بانتظار هدف",IF($N25&gt;=1,"✅ محقق",IF($N25&gt;=0.85,"🟡 قريب","🔴 تحت الهدف")))</f>
        <v/>
      </c>
    </row>
    <row r="26" ht="24" customHeight="1">
      <c r="A26" s="15" t="n">
        <v>23</v>
      </c>
      <c r="B26" s="9" t="inlineStr">
        <is>
          <t>جودة التعاقد</t>
        </is>
      </c>
      <c r="C26" s="9" t="inlineStr">
        <is>
          <t>نسبة اكتمال أرشفة ملفات العملاء</t>
        </is>
      </c>
      <c r="D26" s="35" t="inlineStr">
        <is>
          <t>%</t>
        </is>
      </c>
      <c r="E26" s="35" t="inlineStr">
        <is>
          <t>↑</t>
        </is>
      </c>
      <c r="F26" s="23" t="inlineStr">
        <is>
          <t>🏁 معلم</t>
        </is>
      </c>
      <c r="G26" s="32" t="n">
        <v>0.01</v>
      </c>
      <c r="H26" s="32" t="n">
        <v>1</v>
      </c>
      <c r="I26" s="38" t="inlineStr">
        <is>
          <t>100%</t>
        </is>
      </c>
      <c r="J26" s="39" t="inlineStr">
        <is>
          <t>الاستدامة</t>
        </is>
      </c>
      <c r="K26" s="31" t="inlineStr">
        <is>
          <t>جودة التشغيل</t>
        </is>
      </c>
      <c r="L26" s="23" t="inlineStr">
        <is>
          <t>العملاء</t>
        </is>
      </c>
      <c r="M26" s="42" t="n">
        <v>0.972</v>
      </c>
      <c r="N26" s="16">
        <f>IF($H26="","",IF($M26="","",MIN(1,IF($H26=0,IF($M26&lt;=0,1,0),IF($E26="↓",IFERROR($H26/$M26,0),IFERROR($M26/$H26,0))))))</f>
        <v/>
      </c>
      <c r="O26" s="15">
        <f>IF($N26="","⏳ بانتظار هدف",IF($N26&gt;=1,"✅ محقق",IF($N26&gt;=0.85,"🟡 قريب","🔴 تحت الهدف")))</f>
        <v/>
      </c>
    </row>
    <row r="27" ht="24" customHeight="1">
      <c r="A27" s="15" t="n">
        <v>24</v>
      </c>
      <c r="B27" s="9" t="inlineStr">
        <is>
          <t>جودة التعاقد</t>
        </is>
      </c>
      <c r="C27" s="9" t="inlineStr">
        <is>
          <t>نسبة إنجاز التقارير الدورية في موعدها</t>
        </is>
      </c>
      <c r="D27" s="35" t="inlineStr">
        <is>
          <t>%</t>
        </is>
      </c>
      <c r="E27" s="35" t="inlineStr">
        <is>
          <t>↑</t>
        </is>
      </c>
      <c r="F27" s="23" t="inlineStr">
        <is>
          <t>🟡 متابعة</t>
        </is>
      </c>
      <c r="G27" s="32" t="n">
        <v>0.01</v>
      </c>
      <c r="H27" s="32" t="n">
        <v>1</v>
      </c>
      <c r="I27" s="38" t="inlineStr">
        <is>
          <t>100%</t>
        </is>
      </c>
      <c r="J27" s="39" t="inlineStr">
        <is>
          <t>الاستدامة</t>
        </is>
      </c>
      <c r="K27" s="31" t="inlineStr">
        <is>
          <t>جودة التشغيل</t>
        </is>
      </c>
      <c r="L27" s="23" t="inlineStr">
        <is>
          <t>العمليات الداخلية</t>
        </is>
      </c>
      <c r="M27" s="42" t="n">
        <v>0.961</v>
      </c>
      <c r="N27" s="16">
        <f>IF($H27="","",IF($M27="","",MIN(1,IF($H27=0,IF($M27&lt;=0,1,0),IF($E27="↓",IFERROR($H27/$M27,0),IFERROR($M27/$H27,0))))))</f>
        <v/>
      </c>
      <c r="O27" s="15">
        <f>IF($N27="","⏳ بانتظار هدف",IF($N27&gt;=1,"✅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العقار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الإدارة</t>
        </is>
      </c>
      <c r="C4" s="9" t="inlineStr">
        <is>
          <t>نمو الإيرادات الإيجارية</t>
        </is>
      </c>
      <c r="D4" s="35" t="inlineStr">
        <is>
          <t>%</t>
        </is>
      </c>
      <c r="E4" s="35" t="inlineStr">
        <is>
          <t>↑</t>
        </is>
      </c>
      <c r="F4" s="23" t="inlineStr">
        <is>
          <t>🔴 رئيسي</t>
        </is>
      </c>
      <c r="G4" s="32" t="n">
        <v>0.08</v>
      </c>
      <c r="H4" s="32" t="n">
        <v>0.08</v>
      </c>
      <c r="I4" s="38" t="inlineStr">
        <is>
          <t>&gt; 8% سنوياً</t>
        </is>
      </c>
      <c r="J4" s="39" t="inlineStr">
        <is>
          <t>الاستدامة</t>
        </is>
      </c>
      <c r="K4" s="31" t="inlineStr">
        <is>
          <t>منظومة التأجير</t>
        </is>
      </c>
      <c r="L4" s="23" t="inlineStr">
        <is>
          <t>مالي</t>
        </is>
      </c>
      <c r="M4" s="42" t="n">
        <v>0.068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الإدارة</t>
        </is>
      </c>
      <c r="C5" s="9" t="inlineStr">
        <is>
          <t>نسبة الالتزام بالعقود</t>
        </is>
      </c>
      <c r="D5" s="35" t="inlineStr">
        <is>
          <t>%</t>
        </is>
      </c>
      <c r="E5" s="35" t="inlineStr">
        <is>
          <t>↑</t>
        </is>
      </c>
      <c r="F5" s="23" t="inlineStr">
        <is>
          <t>🔴 رئيسي</t>
        </is>
      </c>
      <c r="G5" s="32" t="n">
        <v>0.08</v>
      </c>
      <c r="H5" s="32" t="n">
        <v>1</v>
      </c>
      <c r="I5" s="38" t="inlineStr">
        <is>
          <t>100%</t>
        </is>
      </c>
      <c r="J5" s="39" t="inlineStr">
        <is>
          <t>الاستدامة</t>
        </is>
      </c>
      <c r="K5" s="31" t="inlineStr">
        <is>
          <t>منظومة التأجير</t>
        </is>
      </c>
      <c r="L5" s="23" t="inlineStr">
        <is>
          <t>العمليات الداخلية</t>
        </is>
      </c>
      <c r="M5" s="42" t="n">
        <v>1.03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الإدارة</t>
        </is>
      </c>
      <c r="C6" s="9" t="inlineStr">
        <is>
          <t>نسبة تحصيل الإيجارات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🔴 رئيسي</t>
        </is>
      </c>
      <c r="G6" s="32" t="n">
        <v>0.08</v>
      </c>
      <c r="H6" s="32" t="n">
        <v>0.95</v>
      </c>
      <c r="I6" s="38" t="inlineStr">
        <is>
          <t>&gt; 95%</t>
        </is>
      </c>
      <c r="J6" s="39" t="inlineStr">
        <is>
          <t>الاستدامة</t>
        </is>
      </c>
      <c r="K6" s="31" t="inlineStr">
        <is>
          <t>منظومة التأجير</t>
        </is>
      </c>
      <c r="L6" s="23" t="inlineStr">
        <is>
          <t>مالي</t>
        </is>
      </c>
      <c r="M6" s="42" t="n">
        <v>0.805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التأجير</t>
        </is>
      </c>
      <c r="C7" s="9" t="inlineStr">
        <is>
          <t>نسبة الإشغال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0.08</v>
      </c>
      <c r="H7" s="32" t="n">
        <v>0.6</v>
      </c>
      <c r="I7" s="38" t="inlineStr">
        <is>
          <t>≥ 60%</t>
        </is>
      </c>
      <c r="J7" s="39" t="inlineStr">
        <is>
          <t>الاستدامة</t>
        </is>
      </c>
      <c r="K7" s="31" t="inlineStr">
        <is>
          <t>منظومة التأجير</t>
        </is>
      </c>
      <c r="L7" s="23" t="inlineStr">
        <is>
          <t>العمليات الداخلية</t>
        </is>
      </c>
      <c r="M7" s="42" t="n">
        <v>0.611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التأجير</t>
        </is>
      </c>
      <c r="C8" s="9" t="inlineStr">
        <is>
          <t>الوحدات المؤجَّرة شهرياً</t>
        </is>
      </c>
      <c r="D8" s="35" t="inlineStr">
        <is>
          <t>وحدة</t>
        </is>
      </c>
      <c r="E8" s="35" t="inlineStr">
        <is>
          <t>↑</t>
        </is>
      </c>
      <c r="F8" s="23" t="inlineStr">
        <is>
          <t>🟠 مهم</t>
        </is>
      </c>
      <c r="G8" s="32" t="n">
        <v>0.05</v>
      </c>
      <c r="H8" s="37" t="n">
        <v>68</v>
      </c>
      <c r="I8" s="38" t="inlineStr">
        <is>
          <t>68 شهرياً</t>
        </is>
      </c>
      <c r="J8" s="39" t="inlineStr">
        <is>
          <t>الاستدامة</t>
        </is>
      </c>
      <c r="K8" s="31" t="inlineStr">
        <is>
          <t>منظومة التأجير</t>
        </is>
      </c>
      <c r="L8" s="23" t="inlineStr">
        <is>
          <t>العمليات الداخلية</t>
        </is>
      </c>
      <c r="M8" s="40" t="n">
        <v>54.8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التأجير</t>
        </is>
      </c>
      <c r="C9" s="9" t="inlineStr">
        <is>
          <t>العملاء المحتملون (LEADS)</t>
        </is>
      </c>
      <c r="D9" s="35" t="inlineStr">
        <is>
          <t>عميل</t>
        </is>
      </c>
      <c r="E9" s="35" t="inlineStr">
        <is>
          <t>↑</t>
        </is>
      </c>
      <c r="F9" s="23" t="inlineStr">
        <is>
          <t>🟠 مهم</t>
        </is>
      </c>
      <c r="G9" s="32" t="n">
        <v>0.05</v>
      </c>
      <c r="H9" s="37" t="n">
        <v>680</v>
      </c>
      <c r="I9" s="38" t="inlineStr">
        <is>
          <t>544–680</t>
        </is>
      </c>
      <c r="J9" s="39" t="inlineStr">
        <is>
          <t>النمو</t>
        </is>
      </c>
      <c r="K9" s="31" t="inlineStr">
        <is>
          <t>زيادة وصول العملاء</t>
        </is>
      </c>
      <c r="L9" s="23" t="inlineStr">
        <is>
          <t>العملاء</t>
        </is>
      </c>
      <c r="M9" s="40" t="n">
        <v>531.8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التأجير</t>
        </is>
      </c>
      <c r="C10" s="9" t="inlineStr">
        <is>
          <t>معدل التحويل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🔴 رئيسي</t>
        </is>
      </c>
      <c r="G10" s="32" t="n">
        <v>0.08</v>
      </c>
      <c r="H10" s="32" t="n">
        <v>0.2</v>
      </c>
      <c r="I10" s="38" t="inlineStr">
        <is>
          <t>15–25%</t>
        </is>
      </c>
      <c r="J10" s="39" t="inlineStr">
        <is>
          <t>النمو</t>
        </is>
      </c>
      <c r="K10" s="31" t="inlineStr">
        <is>
          <t>زيادة وصول العملاء</t>
        </is>
      </c>
      <c r="L10" s="23" t="inlineStr">
        <is>
          <t>العمليات الداخلية</t>
        </is>
      </c>
      <c r="M10" s="42" t="n">
        <v>0.208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التأجير</t>
        </is>
      </c>
      <c r="C11" s="9" t="inlineStr">
        <is>
          <t>زيادة عدد العلامات التجارية</t>
        </is>
      </c>
      <c r="D11" s="35" t="inlineStr">
        <is>
          <t>علامة</t>
        </is>
      </c>
      <c r="E11" s="35" t="inlineStr">
        <is>
          <t>↑</t>
        </is>
      </c>
      <c r="F11" s="23" t="inlineStr">
        <is>
          <t>🟠 مهم</t>
        </is>
      </c>
      <c r="G11" s="32" t="n">
        <v>0.05</v>
      </c>
      <c r="H11" s="37" t="n">
        <v>246</v>
      </c>
      <c r="I11" s="38" t="inlineStr">
        <is>
          <t>246 علامة</t>
        </is>
      </c>
      <c r="J11" s="39" t="inlineStr">
        <is>
          <t>الاستدامة</t>
        </is>
      </c>
      <c r="K11" s="31" t="inlineStr">
        <is>
          <t>منظومة التأجير</t>
        </is>
      </c>
      <c r="L11" s="23" t="inlineStr">
        <is>
          <t>العمليات الداخلية</t>
        </is>
      </c>
      <c r="M11" s="40" t="n">
        <v>202.6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الإبداع والتكامل</t>
        </is>
      </c>
      <c r="C12" s="9" t="inlineStr">
        <is>
          <t>نسبة تأجير ساحة درب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🟠 مهم</t>
        </is>
      </c>
      <c r="G12" s="32" t="n">
        <v>0.05</v>
      </c>
      <c r="H12" s="32" t="n">
        <v>0.8</v>
      </c>
      <c r="I12" s="38" t="inlineStr">
        <is>
          <t>≥ 80%</t>
        </is>
      </c>
      <c r="J12" s="39" t="inlineStr">
        <is>
          <t>الابتكار</t>
        </is>
      </c>
      <c r="K12" s="31" t="inlineStr">
        <is>
          <t>ساحات درب</t>
        </is>
      </c>
      <c r="L12" s="23" t="inlineStr">
        <is>
          <t>العمليات الداخلية</t>
        </is>
      </c>
      <c r="M12" s="42" t="n">
        <v>0.671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الإبداع والتكامل</t>
        </is>
      </c>
      <c r="C13" s="9" t="inlineStr">
        <is>
          <t>علامات تجارية جديدة (ساحة درب)</t>
        </is>
      </c>
      <c r="D13" s="35" t="inlineStr">
        <is>
          <t>علامة</t>
        </is>
      </c>
      <c r="E13" s="35" t="inlineStr">
        <is>
          <t>↑</t>
        </is>
      </c>
      <c r="F13" s="23" t="inlineStr">
        <is>
          <t>🟠 مهم</t>
        </is>
      </c>
      <c r="G13" s="32" t="n">
        <v>0.05</v>
      </c>
      <c r="H13" s="37" t="n">
        <v>6</v>
      </c>
      <c r="I13" s="38" t="inlineStr">
        <is>
          <t>6 علامات</t>
        </is>
      </c>
      <c r="J13" s="39" t="inlineStr">
        <is>
          <t>الابتكار</t>
        </is>
      </c>
      <c r="K13" s="31" t="inlineStr">
        <is>
          <t>ساحات درب</t>
        </is>
      </c>
      <c r="L13" s="23" t="inlineStr">
        <is>
          <t>العمليات الداخلية</t>
        </is>
      </c>
      <c r="M13" s="40" t="n">
        <v>5.769</v>
      </c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الإبداع والتكامل</t>
        </is>
      </c>
      <c r="C14" s="9" t="inlineStr">
        <is>
          <t>الشراكات الاستراتيجية</t>
        </is>
      </c>
      <c r="D14" s="35" t="inlineStr">
        <is>
          <t>شراكة</t>
        </is>
      </c>
      <c r="E14" s="35" t="inlineStr">
        <is>
          <t>↑</t>
        </is>
      </c>
      <c r="F14" s="23" t="inlineStr">
        <is>
          <t>🟠 مهم</t>
        </is>
      </c>
      <c r="G14" s="32" t="n">
        <v>0.05</v>
      </c>
      <c r="H14" s="37" t="n">
        <v>5</v>
      </c>
      <c r="I14" s="38" t="inlineStr">
        <is>
          <t>5 شراكات</t>
        </is>
      </c>
      <c r="J14" s="39" t="inlineStr">
        <is>
          <t>الابتكار</t>
        </is>
      </c>
      <c r="K14" s="31" t="inlineStr">
        <is>
          <t>إطلاق مشاريع جديدة</t>
        </is>
      </c>
      <c r="L14" s="23" t="inlineStr">
        <is>
          <t>التعلّم والنمو</t>
        </is>
      </c>
      <c r="M14" s="40" t="n">
        <v>4.59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إدارة الأملاك</t>
        </is>
      </c>
      <c r="C15" s="9" t="inlineStr">
        <is>
          <t>نسبة تجديد العقود</t>
        </is>
      </c>
      <c r="D15" s="35" t="inlineStr">
        <is>
          <t>%</t>
        </is>
      </c>
      <c r="E15" s="35" t="inlineStr">
        <is>
          <t>↑</t>
        </is>
      </c>
      <c r="F15" s="23" t="inlineStr">
        <is>
          <t>🔴 رئيسي</t>
        </is>
      </c>
      <c r="G15" s="32" t="n">
        <v>0.08</v>
      </c>
      <c r="H15" s="32" t="n">
        <v>1</v>
      </c>
      <c r="I15" s="38" t="inlineStr">
        <is>
          <t>100%</t>
        </is>
      </c>
      <c r="J15" s="39" t="inlineStr">
        <is>
          <t>الاستدامة</t>
        </is>
      </c>
      <c r="K15" s="31" t="inlineStr">
        <is>
          <t>منظومة التأجير</t>
        </is>
      </c>
      <c r="L15" s="23" t="inlineStr">
        <is>
          <t>العمليات الداخلية</t>
        </is>
      </c>
      <c r="M15" s="42" t="n">
        <v>0.792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تنسيق المشاريع</t>
        </is>
      </c>
      <c r="C16" s="9" t="inlineStr">
        <is>
          <t>متوسط زمن تسليم الوحدة</t>
        </is>
      </c>
      <c r="D16" s="35" t="inlineStr">
        <is>
          <t>يوم</t>
        </is>
      </c>
      <c r="E16" s="35" t="inlineStr">
        <is>
          <t>↓</t>
        </is>
      </c>
      <c r="F16" s="23" t="inlineStr">
        <is>
          <t>🟠 مهم</t>
        </is>
      </c>
      <c r="G16" s="32" t="n">
        <v>0.05</v>
      </c>
      <c r="H16" s="43" t="n">
        <v>7</v>
      </c>
      <c r="I16" s="38" t="inlineStr">
        <is>
          <t>≤ 7 أيام</t>
        </is>
      </c>
      <c r="J16" s="39" t="inlineStr">
        <is>
          <t>الاستدامة</t>
        </is>
      </c>
      <c r="K16" s="31" t="inlineStr">
        <is>
          <t>جودة التشغيل</t>
        </is>
      </c>
      <c r="L16" s="23" t="inlineStr">
        <is>
          <t>العمليات الداخلية</t>
        </is>
      </c>
      <c r="M16" s="44" t="n">
        <v>7.983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تنسيق المشاريع</t>
        </is>
      </c>
      <c r="C17" s="9" t="inlineStr">
        <is>
          <t>نسبة إغلاق الطلبات خلال 3 أسابيع</t>
        </is>
      </c>
      <c r="D17" s="35" t="inlineStr">
        <is>
          <t>%</t>
        </is>
      </c>
      <c r="E17" s="35" t="inlineStr">
        <is>
          <t>↑</t>
        </is>
      </c>
      <c r="F17" s="23" t="inlineStr">
        <is>
          <t>🟠 مهم</t>
        </is>
      </c>
      <c r="G17" s="32" t="n">
        <v>0.05</v>
      </c>
      <c r="H17" s="32" t="n">
        <v>0.9</v>
      </c>
      <c r="I17" s="38" t="inlineStr">
        <is>
          <t>&gt; 90%</t>
        </is>
      </c>
      <c r="J17" s="39" t="inlineStr">
        <is>
          <t>الاستدامة</t>
        </is>
      </c>
      <c r="K17" s="31" t="inlineStr">
        <is>
          <t>جودة التشغيل</t>
        </is>
      </c>
      <c r="L17" s="23" t="inlineStr">
        <is>
          <t>العمليات الداخلية</t>
        </is>
      </c>
      <c r="M17" s="42" t="n">
        <v>0.698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الجودة والاستدامة</t>
        </is>
      </c>
      <c r="C18" s="9" t="inlineStr">
        <is>
          <t>استدامة المستأجرين (لم يُنهَ مبكراً)</t>
        </is>
      </c>
      <c r="D18" s="35" t="inlineStr">
        <is>
          <t>%</t>
        </is>
      </c>
      <c r="E18" s="35" t="inlineStr">
        <is>
          <t>↑</t>
        </is>
      </c>
      <c r="F18" s="23" t="inlineStr">
        <is>
          <t>🟠 مهم</t>
        </is>
      </c>
      <c r="G18" s="32" t="n">
        <v>0.05</v>
      </c>
      <c r="H18" s="32" t="n">
        <v>0.8</v>
      </c>
      <c r="I18" s="38" t="inlineStr">
        <is>
          <t>≥ 80%</t>
        </is>
      </c>
      <c r="J18" s="39" t="inlineStr">
        <is>
          <t>الاستدامة</t>
        </is>
      </c>
      <c r="K18" s="31" t="inlineStr">
        <is>
          <t>تعزيز تجربة العملاء</t>
        </is>
      </c>
      <c r="L18" s="23" t="inlineStr">
        <is>
          <t>العملاء</t>
        </is>
      </c>
      <c r="M18" s="42" t="n">
        <v>0.695</v>
      </c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  <row r="19" ht="24" customHeight="1">
      <c r="A19" s="15" t="n">
        <v>16</v>
      </c>
      <c r="B19" s="9" t="inlineStr">
        <is>
          <t>الجودة والاستدامة</t>
        </is>
      </c>
      <c r="C19" s="9" t="inlineStr">
        <is>
          <t>معدل رضا المستأجرين (استبيان ربعي)</t>
        </is>
      </c>
      <c r="D19" s="35" t="inlineStr">
        <is>
          <t>%</t>
        </is>
      </c>
      <c r="E19" s="35" t="inlineStr">
        <is>
          <t>↑</t>
        </is>
      </c>
      <c r="F19" s="23" t="inlineStr">
        <is>
          <t>🔴 رئيسي</t>
        </is>
      </c>
      <c r="G19" s="32" t="n">
        <v>0.07000000000000001</v>
      </c>
      <c r="H19" s="32" t="n">
        <v>0.9</v>
      </c>
      <c r="I19" s="38" t="inlineStr">
        <is>
          <t>≥ 90%</t>
        </is>
      </c>
      <c r="J19" s="39" t="inlineStr">
        <is>
          <t>الاستدامة</t>
        </is>
      </c>
      <c r="K19" s="31" t="inlineStr">
        <is>
          <t>تعزيز تجربة العملاء</t>
        </is>
      </c>
      <c r="L19" s="23" t="inlineStr">
        <is>
          <t>العملاء</t>
        </is>
      </c>
      <c r="M19" s="42" t="n">
        <v>0.894</v>
      </c>
      <c r="N19" s="16">
        <f>IF($H19="","",IF($M19="","",MIN(1,IF($H19=0,IF($M19&lt;=0,1,0),IF($E19="↓",IFERROR($H19/$M19,0),IFERROR($M19/$H19,0))))))</f>
        <v/>
      </c>
      <c r="O19" s="15">
        <f>IF($N19="","⏳ بانتظار هدف",IF($N19&gt;=1,"✅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أداء المشاريع</t>
        </is>
      </c>
      <c r="C4" s="9" t="inlineStr">
        <is>
          <t>نسبة إنجاز محفظة مشاريع التحول الرقمي</t>
        </is>
      </c>
      <c r="D4" s="35" t="inlineStr">
        <is>
          <t>%</t>
        </is>
      </c>
      <c r="E4" s="35" t="inlineStr">
        <is>
          <t>↑</t>
        </is>
      </c>
      <c r="F4" s="23" t="inlineStr">
        <is>
          <t>🟠 مهم</t>
        </is>
      </c>
      <c r="G4" s="32" t="n">
        <v>0.1</v>
      </c>
      <c r="H4" s="32" t="n">
        <v>1</v>
      </c>
      <c r="I4" s="38" t="inlineStr">
        <is>
          <t>100%</t>
        </is>
      </c>
      <c r="J4" s="39" t="inlineStr">
        <is>
          <t>الابتكار</t>
        </is>
      </c>
      <c r="K4" s="31" t="inlineStr">
        <is>
          <t>التحول التقني</t>
        </is>
      </c>
      <c r="L4" s="23" t="inlineStr">
        <is>
          <t>التعلّم والنمو</t>
        </is>
      </c>
      <c r="M4" s="42" t="n">
        <v>0.06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أداء المشاريع</t>
        </is>
      </c>
      <c r="C5" s="9" t="inlineStr">
        <is>
          <t>معدل تسليم المشاريع في الموعد المحدد</t>
        </is>
      </c>
      <c r="D5" s="35" t="inlineStr">
        <is>
          <t>%</t>
        </is>
      </c>
      <c r="E5" s="35" t="inlineStr">
        <is>
          <t>↑</t>
        </is>
      </c>
      <c r="F5" s="23" t="inlineStr">
        <is>
          <t>🟠 مهم</t>
        </is>
      </c>
      <c r="G5" s="32" t="n">
        <v>0.1</v>
      </c>
      <c r="H5" s="32" t="n">
        <v>0.9</v>
      </c>
      <c r="I5" s="38" t="inlineStr">
        <is>
          <t>≥ 90%</t>
        </is>
      </c>
      <c r="J5" s="39" t="inlineStr">
        <is>
          <t>الابتكار</t>
        </is>
      </c>
      <c r="K5" s="31" t="inlineStr">
        <is>
          <t>التحول التقني</t>
        </is>
      </c>
      <c r="L5" s="23" t="inlineStr">
        <is>
          <t>العمليات الداخلية</t>
        </is>
      </c>
      <c r="M5" s="42" t="n">
        <v>0.83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أداء المشاريع</t>
        </is>
      </c>
      <c r="C6" s="9" t="inlineStr">
        <is>
          <t>نسبة الالتزام بميزانية المشاريع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🟠 مهم</t>
        </is>
      </c>
      <c r="G6" s="32" t="n">
        <v>0.1</v>
      </c>
      <c r="H6" s="32" t="n">
        <v>0.95</v>
      </c>
      <c r="I6" s="38" t="inlineStr">
        <is>
          <t>≥ 95%</t>
        </is>
      </c>
      <c r="J6" s="39" t="inlineStr">
        <is>
          <t>الابتكار</t>
        </is>
      </c>
      <c r="K6" s="31" t="inlineStr">
        <is>
          <t>التحول التقني</t>
        </is>
      </c>
      <c r="L6" s="23" t="inlineStr">
        <is>
          <t>العمليات الداخلية</t>
        </is>
      </c>
      <c r="M6" s="42" t="n">
        <v>0.753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أداء المشاريع</t>
        </is>
      </c>
      <c r="C7" s="9" t="inlineStr">
        <is>
          <t>نسبة الالتزام بنطاق العمل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🟠 مهم</t>
        </is>
      </c>
      <c r="G7" s="32" t="n">
        <v>0.1</v>
      </c>
      <c r="H7" s="32" t="n">
        <v>0.95</v>
      </c>
      <c r="I7" s="38" t="inlineStr">
        <is>
          <t>≥ 95%</t>
        </is>
      </c>
      <c r="J7" s="39" t="inlineStr">
        <is>
          <t>الابتكار</t>
        </is>
      </c>
      <c r="K7" s="31" t="inlineStr">
        <is>
          <t>التحول التقني</t>
        </is>
      </c>
      <c r="L7" s="23" t="inlineStr">
        <is>
          <t>العمليات الداخلية</t>
        </is>
      </c>
      <c r="M7" s="42" t="n">
        <v>0.703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الكفاءة التشغيلية</t>
        </is>
      </c>
      <c r="C8" s="9" t="inlineStr">
        <is>
          <t>نسبة تفعيل الأنظمة الأساسية بالمحطات</t>
        </is>
      </c>
      <c r="D8" s="35" t="inlineStr">
        <is>
          <t>%</t>
        </is>
      </c>
      <c r="E8" s="35" t="inlineStr">
        <is>
          <t>↑</t>
        </is>
      </c>
      <c r="F8" s="23" t="inlineStr">
        <is>
          <t>🏁 معلم</t>
        </is>
      </c>
      <c r="G8" s="32" t="n">
        <v>0.15</v>
      </c>
      <c r="H8" s="32" t="n">
        <v>1</v>
      </c>
      <c r="I8" s="38" t="inlineStr">
        <is>
          <t>100%</t>
        </is>
      </c>
      <c r="J8" s="39" t="inlineStr">
        <is>
          <t>الاستدامة</t>
        </is>
      </c>
      <c r="K8" s="31" t="inlineStr">
        <is>
          <t>جودة التشغيل</t>
        </is>
      </c>
      <c r="L8" s="23" t="inlineStr">
        <is>
          <t>التعلّم والنمو</t>
        </is>
      </c>
      <c r="M8" s="42" t="n">
        <v>0.33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الكفاءة التشغيلية</t>
        </is>
      </c>
      <c r="C9" s="9" t="inlineStr">
        <is>
          <t>متوسط جاهزية أنظمة المركز الرئيسي (Uptime)</t>
        </is>
      </c>
      <c r="D9" s="35" t="inlineStr">
        <is>
          <t>%</t>
        </is>
      </c>
      <c r="E9" s="35" t="inlineStr">
        <is>
          <t>↑</t>
        </is>
      </c>
      <c r="F9" s="23" t="inlineStr">
        <is>
          <t>🔴 رئيسي</t>
        </is>
      </c>
      <c r="G9" s="32" t="n">
        <v>0.15</v>
      </c>
      <c r="H9" s="32" t="n">
        <v>0.99</v>
      </c>
      <c r="I9" s="38" t="inlineStr">
        <is>
          <t>≥ 99%</t>
        </is>
      </c>
      <c r="J9" s="39" t="inlineStr">
        <is>
          <t>الاستدامة</t>
        </is>
      </c>
      <c r="K9" s="31" t="inlineStr">
        <is>
          <t>جودة التشغيل</t>
        </is>
      </c>
      <c r="L9" s="23" t="inlineStr">
        <is>
          <t>التعلّم والنمو</t>
        </is>
      </c>
      <c r="M9" s="42" t="n">
        <v>0.9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الكفاءة التشغيلية</t>
        </is>
      </c>
      <c r="C10" s="9" t="inlineStr">
        <is>
          <t>نسبة الامتثال للأمن السيبراني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🟠 مهم</t>
        </is>
      </c>
      <c r="G10" s="32" t="n">
        <v>0.1</v>
      </c>
      <c r="H10" s="32" t="n">
        <v>1</v>
      </c>
      <c r="I10" s="38" t="inlineStr">
        <is>
          <t>100%</t>
        </is>
      </c>
      <c r="J10" s="39" t="inlineStr">
        <is>
          <t>الاستدامة</t>
        </is>
      </c>
      <c r="K10" s="31" t="inlineStr">
        <is>
          <t>جودة التشغيل</t>
        </is>
      </c>
      <c r="L10" s="23" t="inlineStr">
        <is>
          <t>التعلّم والنمو</t>
        </is>
      </c>
      <c r="M10" s="42" t="n">
        <v>0.3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الكفاءة التشغيلية</t>
        </is>
      </c>
      <c r="C11" s="9" t="inlineStr">
        <is>
          <t>متوسط زمن استجابة الدعم الفني</t>
        </is>
      </c>
      <c r="D11" s="35" t="inlineStr">
        <is>
          <t>ساعة</t>
        </is>
      </c>
      <c r="E11" s="35" t="inlineStr">
        <is>
          <t>↓</t>
        </is>
      </c>
      <c r="F11" s="23" t="inlineStr">
        <is>
          <t>🟠 مهم</t>
        </is>
      </c>
      <c r="G11" s="32" t="n">
        <v>0.1</v>
      </c>
      <c r="H11" s="43" t="n">
        <v>1</v>
      </c>
      <c r="I11" s="38" t="inlineStr">
        <is>
          <t>≤ ساعة</t>
        </is>
      </c>
      <c r="J11" s="39" t="inlineStr">
        <is>
          <t>الاستدامة</t>
        </is>
      </c>
      <c r="K11" s="31" t="inlineStr">
        <is>
          <t>جودة التشغيل</t>
        </is>
      </c>
      <c r="L11" s="23" t="inlineStr">
        <is>
          <t>العمليات الداخلية</t>
        </is>
      </c>
      <c r="M11" s="44" t="n">
        <v>0.8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الكفاءة التشغيلية</t>
        </is>
      </c>
      <c r="C12" s="9" t="inlineStr">
        <is>
          <t>نسبة التكامل الرقمي (ERP/واثق/الولاء)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🟠 مهم</t>
        </is>
      </c>
      <c r="G12" s="32" t="n">
        <v>0.1</v>
      </c>
      <c r="H12" s="32" t="n">
        <v>1</v>
      </c>
      <c r="I12" s="38" t="inlineStr">
        <is>
          <t>100%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التعلّم والنمو</t>
        </is>
      </c>
      <c r="M12" s="42" t="n">
        <v>0.2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</sheetData>
  <autoFilter ref="A3:O12"/>
  <mergeCells count="2">
    <mergeCell ref="A1:O1"/>
    <mergeCell ref="A2:O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التوظيف والتوطين</t>
        </is>
      </c>
      <c r="C4" s="9" t="inlineStr">
        <is>
          <t>نسبة السعودة / التوطين</t>
        </is>
      </c>
      <c r="D4" s="35" t="inlineStr">
        <is>
          <t>%</t>
        </is>
      </c>
      <c r="E4" s="35" t="inlineStr">
        <is>
          <t>↑</t>
        </is>
      </c>
      <c r="F4" s="23" t="inlineStr">
        <is>
          <t>🟠 مهم</t>
        </is>
      </c>
      <c r="G4" s="32" t="n">
        <v>0.06</v>
      </c>
      <c r="H4" s="35" t="inlineStr"/>
      <c r="I4" s="38" t="inlineStr">
        <is>
          <t>أخضر مرتفع (حسب الوزارة)</t>
        </is>
      </c>
      <c r="J4" s="39" t="inlineStr">
        <is>
          <t>الاستدامة</t>
        </is>
      </c>
      <c r="K4" s="31" t="inlineStr">
        <is>
          <t>الاستثمار في الموظفين</t>
        </is>
      </c>
      <c r="L4" s="23" t="inlineStr">
        <is>
          <t>التعلّم والنمو</t>
        </is>
      </c>
      <c r="M4" s="42" t="n"/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التوظيف والتوطين</t>
        </is>
      </c>
      <c r="C5" s="9" t="inlineStr">
        <is>
          <t>الارتقاء بآليات اختيار المرشحين</t>
        </is>
      </c>
      <c r="D5" s="35" t="inlineStr">
        <is>
          <t>%</t>
        </is>
      </c>
      <c r="E5" s="35" t="inlineStr">
        <is>
          <t>↑</t>
        </is>
      </c>
      <c r="F5" s="23" t="inlineStr">
        <is>
          <t>🟠 مهم</t>
        </is>
      </c>
      <c r="G5" s="32" t="n">
        <v>0.06</v>
      </c>
      <c r="H5" s="32" t="n">
        <v>1</v>
      </c>
      <c r="I5" s="38" t="inlineStr">
        <is>
          <t>100%</t>
        </is>
      </c>
      <c r="J5" s="39" t="inlineStr">
        <is>
          <t>الاستدامة</t>
        </is>
      </c>
      <c r="K5" s="31" t="inlineStr">
        <is>
          <t>الاستثمار في الموظفين</t>
        </is>
      </c>
      <c r="L5" s="23" t="inlineStr">
        <is>
          <t>العمليات الداخلية</t>
        </is>
      </c>
      <c r="M5" s="42" t="n">
        <v>0.723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التوظيف والتوطين</t>
        </is>
      </c>
      <c r="C6" s="9" t="inlineStr">
        <is>
          <t>نسبة شغل الشواغر خلال 30 يوم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🟠 مهم</t>
        </is>
      </c>
      <c r="G6" s="32" t="n">
        <v>0.06</v>
      </c>
      <c r="H6" s="32" t="n">
        <v>0.85</v>
      </c>
      <c r="I6" s="38" t="inlineStr">
        <is>
          <t>≥ 85%</t>
        </is>
      </c>
      <c r="J6" s="39" t="inlineStr">
        <is>
          <t>الاستدامة</t>
        </is>
      </c>
      <c r="K6" s="31" t="inlineStr">
        <is>
          <t>الاستثمار في الموظفين</t>
        </is>
      </c>
      <c r="L6" s="23" t="inlineStr">
        <is>
          <t>العمليات الداخلية</t>
        </is>
      </c>
      <c r="M6" s="42" t="n">
        <v>0.73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الاستبقاء</t>
        </is>
      </c>
      <c r="C7" s="9" t="inlineStr">
        <is>
          <t>معدل استبقاء الموظفين (Retention)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0.08</v>
      </c>
      <c r="H7" s="32" t="n">
        <v>0.9</v>
      </c>
      <c r="I7" s="38" t="inlineStr">
        <is>
          <t>≥ 90%</t>
        </is>
      </c>
      <c r="J7" s="39" t="inlineStr">
        <is>
          <t>الاستدامة</t>
        </is>
      </c>
      <c r="K7" s="31" t="inlineStr">
        <is>
          <t>الاستثمار في الموظفين</t>
        </is>
      </c>
      <c r="L7" s="23" t="inlineStr">
        <is>
          <t>التعلّم والنمو</t>
        </is>
      </c>
      <c r="M7" s="42" t="n">
        <v>0.795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الاستبقاء</t>
        </is>
      </c>
      <c r="C8" s="9" t="inlineStr">
        <is>
          <t>معدل دوران الموظفين (Turnover)</t>
        </is>
      </c>
      <c r="D8" s="35" t="inlineStr">
        <is>
          <t>%</t>
        </is>
      </c>
      <c r="E8" s="35" t="inlineStr">
        <is>
          <t>↓</t>
        </is>
      </c>
      <c r="F8" s="23" t="inlineStr">
        <is>
          <t>🟠 مهم</t>
        </is>
      </c>
      <c r="G8" s="32" t="n">
        <v>0.06</v>
      </c>
      <c r="H8" s="32" t="n">
        <v>0.1</v>
      </c>
      <c r="I8" s="38" t="inlineStr">
        <is>
          <t>≤ 10%</t>
        </is>
      </c>
      <c r="J8" s="39" t="inlineStr">
        <is>
          <t>الاستدامة</t>
        </is>
      </c>
      <c r="K8" s="31" t="inlineStr">
        <is>
          <t>الاستثمار في الموظفين</t>
        </is>
      </c>
      <c r="L8" s="23" t="inlineStr">
        <is>
          <t>التعلّم والنمو</t>
        </is>
      </c>
      <c r="M8" s="42" t="n">
        <v>0.111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التدريب والتطوير</t>
        </is>
      </c>
      <c r="C9" s="9" t="inlineStr">
        <is>
          <t>عدد الدورات الإدارية المنعقدة</t>
        </is>
      </c>
      <c r="D9" s="35" t="inlineStr">
        <is>
          <t>دورة</t>
        </is>
      </c>
      <c r="E9" s="35" t="inlineStr">
        <is>
          <t>↑</t>
        </is>
      </c>
      <c r="F9" s="23" t="inlineStr">
        <is>
          <t>🔴 رئيسي</t>
        </is>
      </c>
      <c r="G9" s="32" t="n">
        <v>0.08</v>
      </c>
      <c r="H9" s="37" t="n">
        <v>6</v>
      </c>
      <c r="I9" s="38" t="inlineStr">
        <is>
          <t>6 دورات</t>
        </is>
      </c>
      <c r="J9" s="39" t="inlineStr">
        <is>
          <t>الاستدامة</t>
        </is>
      </c>
      <c r="K9" s="31" t="inlineStr">
        <is>
          <t>الاستثمار في الموظفين</t>
        </is>
      </c>
      <c r="L9" s="23" t="inlineStr">
        <is>
          <t>العمليات الداخلية</t>
        </is>
      </c>
      <c r="M9" s="40" t="n">
        <v>4.53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التدريب والتطوير</t>
        </is>
      </c>
      <c r="C10" s="9" t="inlineStr">
        <is>
          <t>متوسط ساعات التدريب لكل موظف</t>
        </is>
      </c>
      <c r="D10" s="35" t="inlineStr">
        <is>
          <t>ساعة</t>
        </is>
      </c>
      <c r="E10" s="35" t="inlineStr">
        <is>
          <t>↑</t>
        </is>
      </c>
      <c r="F10" s="23" t="inlineStr">
        <is>
          <t>🟠 مهم</t>
        </is>
      </c>
      <c r="G10" s="32" t="n">
        <v>0.06</v>
      </c>
      <c r="H10" s="43" t="n">
        <v>40</v>
      </c>
      <c r="I10" s="38" t="inlineStr">
        <is>
          <t>≥ 40 ساعة</t>
        </is>
      </c>
      <c r="J10" s="39" t="inlineStr">
        <is>
          <t>الاستدامة</t>
        </is>
      </c>
      <c r="K10" s="31" t="inlineStr">
        <is>
          <t>الاستثمار في الموظفين</t>
        </is>
      </c>
      <c r="L10" s="23" t="inlineStr">
        <is>
          <t>التعلّم والنمو</t>
        </is>
      </c>
      <c r="M10" s="44" t="n">
        <v>33.6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التدريب والتطوير</t>
        </is>
      </c>
      <c r="C11" s="9" t="inlineStr">
        <is>
          <t>نسبة الموظفين المشمولين بخطة تطوير</t>
        </is>
      </c>
      <c r="D11" s="35" t="inlineStr">
        <is>
          <t>%</t>
        </is>
      </c>
      <c r="E11" s="35" t="inlineStr">
        <is>
          <t>↑</t>
        </is>
      </c>
      <c r="F11" s="23" t="inlineStr">
        <is>
          <t>🟠 مهم</t>
        </is>
      </c>
      <c r="G11" s="32" t="n">
        <v>0.05</v>
      </c>
      <c r="H11" s="32" t="n">
        <v>0.8</v>
      </c>
      <c r="I11" s="38" t="inlineStr">
        <is>
          <t>≥ 80%</t>
        </is>
      </c>
      <c r="J11" s="39" t="inlineStr">
        <is>
          <t>الاستدامة</t>
        </is>
      </c>
      <c r="K11" s="31" t="inlineStr">
        <is>
          <t>الاستثمار في الموظفين</t>
        </is>
      </c>
      <c r="L11" s="23" t="inlineStr">
        <is>
          <t>التعلّم والنمو</t>
        </is>
      </c>
      <c r="M11" s="42" t="n">
        <v>0.644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الرضا والثقافة</t>
        </is>
      </c>
      <c r="C12" s="9" t="inlineStr">
        <is>
          <t>مؤشر رضا الموظفين (eNPS)</t>
        </is>
      </c>
      <c r="D12" s="35" t="inlineStr">
        <is>
          <t>نقطة</t>
        </is>
      </c>
      <c r="E12" s="35" t="inlineStr">
        <is>
          <t>↑</t>
        </is>
      </c>
      <c r="F12" s="23" t="inlineStr">
        <is>
          <t>🔴 رئيسي</t>
        </is>
      </c>
      <c r="G12" s="32" t="n">
        <v>0.08</v>
      </c>
      <c r="H12" s="43" t="n">
        <v>30</v>
      </c>
      <c r="I12" s="38" t="inlineStr">
        <is>
          <t>≥ 30</t>
        </is>
      </c>
      <c r="J12" s="39" t="inlineStr">
        <is>
          <t>الاستدامة</t>
        </is>
      </c>
      <c r="K12" s="31" t="inlineStr">
        <is>
          <t>الاستثمار في الموظفين</t>
        </is>
      </c>
      <c r="L12" s="23" t="inlineStr">
        <is>
          <t>التعلّم والنمو</t>
        </is>
      </c>
      <c r="M12" s="44" t="n">
        <v>27.5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الرضا والثقافة</t>
        </is>
      </c>
      <c r="C13" s="9" t="inlineStr">
        <is>
          <t>تحسين مستوى الرضا الوظيفي</t>
        </is>
      </c>
      <c r="D13" s="35" t="inlineStr">
        <is>
          <t>%</t>
        </is>
      </c>
      <c r="E13" s="35" t="inlineStr">
        <is>
          <t>↑</t>
        </is>
      </c>
      <c r="F13" s="23" t="inlineStr">
        <is>
          <t>🔴 رئيسي</t>
        </is>
      </c>
      <c r="G13" s="32" t="n">
        <v>0.08</v>
      </c>
      <c r="H13" s="35" t="inlineStr"/>
      <c r="I13" s="38" t="inlineStr">
        <is>
          <t>مستهدف سنوي</t>
        </is>
      </c>
      <c r="J13" s="39" t="inlineStr">
        <is>
          <t>الاستدامة</t>
        </is>
      </c>
      <c r="K13" s="31" t="inlineStr">
        <is>
          <t>الاستثمار في الموظفين</t>
        </is>
      </c>
      <c r="L13" s="23" t="inlineStr">
        <is>
          <t>العملاء</t>
        </is>
      </c>
      <c r="M13" s="42" t="n"/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الرضا والثقافة</t>
        </is>
      </c>
      <c r="C14" s="9" t="inlineStr">
        <is>
          <t>ترسيخ القيم والثقافة المؤسسية</t>
        </is>
      </c>
      <c r="D14" s="35" t="inlineStr">
        <is>
          <t>%</t>
        </is>
      </c>
      <c r="E14" s="35" t="inlineStr">
        <is>
          <t>↑</t>
        </is>
      </c>
      <c r="F14" s="23" t="inlineStr">
        <is>
          <t>🏁 معلم</t>
        </is>
      </c>
      <c r="G14" s="32" t="n">
        <v>0.05</v>
      </c>
      <c r="H14" s="32" t="n">
        <v>1</v>
      </c>
      <c r="I14" s="38" t="inlineStr">
        <is>
          <t>100%</t>
        </is>
      </c>
      <c r="J14" s="39" t="inlineStr">
        <is>
          <t>الاستدامة</t>
        </is>
      </c>
      <c r="K14" s="31" t="inlineStr">
        <is>
          <t>الاستثمار في الموظفين</t>
        </is>
      </c>
      <c r="L14" s="23" t="inlineStr">
        <is>
          <t>العمليات الداخلية</t>
        </is>
      </c>
      <c r="M14" s="42" t="n">
        <v>0.742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الأتمتة والتوثيق</t>
        </is>
      </c>
      <c r="C15" s="9" t="inlineStr">
        <is>
          <t>نسبة أتمتة عمليات الموارد البشرية</t>
        </is>
      </c>
      <c r="D15" s="35" t="inlineStr">
        <is>
          <t>%</t>
        </is>
      </c>
      <c r="E15" s="35" t="inlineStr">
        <is>
          <t>↑</t>
        </is>
      </c>
      <c r="F15" s="23" t="inlineStr">
        <is>
          <t>🏁 معلم</t>
        </is>
      </c>
      <c r="G15" s="32" t="n">
        <v>0.05</v>
      </c>
      <c r="H15" s="32" t="n">
        <v>1</v>
      </c>
      <c r="I15" s="38" t="inlineStr">
        <is>
          <t>100%</t>
        </is>
      </c>
      <c r="J15" s="39" t="inlineStr">
        <is>
          <t>الابتكار</t>
        </is>
      </c>
      <c r="K15" s="31" t="inlineStr">
        <is>
          <t>التحول التقني</t>
        </is>
      </c>
      <c r="L15" s="23" t="inlineStr">
        <is>
          <t>التعلّم والنمو</t>
        </is>
      </c>
      <c r="M15" s="42" t="n">
        <v>0.84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الأتمتة والتوثيق</t>
        </is>
      </c>
      <c r="C16" s="9" t="inlineStr">
        <is>
          <t>نسبة توثيق أنظمة العمل</t>
        </is>
      </c>
      <c r="D16" s="35" t="inlineStr">
        <is>
          <t>%</t>
        </is>
      </c>
      <c r="E16" s="35" t="inlineStr">
        <is>
          <t>↑</t>
        </is>
      </c>
      <c r="F16" s="23" t="inlineStr">
        <is>
          <t>🟡 متابعة</t>
        </is>
      </c>
      <c r="G16" s="32" t="n">
        <v>0.03</v>
      </c>
      <c r="H16" s="32" t="n">
        <v>0.8</v>
      </c>
      <c r="I16" s="38" t="inlineStr">
        <is>
          <t>≥ 80%</t>
        </is>
      </c>
      <c r="J16" s="39" t="inlineStr">
        <is>
          <t>الاستدامة</t>
        </is>
      </c>
      <c r="K16" s="31" t="inlineStr">
        <is>
          <t>جودة التشغيل</t>
        </is>
      </c>
      <c r="L16" s="23" t="inlineStr">
        <is>
          <t>التعلّم والنمو</t>
        </is>
      </c>
      <c r="M16" s="42" t="n">
        <v>0.775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الأتمتة والتوثيق</t>
        </is>
      </c>
      <c r="C17" s="9" t="inlineStr">
        <is>
          <t>ترسيخ الأنظمة الإدارية</t>
        </is>
      </c>
      <c r="D17" s="35" t="inlineStr">
        <is>
          <t>%</t>
        </is>
      </c>
      <c r="E17" s="35" t="inlineStr">
        <is>
          <t>↑</t>
        </is>
      </c>
      <c r="F17" s="23" t="inlineStr">
        <is>
          <t>🟠 مهم</t>
        </is>
      </c>
      <c r="G17" s="32" t="n">
        <v>0.05</v>
      </c>
      <c r="H17" s="32" t="n">
        <v>0.8</v>
      </c>
      <c r="I17" s="38" t="inlineStr">
        <is>
          <t>≥ 80%</t>
        </is>
      </c>
      <c r="J17" s="39" t="inlineStr">
        <is>
          <t>الاستدامة</t>
        </is>
      </c>
      <c r="K17" s="31" t="inlineStr">
        <is>
          <t>جودة التشغيل</t>
        </is>
      </c>
      <c r="L17" s="23" t="inlineStr">
        <is>
          <t>التعلّم والنمو</t>
        </is>
      </c>
      <c r="M17" s="42" t="n">
        <v>0.671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الهيكلة</t>
        </is>
      </c>
      <c r="C18" s="9" t="inlineStr">
        <is>
          <t>اعتماد الهيكل التنظيمي</t>
        </is>
      </c>
      <c r="D18" s="35" t="inlineStr">
        <is>
          <t>%</t>
        </is>
      </c>
      <c r="E18" s="35" t="inlineStr">
        <is>
          <t>↑</t>
        </is>
      </c>
      <c r="F18" s="23" t="inlineStr">
        <is>
          <t>🏁 معلم</t>
        </is>
      </c>
      <c r="G18" s="32" t="n">
        <v>0.05</v>
      </c>
      <c r="H18" s="32" t="n">
        <v>1</v>
      </c>
      <c r="I18" s="38" t="inlineStr">
        <is>
          <t>100%</t>
        </is>
      </c>
      <c r="J18" s="39" t="inlineStr">
        <is>
          <t>الاستدامة</t>
        </is>
      </c>
      <c r="K18" s="31" t="inlineStr">
        <is>
          <t>جودة التشغيل</t>
        </is>
      </c>
      <c r="L18" s="23" t="inlineStr">
        <is>
          <t>العمليات الداخلية</t>
        </is>
      </c>
      <c r="M18" s="42" t="n">
        <v>0.984</v>
      </c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  <row r="19" ht="24" customHeight="1">
      <c r="A19" s="15" t="n">
        <v>16</v>
      </c>
      <c r="B19" s="9" t="inlineStr">
        <is>
          <t>الهيكلة</t>
        </is>
      </c>
      <c r="C19" s="9" t="inlineStr">
        <is>
          <t>اكتمال الأوصاف الوظيفية (+KPI)</t>
        </is>
      </c>
      <c r="D19" s="35" t="inlineStr">
        <is>
          <t>%</t>
        </is>
      </c>
      <c r="E19" s="35" t="inlineStr">
        <is>
          <t>↑</t>
        </is>
      </c>
      <c r="F19" s="23" t="inlineStr">
        <is>
          <t>🏁 معلم</t>
        </is>
      </c>
      <c r="G19" s="32" t="n">
        <v>0.05</v>
      </c>
      <c r="H19" s="32" t="n">
        <v>1</v>
      </c>
      <c r="I19" s="38" t="inlineStr">
        <is>
          <t>100%</t>
        </is>
      </c>
      <c r="J19" s="39" t="inlineStr">
        <is>
          <t>الاستدامة</t>
        </is>
      </c>
      <c r="K19" s="31" t="inlineStr">
        <is>
          <t>جودة التشغيل</t>
        </is>
      </c>
      <c r="L19" s="23" t="inlineStr">
        <is>
          <t>العمليات الداخلية</t>
        </is>
      </c>
      <c r="M19" s="42" t="n">
        <v>0.926</v>
      </c>
      <c r="N19" s="16">
        <f>IF($H19="","",IF($M19="","",MIN(1,IF($H19=0,IF($M19&lt;=0,1,0),IF($E19="↓",IFERROR($H19/$M19,0),IFERROR($M19/$H19,0))))))</f>
        <v/>
      </c>
      <c r="O19" s="15">
        <f>IF($N19="","⏳ بانتظار هدف",IF($N19&gt;=1,"✅ محقق",IF($N19&gt;=0.85,"🟡 قريب","🔴 تحت الهدف")))</f>
        <v/>
      </c>
    </row>
    <row r="20" ht="24" customHeight="1">
      <c r="A20" s="15" t="n">
        <v>17</v>
      </c>
      <c r="B20" s="9" t="inlineStr">
        <is>
          <t>الأداء</t>
        </is>
      </c>
      <c r="C20" s="9" t="inlineStr">
        <is>
          <t>نسبة إنجاز تقييمات الأداء في موعدها</t>
        </is>
      </c>
      <c r="D20" s="35" t="inlineStr">
        <is>
          <t>%</t>
        </is>
      </c>
      <c r="E20" s="35" t="inlineStr">
        <is>
          <t>↑</t>
        </is>
      </c>
      <c r="F20" s="23" t="inlineStr">
        <is>
          <t>🟠 مهم</t>
        </is>
      </c>
      <c r="G20" s="32" t="n">
        <v>0.05</v>
      </c>
      <c r="H20" s="32" t="n">
        <v>1</v>
      </c>
      <c r="I20" s="38" t="inlineStr">
        <is>
          <t>100%</t>
        </is>
      </c>
      <c r="J20" s="39" t="inlineStr">
        <is>
          <t>الاستدامة</t>
        </is>
      </c>
      <c r="K20" s="31" t="inlineStr">
        <is>
          <t>الاستثمار في الموظفين</t>
        </is>
      </c>
      <c r="L20" s="23" t="inlineStr">
        <is>
          <t>العمليات الداخلية</t>
        </is>
      </c>
      <c r="M20" s="42" t="n">
        <v>0.8080000000000001</v>
      </c>
      <c r="N20" s="16">
        <f>IF($H20="","",IF($M20="","",MIN(1,IF($H20=0,IF($M20&lt;=0,1,0),IF($E20="↓",IFERROR($H20/$M20,0),IFERROR($M20/$H20,0))))))</f>
        <v/>
      </c>
      <c r="O20" s="15">
        <f>IF($N20="","⏳ بانتظار هدف",IF($N20&gt;=1,"✅ محقق",IF($N20&gt;=0.85,"🟡 قريب","🔴 تحت الهدف")))</f>
        <v/>
      </c>
    </row>
  </sheetData>
  <autoFilter ref="A3:O20"/>
  <mergeCells count="2">
    <mergeCell ref="A1:O1"/>
    <mergeCell ref="A2:O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التسويق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الإدارة العامة</t>
        </is>
      </c>
      <c r="C4" s="9" t="inlineStr">
        <is>
          <t>الوصول الكلي (Total Reach)</t>
        </is>
      </c>
      <c r="D4" s="35" t="inlineStr">
        <is>
          <t>وصول</t>
        </is>
      </c>
      <c r="E4" s="35" t="inlineStr">
        <is>
          <t>↑</t>
        </is>
      </c>
      <c r="F4" s="23" t="inlineStr">
        <is>
          <t>🔴 رئيسي</t>
        </is>
      </c>
      <c r="G4" s="32" t="n">
        <v>0.08</v>
      </c>
      <c r="H4" s="37" t="n">
        <v>50000000</v>
      </c>
      <c r="I4" s="38" t="inlineStr">
        <is>
          <t>50م وصول</t>
        </is>
      </c>
      <c r="J4" s="39" t="inlineStr">
        <is>
          <t>النمو</t>
        </is>
      </c>
      <c r="K4" s="31" t="inlineStr">
        <is>
          <t>زيادة وصول العملاء</t>
        </is>
      </c>
      <c r="L4" s="23" t="inlineStr">
        <is>
          <t>العملاء</t>
        </is>
      </c>
      <c r="M4" s="40" t="n">
        <v>5000000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الإدارة العامة</t>
        </is>
      </c>
      <c r="C5" s="9" t="inlineStr">
        <is>
          <t>عملاء تجاريون جدد</t>
        </is>
      </c>
      <c r="D5" s="35" t="inlineStr">
        <is>
          <t>عميل</t>
        </is>
      </c>
      <c r="E5" s="35" t="inlineStr">
        <is>
          <t>↑</t>
        </is>
      </c>
      <c r="F5" s="23" t="inlineStr">
        <is>
          <t>🟠 مهم</t>
        </is>
      </c>
      <c r="G5" s="32" t="n">
        <v>0.06</v>
      </c>
      <c r="H5" s="37" t="n">
        <v>200</v>
      </c>
      <c r="I5" s="38" t="inlineStr">
        <is>
          <t>200 عميل</t>
        </is>
      </c>
      <c r="J5" s="39" t="inlineStr">
        <is>
          <t>النمو</t>
        </is>
      </c>
      <c r="K5" s="31" t="inlineStr">
        <is>
          <t>زيادة وصول العملاء</t>
        </is>
      </c>
      <c r="L5" s="23" t="inlineStr">
        <is>
          <t>العملاء</t>
        </is>
      </c>
      <c r="M5" s="40" t="n">
        <v>1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الفريق الإبداعي</t>
        </is>
      </c>
      <c r="C6" s="9" t="inlineStr">
        <is>
          <t>إجمالي المتابعين (كل المنصات)</t>
        </is>
      </c>
      <c r="D6" s="35" t="inlineStr">
        <is>
          <t>متابع</t>
        </is>
      </c>
      <c r="E6" s="35" t="inlineStr">
        <is>
          <t>↑</t>
        </is>
      </c>
      <c r="F6" s="23" t="inlineStr">
        <is>
          <t>🔴 رئيسي</t>
        </is>
      </c>
      <c r="G6" s="32" t="n">
        <v>0.08</v>
      </c>
      <c r="H6" s="37" t="n">
        <v>380000</v>
      </c>
      <c r="I6" s="38" t="inlineStr">
        <is>
          <t>380ك متابع</t>
        </is>
      </c>
      <c r="J6" s="39" t="inlineStr">
        <is>
          <t>النمو</t>
        </is>
      </c>
      <c r="K6" s="31" t="inlineStr">
        <is>
          <t>زيادة وصول العملاء</t>
        </is>
      </c>
      <c r="L6" s="23" t="inlineStr">
        <is>
          <t>العملاء</t>
        </is>
      </c>
      <c r="M6" s="40" t="n">
        <v>253000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الفريق الإبداعي</t>
        </is>
      </c>
      <c r="C7" s="9" t="inlineStr">
        <is>
          <t>معدل التفاعل (Engagement)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0.08</v>
      </c>
      <c r="H7" s="32" t="n">
        <v>0.5</v>
      </c>
      <c r="I7" s="38" t="inlineStr">
        <is>
          <t>50%</t>
        </is>
      </c>
      <c r="J7" s="39" t="inlineStr">
        <is>
          <t>النمو</t>
        </is>
      </c>
      <c r="K7" s="31" t="inlineStr">
        <is>
          <t>زيادة وصول العملاء</t>
        </is>
      </c>
      <c r="L7" s="23" t="inlineStr">
        <is>
          <t>العملاء</t>
        </is>
      </c>
      <c r="M7" s="42" t="n">
        <v>0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الحملات التسويقية</t>
        </is>
      </c>
      <c r="C8" s="9" t="inlineStr">
        <is>
          <t>حملات تسويقية منجزة</t>
        </is>
      </c>
      <c r="D8" s="35" t="inlineStr">
        <is>
          <t>حملة</t>
        </is>
      </c>
      <c r="E8" s="35" t="inlineStr">
        <is>
          <t>↑</t>
        </is>
      </c>
      <c r="F8" s="23" t="inlineStr">
        <is>
          <t>🟠 مهم</t>
        </is>
      </c>
      <c r="G8" s="32" t="n">
        <v>0.06</v>
      </c>
      <c r="H8" s="37" t="n">
        <v>48</v>
      </c>
      <c r="I8" s="38" t="inlineStr">
        <is>
          <t>48 حملة</t>
        </is>
      </c>
      <c r="J8" s="39" t="inlineStr">
        <is>
          <t>النمو</t>
        </is>
      </c>
      <c r="K8" s="31" t="inlineStr">
        <is>
          <t>زيادة وصول العملاء</t>
        </is>
      </c>
      <c r="L8" s="23" t="inlineStr">
        <is>
          <t>العمليات الداخلية</t>
        </is>
      </c>
      <c r="M8" s="40" t="n">
        <v>11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الحملات التسويقية</t>
        </is>
      </c>
      <c r="C9" s="9" t="inlineStr">
        <is>
          <t>تحويل الفرص إلى عقود</t>
        </is>
      </c>
      <c r="D9" s="35" t="inlineStr">
        <is>
          <t>%</t>
        </is>
      </c>
      <c r="E9" s="35" t="inlineStr">
        <is>
          <t>↑</t>
        </is>
      </c>
      <c r="F9" s="23" t="inlineStr">
        <is>
          <t>🔴 رئيسي</t>
        </is>
      </c>
      <c r="G9" s="32" t="n">
        <v>0.08</v>
      </c>
      <c r="H9" s="32" t="n">
        <v>0.25</v>
      </c>
      <c r="I9" s="38" t="inlineStr">
        <is>
          <t>25%</t>
        </is>
      </c>
      <c r="J9" s="39" t="inlineStr">
        <is>
          <t>النمو</t>
        </is>
      </c>
      <c r="K9" s="31" t="inlineStr">
        <is>
          <t>زيادة وصول العملاء</t>
        </is>
      </c>
      <c r="L9" s="23" t="inlineStr">
        <is>
          <t>العمليات الداخلية</t>
        </is>
      </c>
      <c r="M9" s="42" t="n">
        <v>0.17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الحملات التسويقية</t>
        </is>
      </c>
      <c r="C10" s="9" t="inlineStr">
        <is>
          <t>نسبة المبيعات لكل حملة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🔴 رئيسي</t>
        </is>
      </c>
      <c r="G10" s="32" t="n">
        <v>0.08</v>
      </c>
      <c r="H10" s="32" t="n">
        <v>1</v>
      </c>
      <c r="I10" s="38" t="inlineStr">
        <is>
          <t>100%</t>
        </is>
      </c>
      <c r="J10" s="39" t="inlineStr">
        <is>
          <t>النمو</t>
        </is>
      </c>
      <c r="K10" s="31" t="inlineStr">
        <is>
          <t>زيادة وصول العملاء</t>
        </is>
      </c>
      <c r="L10" s="23" t="inlineStr">
        <is>
          <t>مالي</t>
        </is>
      </c>
      <c r="M10" s="42" t="n">
        <v>0.16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الدعاية والإعلان</t>
        </is>
      </c>
      <c r="C11" s="9" t="inlineStr">
        <is>
          <t>نسبة التزام الهوية البصرية</t>
        </is>
      </c>
      <c r="D11" s="35" t="inlineStr">
        <is>
          <t>%</t>
        </is>
      </c>
      <c r="E11" s="35" t="inlineStr">
        <is>
          <t>↑</t>
        </is>
      </c>
      <c r="F11" s="23" t="inlineStr">
        <is>
          <t>🔴 رئيسي</t>
        </is>
      </c>
      <c r="G11" s="32" t="n">
        <v>0.08</v>
      </c>
      <c r="H11" s="32" t="n">
        <v>1</v>
      </c>
      <c r="I11" s="38" t="inlineStr">
        <is>
          <t>100%</t>
        </is>
      </c>
      <c r="J11" s="39" t="inlineStr">
        <is>
          <t>الابتكار</t>
        </is>
      </c>
      <c r="K11" s="31" t="inlineStr">
        <is>
          <t>تطوير التصاميم والهوية</t>
        </is>
      </c>
      <c r="L11" s="23" t="inlineStr">
        <is>
          <t>التعلّم والنمو</t>
        </is>
      </c>
      <c r="M11" s="42" t="n">
        <v>0.1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العلاقات والشراكات</t>
        </is>
      </c>
      <c r="C12" s="9" t="inlineStr">
        <is>
          <t>وصول العلاقات العامة (PR)</t>
        </is>
      </c>
      <c r="D12" s="35" t="inlineStr">
        <is>
          <t>وصول</t>
        </is>
      </c>
      <c r="E12" s="35" t="inlineStr">
        <is>
          <t>↑</t>
        </is>
      </c>
      <c r="F12" s="23" t="inlineStr">
        <is>
          <t>🟠 مهم</t>
        </is>
      </c>
      <c r="G12" s="32" t="n">
        <v>0.06</v>
      </c>
      <c r="H12" s="37" t="n">
        <v>7000000</v>
      </c>
      <c r="I12" s="38" t="inlineStr">
        <is>
          <t>7م وصول</t>
        </is>
      </c>
      <c r="J12" s="39" t="inlineStr">
        <is>
          <t>النمو</t>
        </is>
      </c>
      <c r="K12" s="31" t="inlineStr">
        <is>
          <t>زيادة وصول العملاء</t>
        </is>
      </c>
      <c r="L12" s="23" t="inlineStr">
        <is>
          <t>العملاء</t>
        </is>
      </c>
      <c r="M12" s="40" t="n">
        <v>1500000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العلاقات والشراكات</t>
        </is>
      </c>
      <c r="C13" s="9" t="inlineStr">
        <is>
          <t>عدد المعارض بالسنة</t>
        </is>
      </c>
      <c r="D13" s="35" t="inlineStr">
        <is>
          <t>معرض</t>
        </is>
      </c>
      <c r="E13" s="35" t="inlineStr">
        <is>
          <t>↑</t>
        </is>
      </c>
      <c r="F13" s="23" t="inlineStr">
        <is>
          <t>🟠 مهم</t>
        </is>
      </c>
      <c r="G13" s="32" t="n">
        <v>0.06</v>
      </c>
      <c r="H13" s="37" t="n">
        <v>3</v>
      </c>
      <c r="I13" s="38" t="inlineStr">
        <is>
          <t>3 معارض</t>
        </is>
      </c>
      <c r="J13" s="39" t="inlineStr">
        <is>
          <t>الابتكار</t>
        </is>
      </c>
      <c r="K13" s="31" t="inlineStr">
        <is>
          <t>إطلاق مشاريع جديدة</t>
        </is>
      </c>
      <c r="L13" s="23" t="inlineStr">
        <is>
          <t>العمليات الداخلية</t>
        </is>
      </c>
      <c r="M13" s="40" t="n">
        <v>0</v>
      </c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العلاقات والشراكات</t>
        </is>
      </c>
      <c r="C14" s="9" t="inlineStr">
        <is>
          <t>اتفاقيات استراتيجية</t>
        </is>
      </c>
      <c r="D14" s="35" t="inlineStr">
        <is>
          <t>اتفاقية</t>
        </is>
      </c>
      <c r="E14" s="35" t="inlineStr">
        <is>
          <t>↑</t>
        </is>
      </c>
      <c r="F14" s="23" t="inlineStr">
        <is>
          <t>🟠 مهم</t>
        </is>
      </c>
      <c r="G14" s="32" t="n">
        <v>0.06</v>
      </c>
      <c r="H14" s="37" t="n">
        <v>3</v>
      </c>
      <c r="I14" s="38" t="inlineStr">
        <is>
          <t>3 اتفاقيات</t>
        </is>
      </c>
      <c r="J14" s="39" t="inlineStr">
        <is>
          <t>الابتكار</t>
        </is>
      </c>
      <c r="K14" s="31" t="inlineStr">
        <is>
          <t>إطلاق مشاريع جديدة</t>
        </is>
      </c>
      <c r="L14" s="23" t="inlineStr">
        <is>
          <t>العمليات الداخلية</t>
        </is>
      </c>
      <c r="M14" s="40" t="n">
        <v>0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خدمة العملاء والدعم</t>
        </is>
      </c>
      <c r="C15" s="9" t="inlineStr">
        <is>
          <t>تقييم خرائط قوقل</t>
        </is>
      </c>
      <c r="D15" s="35" t="inlineStr">
        <is>
          <t>نجمة/5</t>
        </is>
      </c>
      <c r="E15" s="35" t="inlineStr">
        <is>
          <t>↑</t>
        </is>
      </c>
      <c r="F15" s="23" t="inlineStr">
        <is>
          <t>🟠 مهم</t>
        </is>
      </c>
      <c r="G15" s="32" t="n">
        <v>0.06</v>
      </c>
      <c r="H15" s="43" t="n">
        <v>4.7</v>
      </c>
      <c r="I15" s="38" t="inlineStr">
        <is>
          <t>4.7 ⭐</t>
        </is>
      </c>
      <c r="J15" s="39" t="inlineStr">
        <is>
          <t>الاستدامة</t>
        </is>
      </c>
      <c r="K15" s="31" t="inlineStr">
        <is>
          <t>تعزيز تجربة العملاء</t>
        </is>
      </c>
      <c r="L15" s="23" t="inlineStr">
        <is>
          <t>العملاء</t>
        </is>
      </c>
      <c r="M15" s="44" t="n">
        <v>4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خدمة العملاء والدعم</t>
        </is>
      </c>
      <c r="C16" s="9" t="inlineStr">
        <is>
          <t>معدل خفض الشكاوى</t>
        </is>
      </c>
      <c r="D16" s="35" t="inlineStr">
        <is>
          <t>%</t>
        </is>
      </c>
      <c r="E16" s="35" t="inlineStr">
        <is>
          <t>↑</t>
        </is>
      </c>
      <c r="F16" s="23" t="inlineStr">
        <is>
          <t>🟠 مهم</t>
        </is>
      </c>
      <c r="G16" s="32" t="n">
        <v>0.06</v>
      </c>
      <c r="H16" s="32" t="n">
        <v>0.3</v>
      </c>
      <c r="I16" s="38" t="inlineStr">
        <is>
          <t>30%</t>
        </is>
      </c>
      <c r="J16" s="39" t="inlineStr">
        <is>
          <t>الاستدامة</t>
        </is>
      </c>
      <c r="K16" s="31" t="inlineStr">
        <is>
          <t>تعزيز تجربة العملاء</t>
        </is>
      </c>
      <c r="L16" s="23" t="inlineStr">
        <is>
          <t>العملاء</t>
        </is>
      </c>
      <c r="M16" s="42" t="n">
        <v>0.21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تطبيق تانكي</t>
        </is>
      </c>
      <c r="C17" s="9" t="inlineStr">
        <is>
          <t>وصول محتوى تطبيق تانكي</t>
        </is>
      </c>
      <c r="D17" s="35" t="inlineStr">
        <is>
          <t>وصول</t>
        </is>
      </c>
      <c r="E17" s="35" t="inlineStr">
        <is>
          <t>↑</t>
        </is>
      </c>
      <c r="F17" s="23" t="inlineStr">
        <is>
          <t>🟠 مهم</t>
        </is>
      </c>
      <c r="G17" s="32" t="n">
        <v>0.05</v>
      </c>
      <c r="H17" s="37" t="n">
        <v>1000000</v>
      </c>
      <c r="I17" s="38" t="inlineStr">
        <is>
          <t>1م وصول</t>
        </is>
      </c>
      <c r="J17" s="39" t="inlineStr">
        <is>
          <t>الابتكار</t>
        </is>
      </c>
      <c r="K17" s="31" t="inlineStr">
        <is>
          <t>تطبيق «تانكي»</t>
        </is>
      </c>
      <c r="L17" s="23" t="inlineStr">
        <is>
          <t>العملاء</t>
        </is>
      </c>
      <c r="M17" s="40" t="n">
        <v>946380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تطبيق تانكي</t>
        </is>
      </c>
      <c r="C18" s="9" t="inlineStr">
        <is>
          <t>مشاركات تطبيق تانكي</t>
        </is>
      </c>
      <c r="D18" s="35" t="inlineStr">
        <is>
          <t>مشاركة</t>
        </is>
      </c>
      <c r="E18" s="35" t="inlineStr">
        <is>
          <t>↑</t>
        </is>
      </c>
      <c r="F18" s="23" t="inlineStr">
        <is>
          <t>🟠 مهم</t>
        </is>
      </c>
      <c r="G18" s="32" t="n">
        <v>0.05</v>
      </c>
      <c r="H18" s="37" t="n">
        <v>250</v>
      </c>
      <c r="I18" s="38" t="inlineStr">
        <is>
          <t>250 مشاركة</t>
        </is>
      </c>
      <c r="J18" s="39" t="inlineStr">
        <is>
          <t>الابتكار</t>
        </is>
      </c>
      <c r="K18" s="31" t="inlineStr">
        <is>
          <t>تطبيق «تانكي»</t>
        </is>
      </c>
      <c r="L18" s="23" t="inlineStr">
        <is>
          <t>العمليات الداخلية</t>
        </is>
      </c>
      <c r="M18" s="40" t="n">
        <v>180.7</v>
      </c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</sheetData>
  <autoFilter ref="A3:O18"/>
  <mergeCells count="2">
    <mergeCell ref="A1:O1"/>
    <mergeCell ref="A2:O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الجودة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مخاطر الجودة</t>
        </is>
      </c>
      <c r="C4" s="9" t="inlineStr">
        <is>
          <t>نسبة المحطات الحرجة</t>
        </is>
      </c>
      <c r="D4" s="35" t="inlineStr">
        <is>
          <t>%</t>
        </is>
      </c>
      <c r="E4" s="35" t="inlineStr">
        <is>
          <t>↓</t>
        </is>
      </c>
      <c r="F4" s="23" t="inlineStr">
        <is>
          <t>🔴 رئيسي</t>
        </is>
      </c>
      <c r="G4" s="32" t="n">
        <v>0.1</v>
      </c>
      <c r="H4" s="32" t="n">
        <v>0.05</v>
      </c>
      <c r="I4" s="38" t="inlineStr">
        <is>
          <t>&lt; 5%</t>
        </is>
      </c>
      <c r="J4" s="39" t="inlineStr">
        <is>
          <t>الاستدامة</t>
        </is>
      </c>
      <c r="K4" s="31" t="inlineStr">
        <is>
          <t>جودة التشغيل</t>
        </is>
      </c>
      <c r="L4" s="23" t="inlineStr">
        <is>
          <t>العمليات الداخلية</t>
        </is>
      </c>
      <c r="M4" s="42" t="n">
        <v>0.054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جودة الوقود</t>
        </is>
      </c>
      <c r="C5" s="9" t="inlineStr">
        <is>
          <t>نسبة مطابقة جودة الوقود</t>
        </is>
      </c>
      <c r="D5" s="35" t="inlineStr">
        <is>
          <t>%</t>
        </is>
      </c>
      <c r="E5" s="35" t="inlineStr">
        <is>
          <t>↑</t>
        </is>
      </c>
      <c r="F5" s="23" t="inlineStr">
        <is>
          <t>🟠 مهم</t>
        </is>
      </c>
      <c r="G5" s="32" t="n">
        <v>0.07000000000000001</v>
      </c>
      <c r="H5" s="32" t="n">
        <v>0.995</v>
      </c>
      <c r="I5" s="38" t="inlineStr">
        <is>
          <t>99.5%</t>
        </is>
      </c>
      <c r="J5" s="39" t="inlineStr">
        <is>
          <t>الاستدامة</t>
        </is>
      </c>
      <c r="K5" s="31" t="inlineStr">
        <is>
          <t>جودة التشغيل</t>
        </is>
      </c>
      <c r="L5" s="23" t="inlineStr">
        <is>
          <t>العمليات الداخلية</t>
        </is>
      </c>
      <c r="M5" s="42" t="n">
        <v>0.804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معالجة وتصحيح</t>
        </is>
      </c>
      <c r="C6" s="9" t="inlineStr">
        <is>
          <t>نسبة إغلاق الملاحظات في الوقت المحدد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🟠 مهم</t>
        </is>
      </c>
      <c r="G6" s="32" t="n">
        <v>0.07000000000000001</v>
      </c>
      <c r="H6" s="32" t="n">
        <v>0.9</v>
      </c>
      <c r="I6" s="38" t="inlineStr">
        <is>
          <t>≥ 90%</t>
        </is>
      </c>
      <c r="J6" s="39" t="inlineStr">
        <is>
          <t>الاستدامة</t>
        </is>
      </c>
      <c r="K6" s="31" t="inlineStr">
        <is>
          <t>جودة التشغيل</t>
        </is>
      </c>
      <c r="L6" s="23" t="inlineStr">
        <is>
          <t>العمليات الداخلية</t>
        </is>
      </c>
      <c r="M6" s="42" t="n">
        <v>0.6870000000000001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تحسين ووقاية</t>
        </is>
      </c>
      <c r="C7" s="9" t="inlineStr">
        <is>
          <t>نسبة فعالية الإجراءات التصحيحية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🟠 مهم</t>
        </is>
      </c>
      <c r="G7" s="32" t="n">
        <v>0.07000000000000001</v>
      </c>
      <c r="H7" s="32" t="n">
        <v>0.85</v>
      </c>
      <c r="I7" s="38" t="inlineStr">
        <is>
          <t>≥ 85%</t>
        </is>
      </c>
      <c r="J7" s="39" t="inlineStr">
        <is>
          <t>الاستدامة</t>
        </is>
      </c>
      <c r="K7" s="31" t="inlineStr">
        <is>
          <t>جودة التشغيل</t>
        </is>
      </c>
      <c r="L7" s="23" t="inlineStr">
        <is>
          <t>العمليات الداخلية</t>
        </is>
      </c>
      <c r="M7" s="42" t="n">
        <v>0.648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منع التكرار</t>
        </is>
      </c>
      <c r="C8" s="9" t="inlineStr">
        <is>
          <t>نسبة تكرار الملاحظات</t>
        </is>
      </c>
      <c r="D8" s="35" t="inlineStr">
        <is>
          <t>%</t>
        </is>
      </c>
      <c r="E8" s="35" t="inlineStr">
        <is>
          <t>↓</t>
        </is>
      </c>
      <c r="F8" s="23" t="inlineStr">
        <is>
          <t>🟠 مهم</t>
        </is>
      </c>
      <c r="G8" s="32" t="n">
        <v>0.07000000000000001</v>
      </c>
      <c r="H8" s="32" t="n">
        <v>0.1</v>
      </c>
      <c r="I8" s="38" t="inlineStr">
        <is>
          <t>&lt; 10%</t>
        </is>
      </c>
      <c r="J8" s="39" t="inlineStr">
        <is>
          <t>الاستدامة</t>
        </is>
      </c>
      <c r="K8" s="31" t="inlineStr">
        <is>
          <t>جودة التشغيل</t>
        </is>
      </c>
      <c r="L8" s="23" t="inlineStr">
        <is>
          <t>العمليات الداخلية</t>
        </is>
      </c>
      <c r="M8" s="42" t="n">
        <v>0.114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تفتيش وتدقيق</t>
        </is>
      </c>
      <c r="C9" s="9" t="inlineStr">
        <is>
          <t>نسبة تنفيذ خطة التفتيش والتدقيق</t>
        </is>
      </c>
      <c r="D9" s="35" t="inlineStr">
        <is>
          <t>%</t>
        </is>
      </c>
      <c r="E9" s="35" t="inlineStr">
        <is>
          <t>↑</t>
        </is>
      </c>
      <c r="F9" s="23" t="inlineStr">
        <is>
          <t>🟠 مهم</t>
        </is>
      </c>
      <c r="G9" s="32" t="n">
        <v>0.07000000000000001</v>
      </c>
      <c r="H9" s="32" t="n">
        <v>0.95</v>
      </c>
      <c r="I9" s="38" t="inlineStr">
        <is>
          <t>≥ 95%</t>
        </is>
      </c>
      <c r="J9" s="39" t="inlineStr">
        <is>
          <t>الاستدامة</t>
        </is>
      </c>
      <c r="K9" s="31" t="inlineStr">
        <is>
          <t>جودة التشغيل</t>
        </is>
      </c>
      <c r="L9" s="23" t="inlineStr">
        <is>
          <t>العمليات الداخلية</t>
        </is>
      </c>
      <c r="M9" s="42" t="n">
        <v>0.728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حوكمة الجودة</t>
        </is>
      </c>
      <c r="C10" s="9" t="inlineStr">
        <is>
          <t>نسبة جاهزية نظام إدارة الجودة QMS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🔴 رئيسي</t>
        </is>
      </c>
      <c r="G10" s="32" t="n">
        <v>0.1</v>
      </c>
      <c r="H10" s="32" t="n">
        <v>0.9</v>
      </c>
      <c r="I10" s="38" t="inlineStr">
        <is>
          <t>80% ← 90%</t>
        </is>
      </c>
      <c r="J10" s="39" t="inlineStr">
        <is>
          <t>الاستدامة</t>
        </is>
      </c>
      <c r="K10" s="31" t="inlineStr">
        <is>
          <t>جودة التشغيل</t>
        </is>
      </c>
      <c r="L10" s="23" t="inlineStr">
        <is>
          <t>العمليات الداخلية</t>
        </is>
      </c>
      <c r="M10" s="42" t="n">
        <v>0.754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مخاطر الجودة</t>
        </is>
      </c>
      <c r="C11" s="9" t="inlineStr">
        <is>
          <t>عدد مخاطر الجودة الحرجة المفتوحة</t>
        </is>
      </c>
      <c r="D11" s="35" t="inlineStr">
        <is>
          <t>خطر</t>
        </is>
      </c>
      <c r="E11" s="35" t="inlineStr">
        <is>
          <t>↓</t>
        </is>
      </c>
      <c r="F11" s="23" t="inlineStr">
        <is>
          <t>🟠 مهم</t>
        </is>
      </c>
      <c r="G11" s="32" t="n">
        <v>0.07000000000000001</v>
      </c>
      <c r="H11" s="37" t="n">
        <v>0</v>
      </c>
      <c r="I11" s="38" t="inlineStr">
        <is>
          <t>صفر</t>
        </is>
      </c>
      <c r="J11" s="39" t="inlineStr">
        <is>
          <t>الاستدامة</t>
        </is>
      </c>
      <c r="K11" s="31" t="inlineStr">
        <is>
          <t>جودة التشغيل</t>
        </is>
      </c>
      <c r="L11" s="23" t="inlineStr">
        <is>
          <t>العمليات الداخلية</t>
        </is>
      </c>
      <c r="M11" s="40" t="n"/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مخاطر الجودة</t>
        </is>
      </c>
      <c r="C12" s="9" t="inlineStr">
        <is>
          <t>نسبة إغلاق مخاطر الجودة في الوقت المحدد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🟠 مهم</t>
        </is>
      </c>
      <c r="G12" s="32" t="n">
        <v>0.07000000000000001</v>
      </c>
      <c r="H12" s="32" t="n">
        <v>0.9</v>
      </c>
      <c r="I12" s="38" t="inlineStr">
        <is>
          <t>≥ 90%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العمليات الداخلية</t>
        </is>
      </c>
      <c r="M12" s="42" t="n">
        <v>0.908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تجربة العميل</t>
        </is>
      </c>
      <c r="C13" s="9" t="inlineStr">
        <is>
          <t>نسبة انخفاض الشكاوى المتكررة ذات العلاقة بالجودة</t>
        </is>
      </c>
      <c r="D13" s="35" t="inlineStr">
        <is>
          <t>%</t>
        </is>
      </c>
      <c r="E13" s="35" t="inlineStr">
        <is>
          <t>↑</t>
        </is>
      </c>
      <c r="F13" s="23" t="inlineStr">
        <is>
          <t>🟠 مهم</t>
        </is>
      </c>
      <c r="G13" s="32" t="n">
        <v>0.07000000000000001</v>
      </c>
      <c r="H13" s="32" t="n">
        <v>0.15</v>
      </c>
      <c r="I13" s="38" t="inlineStr">
        <is>
          <t>انخفاض 15% ربعياً</t>
        </is>
      </c>
      <c r="J13" s="39" t="inlineStr">
        <is>
          <t>الاستدامة</t>
        </is>
      </c>
      <c r="K13" s="31" t="inlineStr">
        <is>
          <t>تعزيز تجربة العملاء</t>
        </is>
      </c>
      <c r="L13" s="23" t="inlineStr">
        <is>
          <t>العملاء</t>
        </is>
      </c>
      <c r="M13" s="42" t="n">
        <v>0.126</v>
      </c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الجودة الإدارية</t>
        </is>
      </c>
      <c r="C14" s="9" t="inlineStr">
        <is>
          <t>نسبة اكتمال وتحديث الإجراءات المعتمدة</t>
        </is>
      </c>
      <c r="D14" s="35" t="inlineStr">
        <is>
          <t>%</t>
        </is>
      </c>
      <c r="E14" s="35" t="inlineStr">
        <is>
          <t>↑</t>
        </is>
      </c>
      <c r="F14" s="23" t="inlineStr">
        <is>
          <t>🟡 متابعة</t>
        </is>
      </c>
      <c r="G14" s="32" t="n">
        <v>0.03</v>
      </c>
      <c r="H14" s="32" t="n">
        <v>0.95</v>
      </c>
      <c r="I14" s="38" t="inlineStr">
        <is>
          <t>≥ 95%</t>
        </is>
      </c>
      <c r="J14" s="39" t="inlineStr">
        <is>
          <t>الاستدامة</t>
        </is>
      </c>
      <c r="K14" s="31" t="inlineStr">
        <is>
          <t>جودة التشغيل</t>
        </is>
      </c>
      <c r="L14" s="23" t="inlineStr">
        <is>
          <t>العمليات الداخلية</t>
        </is>
      </c>
      <c r="M14" s="42" t="n">
        <v>0.944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توثيق وحوكمة</t>
        </is>
      </c>
      <c r="C15" s="9" t="inlineStr">
        <is>
          <t>نسبة اكتمال سجلات الجودة</t>
        </is>
      </c>
      <c r="D15" s="35" t="inlineStr">
        <is>
          <t>%</t>
        </is>
      </c>
      <c r="E15" s="35" t="inlineStr">
        <is>
          <t>↑</t>
        </is>
      </c>
      <c r="F15" s="23" t="inlineStr">
        <is>
          <t>🟠 مهم</t>
        </is>
      </c>
      <c r="G15" s="32" t="n">
        <v>0.07000000000000001</v>
      </c>
      <c r="H15" s="32" t="n">
        <v>0.95</v>
      </c>
      <c r="I15" s="38" t="inlineStr">
        <is>
          <t>≥ 95%</t>
        </is>
      </c>
      <c r="J15" s="39" t="inlineStr">
        <is>
          <t>الاستدامة</t>
        </is>
      </c>
      <c r="K15" s="31" t="inlineStr">
        <is>
          <t>جودة التشغيل</t>
        </is>
      </c>
      <c r="L15" s="23" t="inlineStr">
        <is>
          <t>العمليات الداخلية</t>
        </is>
      </c>
      <c r="M15" s="42" t="n">
        <v>0.982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الابتكار والرقمنة</t>
        </is>
      </c>
      <c r="C16" s="9" t="inlineStr">
        <is>
          <t>نسبة رقمنة عمليات الجودة</t>
        </is>
      </c>
      <c r="D16" s="35" t="inlineStr">
        <is>
          <t>%</t>
        </is>
      </c>
      <c r="E16" s="35" t="inlineStr">
        <is>
          <t>↑</t>
        </is>
      </c>
      <c r="F16" s="23" t="inlineStr">
        <is>
          <t>🟠 مهم</t>
        </is>
      </c>
      <c r="G16" s="32" t="n">
        <v>0.07000000000000001</v>
      </c>
      <c r="H16" s="32" t="n">
        <v>0.8</v>
      </c>
      <c r="I16" s="38" t="inlineStr">
        <is>
          <t>≥ 80%</t>
        </is>
      </c>
      <c r="J16" s="39" t="inlineStr">
        <is>
          <t>الابتكار</t>
        </is>
      </c>
      <c r="K16" s="31" t="inlineStr">
        <is>
          <t>التحول التقني</t>
        </is>
      </c>
      <c r="L16" s="23" t="inlineStr">
        <is>
          <t>التعلّم والنمو</t>
        </is>
      </c>
      <c r="M16" s="42" t="n">
        <v>0.834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التحسين المستمر</t>
        </is>
      </c>
      <c r="C17" s="9" t="inlineStr">
        <is>
          <t>عدد مبادرات التحسين المؤثرة</t>
        </is>
      </c>
      <c r="D17" s="35" t="inlineStr">
        <is>
          <t>مبادرة</t>
        </is>
      </c>
      <c r="E17" s="35" t="inlineStr">
        <is>
          <t>↑</t>
        </is>
      </c>
      <c r="F17" s="23" t="inlineStr">
        <is>
          <t>🟠 مهم</t>
        </is>
      </c>
      <c r="G17" s="32" t="n">
        <v>0.07000000000000001</v>
      </c>
      <c r="H17" s="37" t="n">
        <v>8</v>
      </c>
      <c r="I17" s="38" t="inlineStr">
        <is>
          <t>≥ 8 سنوياً (2 ربعياً)</t>
        </is>
      </c>
      <c r="J17" s="39" t="inlineStr">
        <is>
          <t>الاستدامة</t>
        </is>
      </c>
      <c r="K17" s="31" t="inlineStr">
        <is>
          <t>جودة التشغيل</t>
        </is>
      </c>
      <c r="L17" s="23" t="inlineStr">
        <is>
          <t>التعلّم والنمو</t>
        </is>
      </c>
      <c r="M17" s="40" t="n">
        <v>6.827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</sheetData>
  <autoFilter ref="A3:O17"/>
  <mergeCells count="2">
    <mergeCell ref="A1:O1"/>
    <mergeCell ref="A2:O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أعمال العقود</t>
        </is>
      </c>
      <c r="C4" s="9" t="inlineStr">
        <is>
          <t>نسبة العقود المُراجَعة قانونياً قبل التوقيع</t>
        </is>
      </c>
      <c r="D4" s="35" t="inlineStr">
        <is>
          <t>%</t>
        </is>
      </c>
      <c r="E4" s="35" t="inlineStr">
        <is>
          <t>↑</t>
        </is>
      </c>
      <c r="F4" s="23" t="inlineStr">
        <is>
          <t>🔴 رئيسي</t>
        </is>
      </c>
      <c r="G4" s="32" t="n">
        <v>0.15</v>
      </c>
      <c r="H4" s="32" t="n">
        <v>1</v>
      </c>
      <c r="I4" s="38" t="inlineStr">
        <is>
          <t>100%</t>
        </is>
      </c>
      <c r="J4" s="39" t="inlineStr">
        <is>
          <t>الاستدامة</t>
        </is>
      </c>
      <c r="K4" s="31" t="inlineStr">
        <is>
          <t>جودة التشغيل</t>
        </is>
      </c>
      <c r="L4" s="23" t="inlineStr">
        <is>
          <t>العمليات الداخلية</t>
        </is>
      </c>
      <c r="M4" s="42" t="n">
        <v>1.013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أعمال العقود</t>
        </is>
      </c>
      <c r="C5" s="9" t="inlineStr">
        <is>
          <t>متوسط زمن صياغة ومراجعة العقد</t>
        </is>
      </c>
      <c r="D5" s="35" t="inlineStr">
        <is>
          <t>يوم</t>
        </is>
      </c>
      <c r="E5" s="35" t="inlineStr">
        <is>
          <t>↓</t>
        </is>
      </c>
      <c r="F5" s="23" t="inlineStr">
        <is>
          <t>🔴 رئيسي</t>
        </is>
      </c>
      <c r="G5" s="32" t="n">
        <v>0.15</v>
      </c>
      <c r="H5" s="43" t="n">
        <v>3</v>
      </c>
      <c r="I5" s="38" t="inlineStr">
        <is>
          <t>≤ 3 أيام</t>
        </is>
      </c>
      <c r="J5" s="39" t="inlineStr">
        <is>
          <t>الاستدامة</t>
        </is>
      </c>
      <c r="K5" s="31" t="inlineStr">
        <is>
          <t>جودة التشغيل</t>
        </is>
      </c>
      <c r="L5" s="23" t="inlineStr">
        <is>
          <t>العمليات الداخلية</t>
        </is>
      </c>
      <c r="M5" s="44" t="n">
        <v>2.994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أعمال العقود</t>
        </is>
      </c>
      <c r="C6" s="9" t="inlineStr">
        <is>
          <t>نسبة العقود الخالية من الملاحظات والمخاطر القانونية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🔴 رئيسي</t>
        </is>
      </c>
      <c r="G6" s="32" t="n">
        <v>0.15</v>
      </c>
      <c r="H6" s="32" t="n">
        <v>0.95</v>
      </c>
      <c r="I6" s="38" t="inlineStr">
        <is>
          <t>≥ 95%</t>
        </is>
      </c>
      <c r="J6" s="39" t="inlineStr">
        <is>
          <t>الاستدامة</t>
        </is>
      </c>
      <c r="K6" s="31" t="inlineStr">
        <is>
          <t>جودة التشغيل</t>
        </is>
      </c>
      <c r="L6" s="23" t="inlineStr">
        <is>
          <t>العمليات الداخلية</t>
        </is>
      </c>
      <c r="M6" s="42" t="n">
        <v>0.924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أعمال القضايا</t>
        </is>
      </c>
      <c r="C7" s="9" t="inlineStr">
        <is>
          <t>نسبة القضايا المُغلقة لصالح الشركة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🟠 مهم</t>
        </is>
      </c>
      <c r="G7" s="32" t="n">
        <v>0.1</v>
      </c>
      <c r="H7" s="32" t="n">
        <v>0.8</v>
      </c>
      <c r="I7" s="38" t="inlineStr">
        <is>
          <t>≥ 80%</t>
        </is>
      </c>
      <c r="J7" s="39" t="inlineStr">
        <is>
          <t>الاستدامة</t>
        </is>
      </c>
      <c r="K7" s="31" t="inlineStr">
        <is>
          <t>جودة التشغيل</t>
        </is>
      </c>
      <c r="L7" s="23" t="inlineStr">
        <is>
          <t>العمليات الداخلية</t>
        </is>
      </c>
      <c r="M7" s="42" t="n">
        <v>0.664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أعمال القضايا</t>
        </is>
      </c>
      <c r="C8" s="9" t="inlineStr">
        <is>
          <t>نسبة تقديم المذكرات والردود في المواعيد النظامية</t>
        </is>
      </c>
      <c r="D8" s="35" t="inlineStr">
        <is>
          <t>%</t>
        </is>
      </c>
      <c r="E8" s="35" t="inlineStr">
        <is>
          <t>↑</t>
        </is>
      </c>
      <c r="F8" s="23" t="inlineStr">
        <is>
          <t>🟠 مهم</t>
        </is>
      </c>
      <c r="G8" s="32" t="n">
        <v>0.1</v>
      </c>
      <c r="H8" s="32" t="n">
        <v>1</v>
      </c>
      <c r="I8" s="38" t="inlineStr">
        <is>
          <t>100%</t>
        </is>
      </c>
      <c r="J8" s="39" t="inlineStr">
        <is>
          <t>الاستدامة</t>
        </is>
      </c>
      <c r="K8" s="31" t="inlineStr">
        <is>
          <t>جودة التشغيل</t>
        </is>
      </c>
      <c r="L8" s="23" t="inlineStr">
        <is>
          <t>العمليات الداخلية</t>
        </is>
      </c>
      <c r="M8" s="42" t="n">
        <v>0.797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أعمال القضايا</t>
        </is>
      </c>
      <c r="C9" s="9" t="inlineStr">
        <is>
          <t>متوسط زمن إعداد المذكرة القانونية</t>
        </is>
      </c>
      <c r="D9" s="35" t="inlineStr">
        <is>
          <t>يوم</t>
        </is>
      </c>
      <c r="E9" s="35" t="inlineStr">
        <is>
          <t>↓</t>
        </is>
      </c>
      <c r="F9" s="23" t="inlineStr">
        <is>
          <t>🟠 مهم</t>
        </is>
      </c>
      <c r="G9" s="32" t="n">
        <v>0.1</v>
      </c>
      <c r="H9" s="43" t="n">
        <v>5</v>
      </c>
      <c r="I9" s="38" t="inlineStr">
        <is>
          <t>≤ 5 أيام</t>
        </is>
      </c>
      <c r="J9" s="39" t="inlineStr">
        <is>
          <t>الاستدامة</t>
        </is>
      </c>
      <c r="K9" s="31" t="inlineStr">
        <is>
          <t>جودة التشغيل</t>
        </is>
      </c>
      <c r="L9" s="23" t="inlineStr">
        <is>
          <t>العمليات الداخلية</t>
        </is>
      </c>
      <c r="M9" s="44" t="n">
        <v>4.545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الاستشارات القانونية</t>
        </is>
      </c>
      <c r="C10" s="9" t="inlineStr">
        <is>
          <t>نسبة الاستشارات المُنجزة ضمن المدة المستهدفة (SLA)</t>
        </is>
      </c>
      <c r="D10" s="35" t="inlineStr">
        <is>
          <t>%</t>
        </is>
      </c>
      <c r="E10" s="35" t="inlineStr">
        <is>
          <t>↑</t>
        </is>
      </c>
      <c r="F10" s="23" t="inlineStr">
        <is>
          <t>🟠 مهم</t>
        </is>
      </c>
      <c r="G10" s="32" t="n">
        <v>0.1</v>
      </c>
      <c r="H10" s="32" t="n">
        <v>0.9</v>
      </c>
      <c r="I10" s="38" t="inlineStr">
        <is>
          <t>≥ 90%</t>
        </is>
      </c>
      <c r="J10" s="39" t="inlineStr">
        <is>
          <t>الاستدامة</t>
        </is>
      </c>
      <c r="K10" s="31" t="inlineStr">
        <is>
          <t>جودة التشغيل</t>
        </is>
      </c>
      <c r="L10" s="23" t="inlineStr">
        <is>
          <t>العمليات الداخلية</t>
        </is>
      </c>
      <c r="M10" s="42" t="n">
        <v>0.659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الاستشارات القانونية</t>
        </is>
      </c>
      <c r="C11" s="9" t="inlineStr">
        <is>
          <t>مستوى رضا الإدارات عن الدعم القانوني</t>
        </is>
      </c>
      <c r="D11" s="35" t="inlineStr">
        <is>
          <t>%</t>
        </is>
      </c>
      <c r="E11" s="35" t="inlineStr">
        <is>
          <t>↑</t>
        </is>
      </c>
      <c r="F11" s="23" t="inlineStr">
        <is>
          <t>🔴 رئيسي</t>
        </is>
      </c>
      <c r="G11" s="32" t="n">
        <v>0.15</v>
      </c>
      <c r="H11" s="32" t="n">
        <v>0.85</v>
      </c>
      <c r="I11" s="38" t="inlineStr">
        <is>
          <t>≥ 85%</t>
        </is>
      </c>
      <c r="J11" s="39" t="inlineStr">
        <is>
          <t>الاستدامة</t>
        </is>
      </c>
      <c r="K11" s="31" t="inlineStr">
        <is>
          <t>جودة التشغيل</t>
        </is>
      </c>
      <c r="L11" s="23" t="inlineStr">
        <is>
          <t>العملاء</t>
        </is>
      </c>
      <c r="M11" s="42" t="n">
        <v>0.674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</sheetData>
  <autoFilter ref="A3:O11"/>
  <mergeCells count="2">
    <mergeCell ref="A1:O1"/>
    <mergeCell ref="A2:O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3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25" t="inlineStr">
        <is>
          <t>#</t>
        </is>
      </c>
      <c r="B3" s="25" t="inlineStr">
        <is>
          <t>المحور</t>
        </is>
      </c>
      <c r="C3" s="25" t="inlineStr">
        <is>
          <t>المؤشر</t>
        </is>
      </c>
      <c r="D3" s="25" t="inlineStr">
        <is>
          <t>الوحدة</t>
        </is>
      </c>
      <c r="E3" s="25" t="inlineStr">
        <is>
          <t>القطبية</t>
        </is>
      </c>
      <c r="F3" s="25" t="inlineStr">
        <is>
          <t>الأولوية</t>
        </is>
      </c>
      <c r="G3" s="25" t="inlineStr">
        <is>
          <t>الوزن %</t>
        </is>
      </c>
      <c r="H3" s="25" t="inlineStr">
        <is>
          <t>المستهدف</t>
        </is>
      </c>
      <c r="I3" s="25" t="inlineStr">
        <is>
          <t>نص المستهدف</t>
        </is>
      </c>
      <c r="J3" s="25" t="inlineStr">
        <is>
          <t>الركيزة</t>
        </is>
      </c>
      <c r="K3" s="25" t="inlineStr">
        <is>
          <t>المشروع</t>
        </is>
      </c>
      <c r="L3" s="25" t="inlineStr">
        <is>
          <t>منظور BSC</t>
        </is>
      </c>
      <c r="M3" s="25" t="inlineStr">
        <is>
          <t>المُحقَّق</t>
        </is>
      </c>
      <c r="N3" s="25" t="inlineStr">
        <is>
          <t>نسبة التحقيق</t>
        </is>
      </c>
      <c r="O3" s="25" t="inlineStr">
        <is>
          <t>الحالة</t>
        </is>
      </c>
    </row>
    <row r="4" ht="24" customHeight="1">
      <c r="A4" s="15" t="n">
        <v>1</v>
      </c>
      <c r="B4" s="9" t="inlineStr">
        <is>
          <t>المالية الاستراتيجية</t>
        </is>
      </c>
      <c r="C4" s="9" t="inlineStr">
        <is>
          <t>نمو الإيرادات السنوي</t>
        </is>
      </c>
      <c r="D4" s="35" t="inlineStr">
        <is>
          <t>%</t>
        </is>
      </c>
      <c r="E4" s="35" t="inlineStr">
        <is>
          <t>↑</t>
        </is>
      </c>
      <c r="F4" s="23" t="inlineStr">
        <is>
          <t>🔴 رئيسي</t>
        </is>
      </c>
      <c r="G4" s="32" t="n">
        <v>0.05</v>
      </c>
      <c r="H4" s="32" t="n">
        <v>0.2</v>
      </c>
      <c r="I4" s="38" t="inlineStr">
        <is>
          <t>&gt; 20%</t>
        </is>
      </c>
      <c r="J4" s="39" t="inlineStr">
        <is>
          <t>النمو</t>
        </is>
      </c>
      <c r="K4" s="31" t="inlineStr">
        <is>
          <t>زيادة وصول العملاء</t>
        </is>
      </c>
      <c r="L4" s="23" t="inlineStr">
        <is>
          <t>مالي</t>
        </is>
      </c>
      <c r="M4" s="42" t="n">
        <v>0.169</v>
      </c>
      <c r="N4" s="16">
        <f>IF($H4="","",IF($M4="","",MIN(1,IF($H4=0,IF($M4&lt;=0,1,0),IF($E4="↓",IFERROR($H4/$M4,0),IFERROR($M4/$H4,0))))))</f>
        <v/>
      </c>
      <c r="O4" s="15">
        <f>IF($N4="","⏳ بانتظار هدف",IF($N4&gt;=1,"✅ محقق",IF($N4&gt;=0.85,"🟡 قريب","🔴 تحت الهدف")))</f>
        <v/>
      </c>
    </row>
    <row r="5" ht="24" customHeight="1">
      <c r="A5" s="15" t="n">
        <v>2</v>
      </c>
      <c r="B5" s="9" t="inlineStr">
        <is>
          <t>المالية الاستراتيجية</t>
        </is>
      </c>
      <c r="C5" s="9" t="inlineStr">
        <is>
          <t>هامش EBITDA</t>
        </is>
      </c>
      <c r="D5" s="35" t="inlineStr">
        <is>
          <t>%</t>
        </is>
      </c>
      <c r="E5" s="35" t="inlineStr">
        <is>
          <t>↑</t>
        </is>
      </c>
      <c r="F5" s="23" t="inlineStr">
        <is>
          <t>🟠 مهم</t>
        </is>
      </c>
      <c r="G5" s="32" t="n">
        <v>0.04</v>
      </c>
      <c r="H5" s="32" t="n">
        <v>0.08</v>
      </c>
      <c r="I5" s="38" t="inlineStr">
        <is>
          <t>&gt; 8%</t>
        </is>
      </c>
      <c r="J5" s="39" t="inlineStr">
        <is>
          <t>النمو</t>
        </is>
      </c>
      <c r="K5" s="31" t="inlineStr">
        <is>
          <t>زيادة وصول العملاء</t>
        </is>
      </c>
      <c r="L5" s="23" t="inlineStr">
        <is>
          <t>مالي</t>
        </is>
      </c>
      <c r="M5" s="42" t="n">
        <v>0.062</v>
      </c>
      <c r="N5" s="16">
        <f>IF($H5="","",IF($M5="","",MIN(1,IF($H5=0,IF($M5&lt;=0,1,0),IF($E5="↓",IFERROR($H5/$M5,0),IFERROR($M5/$H5,0))))))</f>
        <v/>
      </c>
      <c r="O5" s="15">
        <f>IF($N5="","⏳ بانتظار هدف",IF($N5&gt;=1,"✅ محقق",IF($N5&gt;=0.85,"🟡 قريب","🔴 تحت الهدف")))</f>
        <v/>
      </c>
    </row>
    <row r="6" ht="24" customHeight="1">
      <c r="A6" s="15" t="n">
        <v>3</v>
      </c>
      <c r="B6" s="9" t="inlineStr">
        <is>
          <t>المالية الاستراتيجية</t>
        </is>
      </c>
      <c r="C6" s="9" t="inlineStr">
        <is>
          <t>هامش صافي الربح</t>
        </is>
      </c>
      <c r="D6" s="35" t="inlineStr">
        <is>
          <t>%</t>
        </is>
      </c>
      <c r="E6" s="35" t="inlineStr">
        <is>
          <t>↑</t>
        </is>
      </c>
      <c r="F6" s="23" t="inlineStr">
        <is>
          <t>🟠 مهم</t>
        </is>
      </c>
      <c r="G6" s="32" t="n">
        <v>0.04</v>
      </c>
      <c r="H6" s="32" t="n">
        <v>0.01</v>
      </c>
      <c r="I6" s="38" t="inlineStr">
        <is>
          <t>&gt; 1%</t>
        </is>
      </c>
      <c r="J6" s="39" t="inlineStr">
        <is>
          <t>النمو</t>
        </is>
      </c>
      <c r="K6" s="31" t="inlineStr">
        <is>
          <t>زيادة وصول العملاء</t>
        </is>
      </c>
      <c r="L6" s="23" t="inlineStr">
        <is>
          <t>مالي</t>
        </is>
      </c>
      <c r="M6" s="42" t="n">
        <v>0.008</v>
      </c>
      <c r="N6" s="16">
        <f>IF($H6="","",IF($M6="","",MIN(1,IF($H6=0,IF($M6&lt;=0,1,0),IF($E6="↓",IFERROR($H6/$M6,0),IFERROR($M6/$H6,0))))))</f>
        <v/>
      </c>
      <c r="O6" s="15">
        <f>IF($N6="","⏳ بانتظار هدف",IF($N6&gt;=1,"✅ محقق",IF($N6&gt;=0.85,"🟡 قريب","🔴 تحت الهدف")))</f>
        <v/>
      </c>
    </row>
    <row r="7" ht="24" customHeight="1">
      <c r="A7" s="15" t="n">
        <v>4</v>
      </c>
      <c r="B7" s="9" t="inlineStr">
        <is>
          <t>المالية الاستراتيجية</t>
        </is>
      </c>
      <c r="C7" s="9" t="inlineStr">
        <is>
          <t>العائد على حقوق الملكية (ROE)</t>
        </is>
      </c>
      <c r="D7" s="35" t="inlineStr">
        <is>
          <t>%</t>
        </is>
      </c>
      <c r="E7" s="35" t="inlineStr">
        <is>
          <t>↑</t>
        </is>
      </c>
      <c r="F7" s="23" t="inlineStr">
        <is>
          <t>🔴 رئيسي</t>
        </is>
      </c>
      <c r="G7" s="32" t="n">
        <v>0.05</v>
      </c>
      <c r="H7" s="32" t="n">
        <v>0.1</v>
      </c>
      <c r="I7" s="38" t="inlineStr">
        <is>
          <t>&gt; 10%</t>
        </is>
      </c>
      <c r="J7" s="39" t="inlineStr">
        <is>
          <t>النمو</t>
        </is>
      </c>
      <c r="K7" s="31" t="inlineStr">
        <is>
          <t>زيادة وصول العملاء</t>
        </is>
      </c>
      <c r="L7" s="23" t="inlineStr">
        <is>
          <t>مالي</t>
        </is>
      </c>
      <c r="M7" s="42" t="n">
        <v>0.074</v>
      </c>
      <c r="N7" s="16">
        <f>IF($H7="","",IF($M7="","",MIN(1,IF($H7=0,IF($M7&lt;=0,1,0),IF($E7="↓",IFERROR($H7/$M7,0),IFERROR($M7/$H7,0))))))</f>
        <v/>
      </c>
      <c r="O7" s="15">
        <f>IF($N7="","⏳ بانتظار هدف",IF($N7&gt;=1,"✅ محقق",IF($N7&gt;=0.85,"🟡 قريب","🔴 تحت الهدف")))</f>
        <v/>
      </c>
    </row>
    <row r="8" ht="24" customHeight="1">
      <c r="A8" s="15" t="n">
        <v>5</v>
      </c>
      <c r="B8" s="9" t="inlineStr">
        <is>
          <t>المالية الاستراتيجية</t>
        </is>
      </c>
      <c r="C8" s="9" t="inlineStr">
        <is>
          <t>نسبة التدفق النقدي التشغيلي</t>
        </is>
      </c>
      <c r="D8" s="35" t="inlineStr">
        <is>
          <t>نسبة</t>
        </is>
      </c>
      <c r="E8" s="35" t="inlineStr">
        <is>
          <t>↑</t>
        </is>
      </c>
      <c r="F8" s="23" t="inlineStr">
        <is>
          <t>🟠 مهم</t>
        </is>
      </c>
      <c r="G8" s="32" t="n">
        <v>0.04</v>
      </c>
      <c r="H8" s="43" t="n">
        <v>1</v>
      </c>
      <c r="I8" s="38" t="inlineStr">
        <is>
          <t>&gt; 1</t>
        </is>
      </c>
      <c r="J8" s="39" t="inlineStr">
        <is>
          <t>الاستدامة</t>
        </is>
      </c>
      <c r="K8" s="31" t="inlineStr">
        <is>
          <t>جودة التشغيل</t>
        </is>
      </c>
      <c r="L8" s="23" t="inlineStr">
        <is>
          <t>العمليات الداخلية</t>
        </is>
      </c>
      <c r="M8" s="44" t="n">
        <v>0.902</v>
      </c>
      <c r="N8" s="16">
        <f>IF($H8="","",IF($M8="","",MIN(1,IF($H8=0,IF($M8&lt;=0,1,0),IF($E8="↓",IFERROR($H8/$M8,0),IFERROR($M8/$H8,0))))))</f>
        <v/>
      </c>
      <c r="O8" s="15">
        <f>IF($N8="","⏳ بانتظار هدف",IF($N8&gt;=1,"✅ محقق",IF($N8&gt;=0.85,"🟡 قريب","🔴 تحت الهدف")))</f>
        <v/>
      </c>
    </row>
    <row r="9" ht="24" customHeight="1">
      <c r="A9" s="15" t="n">
        <v>6</v>
      </c>
      <c r="B9" s="9" t="inlineStr">
        <is>
          <t>السيولة ورأس المال</t>
        </is>
      </c>
      <c r="C9" s="9" t="inlineStr">
        <is>
          <t>النسبة الجارية (Current Ratio)</t>
        </is>
      </c>
      <c r="D9" s="35" t="inlineStr">
        <is>
          <t>نسبة</t>
        </is>
      </c>
      <c r="E9" s="35" t="inlineStr">
        <is>
          <t>↑</t>
        </is>
      </c>
      <c r="F9" s="23" t="inlineStr">
        <is>
          <t>🟠 مهم</t>
        </is>
      </c>
      <c r="G9" s="32" t="n">
        <v>0.04</v>
      </c>
      <c r="H9" s="43" t="n">
        <v>1</v>
      </c>
      <c r="I9" s="38" t="inlineStr">
        <is>
          <t>0.8 – 1</t>
        </is>
      </c>
      <c r="J9" s="39" t="inlineStr">
        <is>
          <t>الاستدامة</t>
        </is>
      </c>
      <c r="K9" s="31" t="inlineStr">
        <is>
          <t>جودة التشغيل</t>
        </is>
      </c>
      <c r="L9" s="23" t="inlineStr">
        <is>
          <t>العمليات الداخلية</t>
        </is>
      </c>
      <c r="M9" s="44" t="n">
        <v>0.852</v>
      </c>
      <c r="N9" s="16">
        <f>IF($H9="","",IF($M9="","",MIN(1,IF($H9=0,IF($M9&lt;=0,1,0),IF($E9="↓",IFERROR($H9/$M9,0),IFERROR($M9/$H9,0))))))</f>
        <v/>
      </c>
      <c r="O9" s="15">
        <f>IF($N9="","⏳ بانتظار هدف",IF($N9&gt;=1,"✅ محقق",IF($N9&gt;=0.85,"🟡 قريب","🔴 تحت الهدف")))</f>
        <v/>
      </c>
    </row>
    <row r="10" ht="24" customHeight="1">
      <c r="A10" s="15" t="n">
        <v>7</v>
      </c>
      <c r="B10" s="9" t="inlineStr">
        <is>
          <t>السيولة ورأس المال</t>
        </is>
      </c>
      <c r="C10" s="9" t="inlineStr">
        <is>
          <t>دورة التحويل النقدي</t>
        </is>
      </c>
      <c r="D10" s="35" t="inlineStr">
        <is>
          <t>يوم</t>
        </is>
      </c>
      <c r="E10" s="35" t="inlineStr">
        <is>
          <t>↓</t>
        </is>
      </c>
      <c r="F10" s="23" t="inlineStr">
        <is>
          <t>🔴 رئيسي</t>
        </is>
      </c>
      <c r="G10" s="32" t="n">
        <v>0.05</v>
      </c>
      <c r="H10" s="43" t="n">
        <v>20</v>
      </c>
      <c r="I10" s="38" t="inlineStr">
        <is>
          <t>&lt; 20 يوم</t>
        </is>
      </c>
      <c r="J10" s="39" t="inlineStr">
        <is>
          <t>الاستدامة</t>
        </is>
      </c>
      <c r="K10" s="31" t="inlineStr">
        <is>
          <t>جودة التشغيل</t>
        </is>
      </c>
      <c r="L10" s="23" t="inlineStr">
        <is>
          <t>العمليات الداخلية</t>
        </is>
      </c>
      <c r="M10" s="44" t="n">
        <v>19.3</v>
      </c>
      <c r="N10" s="16">
        <f>IF($H10="","",IF($M10="","",MIN(1,IF($H10=0,IF($M10&lt;=0,1,0),IF($E10="↓",IFERROR($H10/$M10,0),IFERROR($M10/$H10,0))))))</f>
        <v/>
      </c>
      <c r="O10" s="15">
        <f>IF($N10="","⏳ بانتظار هدف",IF($N10&gt;=1,"✅ محقق",IF($N10&gt;=0.85,"🟡 قريب","🔴 تحت الهدف")))</f>
        <v/>
      </c>
    </row>
    <row r="11" ht="24" customHeight="1">
      <c r="A11" s="15" t="n">
        <v>8</v>
      </c>
      <c r="B11" s="9" t="inlineStr">
        <is>
          <t>الذمم المدينة</t>
        </is>
      </c>
      <c r="C11" s="9" t="inlineStr">
        <is>
          <t>متوسط أيام التحصيل العام (DSO)</t>
        </is>
      </c>
      <c r="D11" s="35" t="inlineStr">
        <is>
          <t>يوم</t>
        </is>
      </c>
      <c r="E11" s="35" t="inlineStr">
        <is>
          <t>↓</t>
        </is>
      </c>
      <c r="F11" s="23" t="inlineStr">
        <is>
          <t>🔴 رئيسي</t>
        </is>
      </c>
      <c r="G11" s="32" t="n">
        <v>0.05</v>
      </c>
      <c r="H11" s="43" t="n">
        <v>30</v>
      </c>
      <c r="I11" s="38" t="inlineStr">
        <is>
          <t>&lt; 30 يوم</t>
        </is>
      </c>
      <c r="J11" s="39" t="inlineStr">
        <is>
          <t>الاستدامة</t>
        </is>
      </c>
      <c r="K11" s="31" t="inlineStr">
        <is>
          <t>جودة التشغيل</t>
        </is>
      </c>
      <c r="L11" s="23" t="inlineStr">
        <is>
          <t>مالي</t>
        </is>
      </c>
      <c r="M11" s="44" t="n">
        <v>28.1</v>
      </c>
      <c r="N11" s="16">
        <f>IF($H11="","",IF($M11="","",MIN(1,IF($H11=0,IF($M11&lt;=0,1,0),IF($E11="↓",IFERROR($H11/$M11,0),IFERROR($M11/$H11,0))))))</f>
        <v/>
      </c>
      <c r="O11" s="15">
        <f>IF($N11="","⏳ بانتظار هدف",IF($N11&gt;=1,"✅ محقق",IF($N11&gt;=0.85,"🟡 قريب","🔴 تحت الهدف")))</f>
        <v/>
      </c>
    </row>
    <row r="12" ht="24" customHeight="1">
      <c r="A12" s="15" t="n">
        <v>9</v>
      </c>
      <c r="B12" s="9" t="inlineStr">
        <is>
          <t>الذمم المدينة</t>
        </is>
      </c>
      <c r="C12" s="9" t="inlineStr">
        <is>
          <t>نسبة التحصيل العام (الشركة)</t>
        </is>
      </c>
      <c r="D12" s="35" t="inlineStr">
        <is>
          <t>%</t>
        </is>
      </c>
      <c r="E12" s="35" t="inlineStr">
        <is>
          <t>↑</t>
        </is>
      </c>
      <c r="F12" s="23" t="inlineStr">
        <is>
          <t>🔴 رئيسي</t>
        </is>
      </c>
      <c r="G12" s="32" t="n">
        <v>0.05</v>
      </c>
      <c r="H12" s="32" t="n">
        <v>0.95</v>
      </c>
      <c r="I12" s="38" t="inlineStr">
        <is>
          <t>&gt; 95%</t>
        </is>
      </c>
      <c r="J12" s="39" t="inlineStr">
        <is>
          <t>الاستدامة</t>
        </is>
      </c>
      <c r="K12" s="31" t="inlineStr">
        <is>
          <t>جودة التشغيل</t>
        </is>
      </c>
      <c r="L12" s="23" t="inlineStr">
        <is>
          <t>مالي</t>
        </is>
      </c>
      <c r="M12" s="42" t="n">
        <v>0.699</v>
      </c>
      <c r="N12" s="16">
        <f>IF($H12="","",IF($M12="","",MIN(1,IF($H12=0,IF($M12&lt;=0,1,0),IF($E12="↓",IFERROR($H12/$M12,0),IFERROR($M12/$H12,0))))))</f>
        <v/>
      </c>
      <c r="O12" s="15">
        <f>IF($N12="","⏳ بانتظار هدف",IF($N12&gt;=1,"✅ محقق",IF($N12&gt;=0.85,"🟡 قريب","🔴 تحت الهدف")))</f>
        <v/>
      </c>
    </row>
    <row r="13" ht="24" customHeight="1">
      <c r="A13" s="15" t="n">
        <v>10</v>
      </c>
      <c r="B13" s="9" t="inlineStr">
        <is>
          <t>الذمم المدينة</t>
        </is>
      </c>
      <c r="C13" s="9" t="inlineStr">
        <is>
          <t>نسبة الذمم المتأخرة</t>
        </is>
      </c>
      <c r="D13" s="35" t="inlineStr">
        <is>
          <t>%</t>
        </is>
      </c>
      <c r="E13" s="35" t="inlineStr">
        <is>
          <t>↓</t>
        </is>
      </c>
      <c r="F13" s="23" t="inlineStr">
        <is>
          <t>🟠 مهم</t>
        </is>
      </c>
      <c r="G13" s="32" t="n">
        <v>0.04</v>
      </c>
      <c r="H13" s="32" t="n">
        <v>0.1</v>
      </c>
      <c r="I13" s="38" t="inlineStr">
        <is>
          <t>&lt; 10%</t>
        </is>
      </c>
      <c r="J13" s="39" t="inlineStr">
        <is>
          <t>الاستدامة</t>
        </is>
      </c>
      <c r="K13" s="31" t="inlineStr">
        <is>
          <t>جودة التشغيل</t>
        </is>
      </c>
      <c r="L13" s="23" t="inlineStr">
        <is>
          <t>العمليات الداخلية</t>
        </is>
      </c>
      <c r="M13" s="42" t="n">
        <v>0.099</v>
      </c>
      <c r="N13" s="16">
        <f>IF($H13="","",IF($M13="","",MIN(1,IF($H13=0,IF($M13&lt;=0,1,0),IF($E13="↓",IFERROR($H13/$M13,0),IFERROR($M13/$H13,0))))))</f>
        <v/>
      </c>
      <c r="O13" s="15">
        <f>IF($N13="","⏳ بانتظار هدف",IF($N13&gt;=1,"✅ محقق",IF($N13&gt;=0.85,"🟡 قريب","🔴 تحت الهدف")))</f>
        <v/>
      </c>
    </row>
    <row r="14" ht="24" customHeight="1">
      <c r="A14" s="15" t="n">
        <v>11</v>
      </c>
      <c r="B14" s="9" t="inlineStr">
        <is>
          <t>الذمم المدينة</t>
        </is>
      </c>
      <c r="C14" s="9" t="inlineStr">
        <is>
          <t>نسبة الديون المعدومة</t>
        </is>
      </c>
      <c r="D14" s="35" t="inlineStr">
        <is>
          <t>%</t>
        </is>
      </c>
      <c r="E14" s="35" t="inlineStr">
        <is>
          <t>↓</t>
        </is>
      </c>
      <c r="F14" s="23" t="inlineStr">
        <is>
          <t>🟠 مهم</t>
        </is>
      </c>
      <c r="G14" s="32" t="n">
        <v>0.04</v>
      </c>
      <c r="H14" s="32" t="n">
        <v>0.01</v>
      </c>
      <c r="I14" s="38" t="inlineStr">
        <is>
          <t>&lt; 1%</t>
        </is>
      </c>
      <c r="J14" s="39" t="inlineStr">
        <is>
          <t>الاستدامة</t>
        </is>
      </c>
      <c r="K14" s="31" t="inlineStr">
        <is>
          <t>جودة التشغيل</t>
        </is>
      </c>
      <c r="L14" s="23" t="inlineStr">
        <is>
          <t>العمليات الداخلية</t>
        </is>
      </c>
      <c r="M14" s="42" t="n">
        <v>0.008999999999999999</v>
      </c>
      <c r="N14" s="16">
        <f>IF($H14="","",IF($M14="","",MIN(1,IF($H14=0,IF($M14&lt;=0,1,0),IF($E14="↓",IFERROR($H14/$M14,0),IFERROR($M14/$H14,0))))))</f>
        <v/>
      </c>
      <c r="O14" s="15">
        <f>IF($N14="","⏳ بانتظار هدف",IF($N14&gt;=1,"✅ محقق",IF($N14&gt;=0.85,"🟡 قريب","🔴 تحت الهدف")))</f>
        <v/>
      </c>
    </row>
    <row r="15" ht="24" customHeight="1">
      <c r="A15" s="15" t="n">
        <v>12</v>
      </c>
      <c r="B15" s="9" t="inlineStr">
        <is>
          <t>الذمم الدائنة</t>
        </is>
      </c>
      <c r="C15" s="9" t="inlineStr">
        <is>
          <t>سداد الموردين في الموعد</t>
        </is>
      </c>
      <c r="D15" s="35" t="inlineStr">
        <is>
          <t>%</t>
        </is>
      </c>
      <c r="E15" s="35" t="inlineStr">
        <is>
          <t>↑</t>
        </is>
      </c>
      <c r="F15" s="23" t="inlineStr">
        <is>
          <t>🟠 مهم</t>
        </is>
      </c>
      <c r="G15" s="32" t="n">
        <v>0.04</v>
      </c>
      <c r="H15" s="32" t="n">
        <v>0.98</v>
      </c>
      <c r="I15" s="38" t="inlineStr">
        <is>
          <t>&gt; 98%</t>
        </is>
      </c>
      <c r="J15" s="39" t="inlineStr">
        <is>
          <t>الاستدامة</t>
        </is>
      </c>
      <c r="K15" s="31" t="inlineStr">
        <is>
          <t>جودة التشغيل</t>
        </is>
      </c>
      <c r="L15" s="23" t="inlineStr">
        <is>
          <t>مالي</t>
        </is>
      </c>
      <c r="M15" s="42" t="n">
        <v>0.754</v>
      </c>
      <c r="N15" s="16">
        <f>IF($H15="","",IF($M15="","",MIN(1,IF($H15=0,IF($M15&lt;=0,1,0),IF($E15="↓",IFERROR($H15/$M15,0),IFERROR($M15/$H15,0))))))</f>
        <v/>
      </c>
      <c r="O15" s="15">
        <f>IF($N15="","⏳ بانتظار هدف",IF($N15&gt;=1,"✅ محقق",IF($N15&gt;=0.85,"🟡 قريب","🔴 تحت الهدف")))</f>
        <v/>
      </c>
    </row>
    <row r="16" ht="24" customHeight="1">
      <c r="A16" s="15" t="n">
        <v>13</v>
      </c>
      <c r="B16" s="9" t="inlineStr">
        <is>
          <t>الذمم الدائنة</t>
        </is>
      </c>
      <c r="C16" s="9" t="inlineStr">
        <is>
          <t>اكتمال مطابقة حسابات الموردين</t>
        </is>
      </c>
      <c r="D16" s="35" t="inlineStr">
        <is>
          <t>%</t>
        </is>
      </c>
      <c r="E16" s="35" t="inlineStr">
        <is>
          <t>↑</t>
        </is>
      </c>
      <c r="F16" s="23" t="inlineStr">
        <is>
          <t>🟠 مهم</t>
        </is>
      </c>
      <c r="G16" s="32" t="n">
        <v>0.04</v>
      </c>
      <c r="H16" s="32" t="n">
        <v>0.95</v>
      </c>
      <c r="I16" s="38" t="inlineStr">
        <is>
          <t>≥ 95%</t>
        </is>
      </c>
      <c r="J16" s="39" t="inlineStr">
        <is>
          <t>الاستدامة</t>
        </is>
      </c>
      <c r="K16" s="31" t="inlineStr">
        <is>
          <t>جودة التشغيل</t>
        </is>
      </c>
      <c r="L16" s="23" t="inlineStr">
        <is>
          <t>العمليات الداخلية</t>
        </is>
      </c>
      <c r="M16" s="42" t="n">
        <v>0.926</v>
      </c>
      <c r="N16" s="16">
        <f>IF($H16="","",IF($M16="","",MIN(1,IF($H16=0,IF($M16&lt;=0,1,0),IF($E16="↓",IFERROR($H16/$M16,0),IFERROR($M16/$H16,0))))))</f>
        <v/>
      </c>
      <c r="O16" s="15">
        <f>IF($N16="","⏳ بانتظار هدف",IF($N16&gt;=1,"✅ محقق",IF($N16&gt;=0.85,"🟡 قريب","🔴 تحت الهدف")))</f>
        <v/>
      </c>
    </row>
    <row r="17" ht="24" customHeight="1">
      <c r="A17" s="15" t="n">
        <v>14</v>
      </c>
      <c r="B17" s="9" t="inlineStr">
        <is>
          <t>الخزينة</t>
        </is>
      </c>
      <c r="C17" s="9" t="inlineStr">
        <is>
          <t>دقة التنبؤ النقدي</t>
        </is>
      </c>
      <c r="D17" s="35" t="inlineStr">
        <is>
          <t>%</t>
        </is>
      </c>
      <c r="E17" s="35" t="inlineStr">
        <is>
          <t>↑</t>
        </is>
      </c>
      <c r="F17" s="23" t="inlineStr">
        <is>
          <t>🟠 مهم</t>
        </is>
      </c>
      <c r="G17" s="32" t="n">
        <v>0.04</v>
      </c>
      <c r="H17" s="32" t="n">
        <v>0.9</v>
      </c>
      <c r="I17" s="38" t="inlineStr">
        <is>
          <t>±10%</t>
        </is>
      </c>
      <c r="J17" s="39" t="inlineStr">
        <is>
          <t>الاستدامة</t>
        </is>
      </c>
      <c r="K17" s="31" t="inlineStr">
        <is>
          <t>جودة التشغيل</t>
        </is>
      </c>
      <c r="L17" s="23" t="inlineStr">
        <is>
          <t>العمليات الداخلية</t>
        </is>
      </c>
      <c r="M17" s="42" t="n">
        <v>0.9</v>
      </c>
      <c r="N17" s="16">
        <f>IF($H17="","",IF($M17="","",MIN(1,IF($H17=0,IF($M17&lt;=0,1,0),IF($E17="↓",IFERROR($H17/$M17,0),IFERROR($M17/$H17,0))))))</f>
        <v/>
      </c>
      <c r="O17" s="15">
        <f>IF($N17="","⏳ بانتظار هدف",IF($N17&gt;=1,"✅ محقق",IF($N17&gt;=0.85,"🟡 قريب","🔴 تحت الهدف")))</f>
        <v/>
      </c>
    </row>
    <row r="18" ht="24" customHeight="1">
      <c r="A18" s="15" t="n">
        <v>15</v>
      </c>
      <c r="B18" s="9" t="inlineStr">
        <is>
          <t>صناعة الوقود</t>
        </is>
      </c>
      <c r="C18" s="9" t="inlineStr">
        <is>
          <t>تباين مخزون الوقود</t>
        </is>
      </c>
      <c r="D18" s="35" t="inlineStr">
        <is>
          <t>%</t>
        </is>
      </c>
      <c r="E18" s="35" t="inlineStr">
        <is>
          <t>↓</t>
        </is>
      </c>
      <c r="F18" s="23" t="inlineStr">
        <is>
          <t>🟠 مهم</t>
        </is>
      </c>
      <c r="G18" s="32" t="n">
        <v>0.04</v>
      </c>
      <c r="H18" s="32" t="n">
        <v>0.001</v>
      </c>
      <c r="I18" s="38" t="inlineStr">
        <is>
          <t>&lt; 0.1%</t>
        </is>
      </c>
      <c r="J18" s="39" t="inlineStr">
        <is>
          <t>الاستدامة</t>
        </is>
      </c>
      <c r="K18" s="31" t="inlineStr">
        <is>
          <t>جودة التشغيل</t>
        </is>
      </c>
      <c r="L18" s="23" t="inlineStr">
        <is>
          <t>العمليات الداخلية</t>
        </is>
      </c>
      <c r="M18" s="42" t="n">
        <v>0.001</v>
      </c>
      <c r="N18" s="16">
        <f>IF($H18="","",IF($M18="","",MIN(1,IF($H18=0,IF($M18&lt;=0,1,0),IF($E18="↓",IFERROR($H18/$M18,0),IFERROR($M18/$H18,0))))))</f>
        <v/>
      </c>
      <c r="O18" s="15">
        <f>IF($N18="","⏳ بانتظار هدف",IF($N18&gt;=1,"✅ محقق",IF($N18&gt;=0.85,"🟡 قريب","🔴 تحت الهدف")))</f>
        <v/>
      </c>
    </row>
    <row r="19" ht="24" customHeight="1">
      <c r="A19" s="15" t="n">
        <v>16</v>
      </c>
      <c r="B19" s="9" t="inlineStr">
        <is>
          <t>صناعة الوقود</t>
        </is>
      </c>
      <c r="C19" s="9" t="inlineStr">
        <is>
          <t>دقة مطابقة المخزون</t>
        </is>
      </c>
      <c r="D19" s="35" t="inlineStr">
        <is>
          <t>%</t>
        </is>
      </c>
      <c r="E19" s="35" t="inlineStr">
        <is>
          <t>↑</t>
        </is>
      </c>
      <c r="F19" s="23" t="inlineStr">
        <is>
          <t>🟠 مهم</t>
        </is>
      </c>
      <c r="G19" s="32" t="n">
        <v>0.03</v>
      </c>
      <c r="H19" s="32" t="n">
        <v>0.995</v>
      </c>
      <c r="I19" s="38" t="inlineStr">
        <is>
          <t>&gt; 99.5%</t>
        </is>
      </c>
      <c r="J19" s="39" t="inlineStr">
        <is>
          <t>الاستدامة</t>
        </is>
      </c>
      <c r="K19" s="31" t="inlineStr">
        <is>
          <t>جودة التشغيل</t>
        </is>
      </c>
      <c r="L19" s="23" t="inlineStr">
        <is>
          <t>العمليات الداخلية</t>
        </is>
      </c>
      <c r="M19" s="42" t="n">
        <v>0.776</v>
      </c>
      <c r="N19" s="16">
        <f>IF($H19="","",IF($M19="","",MIN(1,IF($H19=0,IF($M19&lt;=0,1,0),IF($E19="↓",IFERROR($H19/$M19,0),IFERROR($M19/$H19,0))))))</f>
        <v/>
      </c>
      <c r="O19" s="15">
        <f>IF($N19="","⏳ بانتظار هدف",IF($N19&gt;=1,"✅ محقق",IF($N19&gt;=0.85,"🟡 قريب","🔴 تحت الهدف")))</f>
        <v/>
      </c>
    </row>
    <row r="20" ht="24" customHeight="1">
      <c r="A20" s="15" t="n">
        <v>17</v>
      </c>
      <c r="B20" s="9" t="inlineStr">
        <is>
          <t>صناعة الوقود</t>
        </is>
      </c>
      <c r="C20" s="9" t="inlineStr">
        <is>
          <t>دقة تسوية أرامكو</t>
        </is>
      </c>
      <c r="D20" s="35" t="inlineStr">
        <is>
          <t>%</t>
        </is>
      </c>
      <c r="E20" s="35" t="inlineStr">
        <is>
          <t>↑</t>
        </is>
      </c>
      <c r="F20" s="23" t="inlineStr">
        <is>
          <t>🟠 مهم</t>
        </is>
      </c>
      <c r="G20" s="32" t="n">
        <v>0.03</v>
      </c>
      <c r="H20" s="32" t="n">
        <v>1</v>
      </c>
      <c r="I20" s="38" t="inlineStr">
        <is>
          <t>100%</t>
        </is>
      </c>
      <c r="J20" s="39" t="inlineStr">
        <is>
          <t>الاستدامة</t>
        </is>
      </c>
      <c r="K20" s="31" t="inlineStr">
        <is>
          <t>جودة التشغيل</t>
        </is>
      </c>
      <c r="L20" s="23" t="inlineStr">
        <is>
          <t>العمليات الداخلية</t>
        </is>
      </c>
      <c r="M20" s="42" t="n">
        <v>0.76</v>
      </c>
      <c r="N20" s="16">
        <f>IF($H20="","",IF($M20="","",MIN(1,IF($H20=0,IF($M20&lt;=0,1,0),IF($E20="↓",IFERROR($H20/$M20,0),IFERROR($M20/$H20,0))))))</f>
        <v/>
      </c>
      <c r="O20" s="15">
        <f>IF($N20="","⏳ بانتظار هدف",IF($N20&gt;=1,"✅ محقق",IF($N20&gt;=0.85,"🟡 قريب","🔴 تحت الهدف")))</f>
        <v/>
      </c>
    </row>
    <row r="21" ht="24" customHeight="1">
      <c r="A21" s="15" t="n">
        <v>18</v>
      </c>
      <c r="B21" s="9" t="inlineStr">
        <is>
          <t>تمويل الامتياز</t>
        </is>
      </c>
      <c r="C21" s="9" t="inlineStr">
        <is>
          <t>نسبة تحصيل الامتياز</t>
        </is>
      </c>
      <c r="D21" s="35" t="inlineStr">
        <is>
          <t>%</t>
        </is>
      </c>
      <c r="E21" s="35" t="inlineStr">
        <is>
          <t>↑</t>
        </is>
      </c>
      <c r="F21" s="23" t="inlineStr">
        <is>
          <t>🔴 رئيسي</t>
        </is>
      </c>
      <c r="G21" s="32" t="n">
        <v>0.05</v>
      </c>
      <c r="H21" s="32" t="n">
        <v>0.98</v>
      </c>
      <c r="I21" s="38" t="inlineStr">
        <is>
          <t>&gt; 98%</t>
        </is>
      </c>
      <c r="J21" s="39" t="inlineStr">
        <is>
          <t>النمو</t>
        </is>
      </c>
      <c r="K21" s="31" t="inlineStr">
        <is>
          <t>الامتياز التجاري</t>
        </is>
      </c>
      <c r="L21" s="23" t="inlineStr">
        <is>
          <t>مالي</t>
        </is>
      </c>
      <c r="M21" s="42" t="n">
        <v>0.91</v>
      </c>
      <c r="N21" s="16">
        <f>IF($H21="","",IF($M21="","",MIN(1,IF($H21=0,IF($M21&lt;=0,1,0),IF($E21="↓",IFERROR($H21/$M21,0),IFERROR($M21/$H21,0))))))</f>
        <v/>
      </c>
      <c r="O21" s="15">
        <f>IF($N21="","⏳ بانتظار هدف",IF($N21&gt;=1,"✅ محقق",IF($N21&gt;=0.85,"🟡 قريب","🔴 تحت الهدف")))</f>
        <v/>
      </c>
    </row>
    <row r="22" ht="24" customHeight="1">
      <c r="A22" s="15" t="n">
        <v>19</v>
      </c>
      <c r="B22" s="9" t="inlineStr">
        <is>
          <t>تمويل الامتياز</t>
        </is>
      </c>
      <c r="C22" s="9" t="inlineStr">
        <is>
          <t>أيام تحصيل رسوم الامتياز</t>
        </is>
      </c>
      <c r="D22" s="35" t="inlineStr">
        <is>
          <t>يوم</t>
        </is>
      </c>
      <c r="E22" s="35" t="inlineStr">
        <is>
          <t>↓</t>
        </is>
      </c>
      <c r="F22" s="23" t="inlineStr">
        <is>
          <t>🔴 رئيسي</t>
        </is>
      </c>
      <c r="G22" s="32" t="n">
        <v>0.05</v>
      </c>
      <c r="H22" s="43" t="n">
        <v>15</v>
      </c>
      <c r="I22" s="38" t="inlineStr">
        <is>
          <t>&lt; 15 يوم</t>
        </is>
      </c>
      <c r="J22" s="39" t="inlineStr">
        <is>
          <t>النمو</t>
        </is>
      </c>
      <c r="K22" s="31" t="inlineStr">
        <is>
          <t>الامتياز التجاري</t>
        </is>
      </c>
      <c r="L22" s="23" t="inlineStr">
        <is>
          <t>مالي</t>
        </is>
      </c>
      <c r="M22" s="44" t="n">
        <v>15.8</v>
      </c>
      <c r="N22" s="16">
        <f>IF($H22="","",IF($M22="","",MIN(1,IF($H22=0,IF($M22&lt;=0,1,0),IF($E22="↓",IFERROR($H22/$M22,0),IFERROR($M22/$H22,0))))))</f>
        <v/>
      </c>
      <c r="O22" s="15">
        <f>IF($N22="","⏳ بانتظار هدف",IF($N22&gt;=1,"✅ محقق",IF($N22&gt;=0.85,"🟡 قريب","🔴 تحت الهدف")))</f>
        <v/>
      </c>
    </row>
    <row r="23" ht="24" customHeight="1">
      <c r="A23" s="15" t="n">
        <v>20</v>
      </c>
      <c r="B23" s="9" t="inlineStr">
        <is>
          <t>العقار والإيجار</t>
        </is>
      </c>
      <c r="C23" s="9" t="inlineStr">
        <is>
          <t>نسبة تحصيل الإيجار</t>
        </is>
      </c>
      <c r="D23" s="35" t="inlineStr">
        <is>
          <t>%</t>
        </is>
      </c>
      <c r="E23" s="35" t="inlineStr">
        <is>
          <t>↑</t>
        </is>
      </c>
      <c r="F23" s="23" t="inlineStr">
        <is>
          <t>🔴 رئيسي</t>
        </is>
      </c>
      <c r="G23" s="32" t="n">
        <v>0.05</v>
      </c>
      <c r="H23" s="32" t="n">
        <v>0.98</v>
      </c>
      <c r="I23" s="38" t="inlineStr">
        <is>
          <t>&gt; 98%</t>
        </is>
      </c>
      <c r="J23" s="39" t="inlineStr">
        <is>
          <t>الاستدامة</t>
        </is>
      </c>
      <c r="K23" s="31" t="inlineStr">
        <is>
          <t>منظومة التأجير</t>
        </is>
      </c>
      <c r="L23" s="23" t="inlineStr">
        <is>
          <t>مالي</t>
        </is>
      </c>
      <c r="M23" s="42" t="n">
        <v>1.027</v>
      </c>
      <c r="N23" s="16">
        <f>IF($H23="","",IF($M23="","",MIN(1,IF($H23=0,IF($M23&lt;=0,1,0),IF($E23="↓",IFERROR($H23/$M23,0),IFERROR($M23/$H23,0))))))</f>
        <v/>
      </c>
      <c r="O23" s="15">
        <f>IF($N23="","⏳ بانتظار هدف",IF($N23&gt;=1,"✅ محقق",IF($N23&gt;=0.85,"🟡 قريب","🔴 تحت الهدف")))</f>
        <v/>
      </c>
    </row>
    <row r="24" ht="24" customHeight="1">
      <c r="A24" s="15" t="n">
        <v>21</v>
      </c>
      <c r="B24" s="9" t="inlineStr">
        <is>
          <t>العقار والإيجار</t>
        </is>
      </c>
      <c r="C24" s="9" t="inlineStr">
        <is>
          <t>معدل تجديد عقود الإيجار</t>
        </is>
      </c>
      <c r="D24" s="35" t="inlineStr">
        <is>
          <t>%</t>
        </is>
      </c>
      <c r="E24" s="35" t="inlineStr">
        <is>
          <t>↑</t>
        </is>
      </c>
      <c r="F24" s="23" t="inlineStr">
        <is>
          <t>🔴 رئيسي</t>
        </is>
      </c>
      <c r="G24" s="32" t="n">
        <v>0.05</v>
      </c>
      <c r="H24" s="32" t="n">
        <v>0.9</v>
      </c>
      <c r="I24" s="38" t="inlineStr">
        <is>
          <t>&gt; 90%</t>
        </is>
      </c>
      <c r="J24" s="39" t="inlineStr">
        <is>
          <t>الاستدامة</t>
        </is>
      </c>
      <c r="K24" s="31" t="inlineStr">
        <is>
          <t>منظومة التأجير</t>
        </is>
      </c>
      <c r="L24" s="23" t="inlineStr">
        <is>
          <t>العمليات الداخلية</t>
        </is>
      </c>
      <c r="M24" s="42" t="n">
        <v>0.702</v>
      </c>
      <c r="N24" s="16">
        <f>IF($H24="","",IF($M24="","",MIN(1,IF($H24=0,IF($M24&lt;=0,1,0),IF($E24="↓",IFERROR($H24/$M24,0),IFERROR($M24/$H24,0))))))</f>
        <v/>
      </c>
      <c r="O24" s="15">
        <f>IF($N24="","⏳ بانتظار هدف",IF($N24&gt;=1,"✅ محقق",IF($N24&gt;=0.85,"🟡 قريب","🔴 تحت الهدف")))</f>
        <v/>
      </c>
    </row>
    <row r="25" ht="24" customHeight="1">
      <c r="A25" s="15" t="n">
        <v>22</v>
      </c>
      <c r="B25" s="9" t="inlineStr">
        <is>
          <t>الموازنة والتقارير</t>
        </is>
      </c>
      <c r="C25" s="9" t="inlineStr">
        <is>
          <t>انحراف الموازنة</t>
        </is>
      </c>
      <c r="D25" s="35" t="inlineStr">
        <is>
          <t>%</t>
        </is>
      </c>
      <c r="E25" s="35" t="inlineStr">
        <is>
          <t>↓</t>
        </is>
      </c>
      <c r="F25" s="23" t="inlineStr">
        <is>
          <t>🟠 مهم</t>
        </is>
      </c>
      <c r="G25" s="32" t="n">
        <v>0.03</v>
      </c>
      <c r="H25" s="32" t="n">
        <v>0.1</v>
      </c>
      <c r="I25" s="38" t="inlineStr">
        <is>
          <t>≤ ±10%</t>
        </is>
      </c>
      <c r="J25" s="39" t="inlineStr">
        <is>
          <t>الاستدامة</t>
        </is>
      </c>
      <c r="K25" s="31" t="inlineStr">
        <is>
          <t>جودة التشغيل</t>
        </is>
      </c>
      <c r="L25" s="23" t="inlineStr">
        <is>
          <t>العمليات الداخلية</t>
        </is>
      </c>
      <c r="M25" s="42" t="n">
        <v>0.101</v>
      </c>
      <c r="N25" s="16">
        <f>IF($H25="","",IF($M25="","",MIN(1,IF($H25=0,IF($M25&lt;=0,1,0),IF($E25="↓",IFERROR($H25/$M25,0),IFERROR($M25/$H25,0))))))</f>
        <v/>
      </c>
      <c r="O25" s="15">
        <f>IF($N25="","⏳ بانتظار هدف",IF($N25&gt;=1,"✅ محقق",IF($N25&gt;=0.85,"🟡 قريب","🔴 تحت الهدف")))</f>
        <v/>
      </c>
    </row>
    <row r="26" ht="24" customHeight="1">
      <c r="A26" s="15" t="n">
        <v>23</v>
      </c>
      <c r="B26" s="9" t="inlineStr">
        <is>
          <t>الموازنة والتقارير</t>
        </is>
      </c>
      <c r="C26" s="9" t="inlineStr">
        <is>
          <t>أيام الإقفال الشهري</t>
        </is>
      </c>
      <c r="D26" s="35" t="inlineStr">
        <is>
          <t>يوم</t>
        </is>
      </c>
      <c r="E26" s="35" t="inlineStr">
        <is>
          <t>↓</t>
        </is>
      </c>
      <c r="F26" s="23" t="inlineStr">
        <is>
          <t>🟠 مهم</t>
        </is>
      </c>
      <c r="G26" s="32" t="n">
        <v>0.03</v>
      </c>
      <c r="H26" s="43" t="n">
        <v>6</v>
      </c>
      <c r="I26" s="38" t="inlineStr">
        <is>
          <t>≤ 6 أيام</t>
        </is>
      </c>
      <c r="J26" s="39" t="inlineStr">
        <is>
          <t>الاستدامة</t>
        </is>
      </c>
      <c r="K26" s="31" t="inlineStr">
        <is>
          <t>جودة التشغيل</t>
        </is>
      </c>
      <c r="L26" s="23" t="inlineStr">
        <is>
          <t>العمليات الداخلية</t>
        </is>
      </c>
      <c r="M26" s="44" t="n">
        <v>7.044</v>
      </c>
      <c r="N26" s="16">
        <f>IF($H26="","",IF($M26="","",MIN(1,IF($H26=0,IF($M26&lt;=0,1,0),IF($E26="↓",IFERROR($H26/$M26,0),IFERROR($M26/$H26,0))))))</f>
        <v/>
      </c>
      <c r="O26" s="15">
        <f>IF($N26="","⏳ بانتظار هدف",IF($N26&gt;=1,"✅ محقق",IF($N26&gt;=0.85,"🟡 قريب","🔴 تحت الهدف")))</f>
        <v/>
      </c>
    </row>
    <row r="27" ht="24" customHeight="1">
      <c r="A27" s="15" t="n">
        <v>24</v>
      </c>
      <c r="B27" s="9" t="inlineStr">
        <is>
          <t>الموازنة والتقارير</t>
        </is>
      </c>
      <c r="C27" s="9" t="inlineStr">
        <is>
          <t>نسبة تسويات التدقيق</t>
        </is>
      </c>
      <c r="D27" s="35" t="inlineStr">
        <is>
          <t>%</t>
        </is>
      </c>
      <c r="E27" s="35" t="inlineStr">
        <is>
          <t>↓</t>
        </is>
      </c>
      <c r="F27" s="23" t="inlineStr">
        <is>
          <t>🟠 مهم</t>
        </is>
      </c>
      <c r="G27" s="32" t="n">
        <v>0.03</v>
      </c>
      <c r="H27" s="32" t="n">
        <v>0.02</v>
      </c>
      <c r="I27" s="38" t="inlineStr">
        <is>
          <t>&lt; 2%</t>
        </is>
      </c>
      <c r="J27" s="39" t="inlineStr">
        <is>
          <t>الاستدامة</t>
        </is>
      </c>
      <c r="K27" s="31" t="inlineStr">
        <is>
          <t>جودة التشغيل</t>
        </is>
      </c>
      <c r="L27" s="23" t="inlineStr">
        <is>
          <t>العمليات الداخلية</t>
        </is>
      </c>
      <c r="M27" s="42" t="n">
        <v>0.02</v>
      </c>
      <c r="N27" s="16">
        <f>IF($H27="","",IF($M27="","",MIN(1,IF($H27=0,IF($M27&lt;=0,1,0),IF($E27="↓",IFERROR($H27/$M27,0),IFERROR($M27/$H27,0))))))</f>
        <v/>
      </c>
      <c r="O27" s="15">
        <f>IF($N27="","⏳ بانتظار هدف",IF($N27&gt;=1,"✅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5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46" t="inlineStr">
        <is>
          <t>▾ مشاريع إدارة التقنية</t>
        </is>
      </c>
    </row>
    <row r="4" ht="22" customHeight="1">
      <c r="A4" s="15" t="n">
        <v>1</v>
      </c>
      <c r="B4" s="14" t="inlineStr">
        <is>
          <t>إدارة التقنية</t>
        </is>
      </c>
      <c r="C4" s="9" t="inlineStr">
        <is>
          <t>نظام أتمتة الكاش (Cash-In)</t>
        </is>
      </c>
      <c r="D4" s="35" t="n">
        <v>164</v>
      </c>
      <c r="E4" s="35" t="inlineStr">
        <is>
          <t>محطة</t>
        </is>
      </c>
      <c r="F4" s="33" t="n">
        <v>59</v>
      </c>
      <c r="G4" s="16">
        <f>IFERROR(F4/D4,0)</f>
        <v/>
      </c>
      <c r="H4" s="47" t="inlineStr">
        <is>
          <t>نسبة إنجاز محفظة مشاريع التحول الرقمي</t>
        </is>
      </c>
    </row>
    <row r="5" ht="22" customHeight="1">
      <c r="A5" s="15" t="n">
        <v>2</v>
      </c>
      <c r="B5" s="14" t="inlineStr">
        <is>
          <t>إدارة التقنية</t>
        </is>
      </c>
      <c r="C5" s="9" t="inlineStr">
        <is>
          <t>D365 FNO — المرحلة الأولى</t>
        </is>
      </c>
      <c r="D5" s="35" t="n">
        <v>5</v>
      </c>
      <c r="E5" s="35" t="inlineStr">
        <is>
          <t>وحدة</t>
        </is>
      </c>
      <c r="F5" s="33" t="n">
        <v>3.5</v>
      </c>
      <c r="G5" s="16">
        <f>IFERROR(F5/D5,0)</f>
        <v/>
      </c>
      <c r="H5" s="47" t="inlineStr">
        <is>
          <t>نسبة إنجاز محفظة مشاريع التحول الرقمي</t>
        </is>
      </c>
    </row>
    <row r="6" ht="22" customHeight="1">
      <c r="A6" s="15" t="n">
        <v>3</v>
      </c>
      <c r="B6" s="14" t="inlineStr">
        <is>
          <t>إدارة التقنية</t>
        </is>
      </c>
      <c r="C6" s="9" t="inlineStr">
        <is>
          <t>D365 FNO — المرحلة الثانية</t>
        </is>
      </c>
      <c r="D6" s="35" t="n">
        <v>4</v>
      </c>
      <c r="E6" s="35" t="inlineStr">
        <is>
          <t>وحدة</t>
        </is>
      </c>
      <c r="F6" s="33" t="n">
        <v>0</v>
      </c>
      <c r="G6" s="16">
        <f>IFERROR(F6/D6,0)</f>
        <v/>
      </c>
      <c r="H6" s="47" t="inlineStr">
        <is>
          <t>نسبة إنجاز محفظة مشاريع التحول الرقمي</t>
        </is>
      </c>
    </row>
    <row r="7" ht="22" customHeight="1">
      <c r="A7" s="15" t="n">
        <v>4</v>
      </c>
      <c r="B7" s="14" t="inlineStr">
        <is>
          <t>إدارة التقنية</t>
        </is>
      </c>
      <c r="C7" s="9" t="inlineStr">
        <is>
          <t>D365 FNO — المرحلة الثالثة</t>
        </is>
      </c>
      <c r="D7" s="35" t="n">
        <v>2</v>
      </c>
      <c r="E7" s="35" t="inlineStr">
        <is>
          <t>وحدة</t>
        </is>
      </c>
      <c r="F7" s="33" t="n">
        <v>0</v>
      </c>
      <c r="G7" s="16">
        <f>IFERROR(F7/D7,0)</f>
        <v/>
      </c>
      <c r="H7" s="47" t="inlineStr">
        <is>
          <t>نسبة إنجاز محفظة مشاريع التحول الرقمي</t>
        </is>
      </c>
    </row>
    <row r="8" ht="22" customHeight="1">
      <c r="A8" s="15" t="n">
        <v>5</v>
      </c>
      <c r="B8" s="14" t="inlineStr">
        <is>
          <t>إدارة التقنية</t>
        </is>
      </c>
      <c r="C8" s="9" t="inlineStr">
        <is>
          <t>تطبيق الامتياز مع واثق</t>
        </is>
      </c>
      <c r="D8" s="35" t="n">
        <v>1</v>
      </c>
      <c r="E8" s="35" t="inlineStr">
        <is>
          <t>تطبيق</t>
        </is>
      </c>
      <c r="F8" s="33" t="n">
        <v>0</v>
      </c>
      <c r="G8" s="16">
        <f>IFERROR(F8/D8,0)</f>
        <v/>
      </c>
      <c r="H8" s="47" t="inlineStr">
        <is>
          <t>نسبة إنجاز محفظة مشاريع التحول الرقمي</t>
        </is>
      </c>
    </row>
    <row r="9" ht="22" customHeight="1">
      <c r="A9" s="15" t="n">
        <v>6</v>
      </c>
      <c r="B9" s="14" t="inlineStr">
        <is>
          <t>إدارة التقنية</t>
        </is>
      </c>
      <c r="C9" s="9" t="inlineStr">
        <is>
          <t>ربط المحطات بوزارة الطاقة (ATJ)</t>
        </is>
      </c>
      <c r="D9" s="35" t="n">
        <v>164</v>
      </c>
      <c r="E9" s="35" t="inlineStr">
        <is>
          <t>محطة</t>
        </is>
      </c>
      <c r="F9" s="33" t="n">
        <v>0</v>
      </c>
      <c r="G9" s="16">
        <f>IFERROR(F9/D9,0)</f>
        <v/>
      </c>
      <c r="H9" s="47" t="inlineStr">
        <is>
          <t>نسبة إنجاز محفظة مشاريع التحول الرقمي</t>
        </is>
      </c>
    </row>
    <row r="10" ht="22" customHeight="1">
      <c r="A10" s="15" t="n">
        <v>7</v>
      </c>
      <c r="B10" s="14" t="inlineStr">
        <is>
          <t>إدارة التقنية</t>
        </is>
      </c>
      <c r="C10" s="9" t="inlineStr">
        <is>
          <t>ربط الكاميرات بالمركز الرئيسي</t>
        </is>
      </c>
      <c r="D10" s="35" t="n">
        <v>164</v>
      </c>
      <c r="E10" s="35" t="inlineStr">
        <is>
          <t>محطة</t>
        </is>
      </c>
      <c r="F10" s="33" t="n">
        <v>0</v>
      </c>
      <c r="G10" s="16">
        <f>IFERROR(F10/D10,0)</f>
        <v/>
      </c>
      <c r="H10" s="47" t="inlineStr">
        <is>
          <t>نسبة إنجاز محفظة مشاريع التحول الرقمي</t>
        </is>
      </c>
    </row>
    <row r="11" ht="22" customHeight="1">
      <c r="A11" s="15" t="n">
        <v>8</v>
      </c>
      <c r="B11" s="14" t="inlineStr">
        <is>
          <t>إدارة التقنية</t>
        </is>
      </c>
      <c r="C11" s="9" t="inlineStr">
        <is>
          <t>تطبيق الولاء (تانكي) في المحطات</t>
        </is>
      </c>
      <c r="D11" s="35" t="n">
        <v>164</v>
      </c>
      <c r="E11" s="35" t="inlineStr">
        <is>
          <t>محطة</t>
        </is>
      </c>
      <c r="F11" s="33" t="n">
        <v>0</v>
      </c>
      <c r="G11" s="16">
        <f>IFERROR(F11/D11,0)</f>
        <v/>
      </c>
      <c r="H11" s="47" t="inlineStr">
        <is>
          <t>نسبة إنجاز محفظة مشاريع التحول الرقمي</t>
        </is>
      </c>
    </row>
    <row r="12" ht="22" customHeight="1">
      <c r="A12" s="15" t="n">
        <v>9</v>
      </c>
      <c r="B12" s="14" t="inlineStr">
        <is>
          <t>إدارة التقنية</t>
        </is>
      </c>
      <c r="C12" s="9" t="inlineStr">
        <is>
          <t>منصة Tatin السحابية</t>
        </is>
      </c>
      <c r="D12" s="35" t="n">
        <v>164</v>
      </c>
      <c r="E12" s="35" t="inlineStr">
        <is>
          <t>محطة</t>
        </is>
      </c>
      <c r="F12" s="33" t="n">
        <v>2</v>
      </c>
      <c r="G12" s="16">
        <f>IFERROR(F12/D12,0)</f>
        <v/>
      </c>
      <c r="H12" s="47" t="inlineStr">
        <is>
          <t>نسبة إنجاز محفظة مشاريع التحول الرقمي</t>
        </is>
      </c>
    </row>
    <row r="13" ht="22" customHeight="1">
      <c r="A13" s="15" t="n">
        <v>10</v>
      </c>
      <c r="B13" s="14" t="inlineStr">
        <is>
          <t>إدارة التقنية</t>
        </is>
      </c>
      <c r="C13" s="9" t="inlineStr">
        <is>
          <t>إدارة العمليات بالذكاء الاصطناعي</t>
        </is>
      </c>
      <c r="D13" s="35" t="n">
        <v>164</v>
      </c>
      <c r="E13" s="35" t="inlineStr">
        <is>
          <t>محطة</t>
        </is>
      </c>
      <c r="F13" s="33" t="n">
        <v>0</v>
      </c>
      <c r="G13" s="16">
        <f>IFERROR(F13/D13,0)</f>
        <v/>
      </c>
      <c r="H13" s="47" t="inlineStr">
        <is>
          <t>نسبة إنجاز محفظة مشاريع التحول الرقمي</t>
        </is>
      </c>
    </row>
    <row r="14">
      <c r="A14" s="48" t="inlineStr">
        <is>
          <t>▾ مشاريع الإدارة التنفيذية</t>
        </is>
      </c>
    </row>
    <row r="15">
      <c r="A15" s="7" t="n"/>
      <c r="B15" s="14" t="inlineStr">
        <is>
          <t>الإدارة التنفيذية</t>
        </is>
      </c>
      <c r="C15" s="49" t="n"/>
      <c r="D15" s="49" t="n"/>
      <c r="E15" s="49" t="n"/>
      <c r="F15" s="49" t="n"/>
      <c r="G15" s="16">
        <f>IFERROR(F15/D15,0)</f>
        <v/>
      </c>
      <c r="H15" s="7" t="n"/>
    </row>
    <row r="16">
      <c r="A16" s="7" t="n"/>
      <c r="B16" s="14" t="inlineStr">
        <is>
          <t>الإدارة التنفيذية</t>
        </is>
      </c>
      <c r="C16" s="49" t="n"/>
      <c r="D16" s="49" t="n"/>
      <c r="E16" s="49" t="n"/>
      <c r="F16" s="49" t="n"/>
      <c r="G16" s="16">
        <f>IFERROR(F16/D16,0)</f>
        <v/>
      </c>
      <c r="H16" s="7" t="n"/>
    </row>
    <row r="17">
      <c r="A17" s="7" t="n"/>
      <c r="B17" s="14" t="inlineStr">
        <is>
          <t>الإدارة التنفيذية</t>
        </is>
      </c>
      <c r="C17" s="49" t="n"/>
      <c r="D17" s="49" t="n"/>
      <c r="E17" s="49" t="n"/>
      <c r="F17" s="49" t="n"/>
      <c r="G17" s="16">
        <f>IFERROR(F17/D17,0)</f>
        <v/>
      </c>
      <c r="H17" s="7" t="n"/>
    </row>
    <row r="18">
      <c r="A18" s="48" t="inlineStr">
        <is>
          <t>▾ مشاريع الامتياز التجاري</t>
        </is>
      </c>
    </row>
    <row r="19">
      <c r="A19" s="7" t="n"/>
      <c r="B19" s="14" t="inlineStr">
        <is>
          <t>الامتياز التجاري</t>
        </is>
      </c>
      <c r="C19" s="49" t="n"/>
      <c r="D19" s="49" t="n"/>
      <c r="E19" s="49" t="n"/>
      <c r="F19" s="49" t="n"/>
      <c r="G19" s="16">
        <f>IFERROR(F19/D19,0)</f>
        <v/>
      </c>
      <c r="H19" s="7" t="n"/>
    </row>
    <row r="20">
      <c r="A20" s="7" t="n"/>
      <c r="B20" s="14" t="inlineStr">
        <is>
          <t>الامتياز التجاري</t>
        </is>
      </c>
      <c r="C20" s="49" t="n"/>
      <c r="D20" s="49" t="n"/>
      <c r="E20" s="49" t="n"/>
      <c r="F20" s="49" t="n"/>
      <c r="G20" s="16">
        <f>IFERROR(F20/D20,0)</f>
        <v/>
      </c>
      <c r="H20" s="7" t="n"/>
    </row>
    <row r="21">
      <c r="A21" s="7" t="n"/>
      <c r="B21" s="14" t="inlineStr">
        <is>
          <t>الامتياز التجاري</t>
        </is>
      </c>
      <c r="C21" s="49" t="n"/>
      <c r="D21" s="49" t="n"/>
      <c r="E21" s="49" t="n"/>
      <c r="F21" s="49" t="n"/>
      <c r="G21" s="16">
        <f>IFERROR(F21/D21,0)</f>
        <v/>
      </c>
      <c r="H21" s="7" t="n"/>
    </row>
    <row r="22">
      <c r="A22" s="48" t="inlineStr">
        <is>
          <t>▾ مشاريع التشغيل والمحطات</t>
        </is>
      </c>
    </row>
    <row r="23">
      <c r="A23" s="7" t="n"/>
      <c r="B23" s="14" t="inlineStr">
        <is>
          <t>التشغيل والمحطات</t>
        </is>
      </c>
      <c r="C23" s="49" t="n"/>
      <c r="D23" s="49" t="n"/>
      <c r="E23" s="49" t="n"/>
      <c r="F23" s="49" t="n"/>
      <c r="G23" s="16">
        <f>IFERROR(F23/D23,0)</f>
        <v/>
      </c>
      <c r="H23" s="7" t="n"/>
    </row>
    <row r="24">
      <c r="A24" s="7" t="n"/>
      <c r="B24" s="14" t="inlineStr">
        <is>
          <t>التشغيل والمحطات</t>
        </is>
      </c>
      <c r="C24" s="49" t="n"/>
      <c r="D24" s="49" t="n"/>
      <c r="E24" s="49" t="n"/>
      <c r="F24" s="49" t="n"/>
      <c r="G24" s="16">
        <f>IFERROR(F24/D24,0)</f>
        <v/>
      </c>
      <c r="H24" s="7" t="n"/>
    </row>
    <row r="25">
      <c r="A25" s="7" t="n"/>
      <c r="B25" s="14" t="inlineStr">
        <is>
          <t>التشغيل والمحطات</t>
        </is>
      </c>
      <c r="C25" s="49" t="n"/>
      <c r="D25" s="49" t="n"/>
      <c r="E25" s="49" t="n"/>
      <c r="F25" s="49" t="n"/>
      <c r="G25" s="16">
        <f>IFERROR(F25/D25,0)</f>
        <v/>
      </c>
      <c r="H25" s="7" t="n"/>
    </row>
    <row r="26">
      <c r="A26" s="48" t="inlineStr">
        <is>
          <t>▾ مشاريع الاستثمار</t>
        </is>
      </c>
    </row>
    <row r="27">
      <c r="A27" s="7" t="n"/>
      <c r="B27" s="14" t="inlineStr">
        <is>
          <t>الاستثمار</t>
        </is>
      </c>
      <c r="C27" s="49" t="n"/>
      <c r="D27" s="49" t="n"/>
      <c r="E27" s="49" t="n"/>
      <c r="F27" s="49" t="n"/>
      <c r="G27" s="16">
        <f>IFERROR(F27/D27,0)</f>
        <v/>
      </c>
      <c r="H27" s="7" t="n"/>
    </row>
    <row r="28">
      <c r="A28" s="7" t="n"/>
      <c r="B28" s="14" t="inlineStr">
        <is>
          <t>الاستثمار</t>
        </is>
      </c>
      <c r="C28" s="49" t="n"/>
      <c r="D28" s="49" t="n"/>
      <c r="E28" s="49" t="n"/>
      <c r="F28" s="49" t="n"/>
      <c r="G28" s="16">
        <f>IFERROR(F28/D28,0)</f>
        <v/>
      </c>
      <c r="H28" s="7" t="n"/>
    </row>
    <row r="29">
      <c r="A29" s="7" t="n"/>
      <c r="B29" s="14" t="inlineStr">
        <is>
          <t>الاستثمار</t>
        </is>
      </c>
      <c r="C29" s="49" t="n"/>
      <c r="D29" s="49" t="n"/>
      <c r="E29" s="49" t="n"/>
      <c r="F29" s="49" t="n"/>
      <c r="G29" s="16">
        <f>IFERROR(F29/D29,0)</f>
        <v/>
      </c>
      <c r="H29" s="7" t="n"/>
    </row>
    <row r="30">
      <c r="A30" s="48" t="inlineStr">
        <is>
          <t>▾ مشاريع العقار</t>
        </is>
      </c>
    </row>
    <row r="31">
      <c r="A31" s="7" t="n"/>
      <c r="B31" s="14" t="inlineStr">
        <is>
          <t>العقار</t>
        </is>
      </c>
      <c r="C31" s="49" t="n"/>
      <c r="D31" s="49" t="n"/>
      <c r="E31" s="49" t="n"/>
      <c r="F31" s="49" t="n"/>
      <c r="G31" s="16">
        <f>IFERROR(F31/D31,0)</f>
        <v/>
      </c>
      <c r="H31" s="7" t="n"/>
    </row>
    <row r="32">
      <c r="A32" s="7" t="n"/>
      <c r="B32" s="14" t="inlineStr">
        <is>
          <t>العقار</t>
        </is>
      </c>
      <c r="C32" s="49" t="n"/>
      <c r="D32" s="49" t="n"/>
      <c r="E32" s="49" t="n"/>
      <c r="F32" s="49" t="n"/>
      <c r="G32" s="16">
        <f>IFERROR(F32/D32,0)</f>
        <v/>
      </c>
      <c r="H32" s="7" t="n"/>
    </row>
    <row r="33">
      <c r="A33" s="7" t="n"/>
      <c r="B33" s="14" t="inlineStr">
        <is>
          <t>العقار</t>
        </is>
      </c>
      <c r="C33" s="49" t="n"/>
      <c r="D33" s="49" t="n"/>
      <c r="E33" s="49" t="n"/>
      <c r="F33" s="49" t="n"/>
      <c r="G33" s="16">
        <f>IFERROR(F33/D33,0)</f>
        <v/>
      </c>
      <c r="H33" s="7" t="n"/>
    </row>
    <row r="34">
      <c r="A34" s="48" t="inlineStr">
        <is>
          <t>▾ مشاريع الموارد البشرية</t>
        </is>
      </c>
    </row>
    <row r="35">
      <c r="A35" s="7" t="n"/>
      <c r="B35" s="14" t="inlineStr">
        <is>
          <t>الموارد البشرية</t>
        </is>
      </c>
      <c r="C35" s="49" t="n"/>
      <c r="D35" s="49" t="n"/>
      <c r="E35" s="49" t="n"/>
      <c r="F35" s="49" t="n"/>
      <c r="G35" s="16">
        <f>IFERROR(F35/D35,0)</f>
        <v/>
      </c>
      <c r="H35" s="7" t="n"/>
    </row>
    <row r="36">
      <c r="A36" s="7" t="n"/>
      <c r="B36" s="14" t="inlineStr">
        <is>
          <t>الموارد البشرية</t>
        </is>
      </c>
      <c r="C36" s="49" t="n"/>
      <c r="D36" s="49" t="n"/>
      <c r="E36" s="49" t="n"/>
      <c r="F36" s="49" t="n"/>
      <c r="G36" s="16">
        <f>IFERROR(F36/D36,0)</f>
        <v/>
      </c>
      <c r="H36" s="7" t="n"/>
    </row>
    <row r="37">
      <c r="A37" s="7" t="n"/>
      <c r="B37" s="14" t="inlineStr">
        <is>
          <t>الموارد البشرية</t>
        </is>
      </c>
      <c r="C37" s="49" t="n"/>
      <c r="D37" s="49" t="n"/>
      <c r="E37" s="49" t="n"/>
      <c r="F37" s="49" t="n"/>
      <c r="G37" s="16">
        <f>IFERROR(F37/D37,0)</f>
        <v/>
      </c>
      <c r="H37" s="7" t="n"/>
    </row>
    <row r="38">
      <c r="A38" s="48" t="inlineStr">
        <is>
          <t>▾ مشاريع التسويق</t>
        </is>
      </c>
    </row>
    <row r="39">
      <c r="A39" s="7" t="n"/>
      <c r="B39" s="14" t="inlineStr">
        <is>
          <t>التسويق</t>
        </is>
      </c>
      <c r="C39" s="49" t="n"/>
      <c r="D39" s="49" t="n"/>
      <c r="E39" s="49" t="n"/>
      <c r="F39" s="49" t="n"/>
      <c r="G39" s="16">
        <f>IFERROR(F39/D39,0)</f>
        <v/>
      </c>
      <c r="H39" s="7" t="n"/>
    </row>
    <row r="40">
      <c r="A40" s="7" t="n"/>
      <c r="B40" s="14" t="inlineStr">
        <is>
          <t>التسويق</t>
        </is>
      </c>
      <c r="C40" s="49" t="n"/>
      <c r="D40" s="49" t="n"/>
      <c r="E40" s="49" t="n"/>
      <c r="F40" s="49" t="n"/>
      <c r="G40" s="16">
        <f>IFERROR(F40/D40,0)</f>
        <v/>
      </c>
      <c r="H40" s="7" t="n"/>
    </row>
    <row r="41">
      <c r="A41" s="7" t="n"/>
      <c r="B41" s="14" t="inlineStr">
        <is>
          <t>التسويق</t>
        </is>
      </c>
      <c r="C41" s="49" t="n"/>
      <c r="D41" s="49" t="n"/>
      <c r="E41" s="49" t="n"/>
      <c r="F41" s="49" t="n"/>
      <c r="G41" s="16">
        <f>IFERROR(F41/D41,0)</f>
        <v/>
      </c>
      <c r="H41" s="7" t="n"/>
    </row>
    <row r="42">
      <c r="A42" s="48" t="inlineStr">
        <is>
          <t>▾ مشاريع الجودة</t>
        </is>
      </c>
    </row>
    <row r="43">
      <c r="A43" s="7" t="n"/>
      <c r="B43" s="14" t="inlineStr">
        <is>
          <t>الجودة</t>
        </is>
      </c>
      <c r="C43" s="49" t="n"/>
      <c r="D43" s="49" t="n"/>
      <c r="E43" s="49" t="n"/>
      <c r="F43" s="49" t="n"/>
      <c r="G43" s="16">
        <f>IFERROR(F43/D43,0)</f>
        <v/>
      </c>
      <c r="H43" s="7" t="n"/>
    </row>
    <row r="44">
      <c r="A44" s="7" t="n"/>
      <c r="B44" s="14" t="inlineStr">
        <is>
          <t>الجودة</t>
        </is>
      </c>
      <c r="C44" s="49" t="n"/>
      <c r="D44" s="49" t="n"/>
      <c r="E44" s="49" t="n"/>
      <c r="F44" s="49" t="n"/>
      <c r="G44" s="16">
        <f>IFERROR(F44/D44,0)</f>
        <v/>
      </c>
      <c r="H44" s="7" t="n"/>
    </row>
    <row r="45">
      <c r="A45" s="7" t="n"/>
      <c r="B45" s="14" t="inlineStr">
        <is>
          <t>الجودة</t>
        </is>
      </c>
      <c r="C45" s="49" t="n"/>
      <c r="D45" s="49" t="n"/>
      <c r="E45" s="49" t="n"/>
      <c r="F45" s="49" t="n"/>
      <c r="G45" s="16">
        <f>IFERROR(F45/D45,0)</f>
        <v/>
      </c>
      <c r="H45" s="7" t="n"/>
    </row>
    <row r="46">
      <c r="A46" s="48" t="inlineStr">
        <is>
          <t>▾ مشاريع الإدارة القانونية</t>
        </is>
      </c>
    </row>
    <row r="47">
      <c r="A47" s="7" t="n"/>
      <c r="B47" s="14" t="inlineStr">
        <is>
          <t>الإدارة القانونية</t>
        </is>
      </c>
      <c r="C47" s="49" t="n"/>
      <c r="D47" s="49" t="n"/>
      <c r="E47" s="49" t="n"/>
      <c r="F47" s="49" t="n"/>
      <c r="G47" s="16">
        <f>IFERROR(F47/D47,0)</f>
        <v/>
      </c>
      <c r="H47" s="7" t="n"/>
    </row>
    <row r="48">
      <c r="A48" s="7" t="n"/>
      <c r="B48" s="14" t="inlineStr">
        <is>
          <t>الإدارة القانونية</t>
        </is>
      </c>
      <c r="C48" s="49" t="n"/>
      <c r="D48" s="49" t="n"/>
      <c r="E48" s="49" t="n"/>
      <c r="F48" s="49" t="n"/>
      <c r="G48" s="16">
        <f>IFERROR(F48/D48,0)</f>
        <v/>
      </c>
      <c r="H48" s="7" t="n"/>
    </row>
    <row r="49">
      <c r="A49" s="7" t="n"/>
      <c r="B49" s="14" t="inlineStr">
        <is>
          <t>الإدارة القانونية</t>
        </is>
      </c>
      <c r="C49" s="49" t="n"/>
      <c r="D49" s="49" t="n"/>
      <c r="E49" s="49" t="n"/>
      <c r="F49" s="49" t="n"/>
      <c r="G49" s="16">
        <f>IFERROR(F49/D49,0)</f>
        <v/>
      </c>
      <c r="H49" s="7" t="n"/>
    </row>
    <row r="50">
      <c r="A50" s="48" t="inlineStr">
        <is>
          <t>▾ مشاريع الإدارة المالية</t>
        </is>
      </c>
    </row>
    <row r="51">
      <c r="A51" s="7" t="n"/>
      <c r="B51" s="14" t="inlineStr">
        <is>
          <t>الإدارة المالية</t>
        </is>
      </c>
      <c r="C51" s="49" t="n"/>
      <c r="D51" s="49" t="n"/>
      <c r="E51" s="49" t="n"/>
      <c r="F51" s="49" t="n"/>
      <c r="G51" s="16">
        <f>IFERROR(F51/D51,0)</f>
        <v/>
      </c>
      <c r="H51" s="7" t="n"/>
    </row>
    <row r="52">
      <c r="A52" s="7" t="n"/>
      <c r="B52" s="14" t="inlineStr">
        <is>
          <t>الإدارة المالية</t>
        </is>
      </c>
      <c r="C52" s="49" t="n"/>
      <c r="D52" s="49" t="n"/>
      <c r="E52" s="49" t="n"/>
      <c r="F52" s="49" t="n"/>
      <c r="G52" s="16">
        <f>IFERROR(F52/D52,0)</f>
        <v/>
      </c>
      <c r="H52" s="7" t="n"/>
    </row>
    <row r="53">
      <c r="A53" s="7" t="n"/>
      <c r="B53" s="14" t="inlineStr">
        <is>
          <t>الإدارة المالية</t>
        </is>
      </c>
      <c r="C53" s="49" t="n"/>
      <c r="D53" s="49" t="n"/>
      <c r="E53" s="49" t="n"/>
      <c r="F53" s="49" t="n"/>
      <c r="G53" s="16">
        <f>IFERROR(F53/D53,0)</f>
        <v/>
      </c>
      <c r="H53" s="7" t="n"/>
    </row>
  </sheetData>
  <mergeCells count="12">
    <mergeCell ref="A18:H18"/>
    <mergeCell ref="A50:H50"/>
    <mergeCell ref="A3:H3"/>
    <mergeCell ref="A26:H26"/>
    <mergeCell ref="A30:H30"/>
    <mergeCell ref="A38:H38"/>
    <mergeCell ref="A42:H42"/>
    <mergeCell ref="A14:H14"/>
    <mergeCell ref="A1:H1"/>
    <mergeCell ref="A46:H46"/>
    <mergeCell ref="A22:H22"/>
    <mergeCell ref="A34:H3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25" t="inlineStr">
        <is>
          <t>#</t>
        </is>
      </c>
      <c r="B1" s="25" t="inlineStr">
        <is>
          <t>الإدارة</t>
        </is>
      </c>
      <c r="C1" s="25" t="inlineStr">
        <is>
          <t>المؤشر</t>
        </is>
      </c>
      <c r="D1" s="25" t="inlineStr">
        <is>
          <t>الركيزة</t>
        </is>
      </c>
      <c r="E1" s="25" t="inlineStr">
        <is>
          <t>المشروع</t>
        </is>
      </c>
      <c r="F1" s="25" t="inlineStr">
        <is>
          <t>منظور BSC</t>
        </is>
      </c>
      <c r="G1" s="25" t="inlineStr">
        <is>
          <t>نسبة التحقيق</t>
        </is>
      </c>
      <c r="H1" s="25" t="inlineStr">
        <is>
          <t>الحالة</t>
        </is>
      </c>
      <c r="I1" s="25" t="inlineStr">
        <is>
          <t>الوزن</t>
        </is>
      </c>
      <c r="J1" s="25" t="inlineStr">
        <is>
          <t>و×ن</t>
        </is>
      </c>
      <c r="K1" s="25" t="inlineStr">
        <is>
          <t>الوزن المتاح</t>
        </is>
      </c>
    </row>
    <row r="2">
      <c r="A2" s="23" t="n">
        <v>1</v>
      </c>
      <c r="B2" s="26" t="inlineStr">
        <is>
          <t>الإدارة التنفيذية</t>
        </is>
      </c>
      <c r="C2" s="26">
        <f>'الإدارة التنفيذية'!C4</f>
        <v/>
      </c>
      <c r="D2" s="23">
        <f>'الإدارة التنفيذية'!J4</f>
        <v/>
      </c>
      <c r="E2" s="26">
        <f>'الإدارة التنفيذية'!K4</f>
        <v/>
      </c>
      <c r="F2" s="23">
        <f>'الإدارة التنفيذية'!L4</f>
        <v/>
      </c>
      <c r="G2" s="50">
        <f>'الإدارة التنفيذية'!N4</f>
        <v/>
      </c>
      <c r="H2" s="23">
        <f>'الإدارة التنفيذية'!O4</f>
        <v/>
      </c>
      <c r="I2" s="28">
        <f>'الإدارة التنفيذية'!G4</f>
        <v/>
      </c>
      <c r="J2" s="23">
        <f>IF($G2="",0,$G2*$I2)</f>
        <v/>
      </c>
      <c r="K2" s="23">
        <f>IF($G2="",0,$I2)</f>
        <v/>
      </c>
    </row>
    <row r="3">
      <c r="A3" s="23" t="n">
        <v>2</v>
      </c>
      <c r="B3" s="26" t="inlineStr">
        <is>
          <t>الإدارة التنفيذية</t>
        </is>
      </c>
      <c r="C3" s="26">
        <f>'الإدارة التنفيذية'!C5</f>
        <v/>
      </c>
      <c r="D3" s="23">
        <f>'الإدارة التنفيذية'!J5</f>
        <v/>
      </c>
      <c r="E3" s="26">
        <f>'الإدارة التنفيذية'!K5</f>
        <v/>
      </c>
      <c r="F3" s="23">
        <f>'الإدارة التنفيذية'!L5</f>
        <v/>
      </c>
      <c r="G3" s="50">
        <f>'الإدارة التنفيذية'!N5</f>
        <v/>
      </c>
      <c r="H3" s="23">
        <f>'الإدارة التنفيذية'!O5</f>
        <v/>
      </c>
      <c r="I3" s="28">
        <f>'الإدارة التنفيذية'!G5</f>
        <v/>
      </c>
      <c r="J3" s="23">
        <f>IF($G3="",0,$G3*$I3)</f>
        <v/>
      </c>
      <c r="K3" s="23">
        <f>IF($G3="",0,$I3)</f>
        <v/>
      </c>
    </row>
    <row r="4">
      <c r="A4" s="23" t="n">
        <v>3</v>
      </c>
      <c r="B4" s="26" t="inlineStr">
        <is>
          <t>الإدارة التنفيذية</t>
        </is>
      </c>
      <c r="C4" s="26">
        <f>'الإدارة التنفيذية'!C6</f>
        <v/>
      </c>
      <c r="D4" s="23">
        <f>'الإدارة التنفيذية'!J6</f>
        <v/>
      </c>
      <c r="E4" s="26">
        <f>'الإدارة التنفيذية'!K6</f>
        <v/>
      </c>
      <c r="F4" s="23">
        <f>'الإدارة التنفيذية'!L6</f>
        <v/>
      </c>
      <c r="G4" s="50">
        <f>'الإدارة التنفيذية'!N6</f>
        <v/>
      </c>
      <c r="H4" s="23">
        <f>'الإدارة التنفيذية'!O6</f>
        <v/>
      </c>
      <c r="I4" s="28">
        <f>'الإدارة التنفيذية'!G6</f>
        <v/>
      </c>
      <c r="J4" s="23">
        <f>IF($G4="",0,$G4*$I4)</f>
        <v/>
      </c>
      <c r="K4" s="23">
        <f>IF($G4="",0,$I4)</f>
        <v/>
      </c>
    </row>
    <row r="5">
      <c r="A5" s="23" t="n">
        <v>4</v>
      </c>
      <c r="B5" s="26" t="inlineStr">
        <is>
          <t>الإدارة التنفيذية</t>
        </is>
      </c>
      <c r="C5" s="26">
        <f>'الإدارة التنفيذية'!C7</f>
        <v/>
      </c>
      <c r="D5" s="23">
        <f>'الإدارة التنفيذية'!J7</f>
        <v/>
      </c>
      <c r="E5" s="26">
        <f>'الإدارة التنفيذية'!K7</f>
        <v/>
      </c>
      <c r="F5" s="23">
        <f>'الإدارة التنفيذية'!L7</f>
        <v/>
      </c>
      <c r="G5" s="50">
        <f>'الإدارة التنفيذية'!N7</f>
        <v/>
      </c>
      <c r="H5" s="23">
        <f>'الإدارة التنفيذية'!O7</f>
        <v/>
      </c>
      <c r="I5" s="28">
        <f>'الإدارة التنفيذية'!G7</f>
        <v/>
      </c>
      <c r="J5" s="23">
        <f>IF($G5="",0,$G5*$I5)</f>
        <v/>
      </c>
      <c r="K5" s="23">
        <f>IF($G5="",0,$I5)</f>
        <v/>
      </c>
    </row>
    <row r="6">
      <c r="A6" s="23" t="n">
        <v>5</v>
      </c>
      <c r="B6" s="26" t="inlineStr">
        <is>
          <t>الإدارة التنفيذية</t>
        </is>
      </c>
      <c r="C6" s="26">
        <f>'الإدارة التنفيذية'!C8</f>
        <v/>
      </c>
      <c r="D6" s="23">
        <f>'الإدارة التنفيذية'!J8</f>
        <v/>
      </c>
      <c r="E6" s="26">
        <f>'الإدارة التنفيذية'!K8</f>
        <v/>
      </c>
      <c r="F6" s="23">
        <f>'الإدارة التنفيذية'!L8</f>
        <v/>
      </c>
      <c r="G6" s="50">
        <f>'الإدارة التنفيذية'!N8</f>
        <v/>
      </c>
      <c r="H6" s="23">
        <f>'الإدارة التنفيذية'!O8</f>
        <v/>
      </c>
      <c r="I6" s="28">
        <f>'الإدارة التنفيذية'!G8</f>
        <v/>
      </c>
      <c r="J6" s="23">
        <f>IF($G6="",0,$G6*$I6)</f>
        <v/>
      </c>
      <c r="K6" s="23">
        <f>IF($G6="",0,$I6)</f>
        <v/>
      </c>
    </row>
    <row r="7">
      <c r="A7" s="23" t="n">
        <v>6</v>
      </c>
      <c r="B7" s="26" t="inlineStr">
        <is>
          <t>الإدارة التنفيذية</t>
        </is>
      </c>
      <c r="C7" s="26">
        <f>'الإدارة التنفيذية'!C9</f>
        <v/>
      </c>
      <c r="D7" s="23">
        <f>'الإدارة التنفيذية'!J9</f>
        <v/>
      </c>
      <c r="E7" s="26">
        <f>'الإدارة التنفيذية'!K9</f>
        <v/>
      </c>
      <c r="F7" s="23">
        <f>'الإدارة التنفيذية'!L9</f>
        <v/>
      </c>
      <c r="G7" s="50">
        <f>'الإدارة التنفيذية'!N9</f>
        <v/>
      </c>
      <c r="H7" s="23">
        <f>'الإدارة التنفيذية'!O9</f>
        <v/>
      </c>
      <c r="I7" s="28">
        <f>'الإدارة التنفيذية'!G9</f>
        <v/>
      </c>
      <c r="J7" s="23">
        <f>IF($G7="",0,$G7*$I7)</f>
        <v/>
      </c>
      <c r="K7" s="23">
        <f>IF($G7="",0,$I7)</f>
        <v/>
      </c>
    </row>
    <row r="8">
      <c r="A8" s="23" t="n">
        <v>7</v>
      </c>
      <c r="B8" s="26" t="inlineStr">
        <is>
          <t>الإدارة التنفيذية</t>
        </is>
      </c>
      <c r="C8" s="26">
        <f>'الإدارة التنفيذية'!C10</f>
        <v/>
      </c>
      <c r="D8" s="23">
        <f>'الإدارة التنفيذية'!J10</f>
        <v/>
      </c>
      <c r="E8" s="26">
        <f>'الإدارة التنفيذية'!K10</f>
        <v/>
      </c>
      <c r="F8" s="23">
        <f>'الإدارة التنفيذية'!L10</f>
        <v/>
      </c>
      <c r="G8" s="50">
        <f>'الإدارة التنفيذية'!N10</f>
        <v/>
      </c>
      <c r="H8" s="23">
        <f>'الإدارة التنفيذية'!O10</f>
        <v/>
      </c>
      <c r="I8" s="28">
        <f>'الإدارة التنفيذية'!G10</f>
        <v/>
      </c>
      <c r="J8" s="23">
        <f>IF($G8="",0,$G8*$I8)</f>
        <v/>
      </c>
      <c r="K8" s="23">
        <f>IF($G8="",0,$I8)</f>
        <v/>
      </c>
    </row>
    <row r="9">
      <c r="A9" s="23" t="n">
        <v>8</v>
      </c>
      <c r="B9" s="26" t="inlineStr">
        <is>
          <t>الإدارة التنفيذية</t>
        </is>
      </c>
      <c r="C9" s="26">
        <f>'الإدارة التنفيذية'!C11</f>
        <v/>
      </c>
      <c r="D9" s="23">
        <f>'الإدارة التنفيذية'!J11</f>
        <v/>
      </c>
      <c r="E9" s="26">
        <f>'الإدارة التنفيذية'!K11</f>
        <v/>
      </c>
      <c r="F9" s="23">
        <f>'الإدارة التنفيذية'!L11</f>
        <v/>
      </c>
      <c r="G9" s="50">
        <f>'الإدارة التنفيذية'!N11</f>
        <v/>
      </c>
      <c r="H9" s="23">
        <f>'الإدارة التنفيذية'!O11</f>
        <v/>
      </c>
      <c r="I9" s="28">
        <f>'الإدارة التنفيذية'!G11</f>
        <v/>
      </c>
      <c r="J9" s="23">
        <f>IF($G9="",0,$G9*$I9)</f>
        <v/>
      </c>
      <c r="K9" s="23">
        <f>IF($G9="",0,$I9)</f>
        <v/>
      </c>
    </row>
    <row r="10">
      <c r="A10" s="23" t="n">
        <v>9</v>
      </c>
      <c r="B10" s="26" t="inlineStr">
        <is>
          <t>الإدارة التنفيذية</t>
        </is>
      </c>
      <c r="C10" s="26">
        <f>'الإدارة التنفيذية'!C12</f>
        <v/>
      </c>
      <c r="D10" s="23">
        <f>'الإدارة التنفيذية'!J12</f>
        <v/>
      </c>
      <c r="E10" s="26">
        <f>'الإدارة التنفيذية'!K12</f>
        <v/>
      </c>
      <c r="F10" s="23">
        <f>'الإدارة التنفيذية'!L12</f>
        <v/>
      </c>
      <c r="G10" s="50">
        <f>'الإدارة التنفيذية'!N12</f>
        <v/>
      </c>
      <c r="H10" s="23">
        <f>'الإدارة التنفيذية'!O12</f>
        <v/>
      </c>
      <c r="I10" s="28">
        <f>'الإدارة التنفيذية'!G12</f>
        <v/>
      </c>
      <c r="J10" s="23">
        <f>IF($G10="",0,$G10*$I10)</f>
        <v/>
      </c>
      <c r="K10" s="23">
        <f>IF($G10="",0,$I10)</f>
        <v/>
      </c>
    </row>
    <row r="11">
      <c r="A11" s="23" t="n">
        <v>10</v>
      </c>
      <c r="B11" s="26" t="inlineStr">
        <is>
          <t>الإدارة التنفيذية</t>
        </is>
      </c>
      <c r="C11" s="26">
        <f>'الإدارة التنفيذية'!C13</f>
        <v/>
      </c>
      <c r="D11" s="23">
        <f>'الإدارة التنفيذية'!J13</f>
        <v/>
      </c>
      <c r="E11" s="26">
        <f>'الإدارة التنفيذية'!K13</f>
        <v/>
      </c>
      <c r="F11" s="23">
        <f>'الإدارة التنفيذية'!L13</f>
        <v/>
      </c>
      <c r="G11" s="50">
        <f>'الإدارة التنفيذية'!N13</f>
        <v/>
      </c>
      <c r="H11" s="23">
        <f>'الإدارة التنفيذية'!O13</f>
        <v/>
      </c>
      <c r="I11" s="28">
        <f>'الإدارة التنفيذية'!G13</f>
        <v/>
      </c>
      <c r="J11" s="23">
        <f>IF($G11="",0,$G11*$I11)</f>
        <v/>
      </c>
      <c r="K11" s="23">
        <f>IF($G11="",0,$I11)</f>
        <v/>
      </c>
    </row>
    <row r="12">
      <c r="A12" s="23" t="n">
        <v>11</v>
      </c>
      <c r="B12" s="26" t="inlineStr">
        <is>
          <t>الامتياز التجاري</t>
        </is>
      </c>
      <c r="C12" s="26">
        <f>'الامتياز التجاري'!C4</f>
        <v/>
      </c>
      <c r="D12" s="23">
        <f>'الامتياز التجاري'!J4</f>
        <v/>
      </c>
      <c r="E12" s="26">
        <f>'الامتياز التجاري'!K4</f>
        <v/>
      </c>
      <c r="F12" s="23">
        <f>'الامتياز التجاري'!L4</f>
        <v/>
      </c>
      <c r="G12" s="50">
        <f>'الامتياز التجاري'!N4</f>
        <v/>
      </c>
      <c r="H12" s="23">
        <f>'الامتياز التجاري'!O4</f>
        <v/>
      </c>
      <c r="I12" s="28">
        <f>'الامتياز التجاري'!G4</f>
        <v/>
      </c>
      <c r="J12" s="23">
        <f>IF($G12="",0,$G12*$I12)</f>
        <v/>
      </c>
      <c r="K12" s="23">
        <f>IF($G12="",0,$I12)</f>
        <v/>
      </c>
    </row>
    <row r="13">
      <c r="A13" s="23" t="n">
        <v>12</v>
      </c>
      <c r="B13" s="26" t="inlineStr">
        <is>
          <t>الامتياز التجاري</t>
        </is>
      </c>
      <c r="C13" s="26">
        <f>'الامتياز التجاري'!C5</f>
        <v/>
      </c>
      <c r="D13" s="23">
        <f>'الامتياز التجاري'!J5</f>
        <v/>
      </c>
      <c r="E13" s="26">
        <f>'الامتياز التجاري'!K5</f>
        <v/>
      </c>
      <c r="F13" s="23">
        <f>'الامتياز التجاري'!L5</f>
        <v/>
      </c>
      <c r="G13" s="50">
        <f>'الامتياز التجاري'!N5</f>
        <v/>
      </c>
      <c r="H13" s="23">
        <f>'الامتياز التجاري'!O5</f>
        <v/>
      </c>
      <c r="I13" s="28">
        <f>'الامتياز التجاري'!G5</f>
        <v/>
      </c>
      <c r="J13" s="23">
        <f>IF($G13="",0,$G13*$I13)</f>
        <v/>
      </c>
      <c r="K13" s="23">
        <f>IF($G13="",0,$I13)</f>
        <v/>
      </c>
    </row>
    <row r="14">
      <c r="A14" s="23" t="n">
        <v>13</v>
      </c>
      <c r="B14" s="26" t="inlineStr">
        <is>
          <t>الامتياز التجاري</t>
        </is>
      </c>
      <c r="C14" s="26">
        <f>'الامتياز التجاري'!C6</f>
        <v/>
      </c>
      <c r="D14" s="23">
        <f>'الامتياز التجاري'!J6</f>
        <v/>
      </c>
      <c r="E14" s="26">
        <f>'الامتياز التجاري'!K6</f>
        <v/>
      </c>
      <c r="F14" s="23">
        <f>'الامتياز التجاري'!L6</f>
        <v/>
      </c>
      <c r="G14" s="50">
        <f>'الامتياز التجاري'!N6</f>
        <v/>
      </c>
      <c r="H14" s="23">
        <f>'الامتياز التجاري'!O6</f>
        <v/>
      </c>
      <c r="I14" s="28">
        <f>'الامتياز التجاري'!G6</f>
        <v/>
      </c>
      <c r="J14" s="23">
        <f>IF($G14="",0,$G14*$I14)</f>
        <v/>
      </c>
      <c r="K14" s="23">
        <f>IF($G14="",0,$I14)</f>
        <v/>
      </c>
    </row>
    <row r="15">
      <c r="A15" s="23" t="n">
        <v>14</v>
      </c>
      <c r="B15" s="26" t="inlineStr">
        <is>
          <t>الامتياز التجاري</t>
        </is>
      </c>
      <c r="C15" s="26">
        <f>'الامتياز التجاري'!C7</f>
        <v/>
      </c>
      <c r="D15" s="23">
        <f>'الامتياز التجاري'!J7</f>
        <v/>
      </c>
      <c r="E15" s="26">
        <f>'الامتياز التجاري'!K7</f>
        <v/>
      </c>
      <c r="F15" s="23">
        <f>'الامتياز التجاري'!L7</f>
        <v/>
      </c>
      <c r="G15" s="50">
        <f>'الامتياز التجاري'!N7</f>
        <v/>
      </c>
      <c r="H15" s="23">
        <f>'الامتياز التجاري'!O7</f>
        <v/>
      </c>
      <c r="I15" s="28">
        <f>'الامتياز التجاري'!G7</f>
        <v/>
      </c>
      <c r="J15" s="23">
        <f>IF($G15="",0,$G15*$I15)</f>
        <v/>
      </c>
      <c r="K15" s="23">
        <f>IF($G15="",0,$I15)</f>
        <v/>
      </c>
    </row>
    <row r="16">
      <c r="A16" s="23" t="n">
        <v>15</v>
      </c>
      <c r="B16" s="26" t="inlineStr">
        <is>
          <t>الامتياز التجاري</t>
        </is>
      </c>
      <c r="C16" s="26">
        <f>'الامتياز التجاري'!C8</f>
        <v/>
      </c>
      <c r="D16" s="23">
        <f>'الامتياز التجاري'!J8</f>
        <v/>
      </c>
      <c r="E16" s="26">
        <f>'الامتياز التجاري'!K8</f>
        <v/>
      </c>
      <c r="F16" s="23">
        <f>'الامتياز التجاري'!L8</f>
        <v/>
      </c>
      <c r="G16" s="50">
        <f>'الامتياز التجاري'!N8</f>
        <v/>
      </c>
      <c r="H16" s="23">
        <f>'الامتياز التجاري'!O8</f>
        <v/>
      </c>
      <c r="I16" s="28">
        <f>'الامتياز التجاري'!G8</f>
        <v/>
      </c>
      <c r="J16" s="23">
        <f>IF($G16="",0,$G16*$I16)</f>
        <v/>
      </c>
      <c r="K16" s="23">
        <f>IF($G16="",0,$I16)</f>
        <v/>
      </c>
    </row>
    <row r="17">
      <c r="A17" s="23" t="n">
        <v>16</v>
      </c>
      <c r="B17" s="26" t="inlineStr">
        <is>
          <t>الامتياز التجاري</t>
        </is>
      </c>
      <c r="C17" s="26">
        <f>'الامتياز التجاري'!C9</f>
        <v/>
      </c>
      <c r="D17" s="23">
        <f>'الامتياز التجاري'!J9</f>
        <v/>
      </c>
      <c r="E17" s="26">
        <f>'الامتياز التجاري'!K9</f>
        <v/>
      </c>
      <c r="F17" s="23">
        <f>'الامتياز التجاري'!L9</f>
        <v/>
      </c>
      <c r="G17" s="50">
        <f>'الامتياز التجاري'!N9</f>
        <v/>
      </c>
      <c r="H17" s="23">
        <f>'الامتياز التجاري'!O9</f>
        <v/>
      </c>
      <c r="I17" s="28">
        <f>'الامتياز التجاري'!G9</f>
        <v/>
      </c>
      <c r="J17" s="23">
        <f>IF($G17="",0,$G17*$I17)</f>
        <v/>
      </c>
      <c r="K17" s="23">
        <f>IF($G17="",0,$I17)</f>
        <v/>
      </c>
    </row>
    <row r="18">
      <c r="A18" s="23" t="n">
        <v>17</v>
      </c>
      <c r="B18" s="26" t="inlineStr">
        <is>
          <t>الامتياز التجاري</t>
        </is>
      </c>
      <c r="C18" s="26">
        <f>'الامتياز التجاري'!C10</f>
        <v/>
      </c>
      <c r="D18" s="23">
        <f>'الامتياز التجاري'!J10</f>
        <v/>
      </c>
      <c r="E18" s="26">
        <f>'الامتياز التجاري'!K10</f>
        <v/>
      </c>
      <c r="F18" s="23">
        <f>'الامتياز التجاري'!L10</f>
        <v/>
      </c>
      <c r="G18" s="50">
        <f>'الامتياز التجاري'!N10</f>
        <v/>
      </c>
      <c r="H18" s="23">
        <f>'الامتياز التجاري'!O10</f>
        <v/>
      </c>
      <c r="I18" s="28">
        <f>'الامتياز التجاري'!G10</f>
        <v/>
      </c>
      <c r="J18" s="23">
        <f>IF($G18="",0,$G18*$I18)</f>
        <v/>
      </c>
      <c r="K18" s="23">
        <f>IF($G18="",0,$I18)</f>
        <v/>
      </c>
    </row>
    <row r="19">
      <c r="A19" s="23" t="n">
        <v>18</v>
      </c>
      <c r="B19" s="26" t="inlineStr">
        <is>
          <t>الامتياز التجاري</t>
        </is>
      </c>
      <c r="C19" s="26">
        <f>'الامتياز التجاري'!C11</f>
        <v/>
      </c>
      <c r="D19" s="23">
        <f>'الامتياز التجاري'!J11</f>
        <v/>
      </c>
      <c r="E19" s="26">
        <f>'الامتياز التجاري'!K11</f>
        <v/>
      </c>
      <c r="F19" s="23">
        <f>'الامتياز التجاري'!L11</f>
        <v/>
      </c>
      <c r="G19" s="50">
        <f>'الامتياز التجاري'!N11</f>
        <v/>
      </c>
      <c r="H19" s="23">
        <f>'الامتياز التجاري'!O11</f>
        <v/>
      </c>
      <c r="I19" s="28">
        <f>'الامتياز التجاري'!G11</f>
        <v/>
      </c>
      <c r="J19" s="23">
        <f>IF($G19="",0,$G19*$I19)</f>
        <v/>
      </c>
      <c r="K19" s="23">
        <f>IF($G19="",0,$I19)</f>
        <v/>
      </c>
    </row>
    <row r="20">
      <c r="A20" s="23" t="n">
        <v>19</v>
      </c>
      <c r="B20" s="26" t="inlineStr">
        <is>
          <t>الامتياز التجاري</t>
        </is>
      </c>
      <c r="C20" s="26">
        <f>'الامتياز التجاري'!C12</f>
        <v/>
      </c>
      <c r="D20" s="23">
        <f>'الامتياز التجاري'!J12</f>
        <v/>
      </c>
      <c r="E20" s="26">
        <f>'الامتياز التجاري'!K12</f>
        <v/>
      </c>
      <c r="F20" s="23">
        <f>'الامتياز التجاري'!L12</f>
        <v/>
      </c>
      <c r="G20" s="50">
        <f>'الامتياز التجاري'!N12</f>
        <v/>
      </c>
      <c r="H20" s="23">
        <f>'الامتياز التجاري'!O12</f>
        <v/>
      </c>
      <c r="I20" s="28">
        <f>'الامتياز التجاري'!G12</f>
        <v/>
      </c>
      <c r="J20" s="23">
        <f>IF($G20="",0,$G20*$I20)</f>
        <v/>
      </c>
      <c r="K20" s="23">
        <f>IF($G20="",0,$I20)</f>
        <v/>
      </c>
    </row>
    <row r="21">
      <c r="A21" s="23" t="n">
        <v>20</v>
      </c>
      <c r="B21" s="26" t="inlineStr">
        <is>
          <t>الامتياز التجاري</t>
        </is>
      </c>
      <c r="C21" s="26">
        <f>'الامتياز التجاري'!C13</f>
        <v/>
      </c>
      <c r="D21" s="23">
        <f>'الامتياز التجاري'!J13</f>
        <v/>
      </c>
      <c r="E21" s="26">
        <f>'الامتياز التجاري'!K13</f>
        <v/>
      </c>
      <c r="F21" s="23">
        <f>'الامتياز التجاري'!L13</f>
        <v/>
      </c>
      <c r="G21" s="50">
        <f>'الامتياز التجاري'!N13</f>
        <v/>
      </c>
      <c r="H21" s="23">
        <f>'الامتياز التجاري'!O13</f>
        <v/>
      </c>
      <c r="I21" s="28">
        <f>'الامتياز التجاري'!G13</f>
        <v/>
      </c>
      <c r="J21" s="23">
        <f>IF($G21="",0,$G21*$I21)</f>
        <v/>
      </c>
      <c r="K21" s="23">
        <f>IF($G21="",0,$I21)</f>
        <v/>
      </c>
    </row>
    <row r="22">
      <c r="A22" s="23" t="n">
        <v>21</v>
      </c>
      <c r="B22" s="26" t="inlineStr">
        <is>
          <t>الامتياز التجاري</t>
        </is>
      </c>
      <c r="C22" s="26">
        <f>'الامتياز التجاري'!C14</f>
        <v/>
      </c>
      <c r="D22" s="23">
        <f>'الامتياز التجاري'!J14</f>
        <v/>
      </c>
      <c r="E22" s="26">
        <f>'الامتياز التجاري'!K14</f>
        <v/>
      </c>
      <c r="F22" s="23">
        <f>'الامتياز التجاري'!L14</f>
        <v/>
      </c>
      <c r="G22" s="50">
        <f>'الامتياز التجاري'!N14</f>
        <v/>
      </c>
      <c r="H22" s="23">
        <f>'الامتياز التجاري'!O14</f>
        <v/>
      </c>
      <c r="I22" s="28">
        <f>'الامتياز التجاري'!G14</f>
        <v/>
      </c>
      <c r="J22" s="23">
        <f>IF($G22="",0,$G22*$I22)</f>
        <v/>
      </c>
      <c r="K22" s="23">
        <f>IF($G22="",0,$I22)</f>
        <v/>
      </c>
    </row>
    <row r="23">
      <c r="A23" s="23" t="n">
        <v>22</v>
      </c>
      <c r="B23" s="26" t="inlineStr">
        <is>
          <t>الامتياز التجاري</t>
        </is>
      </c>
      <c r="C23" s="26">
        <f>'الامتياز التجاري'!C15</f>
        <v/>
      </c>
      <c r="D23" s="23">
        <f>'الامتياز التجاري'!J15</f>
        <v/>
      </c>
      <c r="E23" s="26">
        <f>'الامتياز التجاري'!K15</f>
        <v/>
      </c>
      <c r="F23" s="23">
        <f>'الامتياز التجاري'!L15</f>
        <v/>
      </c>
      <c r="G23" s="50">
        <f>'الامتياز التجاري'!N15</f>
        <v/>
      </c>
      <c r="H23" s="23">
        <f>'الامتياز التجاري'!O15</f>
        <v/>
      </c>
      <c r="I23" s="28">
        <f>'الامتياز التجاري'!G15</f>
        <v/>
      </c>
      <c r="J23" s="23">
        <f>IF($G23="",0,$G23*$I23)</f>
        <v/>
      </c>
      <c r="K23" s="23">
        <f>IF($G23="",0,$I23)</f>
        <v/>
      </c>
    </row>
    <row r="24">
      <c r="A24" s="23" t="n">
        <v>23</v>
      </c>
      <c r="B24" s="26" t="inlineStr">
        <is>
          <t>الامتياز التجاري</t>
        </is>
      </c>
      <c r="C24" s="26">
        <f>'الامتياز التجاري'!C16</f>
        <v/>
      </c>
      <c r="D24" s="23">
        <f>'الامتياز التجاري'!J16</f>
        <v/>
      </c>
      <c r="E24" s="26">
        <f>'الامتياز التجاري'!K16</f>
        <v/>
      </c>
      <c r="F24" s="23">
        <f>'الامتياز التجاري'!L16</f>
        <v/>
      </c>
      <c r="G24" s="50">
        <f>'الامتياز التجاري'!N16</f>
        <v/>
      </c>
      <c r="H24" s="23">
        <f>'الامتياز التجاري'!O16</f>
        <v/>
      </c>
      <c r="I24" s="28">
        <f>'الامتياز التجاري'!G16</f>
        <v/>
      </c>
      <c r="J24" s="23">
        <f>IF($G24="",0,$G24*$I24)</f>
        <v/>
      </c>
      <c r="K24" s="23">
        <f>IF($G24="",0,$I24)</f>
        <v/>
      </c>
    </row>
    <row r="25">
      <c r="A25" s="23" t="n">
        <v>24</v>
      </c>
      <c r="B25" s="26" t="inlineStr">
        <is>
          <t>الامتياز التجاري</t>
        </is>
      </c>
      <c r="C25" s="26">
        <f>'الامتياز التجاري'!C17</f>
        <v/>
      </c>
      <c r="D25" s="23">
        <f>'الامتياز التجاري'!J17</f>
        <v/>
      </c>
      <c r="E25" s="26">
        <f>'الامتياز التجاري'!K17</f>
        <v/>
      </c>
      <c r="F25" s="23">
        <f>'الامتياز التجاري'!L17</f>
        <v/>
      </c>
      <c r="G25" s="50">
        <f>'الامتياز التجاري'!N17</f>
        <v/>
      </c>
      <c r="H25" s="23">
        <f>'الامتياز التجاري'!O17</f>
        <v/>
      </c>
      <c r="I25" s="28">
        <f>'الامتياز التجاري'!G17</f>
        <v/>
      </c>
      <c r="J25" s="23">
        <f>IF($G25="",0,$G25*$I25)</f>
        <v/>
      </c>
      <c r="K25" s="23">
        <f>IF($G25="",0,$I25)</f>
        <v/>
      </c>
    </row>
    <row r="26">
      <c r="A26" s="23" t="n">
        <v>25</v>
      </c>
      <c r="B26" s="26" t="inlineStr">
        <is>
          <t>الامتياز التجاري</t>
        </is>
      </c>
      <c r="C26" s="26">
        <f>'الامتياز التجاري'!C18</f>
        <v/>
      </c>
      <c r="D26" s="23">
        <f>'الامتياز التجاري'!J18</f>
        <v/>
      </c>
      <c r="E26" s="26">
        <f>'الامتياز التجاري'!K18</f>
        <v/>
      </c>
      <c r="F26" s="23">
        <f>'الامتياز التجاري'!L18</f>
        <v/>
      </c>
      <c r="G26" s="50">
        <f>'الامتياز التجاري'!N18</f>
        <v/>
      </c>
      <c r="H26" s="23">
        <f>'الامتياز التجاري'!O18</f>
        <v/>
      </c>
      <c r="I26" s="28">
        <f>'الامتياز التجاري'!G18</f>
        <v/>
      </c>
      <c r="J26" s="23">
        <f>IF($G26="",0,$G26*$I26)</f>
        <v/>
      </c>
      <c r="K26" s="23">
        <f>IF($G26="",0,$I26)</f>
        <v/>
      </c>
    </row>
    <row r="27">
      <c r="A27" s="23" t="n">
        <v>26</v>
      </c>
      <c r="B27" s="26" t="inlineStr">
        <is>
          <t>الامتياز التجاري</t>
        </is>
      </c>
      <c r="C27" s="26">
        <f>'الامتياز التجاري'!C19</f>
        <v/>
      </c>
      <c r="D27" s="23">
        <f>'الامتياز التجاري'!J19</f>
        <v/>
      </c>
      <c r="E27" s="26">
        <f>'الامتياز التجاري'!K19</f>
        <v/>
      </c>
      <c r="F27" s="23">
        <f>'الامتياز التجاري'!L19</f>
        <v/>
      </c>
      <c r="G27" s="50">
        <f>'الامتياز التجاري'!N19</f>
        <v/>
      </c>
      <c r="H27" s="23">
        <f>'الامتياز التجاري'!O19</f>
        <v/>
      </c>
      <c r="I27" s="28">
        <f>'الامتياز التجاري'!G19</f>
        <v/>
      </c>
      <c r="J27" s="23">
        <f>IF($G27="",0,$G27*$I27)</f>
        <v/>
      </c>
      <c r="K27" s="23">
        <f>IF($G27="",0,$I27)</f>
        <v/>
      </c>
    </row>
    <row r="28">
      <c r="A28" s="23" t="n">
        <v>27</v>
      </c>
      <c r="B28" s="26" t="inlineStr">
        <is>
          <t>الامتياز التجاري</t>
        </is>
      </c>
      <c r="C28" s="26">
        <f>'الامتياز التجاري'!C20</f>
        <v/>
      </c>
      <c r="D28" s="23">
        <f>'الامتياز التجاري'!J20</f>
        <v/>
      </c>
      <c r="E28" s="26">
        <f>'الامتياز التجاري'!K20</f>
        <v/>
      </c>
      <c r="F28" s="23">
        <f>'الامتياز التجاري'!L20</f>
        <v/>
      </c>
      <c r="G28" s="50">
        <f>'الامتياز التجاري'!N20</f>
        <v/>
      </c>
      <c r="H28" s="23">
        <f>'الامتياز التجاري'!O20</f>
        <v/>
      </c>
      <c r="I28" s="28">
        <f>'الامتياز التجاري'!G20</f>
        <v/>
      </c>
      <c r="J28" s="23">
        <f>IF($G28="",0,$G28*$I28)</f>
        <v/>
      </c>
      <c r="K28" s="23">
        <f>IF($G28="",0,$I28)</f>
        <v/>
      </c>
    </row>
    <row r="29">
      <c r="A29" s="23" t="n">
        <v>28</v>
      </c>
      <c r="B29" s="26" t="inlineStr">
        <is>
          <t>الامتياز التجاري</t>
        </is>
      </c>
      <c r="C29" s="26">
        <f>'الامتياز التجاري'!C21</f>
        <v/>
      </c>
      <c r="D29" s="23">
        <f>'الامتياز التجاري'!J21</f>
        <v/>
      </c>
      <c r="E29" s="26">
        <f>'الامتياز التجاري'!K21</f>
        <v/>
      </c>
      <c r="F29" s="23">
        <f>'الامتياز التجاري'!L21</f>
        <v/>
      </c>
      <c r="G29" s="50">
        <f>'الامتياز التجاري'!N21</f>
        <v/>
      </c>
      <c r="H29" s="23">
        <f>'الامتياز التجاري'!O21</f>
        <v/>
      </c>
      <c r="I29" s="28">
        <f>'الامتياز التجاري'!G21</f>
        <v/>
      </c>
      <c r="J29" s="23">
        <f>IF($G29="",0,$G29*$I29)</f>
        <v/>
      </c>
      <c r="K29" s="23">
        <f>IF($G29="",0,$I29)</f>
        <v/>
      </c>
    </row>
    <row r="30">
      <c r="A30" s="23" t="n">
        <v>29</v>
      </c>
      <c r="B30" s="26" t="inlineStr">
        <is>
          <t>الامتياز التجاري</t>
        </is>
      </c>
      <c r="C30" s="26">
        <f>'الامتياز التجاري'!C22</f>
        <v/>
      </c>
      <c r="D30" s="23">
        <f>'الامتياز التجاري'!J22</f>
        <v/>
      </c>
      <c r="E30" s="26">
        <f>'الامتياز التجاري'!K22</f>
        <v/>
      </c>
      <c r="F30" s="23">
        <f>'الامتياز التجاري'!L22</f>
        <v/>
      </c>
      <c r="G30" s="50">
        <f>'الامتياز التجاري'!N22</f>
        <v/>
      </c>
      <c r="H30" s="23">
        <f>'الامتياز التجاري'!O22</f>
        <v/>
      </c>
      <c r="I30" s="28">
        <f>'الامتياز التجاري'!G22</f>
        <v/>
      </c>
      <c r="J30" s="23">
        <f>IF($G30="",0,$G30*$I30)</f>
        <v/>
      </c>
      <c r="K30" s="23">
        <f>IF($G30="",0,$I30)</f>
        <v/>
      </c>
    </row>
    <row r="31">
      <c r="A31" s="23" t="n">
        <v>30</v>
      </c>
      <c r="B31" s="26" t="inlineStr">
        <is>
          <t>الامتياز التجاري</t>
        </is>
      </c>
      <c r="C31" s="26">
        <f>'الامتياز التجاري'!C23</f>
        <v/>
      </c>
      <c r="D31" s="23">
        <f>'الامتياز التجاري'!J23</f>
        <v/>
      </c>
      <c r="E31" s="26">
        <f>'الامتياز التجاري'!K23</f>
        <v/>
      </c>
      <c r="F31" s="23">
        <f>'الامتياز التجاري'!L23</f>
        <v/>
      </c>
      <c r="G31" s="50">
        <f>'الامتياز التجاري'!N23</f>
        <v/>
      </c>
      <c r="H31" s="23">
        <f>'الامتياز التجاري'!O23</f>
        <v/>
      </c>
      <c r="I31" s="28">
        <f>'الامتياز التجاري'!G23</f>
        <v/>
      </c>
      <c r="J31" s="23">
        <f>IF($G31="",0,$G31*$I31)</f>
        <v/>
      </c>
      <c r="K31" s="23">
        <f>IF($G31="",0,$I31)</f>
        <v/>
      </c>
    </row>
    <row r="32">
      <c r="A32" s="23" t="n">
        <v>31</v>
      </c>
      <c r="B32" s="26" t="inlineStr">
        <is>
          <t>الامتياز التجاري</t>
        </is>
      </c>
      <c r="C32" s="26">
        <f>'الامتياز التجاري'!C24</f>
        <v/>
      </c>
      <c r="D32" s="23">
        <f>'الامتياز التجاري'!J24</f>
        <v/>
      </c>
      <c r="E32" s="26">
        <f>'الامتياز التجاري'!K24</f>
        <v/>
      </c>
      <c r="F32" s="23">
        <f>'الامتياز التجاري'!L24</f>
        <v/>
      </c>
      <c r="G32" s="50">
        <f>'الامتياز التجاري'!N24</f>
        <v/>
      </c>
      <c r="H32" s="23">
        <f>'الامتياز التجاري'!O24</f>
        <v/>
      </c>
      <c r="I32" s="28">
        <f>'الامتياز التجاري'!G24</f>
        <v/>
      </c>
      <c r="J32" s="23">
        <f>IF($G32="",0,$G32*$I32)</f>
        <v/>
      </c>
      <c r="K32" s="23">
        <f>IF($G32="",0,$I32)</f>
        <v/>
      </c>
    </row>
    <row r="33">
      <c r="A33" s="23" t="n">
        <v>32</v>
      </c>
      <c r="B33" s="26" t="inlineStr">
        <is>
          <t>الامتياز التجاري</t>
        </is>
      </c>
      <c r="C33" s="26">
        <f>'الامتياز التجاري'!C25</f>
        <v/>
      </c>
      <c r="D33" s="23">
        <f>'الامتياز التجاري'!J25</f>
        <v/>
      </c>
      <c r="E33" s="26">
        <f>'الامتياز التجاري'!K25</f>
        <v/>
      </c>
      <c r="F33" s="23">
        <f>'الامتياز التجاري'!L25</f>
        <v/>
      </c>
      <c r="G33" s="50">
        <f>'الامتياز التجاري'!N25</f>
        <v/>
      </c>
      <c r="H33" s="23">
        <f>'الامتياز التجاري'!O25</f>
        <v/>
      </c>
      <c r="I33" s="28">
        <f>'الامتياز التجاري'!G25</f>
        <v/>
      </c>
      <c r="J33" s="23">
        <f>IF($G33="",0,$G33*$I33)</f>
        <v/>
      </c>
      <c r="K33" s="23">
        <f>IF($G33="",0,$I33)</f>
        <v/>
      </c>
    </row>
    <row r="34">
      <c r="A34" s="23" t="n">
        <v>33</v>
      </c>
      <c r="B34" s="26" t="inlineStr">
        <is>
          <t>الامتياز التجاري</t>
        </is>
      </c>
      <c r="C34" s="26">
        <f>'الامتياز التجاري'!C26</f>
        <v/>
      </c>
      <c r="D34" s="23">
        <f>'الامتياز التجاري'!J26</f>
        <v/>
      </c>
      <c r="E34" s="26">
        <f>'الامتياز التجاري'!K26</f>
        <v/>
      </c>
      <c r="F34" s="23">
        <f>'الامتياز التجاري'!L26</f>
        <v/>
      </c>
      <c r="G34" s="50">
        <f>'الامتياز التجاري'!N26</f>
        <v/>
      </c>
      <c r="H34" s="23">
        <f>'الامتياز التجاري'!O26</f>
        <v/>
      </c>
      <c r="I34" s="28">
        <f>'الامتياز التجاري'!G26</f>
        <v/>
      </c>
      <c r="J34" s="23">
        <f>IF($G34="",0,$G34*$I34)</f>
        <v/>
      </c>
      <c r="K34" s="23">
        <f>IF($G34="",0,$I34)</f>
        <v/>
      </c>
    </row>
    <row r="35">
      <c r="A35" s="23" t="n">
        <v>34</v>
      </c>
      <c r="B35" s="26" t="inlineStr">
        <is>
          <t>الامتياز التجاري</t>
        </is>
      </c>
      <c r="C35" s="26">
        <f>'الامتياز التجاري'!C27</f>
        <v/>
      </c>
      <c r="D35" s="23">
        <f>'الامتياز التجاري'!J27</f>
        <v/>
      </c>
      <c r="E35" s="26">
        <f>'الامتياز التجاري'!K27</f>
        <v/>
      </c>
      <c r="F35" s="23">
        <f>'الامتياز التجاري'!L27</f>
        <v/>
      </c>
      <c r="G35" s="50">
        <f>'الامتياز التجاري'!N27</f>
        <v/>
      </c>
      <c r="H35" s="23">
        <f>'الامتياز التجاري'!O27</f>
        <v/>
      </c>
      <c r="I35" s="28">
        <f>'الامتياز التجاري'!G27</f>
        <v/>
      </c>
      <c r="J35" s="23">
        <f>IF($G35="",0,$G35*$I35)</f>
        <v/>
      </c>
      <c r="K35" s="23">
        <f>IF($G35="",0,$I35)</f>
        <v/>
      </c>
    </row>
    <row r="36">
      <c r="A36" s="23" t="n">
        <v>35</v>
      </c>
      <c r="B36" s="26" t="inlineStr">
        <is>
          <t>الامتياز التجاري</t>
        </is>
      </c>
      <c r="C36" s="26">
        <f>'الامتياز التجاري'!C28</f>
        <v/>
      </c>
      <c r="D36" s="23">
        <f>'الامتياز التجاري'!J28</f>
        <v/>
      </c>
      <c r="E36" s="26">
        <f>'الامتياز التجاري'!K28</f>
        <v/>
      </c>
      <c r="F36" s="23">
        <f>'الامتياز التجاري'!L28</f>
        <v/>
      </c>
      <c r="G36" s="50">
        <f>'الامتياز التجاري'!N28</f>
        <v/>
      </c>
      <c r="H36" s="23">
        <f>'الامتياز التجاري'!O28</f>
        <v/>
      </c>
      <c r="I36" s="28">
        <f>'الامتياز التجاري'!G28</f>
        <v/>
      </c>
      <c r="J36" s="23">
        <f>IF($G36="",0,$G36*$I36)</f>
        <v/>
      </c>
      <c r="K36" s="23">
        <f>IF($G36="",0,$I36)</f>
        <v/>
      </c>
    </row>
    <row r="37">
      <c r="A37" s="23" t="n">
        <v>36</v>
      </c>
      <c r="B37" s="26" t="inlineStr">
        <is>
          <t>الامتياز التجاري</t>
        </is>
      </c>
      <c r="C37" s="26">
        <f>'الامتياز التجاري'!C29</f>
        <v/>
      </c>
      <c r="D37" s="23">
        <f>'الامتياز التجاري'!J29</f>
        <v/>
      </c>
      <c r="E37" s="26">
        <f>'الامتياز التجاري'!K29</f>
        <v/>
      </c>
      <c r="F37" s="23">
        <f>'الامتياز التجاري'!L29</f>
        <v/>
      </c>
      <c r="G37" s="50">
        <f>'الامتياز التجاري'!N29</f>
        <v/>
      </c>
      <c r="H37" s="23">
        <f>'الامتياز التجاري'!O29</f>
        <v/>
      </c>
      <c r="I37" s="28">
        <f>'الامتياز التجاري'!G29</f>
        <v/>
      </c>
      <c r="J37" s="23">
        <f>IF($G37="",0,$G37*$I37)</f>
        <v/>
      </c>
      <c r="K37" s="23">
        <f>IF($G37="",0,$I37)</f>
        <v/>
      </c>
    </row>
    <row r="38">
      <c r="A38" s="23" t="n">
        <v>37</v>
      </c>
      <c r="B38" s="26" t="inlineStr">
        <is>
          <t>الامتياز التجاري</t>
        </is>
      </c>
      <c r="C38" s="26">
        <f>'الامتياز التجاري'!C30</f>
        <v/>
      </c>
      <c r="D38" s="23">
        <f>'الامتياز التجاري'!J30</f>
        <v/>
      </c>
      <c r="E38" s="26">
        <f>'الامتياز التجاري'!K30</f>
        <v/>
      </c>
      <c r="F38" s="23">
        <f>'الامتياز التجاري'!L30</f>
        <v/>
      </c>
      <c r="G38" s="50">
        <f>'الامتياز التجاري'!N30</f>
        <v/>
      </c>
      <c r="H38" s="23">
        <f>'الامتياز التجاري'!O30</f>
        <v/>
      </c>
      <c r="I38" s="28">
        <f>'الامتياز التجاري'!G30</f>
        <v/>
      </c>
      <c r="J38" s="23">
        <f>IF($G38="",0,$G38*$I38)</f>
        <v/>
      </c>
      <c r="K38" s="23">
        <f>IF($G38="",0,$I38)</f>
        <v/>
      </c>
    </row>
    <row r="39">
      <c r="A39" s="23" t="n">
        <v>38</v>
      </c>
      <c r="B39" s="26" t="inlineStr">
        <is>
          <t>الامتياز التجاري</t>
        </is>
      </c>
      <c r="C39" s="26">
        <f>'الامتياز التجاري'!C31</f>
        <v/>
      </c>
      <c r="D39" s="23">
        <f>'الامتياز التجاري'!J31</f>
        <v/>
      </c>
      <c r="E39" s="26">
        <f>'الامتياز التجاري'!K31</f>
        <v/>
      </c>
      <c r="F39" s="23">
        <f>'الامتياز التجاري'!L31</f>
        <v/>
      </c>
      <c r="G39" s="50">
        <f>'الامتياز التجاري'!N31</f>
        <v/>
      </c>
      <c r="H39" s="23">
        <f>'الامتياز التجاري'!O31</f>
        <v/>
      </c>
      <c r="I39" s="28">
        <f>'الامتياز التجاري'!G31</f>
        <v/>
      </c>
      <c r="J39" s="23">
        <f>IF($G39="",0,$G39*$I39)</f>
        <v/>
      </c>
      <c r="K39" s="23">
        <f>IF($G39="",0,$I39)</f>
        <v/>
      </c>
    </row>
    <row r="40">
      <c r="A40" s="23" t="n">
        <v>39</v>
      </c>
      <c r="B40" s="26" t="inlineStr">
        <is>
          <t>الامتياز التجاري</t>
        </is>
      </c>
      <c r="C40" s="26">
        <f>'الامتياز التجاري'!C32</f>
        <v/>
      </c>
      <c r="D40" s="23">
        <f>'الامتياز التجاري'!J32</f>
        <v/>
      </c>
      <c r="E40" s="26">
        <f>'الامتياز التجاري'!K32</f>
        <v/>
      </c>
      <c r="F40" s="23">
        <f>'الامتياز التجاري'!L32</f>
        <v/>
      </c>
      <c r="G40" s="50">
        <f>'الامتياز التجاري'!N32</f>
        <v/>
      </c>
      <c r="H40" s="23">
        <f>'الامتياز التجاري'!O32</f>
        <v/>
      </c>
      <c r="I40" s="28">
        <f>'الامتياز التجاري'!G32</f>
        <v/>
      </c>
      <c r="J40" s="23">
        <f>IF($G40="",0,$G40*$I40)</f>
        <v/>
      </c>
      <c r="K40" s="23">
        <f>IF($G40="",0,$I40)</f>
        <v/>
      </c>
    </row>
    <row r="41">
      <c r="A41" s="23" t="n">
        <v>40</v>
      </c>
      <c r="B41" s="26" t="inlineStr">
        <is>
          <t>الامتياز التجاري</t>
        </is>
      </c>
      <c r="C41" s="26">
        <f>'الامتياز التجاري'!C33</f>
        <v/>
      </c>
      <c r="D41" s="23">
        <f>'الامتياز التجاري'!J33</f>
        <v/>
      </c>
      <c r="E41" s="26">
        <f>'الامتياز التجاري'!K33</f>
        <v/>
      </c>
      <c r="F41" s="23">
        <f>'الامتياز التجاري'!L33</f>
        <v/>
      </c>
      <c r="G41" s="50">
        <f>'الامتياز التجاري'!N33</f>
        <v/>
      </c>
      <c r="H41" s="23">
        <f>'الامتياز التجاري'!O33</f>
        <v/>
      </c>
      <c r="I41" s="28">
        <f>'الامتياز التجاري'!G33</f>
        <v/>
      </c>
      <c r="J41" s="23">
        <f>IF($G41="",0,$G41*$I41)</f>
        <v/>
      </c>
      <c r="K41" s="23">
        <f>IF($G41="",0,$I41)</f>
        <v/>
      </c>
    </row>
    <row r="42">
      <c r="A42" s="23" t="n">
        <v>41</v>
      </c>
      <c r="B42" s="26" t="inlineStr">
        <is>
          <t>التشغيل والمحطات</t>
        </is>
      </c>
      <c r="C42" s="26">
        <f>'التشغيل والمحطات'!C4</f>
        <v/>
      </c>
      <c r="D42" s="23">
        <f>'التشغيل والمحطات'!J4</f>
        <v/>
      </c>
      <c r="E42" s="26">
        <f>'التشغيل والمحطات'!K4</f>
        <v/>
      </c>
      <c r="F42" s="23">
        <f>'التشغيل والمحطات'!L4</f>
        <v/>
      </c>
      <c r="G42" s="50">
        <f>'التشغيل والمحطات'!N4</f>
        <v/>
      </c>
      <c r="H42" s="23">
        <f>'التشغيل والمحطات'!O4</f>
        <v/>
      </c>
      <c r="I42" s="28">
        <f>'التشغيل والمحطات'!G4</f>
        <v/>
      </c>
      <c r="J42" s="23">
        <f>IF($G42="",0,$G42*$I42)</f>
        <v/>
      </c>
      <c r="K42" s="23">
        <f>IF($G42="",0,$I42)</f>
        <v/>
      </c>
    </row>
    <row r="43">
      <c r="A43" s="23" t="n">
        <v>42</v>
      </c>
      <c r="B43" s="26" t="inlineStr">
        <is>
          <t>التشغيل والمحطات</t>
        </is>
      </c>
      <c r="C43" s="26">
        <f>'التشغيل والمحطات'!C5</f>
        <v/>
      </c>
      <c r="D43" s="23">
        <f>'التشغيل والمحطات'!J5</f>
        <v/>
      </c>
      <c r="E43" s="26">
        <f>'التشغيل والمحطات'!K5</f>
        <v/>
      </c>
      <c r="F43" s="23">
        <f>'التشغيل والمحطات'!L5</f>
        <v/>
      </c>
      <c r="G43" s="50">
        <f>'التشغيل والمحطات'!N5</f>
        <v/>
      </c>
      <c r="H43" s="23">
        <f>'التشغيل والمحطات'!O5</f>
        <v/>
      </c>
      <c r="I43" s="28">
        <f>'التشغيل والمحطات'!G5</f>
        <v/>
      </c>
      <c r="J43" s="23">
        <f>IF($G43="",0,$G43*$I43)</f>
        <v/>
      </c>
      <c r="K43" s="23">
        <f>IF($G43="",0,$I43)</f>
        <v/>
      </c>
    </row>
    <row r="44">
      <c r="A44" s="23" t="n">
        <v>43</v>
      </c>
      <c r="B44" s="26" t="inlineStr">
        <is>
          <t>التشغيل والمحطات</t>
        </is>
      </c>
      <c r="C44" s="26">
        <f>'التشغيل والمحطات'!C6</f>
        <v/>
      </c>
      <c r="D44" s="23">
        <f>'التشغيل والمحطات'!J6</f>
        <v/>
      </c>
      <c r="E44" s="26">
        <f>'التشغيل والمحطات'!K6</f>
        <v/>
      </c>
      <c r="F44" s="23">
        <f>'التشغيل والمحطات'!L6</f>
        <v/>
      </c>
      <c r="G44" s="50">
        <f>'التشغيل والمحطات'!N6</f>
        <v/>
      </c>
      <c r="H44" s="23">
        <f>'التشغيل والمحطات'!O6</f>
        <v/>
      </c>
      <c r="I44" s="28">
        <f>'التشغيل والمحطات'!G6</f>
        <v/>
      </c>
      <c r="J44" s="23">
        <f>IF($G44="",0,$G44*$I44)</f>
        <v/>
      </c>
      <c r="K44" s="23">
        <f>IF($G44="",0,$I44)</f>
        <v/>
      </c>
    </row>
    <row r="45">
      <c r="A45" s="23" t="n">
        <v>44</v>
      </c>
      <c r="B45" s="26" t="inlineStr">
        <is>
          <t>التشغيل والمحطات</t>
        </is>
      </c>
      <c r="C45" s="26">
        <f>'التشغيل والمحطات'!C7</f>
        <v/>
      </c>
      <c r="D45" s="23">
        <f>'التشغيل والمحطات'!J7</f>
        <v/>
      </c>
      <c r="E45" s="26">
        <f>'التشغيل والمحطات'!K7</f>
        <v/>
      </c>
      <c r="F45" s="23">
        <f>'التشغيل والمحطات'!L7</f>
        <v/>
      </c>
      <c r="G45" s="50">
        <f>'التشغيل والمحطات'!N7</f>
        <v/>
      </c>
      <c r="H45" s="23">
        <f>'التشغيل والمحطات'!O7</f>
        <v/>
      </c>
      <c r="I45" s="28">
        <f>'التشغيل والمحطات'!G7</f>
        <v/>
      </c>
      <c r="J45" s="23">
        <f>IF($G45="",0,$G45*$I45)</f>
        <v/>
      </c>
      <c r="K45" s="23">
        <f>IF($G45="",0,$I45)</f>
        <v/>
      </c>
    </row>
    <row r="46">
      <c r="A46" s="23" t="n">
        <v>45</v>
      </c>
      <c r="B46" s="26" t="inlineStr">
        <is>
          <t>التشغيل والمحطات</t>
        </is>
      </c>
      <c r="C46" s="26">
        <f>'التشغيل والمحطات'!C8</f>
        <v/>
      </c>
      <c r="D46" s="23">
        <f>'التشغيل والمحطات'!J8</f>
        <v/>
      </c>
      <c r="E46" s="26">
        <f>'التشغيل والمحطات'!K8</f>
        <v/>
      </c>
      <c r="F46" s="23">
        <f>'التشغيل والمحطات'!L8</f>
        <v/>
      </c>
      <c r="G46" s="50">
        <f>'التشغيل والمحطات'!N8</f>
        <v/>
      </c>
      <c r="H46" s="23">
        <f>'التشغيل والمحطات'!O8</f>
        <v/>
      </c>
      <c r="I46" s="28">
        <f>'التشغيل والمحطات'!G8</f>
        <v/>
      </c>
      <c r="J46" s="23">
        <f>IF($G46="",0,$G46*$I46)</f>
        <v/>
      </c>
      <c r="K46" s="23">
        <f>IF($G46="",0,$I46)</f>
        <v/>
      </c>
    </row>
    <row r="47">
      <c r="A47" s="23" t="n">
        <v>46</v>
      </c>
      <c r="B47" s="26" t="inlineStr">
        <is>
          <t>التشغيل والمحطات</t>
        </is>
      </c>
      <c r="C47" s="26">
        <f>'التشغيل والمحطات'!C9</f>
        <v/>
      </c>
      <c r="D47" s="23">
        <f>'التشغيل والمحطات'!J9</f>
        <v/>
      </c>
      <c r="E47" s="26">
        <f>'التشغيل والمحطات'!K9</f>
        <v/>
      </c>
      <c r="F47" s="23">
        <f>'التشغيل والمحطات'!L9</f>
        <v/>
      </c>
      <c r="G47" s="50">
        <f>'التشغيل والمحطات'!N9</f>
        <v/>
      </c>
      <c r="H47" s="23">
        <f>'التشغيل والمحطات'!O9</f>
        <v/>
      </c>
      <c r="I47" s="28">
        <f>'التشغيل والمحطات'!G9</f>
        <v/>
      </c>
      <c r="J47" s="23">
        <f>IF($G47="",0,$G47*$I47)</f>
        <v/>
      </c>
      <c r="K47" s="23">
        <f>IF($G47="",0,$I47)</f>
        <v/>
      </c>
    </row>
    <row r="48">
      <c r="A48" s="23" t="n">
        <v>47</v>
      </c>
      <c r="B48" s="26" t="inlineStr">
        <is>
          <t>التشغيل والمحطات</t>
        </is>
      </c>
      <c r="C48" s="26">
        <f>'التشغيل والمحطات'!C10</f>
        <v/>
      </c>
      <c r="D48" s="23">
        <f>'التشغيل والمحطات'!J10</f>
        <v/>
      </c>
      <c r="E48" s="26">
        <f>'التشغيل والمحطات'!K10</f>
        <v/>
      </c>
      <c r="F48" s="23">
        <f>'التشغيل والمحطات'!L10</f>
        <v/>
      </c>
      <c r="G48" s="50">
        <f>'التشغيل والمحطات'!N10</f>
        <v/>
      </c>
      <c r="H48" s="23">
        <f>'التشغيل والمحطات'!O10</f>
        <v/>
      </c>
      <c r="I48" s="28">
        <f>'التشغيل والمحطات'!G10</f>
        <v/>
      </c>
      <c r="J48" s="23">
        <f>IF($G48="",0,$G48*$I48)</f>
        <v/>
      </c>
      <c r="K48" s="23">
        <f>IF($G48="",0,$I48)</f>
        <v/>
      </c>
    </row>
    <row r="49">
      <c r="A49" s="23" t="n">
        <v>48</v>
      </c>
      <c r="B49" s="26" t="inlineStr">
        <is>
          <t>التشغيل والمحطات</t>
        </is>
      </c>
      <c r="C49" s="26">
        <f>'التشغيل والمحطات'!C11</f>
        <v/>
      </c>
      <c r="D49" s="23">
        <f>'التشغيل والمحطات'!J11</f>
        <v/>
      </c>
      <c r="E49" s="26">
        <f>'التشغيل والمحطات'!K11</f>
        <v/>
      </c>
      <c r="F49" s="23">
        <f>'التشغيل والمحطات'!L11</f>
        <v/>
      </c>
      <c r="G49" s="50">
        <f>'التشغيل والمحطات'!N11</f>
        <v/>
      </c>
      <c r="H49" s="23">
        <f>'التشغيل والمحطات'!O11</f>
        <v/>
      </c>
      <c r="I49" s="28">
        <f>'التشغيل والمحطات'!G11</f>
        <v/>
      </c>
      <c r="J49" s="23">
        <f>IF($G49="",0,$G49*$I49)</f>
        <v/>
      </c>
      <c r="K49" s="23">
        <f>IF($G49="",0,$I49)</f>
        <v/>
      </c>
    </row>
    <row r="50">
      <c r="A50" s="23" t="n">
        <v>49</v>
      </c>
      <c r="B50" s="26" t="inlineStr">
        <is>
          <t>التشغيل والمحطات</t>
        </is>
      </c>
      <c r="C50" s="26">
        <f>'التشغيل والمحطات'!C12</f>
        <v/>
      </c>
      <c r="D50" s="23">
        <f>'التشغيل والمحطات'!J12</f>
        <v/>
      </c>
      <c r="E50" s="26">
        <f>'التشغيل والمحطات'!K12</f>
        <v/>
      </c>
      <c r="F50" s="23">
        <f>'التشغيل والمحطات'!L12</f>
        <v/>
      </c>
      <c r="G50" s="50">
        <f>'التشغيل والمحطات'!N12</f>
        <v/>
      </c>
      <c r="H50" s="23">
        <f>'التشغيل والمحطات'!O12</f>
        <v/>
      </c>
      <c r="I50" s="28">
        <f>'التشغيل والمحطات'!G12</f>
        <v/>
      </c>
      <c r="J50" s="23">
        <f>IF($G50="",0,$G50*$I50)</f>
        <v/>
      </c>
      <c r="K50" s="23">
        <f>IF($G50="",0,$I50)</f>
        <v/>
      </c>
    </row>
    <row r="51">
      <c r="A51" s="23" t="n">
        <v>50</v>
      </c>
      <c r="B51" s="26" t="inlineStr">
        <is>
          <t>التشغيل والمحطات</t>
        </is>
      </c>
      <c r="C51" s="26">
        <f>'التشغيل والمحطات'!C13</f>
        <v/>
      </c>
      <c r="D51" s="23">
        <f>'التشغيل والمحطات'!J13</f>
        <v/>
      </c>
      <c r="E51" s="26">
        <f>'التشغيل والمحطات'!K13</f>
        <v/>
      </c>
      <c r="F51" s="23">
        <f>'التشغيل والمحطات'!L13</f>
        <v/>
      </c>
      <c r="G51" s="50">
        <f>'التشغيل والمحطات'!N13</f>
        <v/>
      </c>
      <c r="H51" s="23">
        <f>'التشغيل والمحطات'!O13</f>
        <v/>
      </c>
      <c r="I51" s="28">
        <f>'التشغيل والمحطات'!G13</f>
        <v/>
      </c>
      <c r="J51" s="23">
        <f>IF($G51="",0,$G51*$I51)</f>
        <v/>
      </c>
      <c r="K51" s="23">
        <f>IF($G51="",0,$I51)</f>
        <v/>
      </c>
    </row>
    <row r="52">
      <c r="A52" s="23" t="n">
        <v>51</v>
      </c>
      <c r="B52" s="26" t="inlineStr">
        <is>
          <t>التشغيل والمحطات</t>
        </is>
      </c>
      <c r="C52" s="26">
        <f>'التشغيل والمحطات'!C14</f>
        <v/>
      </c>
      <c r="D52" s="23">
        <f>'التشغيل والمحطات'!J14</f>
        <v/>
      </c>
      <c r="E52" s="26">
        <f>'التشغيل والمحطات'!K14</f>
        <v/>
      </c>
      <c r="F52" s="23">
        <f>'التشغيل والمحطات'!L14</f>
        <v/>
      </c>
      <c r="G52" s="50">
        <f>'التشغيل والمحطات'!N14</f>
        <v/>
      </c>
      <c r="H52" s="23">
        <f>'التشغيل والمحطات'!O14</f>
        <v/>
      </c>
      <c r="I52" s="28">
        <f>'التشغيل والمحطات'!G14</f>
        <v/>
      </c>
      <c r="J52" s="23">
        <f>IF($G52="",0,$G52*$I52)</f>
        <v/>
      </c>
      <c r="K52" s="23">
        <f>IF($G52="",0,$I52)</f>
        <v/>
      </c>
    </row>
    <row r="53">
      <c r="A53" s="23" t="n">
        <v>52</v>
      </c>
      <c r="B53" s="26" t="inlineStr">
        <is>
          <t>التشغيل والمحطات</t>
        </is>
      </c>
      <c r="C53" s="26">
        <f>'التشغيل والمحطات'!C15</f>
        <v/>
      </c>
      <c r="D53" s="23">
        <f>'التشغيل والمحطات'!J15</f>
        <v/>
      </c>
      <c r="E53" s="26">
        <f>'التشغيل والمحطات'!K15</f>
        <v/>
      </c>
      <c r="F53" s="23">
        <f>'التشغيل والمحطات'!L15</f>
        <v/>
      </c>
      <c r="G53" s="50">
        <f>'التشغيل والمحطات'!N15</f>
        <v/>
      </c>
      <c r="H53" s="23">
        <f>'التشغيل والمحطات'!O15</f>
        <v/>
      </c>
      <c r="I53" s="28">
        <f>'التشغيل والمحطات'!G15</f>
        <v/>
      </c>
      <c r="J53" s="23">
        <f>IF($G53="",0,$G53*$I53)</f>
        <v/>
      </c>
      <c r="K53" s="23">
        <f>IF($G53="",0,$I53)</f>
        <v/>
      </c>
    </row>
    <row r="54">
      <c r="A54" s="23" t="n">
        <v>53</v>
      </c>
      <c r="B54" s="26" t="inlineStr">
        <is>
          <t>التشغيل والمحطات</t>
        </is>
      </c>
      <c r="C54" s="26">
        <f>'التشغيل والمحطات'!C16</f>
        <v/>
      </c>
      <c r="D54" s="23">
        <f>'التشغيل والمحطات'!J16</f>
        <v/>
      </c>
      <c r="E54" s="26">
        <f>'التشغيل والمحطات'!K16</f>
        <v/>
      </c>
      <c r="F54" s="23">
        <f>'التشغيل والمحطات'!L16</f>
        <v/>
      </c>
      <c r="G54" s="50">
        <f>'التشغيل والمحطات'!N16</f>
        <v/>
      </c>
      <c r="H54" s="23">
        <f>'التشغيل والمحطات'!O16</f>
        <v/>
      </c>
      <c r="I54" s="28">
        <f>'التشغيل والمحطات'!G16</f>
        <v/>
      </c>
      <c r="J54" s="23">
        <f>IF($G54="",0,$G54*$I54)</f>
        <v/>
      </c>
      <c r="K54" s="23">
        <f>IF($G54="",0,$I54)</f>
        <v/>
      </c>
    </row>
    <row r="55">
      <c r="A55" s="23" t="n">
        <v>54</v>
      </c>
      <c r="B55" s="26" t="inlineStr">
        <is>
          <t>التشغيل والمحطات</t>
        </is>
      </c>
      <c r="C55" s="26">
        <f>'التشغيل والمحطات'!C17</f>
        <v/>
      </c>
      <c r="D55" s="23">
        <f>'التشغيل والمحطات'!J17</f>
        <v/>
      </c>
      <c r="E55" s="26">
        <f>'التشغيل والمحطات'!K17</f>
        <v/>
      </c>
      <c r="F55" s="23">
        <f>'التشغيل والمحطات'!L17</f>
        <v/>
      </c>
      <c r="G55" s="50">
        <f>'التشغيل والمحطات'!N17</f>
        <v/>
      </c>
      <c r="H55" s="23">
        <f>'التشغيل والمحطات'!O17</f>
        <v/>
      </c>
      <c r="I55" s="28">
        <f>'التشغيل والمحطات'!G17</f>
        <v/>
      </c>
      <c r="J55" s="23">
        <f>IF($G55="",0,$G55*$I55)</f>
        <v/>
      </c>
      <c r="K55" s="23">
        <f>IF($G55="",0,$I55)</f>
        <v/>
      </c>
    </row>
    <row r="56">
      <c r="A56" s="23" t="n">
        <v>55</v>
      </c>
      <c r="B56" s="26" t="inlineStr">
        <is>
          <t>التشغيل والمحطات</t>
        </is>
      </c>
      <c r="C56" s="26">
        <f>'التشغيل والمحطات'!C18</f>
        <v/>
      </c>
      <c r="D56" s="23">
        <f>'التشغيل والمحطات'!J18</f>
        <v/>
      </c>
      <c r="E56" s="26">
        <f>'التشغيل والمحطات'!K18</f>
        <v/>
      </c>
      <c r="F56" s="23">
        <f>'التشغيل والمحطات'!L18</f>
        <v/>
      </c>
      <c r="G56" s="50">
        <f>'التشغيل والمحطات'!N18</f>
        <v/>
      </c>
      <c r="H56" s="23">
        <f>'التشغيل والمحطات'!O18</f>
        <v/>
      </c>
      <c r="I56" s="28">
        <f>'التشغيل والمحطات'!G18</f>
        <v/>
      </c>
      <c r="J56" s="23">
        <f>IF($G56="",0,$G56*$I56)</f>
        <v/>
      </c>
      <c r="K56" s="23">
        <f>IF($G56="",0,$I56)</f>
        <v/>
      </c>
    </row>
    <row r="57">
      <c r="A57" s="23" t="n">
        <v>56</v>
      </c>
      <c r="B57" s="26" t="inlineStr">
        <is>
          <t>التشغيل والمحطات</t>
        </is>
      </c>
      <c r="C57" s="26">
        <f>'التشغيل والمحطات'!C19</f>
        <v/>
      </c>
      <c r="D57" s="23">
        <f>'التشغيل والمحطات'!J19</f>
        <v/>
      </c>
      <c r="E57" s="26">
        <f>'التشغيل والمحطات'!K19</f>
        <v/>
      </c>
      <c r="F57" s="23">
        <f>'التشغيل والمحطات'!L19</f>
        <v/>
      </c>
      <c r="G57" s="50">
        <f>'التشغيل والمحطات'!N19</f>
        <v/>
      </c>
      <c r="H57" s="23">
        <f>'التشغيل والمحطات'!O19</f>
        <v/>
      </c>
      <c r="I57" s="28">
        <f>'التشغيل والمحطات'!G19</f>
        <v/>
      </c>
      <c r="J57" s="23">
        <f>IF($G57="",0,$G57*$I57)</f>
        <v/>
      </c>
      <c r="K57" s="23">
        <f>IF($G57="",0,$I57)</f>
        <v/>
      </c>
    </row>
    <row r="58">
      <c r="A58" s="23" t="n">
        <v>57</v>
      </c>
      <c r="B58" s="26" t="inlineStr">
        <is>
          <t>الاستثمار</t>
        </is>
      </c>
      <c r="C58" s="26">
        <f>'الاستثمار'!C4</f>
        <v/>
      </c>
      <c r="D58" s="23">
        <f>'الاستثمار'!J4</f>
        <v/>
      </c>
      <c r="E58" s="26">
        <f>'الاستثمار'!K4</f>
        <v/>
      </c>
      <c r="F58" s="23">
        <f>'الاستثمار'!L4</f>
        <v/>
      </c>
      <c r="G58" s="50">
        <f>'الاستثمار'!N4</f>
        <v/>
      </c>
      <c r="H58" s="23">
        <f>'الاستثمار'!O4</f>
        <v/>
      </c>
      <c r="I58" s="28">
        <f>'الاستثمار'!G4</f>
        <v/>
      </c>
      <c r="J58" s="23">
        <f>IF($G58="",0,$G58*$I58)</f>
        <v/>
      </c>
      <c r="K58" s="23">
        <f>IF($G58="",0,$I58)</f>
        <v/>
      </c>
    </row>
    <row r="59">
      <c r="A59" s="23" t="n">
        <v>58</v>
      </c>
      <c r="B59" s="26" t="inlineStr">
        <is>
          <t>الاستثمار</t>
        </is>
      </c>
      <c r="C59" s="26">
        <f>'الاستثمار'!C5</f>
        <v/>
      </c>
      <c r="D59" s="23">
        <f>'الاستثمار'!J5</f>
        <v/>
      </c>
      <c r="E59" s="26">
        <f>'الاستثمار'!K5</f>
        <v/>
      </c>
      <c r="F59" s="23">
        <f>'الاستثمار'!L5</f>
        <v/>
      </c>
      <c r="G59" s="50">
        <f>'الاستثمار'!N5</f>
        <v/>
      </c>
      <c r="H59" s="23">
        <f>'الاستثمار'!O5</f>
        <v/>
      </c>
      <c r="I59" s="28">
        <f>'الاستثمار'!G5</f>
        <v/>
      </c>
      <c r="J59" s="23">
        <f>IF($G59="",0,$G59*$I59)</f>
        <v/>
      </c>
      <c r="K59" s="23">
        <f>IF($G59="",0,$I59)</f>
        <v/>
      </c>
    </row>
    <row r="60">
      <c r="A60" s="23" t="n">
        <v>59</v>
      </c>
      <c r="B60" s="26" t="inlineStr">
        <is>
          <t>الاستثمار</t>
        </is>
      </c>
      <c r="C60" s="26">
        <f>'الاستثمار'!C6</f>
        <v/>
      </c>
      <c r="D60" s="23">
        <f>'الاستثمار'!J6</f>
        <v/>
      </c>
      <c r="E60" s="26">
        <f>'الاستثمار'!K6</f>
        <v/>
      </c>
      <c r="F60" s="23">
        <f>'الاستثمار'!L6</f>
        <v/>
      </c>
      <c r="G60" s="50">
        <f>'الاستثمار'!N6</f>
        <v/>
      </c>
      <c r="H60" s="23">
        <f>'الاستثمار'!O6</f>
        <v/>
      </c>
      <c r="I60" s="28">
        <f>'الاستثمار'!G6</f>
        <v/>
      </c>
      <c r="J60" s="23">
        <f>IF($G60="",0,$G60*$I60)</f>
        <v/>
      </c>
      <c r="K60" s="23">
        <f>IF($G60="",0,$I60)</f>
        <v/>
      </c>
    </row>
    <row r="61">
      <c r="A61" s="23" t="n">
        <v>60</v>
      </c>
      <c r="B61" s="26" t="inlineStr">
        <is>
          <t>الاستثمار</t>
        </is>
      </c>
      <c r="C61" s="26">
        <f>'الاستثمار'!C7</f>
        <v/>
      </c>
      <c r="D61" s="23">
        <f>'الاستثمار'!J7</f>
        <v/>
      </c>
      <c r="E61" s="26">
        <f>'الاستثمار'!K7</f>
        <v/>
      </c>
      <c r="F61" s="23">
        <f>'الاستثمار'!L7</f>
        <v/>
      </c>
      <c r="G61" s="50">
        <f>'الاستثمار'!N7</f>
        <v/>
      </c>
      <c r="H61" s="23">
        <f>'الاستثمار'!O7</f>
        <v/>
      </c>
      <c r="I61" s="28">
        <f>'الاستثمار'!G7</f>
        <v/>
      </c>
      <c r="J61" s="23">
        <f>IF($G61="",0,$G61*$I61)</f>
        <v/>
      </c>
      <c r="K61" s="23">
        <f>IF($G61="",0,$I61)</f>
        <v/>
      </c>
    </row>
    <row r="62">
      <c r="A62" s="23" t="n">
        <v>61</v>
      </c>
      <c r="B62" s="26" t="inlineStr">
        <is>
          <t>الاستثمار</t>
        </is>
      </c>
      <c r="C62" s="26">
        <f>'الاستثمار'!C8</f>
        <v/>
      </c>
      <c r="D62" s="23">
        <f>'الاستثمار'!J8</f>
        <v/>
      </c>
      <c r="E62" s="26">
        <f>'الاستثمار'!K8</f>
        <v/>
      </c>
      <c r="F62" s="23">
        <f>'الاستثمار'!L8</f>
        <v/>
      </c>
      <c r="G62" s="50">
        <f>'الاستثمار'!N8</f>
        <v/>
      </c>
      <c r="H62" s="23">
        <f>'الاستثمار'!O8</f>
        <v/>
      </c>
      <c r="I62" s="28">
        <f>'الاستثمار'!G8</f>
        <v/>
      </c>
      <c r="J62" s="23">
        <f>IF($G62="",0,$G62*$I62)</f>
        <v/>
      </c>
      <c r="K62" s="23">
        <f>IF($G62="",0,$I62)</f>
        <v/>
      </c>
    </row>
    <row r="63">
      <c r="A63" s="23" t="n">
        <v>62</v>
      </c>
      <c r="B63" s="26" t="inlineStr">
        <is>
          <t>الاستثمار</t>
        </is>
      </c>
      <c r="C63" s="26">
        <f>'الاستثمار'!C9</f>
        <v/>
      </c>
      <c r="D63" s="23">
        <f>'الاستثمار'!J9</f>
        <v/>
      </c>
      <c r="E63" s="26">
        <f>'الاستثمار'!K9</f>
        <v/>
      </c>
      <c r="F63" s="23">
        <f>'الاستثمار'!L9</f>
        <v/>
      </c>
      <c r="G63" s="50">
        <f>'الاستثمار'!N9</f>
        <v/>
      </c>
      <c r="H63" s="23">
        <f>'الاستثمار'!O9</f>
        <v/>
      </c>
      <c r="I63" s="28">
        <f>'الاستثمار'!G9</f>
        <v/>
      </c>
      <c r="J63" s="23">
        <f>IF($G63="",0,$G63*$I63)</f>
        <v/>
      </c>
      <c r="K63" s="23">
        <f>IF($G63="",0,$I63)</f>
        <v/>
      </c>
    </row>
    <row r="64">
      <c r="A64" s="23" t="n">
        <v>63</v>
      </c>
      <c r="B64" s="26" t="inlineStr">
        <is>
          <t>الاستثمار</t>
        </is>
      </c>
      <c r="C64" s="26">
        <f>'الاستثمار'!C10</f>
        <v/>
      </c>
      <c r="D64" s="23">
        <f>'الاستثمار'!J10</f>
        <v/>
      </c>
      <c r="E64" s="26">
        <f>'الاستثمار'!K10</f>
        <v/>
      </c>
      <c r="F64" s="23">
        <f>'الاستثمار'!L10</f>
        <v/>
      </c>
      <c r="G64" s="50">
        <f>'الاستثمار'!N10</f>
        <v/>
      </c>
      <c r="H64" s="23">
        <f>'الاستثمار'!O10</f>
        <v/>
      </c>
      <c r="I64" s="28">
        <f>'الاستثمار'!G10</f>
        <v/>
      </c>
      <c r="J64" s="23">
        <f>IF($G64="",0,$G64*$I64)</f>
        <v/>
      </c>
      <c r="K64" s="23">
        <f>IF($G64="",0,$I64)</f>
        <v/>
      </c>
    </row>
    <row r="65">
      <c r="A65" s="23" t="n">
        <v>64</v>
      </c>
      <c r="B65" s="26" t="inlineStr">
        <is>
          <t>الاستثمار</t>
        </is>
      </c>
      <c r="C65" s="26">
        <f>'الاستثمار'!C11</f>
        <v/>
      </c>
      <c r="D65" s="23">
        <f>'الاستثمار'!J11</f>
        <v/>
      </c>
      <c r="E65" s="26">
        <f>'الاستثمار'!K11</f>
        <v/>
      </c>
      <c r="F65" s="23">
        <f>'الاستثمار'!L11</f>
        <v/>
      </c>
      <c r="G65" s="50">
        <f>'الاستثمار'!N11</f>
        <v/>
      </c>
      <c r="H65" s="23">
        <f>'الاستثمار'!O11</f>
        <v/>
      </c>
      <c r="I65" s="28">
        <f>'الاستثمار'!G11</f>
        <v/>
      </c>
      <c r="J65" s="23">
        <f>IF($G65="",0,$G65*$I65)</f>
        <v/>
      </c>
      <c r="K65" s="23">
        <f>IF($G65="",0,$I65)</f>
        <v/>
      </c>
    </row>
    <row r="66">
      <c r="A66" s="23" t="n">
        <v>65</v>
      </c>
      <c r="B66" s="26" t="inlineStr">
        <is>
          <t>الاستثمار</t>
        </is>
      </c>
      <c r="C66" s="26">
        <f>'الاستثمار'!C12</f>
        <v/>
      </c>
      <c r="D66" s="23">
        <f>'الاستثمار'!J12</f>
        <v/>
      </c>
      <c r="E66" s="26">
        <f>'الاستثمار'!K12</f>
        <v/>
      </c>
      <c r="F66" s="23">
        <f>'الاستثمار'!L12</f>
        <v/>
      </c>
      <c r="G66" s="50">
        <f>'الاستثمار'!N12</f>
        <v/>
      </c>
      <c r="H66" s="23">
        <f>'الاستثمار'!O12</f>
        <v/>
      </c>
      <c r="I66" s="28">
        <f>'الاستثمار'!G12</f>
        <v/>
      </c>
      <c r="J66" s="23">
        <f>IF($G66="",0,$G66*$I66)</f>
        <v/>
      </c>
      <c r="K66" s="23">
        <f>IF($G66="",0,$I66)</f>
        <v/>
      </c>
    </row>
    <row r="67">
      <c r="A67" s="23" t="n">
        <v>66</v>
      </c>
      <c r="B67" s="26" t="inlineStr">
        <is>
          <t>الاستثمار</t>
        </is>
      </c>
      <c r="C67" s="26">
        <f>'الاستثمار'!C13</f>
        <v/>
      </c>
      <c r="D67" s="23">
        <f>'الاستثمار'!J13</f>
        <v/>
      </c>
      <c r="E67" s="26">
        <f>'الاستثمار'!K13</f>
        <v/>
      </c>
      <c r="F67" s="23">
        <f>'الاستثمار'!L13</f>
        <v/>
      </c>
      <c r="G67" s="50">
        <f>'الاستثمار'!N13</f>
        <v/>
      </c>
      <c r="H67" s="23">
        <f>'الاستثمار'!O13</f>
        <v/>
      </c>
      <c r="I67" s="28">
        <f>'الاستثمار'!G13</f>
        <v/>
      </c>
      <c r="J67" s="23">
        <f>IF($G67="",0,$G67*$I67)</f>
        <v/>
      </c>
      <c r="K67" s="23">
        <f>IF($G67="",0,$I67)</f>
        <v/>
      </c>
    </row>
    <row r="68">
      <c r="A68" s="23" t="n">
        <v>67</v>
      </c>
      <c r="B68" s="26" t="inlineStr">
        <is>
          <t>الاستثمار</t>
        </is>
      </c>
      <c r="C68" s="26">
        <f>'الاستثمار'!C14</f>
        <v/>
      </c>
      <c r="D68" s="23">
        <f>'الاستثمار'!J14</f>
        <v/>
      </c>
      <c r="E68" s="26">
        <f>'الاستثمار'!K14</f>
        <v/>
      </c>
      <c r="F68" s="23">
        <f>'الاستثمار'!L14</f>
        <v/>
      </c>
      <c r="G68" s="50">
        <f>'الاستثمار'!N14</f>
        <v/>
      </c>
      <c r="H68" s="23">
        <f>'الاستثمار'!O14</f>
        <v/>
      </c>
      <c r="I68" s="28">
        <f>'الاستثمار'!G14</f>
        <v/>
      </c>
      <c r="J68" s="23">
        <f>IF($G68="",0,$G68*$I68)</f>
        <v/>
      </c>
      <c r="K68" s="23">
        <f>IF($G68="",0,$I68)</f>
        <v/>
      </c>
    </row>
    <row r="69">
      <c r="A69" s="23" t="n">
        <v>68</v>
      </c>
      <c r="B69" s="26" t="inlineStr">
        <is>
          <t>الاستثمار</t>
        </is>
      </c>
      <c r="C69" s="26">
        <f>'الاستثمار'!C15</f>
        <v/>
      </c>
      <c r="D69" s="23">
        <f>'الاستثمار'!J15</f>
        <v/>
      </c>
      <c r="E69" s="26">
        <f>'الاستثمار'!K15</f>
        <v/>
      </c>
      <c r="F69" s="23">
        <f>'الاستثمار'!L15</f>
        <v/>
      </c>
      <c r="G69" s="50">
        <f>'الاستثمار'!N15</f>
        <v/>
      </c>
      <c r="H69" s="23">
        <f>'الاستثمار'!O15</f>
        <v/>
      </c>
      <c r="I69" s="28">
        <f>'الاستثمار'!G15</f>
        <v/>
      </c>
      <c r="J69" s="23">
        <f>IF($G69="",0,$G69*$I69)</f>
        <v/>
      </c>
      <c r="K69" s="23">
        <f>IF($G69="",0,$I69)</f>
        <v/>
      </c>
    </row>
    <row r="70">
      <c r="A70" s="23" t="n">
        <v>69</v>
      </c>
      <c r="B70" s="26" t="inlineStr">
        <is>
          <t>الاستثمار</t>
        </is>
      </c>
      <c r="C70" s="26">
        <f>'الاستثمار'!C16</f>
        <v/>
      </c>
      <c r="D70" s="23">
        <f>'الاستثمار'!J16</f>
        <v/>
      </c>
      <c r="E70" s="26">
        <f>'الاستثمار'!K16</f>
        <v/>
      </c>
      <c r="F70" s="23">
        <f>'الاستثمار'!L16</f>
        <v/>
      </c>
      <c r="G70" s="50">
        <f>'الاستثمار'!N16</f>
        <v/>
      </c>
      <c r="H70" s="23">
        <f>'الاستثمار'!O16</f>
        <v/>
      </c>
      <c r="I70" s="28">
        <f>'الاستثمار'!G16</f>
        <v/>
      </c>
      <c r="J70" s="23">
        <f>IF($G70="",0,$G70*$I70)</f>
        <v/>
      </c>
      <c r="K70" s="23">
        <f>IF($G70="",0,$I70)</f>
        <v/>
      </c>
    </row>
    <row r="71">
      <c r="A71" s="23" t="n">
        <v>70</v>
      </c>
      <c r="B71" s="26" t="inlineStr">
        <is>
          <t>الاستثمار</t>
        </is>
      </c>
      <c r="C71" s="26">
        <f>'الاستثمار'!C17</f>
        <v/>
      </c>
      <c r="D71" s="23">
        <f>'الاستثمار'!J17</f>
        <v/>
      </c>
      <c r="E71" s="26">
        <f>'الاستثمار'!K17</f>
        <v/>
      </c>
      <c r="F71" s="23">
        <f>'الاستثمار'!L17</f>
        <v/>
      </c>
      <c r="G71" s="50">
        <f>'الاستثمار'!N17</f>
        <v/>
      </c>
      <c r="H71" s="23">
        <f>'الاستثمار'!O17</f>
        <v/>
      </c>
      <c r="I71" s="28">
        <f>'الاستثمار'!G17</f>
        <v/>
      </c>
      <c r="J71" s="23">
        <f>IF($G71="",0,$G71*$I71)</f>
        <v/>
      </c>
      <c r="K71" s="23">
        <f>IF($G71="",0,$I71)</f>
        <v/>
      </c>
    </row>
    <row r="72">
      <c r="A72" s="23" t="n">
        <v>71</v>
      </c>
      <c r="B72" s="26" t="inlineStr">
        <is>
          <t>الاستثمار</t>
        </is>
      </c>
      <c r="C72" s="26">
        <f>'الاستثمار'!C18</f>
        <v/>
      </c>
      <c r="D72" s="23">
        <f>'الاستثمار'!J18</f>
        <v/>
      </c>
      <c r="E72" s="26">
        <f>'الاستثمار'!K18</f>
        <v/>
      </c>
      <c r="F72" s="23">
        <f>'الاستثمار'!L18</f>
        <v/>
      </c>
      <c r="G72" s="50">
        <f>'الاستثمار'!N18</f>
        <v/>
      </c>
      <c r="H72" s="23">
        <f>'الاستثمار'!O18</f>
        <v/>
      </c>
      <c r="I72" s="28">
        <f>'الاستثمار'!G18</f>
        <v/>
      </c>
      <c r="J72" s="23">
        <f>IF($G72="",0,$G72*$I72)</f>
        <v/>
      </c>
      <c r="K72" s="23">
        <f>IF($G72="",0,$I72)</f>
        <v/>
      </c>
    </row>
    <row r="73">
      <c r="A73" s="23" t="n">
        <v>72</v>
      </c>
      <c r="B73" s="26" t="inlineStr">
        <is>
          <t>الاستثمار</t>
        </is>
      </c>
      <c r="C73" s="26">
        <f>'الاستثمار'!C19</f>
        <v/>
      </c>
      <c r="D73" s="23">
        <f>'الاستثمار'!J19</f>
        <v/>
      </c>
      <c r="E73" s="26">
        <f>'الاستثمار'!K19</f>
        <v/>
      </c>
      <c r="F73" s="23">
        <f>'الاستثمار'!L19</f>
        <v/>
      </c>
      <c r="G73" s="50">
        <f>'الاستثمار'!N19</f>
        <v/>
      </c>
      <c r="H73" s="23">
        <f>'الاستثمار'!O19</f>
        <v/>
      </c>
      <c r="I73" s="28">
        <f>'الاستثمار'!G19</f>
        <v/>
      </c>
      <c r="J73" s="23">
        <f>IF($G73="",0,$G73*$I73)</f>
        <v/>
      </c>
      <c r="K73" s="23">
        <f>IF($G73="",0,$I73)</f>
        <v/>
      </c>
    </row>
    <row r="74">
      <c r="A74" s="23" t="n">
        <v>73</v>
      </c>
      <c r="B74" s="26" t="inlineStr">
        <is>
          <t>الاستثمار</t>
        </is>
      </c>
      <c r="C74" s="26">
        <f>'الاستثمار'!C20</f>
        <v/>
      </c>
      <c r="D74" s="23">
        <f>'الاستثمار'!J20</f>
        <v/>
      </c>
      <c r="E74" s="26">
        <f>'الاستثمار'!K20</f>
        <v/>
      </c>
      <c r="F74" s="23">
        <f>'الاستثمار'!L20</f>
        <v/>
      </c>
      <c r="G74" s="50">
        <f>'الاستثمار'!N20</f>
        <v/>
      </c>
      <c r="H74" s="23">
        <f>'الاستثمار'!O20</f>
        <v/>
      </c>
      <c r="I74" s="28">
        <f>'الاستثمار'!G20</f>
        <v/>
      </c>
      <c r="J74" s="23">
        <f>IF($G74="",0,$G74*$I74)</f>
        <v/>
      </c>
      <c r="K74" s="23">
        <f>IF($G74="",0,$I74)</f>
        <v/>
      </c>
    </row>
    <row r="75">
      <c r="A75" s="23" t="n">
        <v>74</v>
      </c>
      <c r="B75" s="26" t="inlineStr">
        <is>
          <t>الاستثمار</t>
        </is>
      </c>
      <c r="C75" s="26">
        <f>'الاستثمار'!C21</f>
        <v/>
      </c>
      <c r="D75" s="23">
        <f>'الاستثمار'!J21</f>
        <v/>
      </c>
      <c r="E75" s="26">
        <f>'الاستثمار'!K21</f>
        <v/>
      </c>
      <c r="F75" s="23">
        <f>'الاستثمار'!L21</f>
        <v/>
      </c>
      <c r="G75" s="50">
        <f>'الاستثمار'!N21</f>
        <v/>
      </c>
      <c r="H75" s="23">
        <f>'الاستثمار'!O21</f>
        <v/>
      </c>
      <c r="I75" s="28">
        <f>'الاستثمار'!G21</f>
        <v/>
      </c>
      <c r="J75" s="23">
        <f>IF($G75="",0,$G75*$I75)</f>
        <v/>
      </c>
      <c r="K75" s="23">
        <f>IF($G75="",0,$I75)</f>
        <v/>
      </c>
    </row>
    <row r="76">
      <c r="A76" s="23" t="n">
        <v>75</v>
      </c>
      <c r="B76" s="26" t="inlineStr">
        <is>
          <t>الاستثمار</t>
        </is>
      </c>
      <c r="C76" s="26">
        <f>'الاستثمار'!C22</f>
        <v/>
      </c>
      <c r="D76" s="23">
        <f>'الاستثمار'!J22</f>
        <v/>
      </c>
      <c r="E76" s="26">
        <f>'الاستثمار'!K22</f>
        <v/>
      </c>
      <c r="F76" s="23">
        <f>'الاستثمار'!L22</f>
        <v/>
      </c>
      <c r="G76" s="50">
        <f>'الاستثمار'!N22</f>
        <v/>
      </c>
      <c r="H76" s="23">
        <f>'الاستثمار'!O22</f>
        <v/>
      </c>
      <c r="I76" s="28">
        <f>'الاستثمار'!G22</f>
        <v/>
      </c>
      <c r="J76" s="23">
        <f>IF($G76="",0,$G76*$I76)</f>
        <v/>
      </c>
      <c r="K76" s="23">
        <f>IF($G76="",0,$I76)</f>
        <v/>
      </c>
    </row>
    <row r="77">
      <c r="A77" s="23" t="n">
        <v>76</v>
      </c>
      <c r="B77" s="26" t="inlineStr">
        <is>
          <t>الاستثمار</t>
        </is>
      </c>
      <c r="C77" s="26">
        <f>'الاستثمار'!C23</f>
        <v/>
      </c>
      <c r="D77" s="23">
        <f>'الاستثمار'!J23</f>
        <v/>
      </c>
      <c r="E77" s="26">
        <f>'الاستثمار'!K23</f>
        <v/>
      </c>
      <c r="F77" s="23">
        <f>'الاستثمار'!L23</f>
        <v/>
      </c>
      <c r="G77" s="50">
        <f>'الاستثمار'!N23</f>
        <v/>
      </c>
      <c r="H77" s="23">
        <f>'الاستثمار'!O23</f>
        <v/>
      </c>
      <c r="I77" s="28">
        <f>'الاستثمار'!G23</f>
        <v/>
      </c>
      <c r="J77" s="23">
        <f>IF($G77="",0,$G77*$I77)</f>
        <v/>
      </c>
      <c r="K77" s="23">
        <f>IF($G77="",0,$I77)</f>
        <v/>
      </c>
    </row>
    <row r="78">
      <c r="A78" s="23" t="n">
        <v>77</v>
      </c>
      <c r="B78" s="26" t="inlineStr">
        <is>
          <t>الاستثمار</t>
        </is>
      </c>
      <c r="C78" s="26">
        <f>'الاستثمار'!C24</f>
        <v/>
      </c>
      <c r="D78" s="23">
        <f>'الاستثمار'!J24</f>
        <v/>
      </c>
      <c r="E78" s="26">
        <f>'الاستثمار'!K24</f>
        <v/>
      </c>
      <c r="F78" s="23">
        <f>'الاستثمار'!L24</f>
        <v/>
      </c>
      <c r="G78" s="50">
        <f>'الاستثمار'!N24</f>
        <v/>
      </c>
      <c r="H78" s="23">
        <f>'الاستثمار'!O24</f>
        <v/>
      </c>
      <c r="I78" s="28">
        <f>'الاستثمار'!G24</f>
        <v/>
      </c>
      <c r="J78" s="23">
        <f>IF($G78="",0,$G78*$I78)</f>
        <v/>
      </c>
      <c r="K78" s="23">
        <f>IF($G78="",0,$I78)</f>
        <v/>
      </c>
    </row>
    <row r="79">
      <c r="A79" s="23" t="n">
        <v>78</v>
      </c>
      <c r="B79" s="26" t="inlineStr">
        <is>
          <t>الاستثمار</t>
        </is>
      </c>
      <c r="C79" s="26">
        <f>'الاستثمار'!C25</f>
        <v/>
      </c>
      <c r="D79" s="23">
        <f>'الاستثمار'!J25</f>
        <v/>
      </c>
      <c r="E79" s="26">
        <f>'الاستثمار'!K25</f>
        <v/>
      </c>
      <c r="F79" s="23">
        <f>'الاستثمار'!L25</f>
        <v/>
      </c>
      <c r="G79" s="50">
        <f>'الاستثمار'!N25</f>
        <v/>
      </c>
      <c r="H79" s="23">
        <f>'الاستثمار'!O25</f>
        <v/>
      </c>
      <c r="I79" s="28">
        <f>'الاستثمار'!G25</f>
        <v/>
      </c>
      <c r="J79" s="23">
        <f>IF($G79="",0,$G79*$I79)</f>
        <v/>
      </c>
      <c r="K79" s="23">
        <f>IF($G79="",0,$I79)</f>
        <v/>
      </c>
    </row>
    <row r="80">
      <c r="A80" s="23" t="n">
        <v>79</v>
      </c>
      <c r="B80" s="26" t="inlineStr">
        <is>
          <t>الاستثمار</t>
        </is>
      </c>
      <c r="C80" s="26">
        <f>'الاستثمار'!C26</f>
        <v/>
      </c>
      <c r="D80" s="23">
        <f>'الاستثمار'!J26</f>
        <v/>
      </c>
      <c r="E80" s="26">
        <f>'الاستثمار'!K26</f>
        <v/>
      </c>
      <c r="F80" s="23">
        <f>'الاستثمار'!L26</f>
        <v/>
      </c>
      <c r="G80" s="50">
        <f>'الاستثمار'!N26</f>
        <v/>
      </c>
      <c r="H80" s="23">
        <f>'الاستثمار'!O26</f>
        <v/>
      </c>
      <c r="I80" s="28">
        <f>'الاستثمار'!G26</f>
        <v/>
      </c>
      <c r="J80" s="23">
        <f>IF($G80="",0,$G80*$I80)</f>
        <v/>
      </c>
      <c r="K80" s="23">
        <f>IF($G80="",0,$I80)</f>
        <v/>
      </c>
    </row>
    <row r="81">
      <c r="A81" s="23" t="n">
        <v>80</v>
      </c>
      <c r="B81" s="26" t="inlineStr">
        <is>
          <t>الاستثمار</t>
        </is>
      </c>
      <c r="C81" s="26">
        <f>'الاستثمار'!C27</f>
        <v/>
      </c>
      <c r="D81" s="23">
        <f>'الاستثمار'!J27</f>
        <v/>
      </c>
      <c r="E81" s="26">
        <f>'الاستثمار'!K27</f>
        <v/>
      </c>
      <c r="F81" s="23">
        <f>'الاستثمار'!L27</f>
        <v/>
      </c>
      <c r="G81" s="50">
        <f>'الاستثمار'!N27</f>
        <v/>
      </c>
      <c r="H81" s="23">
        <f>'الاستثمار'!O27</f>
        <v/>
      </c>
      <c r="I81" s="28">
        <f>'الاستثمار'!G27</f>
        <v/>
      </c>
      <c r="J81" s="23">
        <f>IF($G81="",0,$G81*$I81)</f>
        <v/>
      </c>
      <c r="K81" s="23">
        <f>IF($G81="",0,$I81)</f>
        <v/>
      </c>
    </row>
    <row r="82">
      <c r="A82" s="23" t="n">
        <v>81</v>
      </c>
      <c r="B82" s="26" t="inlineStr">
        <is>
          <t>العقار</t>
        </is>
      </c>
      <c r="C82" s="26">
        <f>'العقار'!C4</f>
        <v/>
      </c>
      <c r="D82" s="23">
        <f>'العقار'!J4</f>
        <v/>
      </c>
      <c r="E82" s="26">
        <f>'العقار'!K4</f>
        <v/>
      </c>
      <c r="F82" s="23">
        <f>'العقار'!L4</f>
        <v/>
      </c>
      <c r="G82" s="50">
        <f>'العقار'!N4</f>
        <v/>
      </c>
      <c r="H82" s="23">
        <f>'العقار'!O4</f>
        <v/>
      </c>
      <c r="I82" s="28">
        <f>'العقار'!G4</f>
        <v/>
      </c>
      <c r="J82" s="23">
        <f>IF($G82="",0,$G82*$I82)</f>
        <v/>
      </c>
      <c r="K82" s="23">
        <f>IF($G82="",0,$I82)</f>
        <v/>
      </c>
    </row>
    <row r="83">
      <c r="A83" s="23" t="n">
        <v>82</v>
      </c>
      <c r="B83" s="26" t="inlineStr">
        <is>
          <t>العقار</t>
        </is>
      </c>
      <c r="C83" s="26">
        <f>'العقار'!C5</f>
        <v/>
      </c>
      <c r="D83" s="23">
        <f>'العقار'!J5</f>
        <v/>
      </c>
      <c r="E83" s="26">
        <f>'العقار'!K5</f>
        <v/>
      </c>
      <c r="F83" s="23">
        <f>'العقار'!L5</f>
        <v/>
      </c>
      <c r="G83" s="50">
        <f>'العقار'!N5</f>
        <v/>
      </c>
      <c r="H83" s="23">
        <f>'العقار'!O5</f>
        <v/>
      </c>
      <c r="I83" s="28">
        <f>'العقار'!G5</f>
        <v/>
      </c>
      <c r="J83" s="23">
        <f>IF($G83="",0,$G83*$I83)</f>
        <v/>
      </c>
      <c r="K83" s="23">
        <f>IF($G83="",0,$I83)</f>
        <v/>
      </c>
    </row>
    <row r="84">
      <c r="A84" s="23" t="n">
        <v>83</v>
      </c>
      <c r="B84" s="26" t="inlineStr">
        <is>
          <t>العقار</t>
        </is>
      </c>
      <c r="C84" s="26">
        <f>'العقار'!C6</f>
        <v/>
      </c>
      <c r="D84" s="23">
        <f>'العقار'!J6</f>
        <v/>
      </c>
      <c r="E84" s="26">
        <f>'العقار'!K6</f>
        <v/>
      </c>
      <c r="F84" s="23">
        <f>'العقار'!L6</f>
        <v/>
      </c>
      <c r="G84" s="50">
        <f>'العقار'!N6</f>
        <v/>
      </c>
      <c r="H84" s="23">
        <f>'العقار'!O6</f>
        <v/>
      </c>
      <c r="I84" s="28">
        <f>'العقار'!G6</f>
        <v/>
      </c>
      <c r="J84" s="23">
        <f>IF($G84="",0,$G84*$I84)</f>
        <v/>
      </c>
      <c r="K84" s="23">
        <f>IF($G84="",0,$I84)</f>
        <v/>
      </c>
    </row>
    <row r="85">
      <c r="A85" s="23" t="n">
        <v>84</v>
      </c>
      <c r="B85" s="26" t="inlineStr">
        <is>
          <t>العقار</t>
        </is>
      </c>
      <c r="C85" s="26">
        <f>'العقار'!C7</f>
        <v/>
      </c>
      <c r="D85" s="23">
        <f>'العقار'!J7</f>
        <v/>
      </c>
      <c r="E85" s="26">
        <f>'العقار'!K7</f>
        <v/>
      </c>
      <c r="F85" s="23">
        <f>'العقار'!L7</f>
        <v/>
      </c>
      <c r="G85" s="50">
        <f>'العقار'!N7</f>
        <v/>
      </c>
      <c r="H85" s="23">
        <f>'العقار'!O7</f>
        <v/>
      </c>
      <c r="I85" s="28">
        <f>'العقار'!G7</f>
        <v/>
      </c>
      <c r="J85" s="23">
        <f>IF($G85="",0,$G85*$I85)</f>
        <v/>
      </c>
      <c r="K85" s="23">
        <f>IF($G85="",0,$I85)</f>
        <v/>
      </c>
    </row>
    <row r="86">
      <c r="A86" s="23" t="n">
        <v>85</v>
      </c>
      <c r="B86" s="26" t="inlineStr">
        <is>
          <t>العقار</t>
        </is>
      </c>
      <c r="C86" s="26">
        <f>'العقار'!C8</f>
        <v/>
      </c>
      <c r="D86" s="23">
        <f>'العقار'!J8</f>
        <v/>
      </c>
      <c r="E86" s="26">
        <f>'العقار'!K8</f>
        <v/>
      </c>
      <c r="F86" s="23">
        <f>'العقار'!L8</f>
        <v/>
      </c>
      <c r="G86" s="50">
        <f>'العقار'!N8</f>
        <v/>
      </c>
      <c r="H86" s="23">
        <f>'العقار'!O8</f>
        <v/>
      </c>
      <c r="I86" s="28">
        <f>'العقار'!G8</f>
        <v/>
      </c>
      <c r="J86" s="23">
        <f>IF($G86="",0,$G86*$I86)</f>
        <v/>
      </c>
      <c r="K86" s="23">
        <f>IF($G86="",0,$I86)</f>
        <v/>
      </c>
    </row>
    <row r="87">
      <c r="A87" s="23" t="n">
        <v>86</v>
      </c>
      <c r="B87" s="26" t="inlineStr">
        <is>
          <t>العقار</t>
        </is>
      </c>
      <c r="C87" s="26">
        <f>'العقار'!C9</f>
        <v/>
      </c>
      <c r="D87" s="23">
        <f>'العقار'!J9</f>
        <v/>
      </c>
      <c r="E87" s="26">
        <f>'العقار'!K9</f>
        <v/>
      </c>
      <c r="F87" s="23">
        <f>'العقار'!L9</f>
        <v/>
      </c>
      <c r="G87" s="50">
        <f>'العقار'!N9</f>
        <v/>
      </c>
      <c r="H87" s="23">
        <f>'العقار'!O9</f>
        <v/>
      </c>
      <c r="I87" s="28">
        <f>'العقار'!G9</f>
        <v/>
      </c>
      <c r="J87" s="23">
        <f>IF($G87="",0,$G87*$I87)</f>
        <v/>
      </c>
      <c r="K87" s="23">
        <f>IF($G87="",0,$I87)</f>
        <v/>
      </c>
    </row>
    <row r="88">
      <c r="A88" s="23" t="n">
        <v>87</v>
      </c>
      <c r="B88" s="26" t="inlineStr">
        <is>
          <t>العقار</t>
        </is>
      </c>
      <c r="C88" s="26">
        <f>'العقار'!C10</f>
        <v/>
      </c>
      <c r="D88" s="23">
        <f>'العقار'!J10</f>
        <v/>
      </c>
      <c r="E88" s="26">
        <f>'العقار'!K10</f>
        <v/>
      </c>
      <c r="F88" s="23">
        <f>'العقار'!L10</f>
        <v/>
      </c>
      <c r="G88" s="50">
        <f>'العقار'!N10</f>
        <v/>
      </c>
      <c r="H88" s="23">
        <f>'العقار'!O10</f>
        <v/>
      </c>
      <c r="I88" s="28">
        <f>'العقار'!G10</f>
        <v/>
      </c>
      <c r="J88" s="23">
        <f>IF($G88="",0,$G88*$I88)</f>
        <v/>
      </c>
      <c r="K88" s="23">
        <f>IF($G88="",0,$I88)</f>
        <v/>
      </c>
    </row>
    <row r="89">
      <c r="A89" s="23" t="n">
        <v>88</v>
      </c>
      <c r="B89" s="26" t="inlineStr">
        <is>
          <t>العقار</t>
        </is>
      </c>
      <c r="C89" s="26">
        <f>'العقار'!C11</f>
        <v/>
      </c>
      <c r="D89" s="23">
        <f>'العقار'!J11</f>
        <v/>
      </c>
      <c r="E89" s="26">
        <f>'العقار'!K11</f>
        <v/>
      </c>
      <c r="F89" s="23">
        <f>'العقار'!L11</f>
        <v/>
      </c>
      <c r="G89" s="50">
        <f>'العقار'!N11</f>
        <v/>
      </c>
      <c r="H89" s="23">
        <f>'العقار'!O11</f>
        <v/>
      </c>
      <c r="I89" s="28">
        <f>'العقار'!G11</f>
        <v/>
      </c>
      <c r="J89" s="23">
        <f>IF($G89="",0,$G89*$I89)</f>
        <v/>
      </c>
      <c r="K89" s="23">
        <f>IF($G89="",0,$I89)</f>
        <v/>
      </c>
    </row>
    <row r="90">
      <c r="A90" s="23" t="n">
        <v>89</v>
      </c>
      <c r="B90" s="26" t="inlineStr">
        <is>
          <t>العقار</t>
        </is>
      </c>
      <c r="C90" s="26">
        <f>'العقار'!C12</f>
        <v/>
      </c>
      <c r="D90" s="23">
        <f>'العقار'!J12</f>
        <v/>
      </c>
      <c r="E90" s="26">
        <f>'العقار'!K12</f>
        <v/>
      </c>
      <c r="F90" s="23">
        <f>'العقار'!L12</f>
        <v/>
      </c>
      <c r="G90" s="50">
        <f>'العقار'!N12</f>
        <v/>
      </c>
      <c r="H90" s="23">
        <f>'العقار'!O12</f>
        <v/>
      </c>
      <c r="I90" s="28">
        <f>'العقار'!G12</f>
        <v/>
      </c>
      <c r="J90" s="23">
        <f>IF($G90="",0,$G90*$I90)</f>
        <v/>
      </c>
      <c r="K90" s="23">
        <f>IF($G90="",0,$I90)</f>
        <v/>
      </c>
    </row>
    <row r="91">
      <c r="A91" s="23" t="n">
        <v>90</v>
      </c>
      <c r="B91" s="26" t="inlineStr">
        <is>
          <t>العقار</t>
        </is>
      </c>
      <c r="C91" s="26">
        <f>'العقار'!C13</f>
        <v/>
      </c>
      <c r="D91" s="23">
        <f>'العقار'!J13</f>
        <v/>
      </c>
      <c r="E91" s="26">
        <f>'العقار'!K13</f>
        <v/>
      </c>
      <c r="F91" s="23">
        <f>'العقار'!L13</f>
        <v/>
      </c>
      <c r="G91" s="50">
        <f>'العقار'!N13</f>
        <v/>
      </c>
      <c r="H91" s="23">
        <f>'العقار'!O13</f>
        <v/>
      </c>
      <c r="I91" s="28">
        <f>'العقار'!G13</f>
        <v/>
      </c>
      <c r="J91" s="23">
        <f>IF($G91="",0,$G91*$I91)</f>
        <v/>
      </c>
      <c r="K91" s="23">
        <f>IF($G91="",0,$I91)</f>
        <v/>
      </c>
    </row>
    <row r="92">
      <c r="A92" s="23" t="n">
        <v>91</v>
      </c>
      <c r="B92" s="26" t="inlineStr">
        <is>
          <t>العقار</t>
        </is>
      </c>
      <c r="C92" s="26">
        <f>'العقار'!C14</f>
        <v/>
      </c>
      <c r="D92" s="23">
        <f>'العقار'!J14</f>
        <v/>
      </c>
      <c r="E92" s="26">
        <f>'العقار'!K14</f>
        <v/>
      </c>
      <c r="F92" s="23">
        <f>'العقار'!L14</f>
        <v/>
      </c>
      <c r="G92" s="50">
        <f>'العقار'!N14</f>
        <v/>
      </c>
      <c r="H92" s="23">
        <f>'العقار'!O14</f>
        <v/>
      </c>
      <c r="I92" s="28">
        <f>'العقار'!G14</f>
        <v/>
      </c>
      <c r="J92" s="23">
        <f>IF($G92="",0,$G92*$I92)</f>
        <v/>
      </c>
      <c r="K92" s="23">
        <f>IF($G92="",0,$I92)</f>
        <v/>
      </c>
    </row>
    <row r="93">
      <c r="A93" s="23" t="n">
        <v>92</v>
      </c>
      <c r="B93" s="26" t="inlineStr">
        <is>
          <t>العقار</t>
        </is>
      </c>
      <c r="C93" s="26">
        <f>'العقار'!C15</f>
        <v/>
      </c>
      <c r="D93" s="23">
        <f>'العقار'!J15</f>
        <v/>
      </c>
      <c r="E93" s="26">
        <f>'العقار'!K15</f>
        <v/>
      </c>
      <c r="F93" s="23">
        <f>'العقار'!L15</f>
        <v/>
      </c>
      <c r="G93" s="50">
        <f>'العقار'!N15</f>
        <v/>
      </c>
      <c r="H93" s="23">
        <f>'العقار'!O15</f>
        <v/>
      </c>
      <c r="I93" s="28">
        <f>'العقار'!G15</f>
        <v/>
      </c>
      <c r="J93" s="23">
        <f>IF($G93="",0,$G93*$I93)</f>
        <v/>
      </c>
      <c r="K93" s="23">
        <f>IF($G93="",0,$I93)</f>
        <v/>
      </c>
    </row>
    <row r="94">
      <c r="A94" s="23" t="n">
        <v>93</v>
      </c>
      <c r="B94" s="26" t="inlineStr">
        <is>
          <t>العقار</t>
        </is>
      </c>
      <c r="C94" s="26">
        <f>'العقار'!C16</f>
        <v/>
      </c>
      <c r="D94" s="23">
        <f>'العقار'!J16</f>
        <v/>
      </c>
      <c r="E94" s="26">
        <f>'العقار'!K16</f>
        <v/>
      </c>
      <c r="F94" s="23">
        <f>'العقار'!L16</f>
        <v/>
      </c>
      <c r="G94" s="50">
        <f>'العقار'!N16</f>
        <v/>
      </c>
      <c r="H94" s="23">
        <f>'العقار'!O16</f>
        <v/>
      </c>
      <c r="I94" s="28">
        <f>'العقار'!G16</f>
        <v/>
      </c>
      <c r="J94" s="23">
        <f>IF($G94="",0,$G94*$I94)</f>
        <v/>
      </c>
      <c r="K94" s="23">
        <f>IF($G94="",0,$I94)</f>
        <v/>
      </c>
    </row>
    <row r="95">
      <c r="A95" s="23" t="n">
        <v>94</v>
      </c>
      <c r="B95" s="26" t="inlineStr">
        <is>
          <t>العقار</t>
        </is>
      </c>
      <c r="C95" s="26">
        <f>'العقار'!C17</f>
        <v/>
      </c>
      <c r="D95" s="23">
        <f>'العقار'!J17</f>
        <v/>
      </c>
      <c r="E95" s="26">
        <f>'العقار'!K17</f>
        <v/>
      </c>
      <c r="F95" s="23">
        <f>'العقار'!L17</f>
        <v/>
      </c>
      <c r="G95" s="50">
        <f>'العقار'!N17</f>
        <v/>
      </c>
      <c r="H95" s="23">
        <f>'العقار'!O17</f>
        <v/>
      </c>
      <c r="I95" s="28">
        <f>'العقار'!G17</f>
        <v/>
      </c>
      <c r="J95" s="23">
        <f>IF($G95="",0,$G95*$I95)</f>
        <v/>
      </c>
      <c r="K95" s="23">
        <f>IF($G95="",0,$I95)</f>
        <v/>
      </c>
    </row>
    <row r="96">
      <c r="A96" s="23" t="n">
        <v>95</v>
      </c>
      <c r="B96" s="26" t="inlineStr">
        <is>
          <t>العقار</t>
        </is>
      </c>
      <c r="C96" s="26">
        <f>'العقار'!C18</f>
        <v/>
      </c>
      <c r="D96" s="23">
        <f>'العقار'!J18</f>
        <v/>
      </c>
      <c r="E96" s="26">
        <f>'العقار'!K18</f>
        <v/>
      </c>
      <c r="F96" s="23">
        <f>'العقار'!L18</f>
        <v/>
      </c>
      <c r="G96" s="50">
        <f>'العقار'!N18</f>
        <v/>
      </c>
      <c r="H96" s="23">
        <f>'العقار'!O18</f>
        <v/>
      </c>
      <c r="I96" s="28">
        <f>'العقار'!G18</f>
        <v/>
      </c>
      <c r="J96" s="23">
        <f>IF($G96="",0,$G96*$I96)</f>
        <v/>
      </c>
      <c r="K96" s="23">
        <f>IF($G96="",0,$I96)</f>
        <v/>
      </c>
    </row>
    <row r="97">
      <c r="A97" s="23" t="n">
        <v>96</v>
      </c>
      <c r="B97" s="26" t="inlineStr">
        <is>
          <t>العقار</t>
        </is>
      </c>
      <c r="C97" s="26">
        <f>'العقار'!C19</f>
        <v/>
      </c>
      <c r="D97" s="23">
        <f>'العقار'!J19</f>
        <v/>
      </c>
      <c r="E97" s="26">
        <f>'العقار'!K19</f>
        <v/>
      </c>
      <c r="F97" s="23">
        <f>'العقار'!L19</f>
        <v/>
      </c>
      <c r="G97" s="50">
        <f>'العقار'!N19</f>
        <v/>
      </c>
      <c r="H97" s="23">
        <f>'العقار'!O19</f>
        <v/>
      </c>
      <c r="I97" s="28">
        <f>'العقار'!G19</f>
        <v/>
      </c>
      <c r="J97" s="23">
        <f>IF($G97="",0,$G97*$I97)</f>
        <v/>
      </c>
      <c r="K97" s="23">
        <f>IF($G97="",0,$I97)</f>
        <v/>
      </c>
    </row>
    <row r="98">
      <c r="A98" s="23" t="n">
        <v>97</v>
      </c>
      <c r="B98" s="26" t="inlineStr">
        <is>
          <t>التقنية الرقمية</t>
        </is>
      </c>
      <c r="C98" s="26">
        <f>'التقنية الرقمية'!C4</f>
        <v/>
      </c>
      <c r="D98" s="23">
        <f>'التقنية الرقمية'!J4</f>
        <v/>
      </c>
      <c r="E98" s="26">
        <f>'التقنية الرقمية'!K4</f>
        <v/>
      </c>
      <c r="F98" s="23">
        <f>'التقنية الرقمية'!L4</f>
        <v/>
      </c>
      <c r="G98" s="50">
        <f>'التقنية الرقمية'!N4</f>
        <v/>
      </c>
      <c r="H98" s="23">
        <f>'التقنية الرقمية'!O4</f>
        <v/>
      </c>
      <c r="I98" s="28">
        <f>'التقنية الرقمية'!G4</f>
        <v/>
      </c>
      <c r="J98" s="23">
        <f>IF($G98="",0,$G98*$I98)</f>
        <v/>
      </c>
      <c r="K98" s="23">
        <f>IF($G98="",0,$I98)</f>
        <v/>
      </c>
    </row>
    <row r="99">
      <c r="A99" s="23" t="n">
        <v>98</v>
      </c>
      <c r="B99" s="26" t="inlineStr">
        <is>
          <t>التقنية الرقمية</t>
        </is>
      </c>
      <c r="C99" s="26">
        <f>'التقنية الرقمية'!C5</f>
        <v/>
      </c>
      <c r="D99" s="23">
        <f>'التقنية الرقمية'!J5</f>
        <v/>
      </c>
      <c r="E99" s="26">
        <f>'التقنية الرقمية'!K5</f>
        <v/>
      </c>
      <c r="F99" s="23">
        <f>'التقنية الرقمية'!L5</f>
        <v/>
      </c>
      <c r="G99" s="50">
        <f>'التقنية الرقمية'!N5</f>
        <v/>
      </c>
      <c r="H99" s="23">
        <f>'التقنية الرقمية'!O5</f>
        <v/>
      </c>
      <c r="I99" s="28">
        <f>'التقنية الرقمية'!G5</f>
        <v/>
      </c>
      <c r="J99" s="23">
        <f>IF($G99="",0,$G99*$I99)</f>
        <v/>
      </c>
      <c r="K99" s="23">
        <f>IF($G99="",0,$I99)</f>
        <v/>
      </c>
    </row>
    <row r="100">
      <c r="A100" s="23" t="n">
        <v>99</v>
      </c>
      <c r="B100" s="26" t="inlineStr">
        <is>
          <t>التقنية الرقمية</t>
        </is>
      </c>
      <c r="C100" s="26">
        <f>'التقنية الرقمية'!C6</f>
        <v/>
      </c>
      <c r="D100" s="23">
        <f>'التقنية الرقمية'!J6</f>
        <v/>
      </c>
      <c r="E100" s="26">
        <f>'التقنية الرقمية'!K6</f>
        <v/>
      </c>
      <c r="F100" s="23">
        <f>'التقنية الرقمية'!L6</f>
        <v/>
      </c>
      <c r="G100" s="50">
        <f>'التقنية الرقمية'!N6</f>
        <v/>
      </c>
      <c r="H100" s="23">
        <f>'التقنية الرقمية'!O6</f>
        <v/>
      </c>
      <c r="I100" s="28">
        <f>'التقنية الرقمية'!G6</f>
        <v/>
      </c>
      <c r="J100" s="23">
        <f>IF($G100="",0,$G100*$I100)</f>
        <v/>
      </c>
      <c r="K100" s="23">
        <f>IF($G100="",0,$I100)</f>
        <v/>
      </c>
    </row>
    <row r="101">
      <c r="A101" s="23" t="n">
        <v>100</v>
      </c>
      <c r="B101" s="26" t="inlineStr">
        <is>
          <t>التقنية الرقمية</t>
        </is>
      </c>
      <c r="C101" s="26">
        <f>'التقنية الرقمية'!C7</f>
        <v/>
      </c>
      <c r="D101" s="23">
        <f>'التقنية الرقمية'!J7</f>
        <v/>
      </c>
      <c r="E101" s="26">
        <f>'التقنية الرقمية'!K7</f>
        <v/>
      </c>
      <c r="F101" s="23">
        <f>'التقنية الرقمية'!L7</f>
        <v/>
      </c>
      <c r="G101" s="50">
        <f>'التقنية الرقمية'!N7</f>
        <v/>
      </c>
      <c r="H101" s="23">
        <f>'التقنية الرقمية'!O7</f>
        <v/>
      </c>
      <c r="I101" s="28">
        <f>'التقنية الرقمية'!G7</f>
        <v/>
      </c>
      <c r="J101" s="23">
        <f>IF($G101="",0,$G101*$I101)</f>
        <v/>
      </c>
      <c r="K101" s="23">
        <f>IF($G101="",0,$I101)</f>
        <v/>
      </c>
    </row>
    <row r="102">
      <c r="A102" s="23" t="n">
        <v>101</v>
      </c>
      <c r="B102" s="26" t="inlineStr">
        <is>
          <t>التقنية الرقمية</t>
        </is>
      </c>
      <c r="C102" s="26">
        <f>'التقنية الرقمية'!C8</f>
        <v/>
      </c>
      <c r="D102" s="23">
        <f>'التقنية الرقمية'!J8</f>
        <v/>
      </c>
      <c r="E102" s="26">
        <f>'التقنية الرقمية'!K8</f>
        <v/>
      </c>
      <c r="F102" s="23">
        <f>'التقنية الرقمية'!L8</f>
        <v/>
      </c>
      <c r="G102" s="50">
        <f>'التقنية الرقمية'!N8</f>
        <v/>
      </c>
      <c r="H102" s="23">
        <f>'التقنية الرقمية'!O8</f>
        <v/>
      </c>
      <c r="I102" s="28">
        <f>'التقنية الرقمية'!G8</f>
        <v/>
      </c>
      <c r="J102" s="23">
        <f>IF($G102="",0,$G102*$I102)</f>
        <v/>
      </c>
      <c r="K102" s="23">
        <f>IF($G102="",0,$I102)</f>
        <v/>
      </c>
    </row>
    <row r="103">
      <c r="A103" s="23" t="n">
        <v>102</v>
      </c>
      <c r="B103" s="26" t="inlineStr">
        <is>
          <t>التقنية الرقمية</t>
        </is>
      </c>
      <c r="C103" s="26">
        <f>'التقنية الرقمية'!C9</f>
        <v/>
      </c>
      <c r="D103" s="23">
        <f>'التقنية الرقمية'!J9</f>
        <v/>
      </c>
      <c r="E103" s="26">
        <f>'التقنية الرقمية'!K9</f>
        <v/>
      </c>
      <c r="F103" s="23">
        <f>'التقنية الرقمية'!L9</f>
        <v/>
      </c>
      <c r="G103" s="50">
        <f>'التقنية الرقمية'!N9</f>
        <v/>
      </c>
      <c r="H103" s="23">
        <f>'التقنية الرقمية'!O9</f>
        <v/>
      </c>
      <c r="I103" s="28">
        <f>'التقنية الرقمية'!G9</f>
        <v/>
      </c>
      <c r="J103" s="23">
        <f>IF($G103="",0,$G103*$I103)</f>
        <v/>
      </c>
      <c r="K103" s="23">
        <f>IF($G103="",0,$I103)</f>
        <v/>
      </c>
    </row>
    <row r="104">
      <c r="A104" s="23" t="n">
        <v>103</v>
      </c>
      <c r="B104" s="26" t="inlineStr">
        <is>
          <t>التقنية الرقمية</t>
        </is>
      </c>
      <c r="C104" s="26">
        <f>'التقنية الرقمية'!C10</f>
        <v/>
      </c>
      <c r="D104" s="23">
        <f>'التقنية الرقمية'!J10</f>
        <v/>
      </c>
      <c r="E104" s="26">
        <f>'التقنية الرقمية'!K10</f>
        <v/>
      </c>
      <c r="F104" s="23">
        <f>'التقنية الرقمية'!L10</f>
        <v/>
      </c>
      <c r="G104" s="50">
        <f>'التقنية الرقمية'!N10</f>
        <v/>
      </c>
      <c r="H104" s="23">
        <f>'التقنية الرقمية'!O10</f>
        <v/>
      </c>
      <c r="I104" s="28">
        <f>'التقنية الرقمية'!G10</f>
        <v/>
      </c>
      <c r="J104" s="23">
        <f>IF($G104="",0,$G104*$I104)</f>
        <v/>
      </c>
      <c r="K104" s="23">
        <f>IF($G104="",0,$I104)</f>
        <v/>
      </c>
    </row>
    <row r="105">
      <c r="A105" s="23" t="n">
        <v>104</v>
      </c>
      <c r="B105" s="26" t="inlineStr">
        <is>
          <t>التقنية الرقمية</t>
        </is>
      </c>
      <c r="C105" s="26">
        <f>'التقنية الرقمية'!C11</f>
        <v/>
      </c>
      <c r="D105" s="23">
        <f>'التقنية الرقمية'!J11</f>
        <v/>
      </c>
      <c r="E105" s="26">
        <f>'التقنية الرقمية'!K11</f>
        <v/>
      </c>
      <c r="F105" s="23">
        <f>'التقنية الرقمية'!L11</f>
        <v/>
      </c>
      <c r="G105" s="50">
        <f>'التقنية الرقمية'!N11</f>
        <v/>
      </c>
      <c r="H105" s="23">
        <f>'التقنية الرقمية'!O11</f>
        <v/>
      </c>
      <c r="I105" s="28">
        <f>'التقنية الرقمية'!G11</f>
        <v/>
      </c>
      <c r="J105" s="23">
        <f>IF($G105="",0,$G105*$I105)</f>
        <v/>
      </c>
      <c r="K105" s="23">
        <f>IF($G105="",0,$I105)</f>
        <v/>
      </c>
    </row>
    <row r="106">
      <c r="A106" s="23" t="n">
        <v>105</v>
      </c>
      <c r="B106" s="26" t="inlineStr">
        <is>
          <t>التقنية الرقمية</t>
        </is>
      </c>
      <c r="C106" s="26">
        <f>'التقنية الرقمية'!C12</f>
        <v/>
      </c>
      <c r="D106" s="23">
        <f>'التقنية الرقمية'!J12</f>
        <v/>
      </c>
      <c r="E106" s="26">
        <f>'التقنية الرقمية'!K12</f>
        <v/>
      </c>
      <c r="F106" s="23">
        <f>'التقنية الرقمية'!L12</f>
        <v/>
      </c>
      <c r="G106" s="50">
        <f>'التقنية الرقمية'!N12</f>
        <v/>
      </c>
      <c r="H106" s="23">
        <f>'التقنية الرقمية'!O12</f>
        <v/>
      </c>
      <c r="I106" s="28">
        <f>'التقنية الرقمية'!G12</f>
        <v/>
      </c>
      <c r="J106" s="23">
        <f>IF($G106="",0,$G106*$I106)</f>
        <v/>
      </c>
      <c r="K106" s="23">
        <f>IF($G106="",0,$I106)</f>
        <v/>
      </c>
    </row>
    <row r="107">
      <c r="A107" s="23" t="n">
        <v>106</v>
      </c>
      <c r="B107" s="26" t="inlineStr">
        <is>
          <t>الموارد البشرية</t>
        </is>
      </c>
      <c r="C107" s="26">
        <f>'الموارد البشرية'!C4</f>
        <v/>
      </c>
      <c r="D107" s="23">
        <f>'الموارد البشرية'!J4</f>
        <v/>
      </c>
      <c r="E107" s="26">
        <f>'الموارد البشرية'!K4</f>
        <v/>
      </c>
      <c r="F107" s="23">
        <f>'الموارد البشرية'!L4</f>
        <v/>
      </c>
      <c r="G107" s="50">
        <f>'الموارد البشرية'!N4</f>
        <v/>
      </c>
      <c r="H107" s="23">
        <f>'الموارد البشرية'!O4</f>
        <v/>
      </c>
      <c r="I107" s="28">
        <f>'الموارد البشرية'!G4</f>
        <v/>
      </c>
      <c r="J107" s="23">
        <f>IF($G107="",0,$G107*$I107)</f>
        <v/>
      </c>
      <c r="K107" s="23">
        <f>IF($G107="",0,$I107)</f>
        <v/>
      </c>
    </row>
    <row r="108">
      <c r="A108" s="23" t="n">
        <v>107</v>
      </c>
      <c r="B108" s="26" t="inlineStr">
        <is>
          <t>الموارد البشرية</t>
        </is>
      </c>
      <c r="C108" s="26">
        <f>'الموارد البشرية'!C5</f>
        <v/>
      </c>
      <c r="D108" s="23">
        <f>'الموارد البشرية'!J5</f>
        <v/>
      </c>
      <c r="E108" s="26">
        <f>'الموارد البشرية'!K5</f>
        <v/>
      </c>
      <c r="F108" s="23">
        <f>'الموارد البشرية'!L5</f>
        <v/>
      </c>
      <c r="G108" s="50">
        <f>'الموارد البشرية'!N5</f>
        <v/>
      </c>
      <c r="H108" s="23">
        <f>'الموارد البشرية'!O5</f>
        <v/>
      </c>
      <c r="I108" s="28">
        <f>'الموارد البشرية'!G5</f>
        <v/>
      </c>
      <c r="J108" s="23">
        <f>IF($G108="",0,$G108*$I108)</f>
        <v/>
      </c>
      <c r="K108" s="23">
        <f>IF($G108="",0,$I108)</f>
        <v/>
      </c>
    </row>
    <row r="109">
      <c r="A109" s="23" t="n">
        <v>108</v>
      </c>
      <c r="B109" s="26" t="inlineStr">
        <is>
          <t>الموارد البشرية</t>
        </is>
      </c>
      <c r="C109" s="26">
        <f>'الموارد البشرية'!C6</f>
        <v/>
      </c>
      <c r="D109" s="23">
        <f>'الموارد البشرية'!J6</f>
        <v/>
      </c>
      <c r="E109" s="26">
        <f>'الموارد البشرية'!K6</f>
        <v/>
      </c>
      <c r="F109" s="23">
        <f>'الموارد البشرية'!L6</f>
        <v/>
      </c>
      <c r="G109" s="50">
        <f>'الموارد البشرية'!N6</f>
        <v/>
      </c>
      <c r="H109" s="23">
        <f>'الموارد البشرية'!O6</f>
        <v/>
      </c>
      <c r="I109" s="28">
        <f>'الموارد البشرية'!G6</f>
        <v/>
      </c>
      <c r="J109" s="23">
        <f>IF($G109="",0,$G109*$I109)</f>
        <v/>
      </c>
      <c r="K109" s="23">
        <f>IF($G109="",0,$I109)</f>
        <v/>
      </c>
    </row>
    <row r="110">
      <c r="A110" s="23" t="n">
        <v>109</v>
      </c>
      <c r="B110" s="26" t="inlineStr">
        <is>
          <t>الموارد البشرية</t>
        </is>
      </c>
      <c r="C110" s="26">
        <f>'الموارد البشرية'!C7</f>
        <v/>
      </c>
      <c r="D110" s="23">
        <f>'الموارد البشرية'!J7</f>
        <v/>
      </c>
      <c r="E110" s="26">
        <f>'الموارد البشرية'!K7</f>
        <v/>
      </c>
      <c r="F110" s="23">
        <f>'الموارد البشرية'!L7</f>
        <v/>
      </c>
      <c r="G110" s="50">
        <f>'الموارد البشرية'!N7</f>
        <v/>
      </c>
      <c r="H110" s="23">
        <f>'الموارد البشرية'!O7</f>
        <v/>
      </c>
      <c r="I110" s="28">
        <f>'الموارد البشرية'!G7</f>
        <v/>
      </c>
      <c r="J110" s="23">
        <f>IF($G110="",0,$G110*$I110)</f>
        <v/>
      </c>
      <c r="K110" s="23">
        <f>IF($G110="",0,$I110)</f>
        <v/>
      </c>
    </row>
    <row r="111">
      <c r="A111" s="23" t="n">
        <v>110</v>
      </c>
      <c r="B111" s="26" t="inlineStr">
        <is>
          <t>الموارد البشرية</t>
        </is>
      </c>
      <c r="C111" s="26">
        <f>'الموارد البشرية'!C8</f>
        <v/>
      </c>
      <c r="D111" s="23">
        <f>'الموارد البشرية'!J8</f>
        <v/>
      </c>
      <c r="E111" s="26">
        <f>'الموارد البشرية'!K8</f>
        <v/>
      </c>
      <c r="F111" s="23">
        <f>'الموارد البشرية'!L8</f>
        <v/>
      </c>
      <c r="G111" s="50">
        <f>'الموارد البشرية'!N8</f>
        <v/>
      </c>
      <c r="H111" s="23">
        <f>'الموارد البشرية'!O8</f>
        <v/>
      </c>
      <c r="I111" s="28">
        <f>'الموارد البشرية'!G8</f>
        <v/>
      </c>
      <c r="J111" s="23">
        <f>IF($G111="",0,$G111*$I111)</f>
        <v/>
      </c>
      <c r="K111" s="23">
        <f>IF($G111="",0,$I111)</f>
        <v/>
      </c>
    </row>
    <row r="112">
      <c r="A112" s="23" t="n">
        <v>111</v>
      </c>
      <c r="B112" s="26" t="inlineStr">
        <is>
          <t>الموارد البشرية</t>
        </is>
      </c>
      <c r="C112" s="26">
        <f>'الموارد البشرية'!C9</f>
        <v/>
      </c>
      <c r="D112" s="23">
        <f>'الموارد البشرية'!J9</f>
        <v/>
      </c>
      <c r="E112" s="26">
        <f>'الموارد البشرية'!K9</f>
        <v/>
      </c>
      <c r="F112" s="23">
        <f>'الموارد البشرية'!L9</f>
        <v/>
      </c>
      <c r="G112" s="50">
        <f>'الموارد البشرية'!N9</f>
        <v/>
      </c>
      <c r="H112" s="23">
        <f>'الموارد البشرية'!O9</f>
        <v/>
      </c>
      <c r="I112" s="28">
        <f>'الموارد البشرية'!G9</f>
        <v/>
      </c>
      <c r="J112" s="23">
        <f>IF($G112="",0,$G112*$I112)</f>
        <v/>
      </c>
      <c r="K112" s="23">
        <f>IF($G112="",0,$I112)</f>
        <v/>
      </c>
    </row>
    <row r="113">
      <c r="A113" s="23" t="n">
        <v>112</v>
      </c>
      <c r="B113" s="26" t="inlineStr">
        <is>
          <t>الموارد البشرية</t>
        </is>
      </c>
      <c r="C113" s="26">
        <f>'الموارد البشرية'!C10</f>
        <v/>
      </c>
      <c r="D113" s="23">
        <f>'الموارد البشرية'!J10</f>
        <v/>
      </c>
      <c r="E113" s="26">
        <f>'الموارد البشرية'!K10</f>
        <v/>
      </c>
      <c r="F113" s="23">
        <f>'الموارد البشرية'!L10</f>
        <v/>
      </c>
      <c r="G113" s="50">
        <f>'الموارد البشرية'!N10</f>
        <v/>
      </c>
      <c r="H113" s="23">
        <f>'الموارد البشرية'!O10</f>
        <v/>
      </c>
      <c r="I113" s="28">
        <f>'الموارد البشرية'!G10</f>
        <v/>
      </c>
      <c r="J113" s="23">
        <f>IF($G113="",0,$G113*$I113)</f>
        <v/>
      </c>
      <c r="K113" s="23">
        <f>IF($G113="",0,$I113)</f>
        <v/>
      </c>
    </row>
    <row r="114">
      <c r="A114" s="23" t="n">
        <v>113</v>
      </c>
      <c r="B114" s="26" t="inlineStr">
        <is>
          <t>الموارد البشرية</t>
        </is>
      </c>
      <c r="C114" s="26">
        <f>'الموارد البشرية'!C11</f>
        <v/>
      </c>
      <c r="D114" s="23">
        <f>'الموارد البشرية'!J11</f>
        <v/>
      </c>
      <c r="E114" s="26">
        <f>'الموارد البشرية'!K11</f>
        <v/>
      </c>
      <c r="F114" s="23">
        <f>'الموارد البشرية'!L11</f>
        <v/>
      </c>
      <c r="G114" s="50">
        <f>'الموارد البشرية'!N11</f>
        <v/>
      </c>
      <c r="H114" s="23">
        <f>'الموارد البشرية'!O11</f>
        <v/>
      </c>
      <c r="I114" s="28">
        <f>'الموارد البشرية'!G11</f>
        <v/>
      </c>
      <c r="J114" s="23">
        <f>IF($G114="",0,$G114*$I114)</f>
        <v/>
      </c>
      <c r="K114" s="23">
        <f>IF($G114="",0,$I114)</f>
        <v/>
      </c>
    </row>
    <row r="115">
      <c r="A115" s="23" t="n">
        <v>114</v>
      </c>
      <c r="B115" s="26" t="inlineStr">
        <is>
          <t>الموارد البشرية</t>
        </is>
      </c>
      <c r="C115" s="26">
        <f>'الموارد البشرية'!C12</f>
        <v/>
      </c>
      <c r="D115" s="23">
        <f>'الموارد البشرية'!J12</f>
        <v/>
      </c>
      <c r="E115" s="26">
        <f>'الموارد البشرية'!K12</f>
        <v/>
      </c>
      <c r="F115" s="23">
        <f>'الموارد البشرية'!L12</f>
        <v/>
      </c>
      <c r="G115" s="50">
        <f>'الموارد البشرية'!N12</f>
        <v/>
      </c>
      <c r="H115" s="23">
        <f>'الموارد البشرية'!O12</f>
        <v/>
      </c>
      <c r="I115" s="28">
        <f>'الموارد البشرية'!G12</f>
        <v/>
      </c>
      <c r="J115" s="23">
        <f>IF($G115="",0,$G115*$I115)</f>
        <v/>
      </c>
      <c r="K115" s="23">
        <f>IF($G115="",0,$I115)</f>
        <v/>
      </c>
    </row>
    <row r="116">
      <c r="A116" s="23" t="n">
        <v>115</v>
      </c>
      <c r="B116" s="26" t="inlineStr">
        <is>
          <t>الموارد البشرية</t>
        </is>
      </c>
      <c r="C116" s="26">
        <f>'الموارد البشرية'!C13</f>
        <v/>
      </c>
      <c r="D116" s="23">
        <f>'الموارد البشرية'!J13</f>
        <v/>
      </c>
      <c r="E116" s="26">
        <f>'الموارد البشرية'!K13</f>
        <v/>
      </c>
      <c r="F116" s="23">
        <f>'الموارد البشرية'!L13</f>
        <v/>
      </c>
      <c r="G116" s="50">
        <f>'الموارد البشرية'!N13</f>
        <v/>
      </c>
      <c r="H116" s="23">
        <f>'الموارد البشرية'!O13</f>
        <v/>
      </c>
      <c r="I116" s="28">
        <f>'الموارد البشرية'!G13</f>
        <v/>
      </c>
      <c r="J116" s="23">
        <f>IF($G116="",0,$G116*$I116)</f>
        <v/>
      </c>
      <c r="K116" s="23">
        <f>IF($G116="",0,$I116)</f>
        <v/>
      </c>
    </row>
    <row r="117">
      <c r="A117" s="23" t="n">
        <v>116</v>
      </c>
      <c r="B117" s="26" t="inlineStr">
        <is>
          <t>الموارد البشرية</t>
        </is>
      </c>
      <c r="C117" s="26">
        <f>'الموارد البشرية'!C14</f>
        <v/>
      </c>
      <c r="D117" s="23">
        <f>'الموارد البشرية'!J14</f>
        <v/>
      </c>
      <c r="E117" s="26">
        <f>'الموارد البشرية'!K14</f>
        <v/>
      </c>
      <c r="F117" s="23">
        <f>'الموارد البشرية'!L14</f>
        <v/>
      </c>
      <c r="G117" s="50">
        <f>'الموارد البشرية'!N14</f>
        <v/>
      </c>
      <c r="H117" s="23">
        <f>'الموارد البشرية'!O14</f>
        <v/>
      </c>
      <c r="I117" s="28">
        <f>'الموارد البشرية'!G14</f>
        <v/>
      </c>
      <c r="J117" s="23">
        <f>IF($G117="",0,$G117*$I117)</f>
        <v/>
      </c>
      <c r="K117" s="23">
        <f>IF($G117="",0,$I117)</f>
        <v/>
      </c>
    </row>
    <row r="118">
      <c r="A118" s="23" t="n">
        <v>117</v>
      </c>
      <c r="B118" s="26" t="inlineStr">
        <is>
          <t>الموارد البشرية</t>
        </is>
      </c>
      <c r="C118" s="26">
        <f>'الموارد البشرية'!C15</f>
        <v/>
      </c>
      <c r="D118" s="23">
        <f>'الموارد البشرية'!J15</f>
        <v/>
      </c>
      <c r="E118" s="26">
        <f>'الموارد البشرية'!K15</f>
        <v/>
      </c>
      <c r="F118" s="23">
        <f>'الموارد البشرية'!L15</f>
        <v/>
      </c>
      <c r="G118" s="50">
        <f>'الموارد البشرية'!N15</f>
        <v/>
      </c>
      <c r="H118" s="23">
        <f>'الموارد البشرية'!O15</f>
        <v/>
      </c>
      <c r="I118" s="28">
        <f>'الموارد البشرية'!G15</f>
        <v/>
      </c>
      <c r="J118" s="23">
        <f>IF($G118="",0,$G118*$I118)</f>
        <v/>
      </c>
      <c r="K118" s="23">
        <f>IF($G118="",0,$I118)</f>
        <v/>
      </c>
    </row>
    <row r="119">
      <c r="A119" s="23" t="n">
        <v>118</v>
      </c>
      <c r="B119" s="26" t="inlineStr">
        <is>
          <t>الموارد البشرية</t>
        </is>
      </c>
      <c r="C119" s="26">
        <f>'الموارد البشرية'!C16</f>
        <v/>
      </c>
      <c r="D119" s="23">
        <f>'الموارد البشرية'!J16</f>
        <v/>
      </c>
      <c r="E119" s="26">
        <f>'الموارد البشرية'!K16</f>
        <v/>
      </c>
      <c r="F119" s="23">
        <f>'الموارد البشرية'!L16</f>
        <v/>
      </c>
      <c r="G119" s="50">
        <f>'الموارد البشرية'!N16</f>
        <v/>
      </c>
      <c r="H119" s="23">
        <f>'الموارد البشرية'!O16</f>
        <v/>
      </c>
      <c r="I119" s="28">
        <f>'الموارد البشرية'!G16</f>
        <v/>
      </c>
      <c r="J119" s="23">
        <f>IF($G119="",0,$G119*$I119)</f>
        <v/>
      </c>
      <c r="K119" s="23">
        <f>IF($G119="",0,$I119)</f>
        <v/>
      </c>
    </row>
    <row r="120">
      <c r="A120" s="23" t="n">
        <v>119</v>
      </c>
      <c r="B120" s="26" t="inlineStr">
        <is>
          <t>الموارد البشرية</t>
        </is>
      </c>
      <c r="C120" s="26">
        <f>'الموارد البشرية'!C17</f>
        <v/>
      </c>
      <c r="D120" s="23">
        <f>'الموارد البشرية'!J17</f>
        <v/>
      </c>
      <c r="E120" s="26">
        <f>'الموارد البشرية'!K17</f>
        <v/>
      </c>
      <c r="F120" s="23">
        <f>'الموارد البشرية'!L17</f>
        <v/>
      </c>
      <c r="G120" s="50">
        <f>'الموارد البشرية'!N17</f>
        <v/>
      </c>
      <c r="H120" s="23">
        <f>'الموارد البشرية'!O17</f>
        <v/>
      </c>
      <c r="I120" s="28">
        <f>'الموارد البشرية'!G17</f>
        <v/>
      </c>
      <c r="J120" s="23">
        <f>IF($G120="",0,$G120*$I120)</f>
        <v/>
      </c>
      <c r="K120" s="23">
        <f>IF($G120="",0,$I120)</f>
        <v/>
      </c>
    </row>
    <row r="121">
      <c r="A121" s="23" t="n">
        <v>120</v>
      </c>
      <c r="B121" s="26" t="inlineStr">
        <is>
          <t>الموارد البشرية</t>
        </is>
      </c>
      <c r="C121" s="26">
        <f>'الموارد البشرية'!C18</f>
        <v/>
      </c>
      <c r="D121" s="23">
        <f>'الموارد البشرية'!J18</f>
        <v/>
      </c>
      <c r="E121" s="26">
        <f>'الموارد البشرية'!K18</f>
        <v/>
      </c>
      <c r="F121" s="23">
        <f>'الموارد البشرية'!L18</f>
        <v/>
      </c>
      <c r="G121" s="50">
        <f>'الموارد البشرية'!N18</f>
        <v/>
      </c>
      <c r="H121" s="23">
        <f>'الموارد البشرية'!O18</f>
        <v/>
      </c>
      <c r="I121" s="28">
        <f>'الموارد البشرية'!G18</f>
        <v/>
      </c>
      <c r="J121" s="23">
        <f>IF($G121="",0,$G121*$I121)</f>
        <v/>
      </c>
      <c r="K121" s="23">
        <f>IF($G121="",0,$I121)</f>
        <v/>
      </c>
    </row>
    <row r="122">
      <c r="A122" s="23" t="n">
        <v>121</v>
      </c>
      <c r="B122" s="26" t="inlineStr">
        <is>
          <t>الموارد البشرية</t>
        </is>
      </c>
      <c r="C122" s="26">
        <f>'الموارد البشرية'!C19</f>
        <v/>
      </c>
      <c r="D122" s="23">
        <f>'الموارد البشرية'!J19</f>
        <v/>
      </c>
      <c r="E122" s="26">
        <f>'الموارد البشرية'!K19</f>
        <v/>
      </c>
      <c r="F122" s="23">
        <f>'الموارد البشرية'!L19</f>
        <v/>
      </c>
      <c r="G122" s="50">
        <f>'الموارد البشرية'!N19</f>
        <v/>
      </c>
      <c r="H122" s="23">
        <f>'الموارد البشرية'!O19</f>
        <v/>
      </c>
      <c r="I122" s="28">
        <f>'الموارد البشرية'!G19</f>
        <v/>
      </c>
      <c r="J122" s="23">
        <f>IF($G122="",0,$G122*$I122)</f>
        <v/>
      </c>
      <c r="K122" s="23">
        <f>IF($G122="",0,$I122)</f>
        <v/>
      </c>
    </row>
    <row r="123">
      <c r="A123" s="23" t="n">
        <v>122</v>
      </c>
      <c r="B123" s="26" t="inlineStr">
        <is>
          <t>الموارد البشرية</t>
        </is>
      </c>
      <c r="C123" s="26">
        <f>'الموارد البشرية'!C20</f>
        <v/>
      </c>
      <c r="D123" s="23">
        <f>'الموارد البشرية'!J20</f>
        <v/>
      </c>
      <c r="E123" s="26">
        <f>'الموارد البشرية'!K20</f>
        <v/>
      </c>
      <c r="F123" s="23">
        <f>'الموارد البشرية'!L20</f>
        <v/>
      </c>
      <c r="G123" s="50">
        <f>'الموارد البشرية'!N20</f>
        <v/>
      </c>
      <c r="H123" s="23">
        <f>'الموارد البشرية'!O20</f>
        <v/>
      </c>
      <c r="I123" s="28">
        <f>'الموارد البشرية'!G20</f>
        <v/>
      </c>
      <c r="J123" s="23">
        <f>IF($G123="",0,$G123*$I123)</f>
        <v/>
      </c>
      <c r="K123" s="23">
        <f>IF($G123="",0,$I123)</f>
        <v/>
      </c>
    </row>
    <row r="124">
      <c r="A124" s="23" t="n">
        <v>123</v>
      </c>
      <c r="B124" s="26" t="inlineStr">
        <is>
          <t>التسويق</t>
        </is>
      </c>
      <c r="C124" s="26">
        <f>'التسويق'!C4</f>
        <v/>
      </c>
      <c r="D124" s="23">
        <f>'التسويق'!J4</f>
        <v/>
      </c>
      <c r="E124" s="26">
        <f>'التسويق'!K4</f>
        <v/>
      </c>
      <c r="F124" s="23">
        <f>'التسويق'!L4</f>
        <v/>
      </c>
      <c r="G124" s="50">
        <f>'التسويق'!N4</f>
        <v/>
      </c>
      <c r="H124" s="23">
        <f>'التسويق'!O4</f>
        <v/>
      </c>
      <c r="I124" s="28">
        <f>'التسويق'!G4</f>
        <v/>
      </c>
      <c r="J124" s="23">
        <f>IF($G124="",0,$G124*$I124)</f>
        <v/>
      </c>
      <c r="K124" s="23">
        <f>IF($G124="",0,$I124)</f>
        <v/>
      </c>
    </row>
    <row r="125">
      <c r="A125" s="23" t="n">
        <v>124</v>
      </c>
      <c r="B125" s="26" t="inlineStr">
        <is>
          <t>التسويق</t>
        </is>
      </c>
      <c r="C125" s="26">
        <f>'التسويق'!C5</f>
        <v/>
      </c>
      <c r="D125" s="23">
        <f>'التسويق'!J5</f>
        <v/>
      </c>
      <c r="E125" s="26">
        <f>'التسويق'!K5</f>
        <v/>
      </c>
      <c r="F125" s="23">
        <f>'التسويق'!L5</f>
        <v/>
      </c>
      <c r="G125" s="50">
        <f>'التسويق'!N5</f>
        <v/>
      </c>
      <c r="H125" s="23">
        <f>'التسويق'!O5</f>
        <v/>
      </c>
      <c r="I125" s="28">
        <f>'التسويق'!G5</f>
        <v/>
      </c>
      <c r="J125" s="23">
        <f>IF($G125="",0,$G125*$I125)</f>
        <v/>
      </c>
      <c r="K125" s="23">
        <f>IF($G125="",0,$I125)</f>
        <v/>
      </c>
    </row>
    <row r="126">
      <c r="A126" s="23" t="n">
        <v>125</v>
      </c>
      <c r="B126" s="26" t="inlineStr">
        <is>
          <t>التسويق</t>
        </is>
      </c>
      <c r="C126" s="26">
        <f>'التسويق'!C6</f>
        <v/>
      </c>
      <c r="D126" s="23">
        <f>'التسويق'!J6</f>
        <v/>
      </c>
      <c r="E126" s="26">
        <f>'التسويق'!K6</f>
        <v/>
      </c>
      <c r="F126" s="23">
        <f>'التسويق'!L6</f>
        <v/>
      </c>
      <c r="G126" s="50">
        <f>'التسويق'!N6</f>
        <v/>
      </c>
      <c r="H126" s="23">
        <f>'التسويق'!O6</f>
        <v/>
      </c>
      <c r="I126" s="28">
        <f>'التسويق'!G6</f>
        <v/>
      </c>
      <c r="J126" s="23">
        <f>IF($G126="",0,$G126*$I126)</f>
        <v/>
      </c>
      <c r="K126" s="23">
        <f>IF($G126="",0,$I126)</f>
        <v/>
      </c>
    </row>
    <row r="127">
      <c r="A127" s="23" t="n">
        <v>126</v>
      </c>
      <c r="B127" s="26" t="inlineStr">
        <is>
          <t>التسويق</t>
        </is>
      </c>
      <c r="C127" s="26">
        <f>'التسويق'!C7</f>
        <v/>
      </c>
      <c r="D127" s="23">
        <f>'التسويق'!J7</f>
        <v/>
      </c>
      <c r="E127" s="26">
        <f>'التسويق'!K7</f>
        <v/>
      </c>
      <c r="F127" s="23">
        <f>'التسويق'!L7</f>
        <v/>
      </c>
      <c r="G127" s="50">
        <f>'التسويق'!N7</f>
        <v/>
      </c>
      <c r="H127" s="23">
        <f>'التسويق'!O7</f>
        <v/>
      </c>
      <c r="I127" s="28">
        <f>'التسويق'!G7</f>
        <v/>
      </c>
      <c r="J127" s="23">
        <f>IF($G127="",0,$G127*$I127)</f>
        <v/>
      </c>
      <c r="K127" s="23">
        <f>IF($G127="",0,$I127)</f>
        <v/>
      </c>
    </row>
    <row r="128">
      <c r="A128" s="23" t="n">
        <v>127</v>
      </c>
      <c r="B128" s="26" t="inlineStr">
        <is>
          <t>التسويق</t>
        </is>
      </c>
      <c r="C128" s="26">
        <f>'التسويق'!C8</f>
        <v/>
      </c>
      <c r="D128" s="23">
        <f>'التسويق'!J8</f>
        <v/>
      </c>
      <c r="E128" s="26">
        <f>'التسويق'!K8</f>
        <v/>
      </c>
      <c r="F128" s="23">
        <f>'التسويق'!L8</f>
        <v/>
      </c>
      <c r="G128" s="50">
        <f>'التسويق'!N8</f>
        <v/>
      </c>
      <c r="H128" s="23">
        <f>'التسويق'!O8</f>
        <v/>
      </c>
      <c r="I128" s="28">
        <f>'التسويق'!G8</f>
        <v/>
      </c>
      <c r="J128" s="23">
        <f>IF($G128="",0,$G128*$I128)</f>
        <v/>
      </c>
      <c r="K128" s="23">
        <f>IF($G128="",0,$I128)</f>
        <v/>
      </c>
    </row>
    <row r="129">
      <c r="A129" s="23" t="n">
        <v>128</v>
      </c>
      <c r="B129" s="26" t="inlineStr">
        <is>
          <t>التسويق</t>
        </is>
      </c>
      <c r="C129" s="26">
        <f>'التسويق'!C9</f>
        <v/>
      </c>
      <c r="D129" s="23">
        <f>'التسويق'!J9</f>
        <v/>
      </c>
      <c r="E129" s="26">
        <f>'التسويق'!K9</f>
        <v/>
      </c>
      <c r="F129" s="23">
        <f>'التسويق'!L9</f>
        <v/>
      </c>
      <c r="G129" s="50">
        <f>'التسويق'!N9</f>
        <v/>
      </c>
      <c r="H129" s="23">
        <f>'التسويق'!O9</f>
        <v/>
      </c>
      <c r="I129" s="28">
        <f>'التسويق'!G9</f>
        <v/>
      </c>
      <c r="J129" s="23">
        <f>IF($G129="",0,$G129*$I129)</f>
        <v/>
      </c>
      <c r="K129" s="23">
        <f>IF($G129="",0,$I129)</f>
        <v/>
      </c>
    </row>
    <row r="130">
      <c r="A130" s="23" t="n">
        <v>129</v>
      </c>
      <c r="B130" s="26" t="inlineStr">
        <is>
          <t>التسويق</t>
        </is>
      </c>
      <c r="C130" s="26">
        <f>'التسويق'!C10</f>
        <v/>
      </c>
      <c r="D130" s="23">
        <f>'التسويق'!J10</f>
        <v/>
      </c>
      <c r="E130" s="26">
        <f>'التسويق'!K10</f>
        <v/>
      </c>
      <c r="F130" s="23">
        <f>'التسويق'!L10</f>
        <v/>
      </c>
      <c r="G130" s="50">
        <f>'التسويق'!N10</f>
        <v/>
      </c>
      <c r="H130" s="23">
        <f>'التسويق'!O10</f>
        <v/>
      </c>
      <c r="I130" s="28">
        <f>'التسويق'!G10</f>
        <v/>
      </c>
      <c r="J130" s="23">
        <f>IF($G130="",0,$G130*$I130)</f>
        <v/>
      </c>
      <c r="K130" s="23">
        <f>IF($G130="",0,$I130)</f>
        <v/>
      </c>
    </row>
    <row r="131">
      <c r="A131" s="23" t="n">
        <v>130</v>
      </c>
      <c r="B131" s="26" t="inlineStr">
        <is>
          <t>التسويق</t>
        </is>
      </c>
      <c r="C131" s="26">
        <f>'التسويق'!C11</f>
        <v/>
      </c>
      <c r="D131" s="23">
        <f>'التسويق'!J11</f>
        <v/>
      </c>
      <c r="E131" s="26">
        <f>'التسويق'!K11</f>
        <v/>
      </c>
      <c r="F131" s="23">
        <f>'التسويق'!L11</f>
        <v/>
      </c>
      <c r="G131" s="50">
        <f>'التسويق'!N11</f>
        <v/>
      </c>
      <c r="H131" s="23">
        <f>'التسويق'!O11</f>
        <v/>
      </c>
      <c r="I131" s="28">
        <f>'التسويق'!G11</f>
        <v/>
      </c>
      <c r="J131" s="23">
        <f>IF($G131="",0,$G131*$I131)</f>
        <v/>
      </c>
      <c r="K131" s="23">
        <f>IF($G131="",0,$I131)</f>
        <v/>
      </c>
    </row>
    <row r="132">
      <c r="A132" s="23" t="n">
        <v>131</v>
      </c>
      <c r="B132" s="26" t="inlineStr">
        <is>
          <t>التسويق</t>
        </is>
      </c>
      <c r="C132" s="26">
        <f>'التسويق'!C12</f>
        <v/>
      </c>
      <c r="D132" s="23">
        <f>'التسويق'!J12</f>
        <v/>
      </c>
      <c r="E132" s="26">
        <f>'التسويق'!K12</f>
        <v/>
      </c>
      <c r="F132" s="23">
        <f>'التسويق'!L12</f>
        <v/>
      </c>
      <c r="G132" s="50">
        <f>'التسويق'!N12</f>
        <v/>
      </c>
      <c r="H132" s="23">
        <f>'التسويق'!O12</f>
        <v/>
      </c>
      <c r="I132" s="28">
        <f>'التسويق'!G12</f>
        <v/>
      </c>
      <c r="J132" s="23">
        <f>IF($G132="",0,$G132*$I132)</f>
        <v/>
      </c>
      <c r="K132" s="23">
        <f>IF($G132="",0,$I132)</f>
        <v/>
      </c>
    </row>
    <row r="133">
      <c r="A133" s="23" t="n">
        <v>132</v>
      </c>
      <c r="B133" s="26" t="inlineStr">
        <is>
          <t>التسويق</t>
        </is>
      </c>
      <c r="C133" s="26">
        <f>'التسويق'!C13</f>
        <v/>
      </c>
      <c r="D133" s="23">
        <f>'التسويق'!J13</f>
        <v/>
      </c>
      <c r="E133" s="26">
        <f>'التسويق'!K13</f>
        <v/>
      </c>
      <c r="F133" s="23">
        <f>'التسويق'!L13</f>
        <v/>
      </c>
      <c r="G133" s="50">
        <f>'التسويق'!N13</f>
        <v/>
      </c>
      <c r="H133" s="23">
        <f>'التسويق'!O13</f>
        <v/>
      </c>
      <c r="I133" s="28">
        <f>'التسويق'!G13</f>
        <v/>
      </c>
      <c r="J133" s="23">
        <f>IF($G133="",0,$G133*$I133)</f>
        <v/>
      </c>
      <c r="K133" s="23">
        <f>IF($G133="",0,$I133)</f>
        <v/>
      </c>
    </row>
    <row r="134">
      <c r="A134" s="23" t="n">
        <v>133</v>
      </c>
      <c r="B134" s="26" t="inlineStr">
        <is>
          <t>التسويق</t>
        </is>
      </c>
      <c r="C134" s="26">
        <f>'التسويق'!C14</f>
        <v/>
      </c>
      <c r="D134" s="23">
        <f>'التسويق'!J14</f>
        <v/>
      </c>
      <c r="E134" s="26">
        <f>'التسويق'!K14</f>
        <v/>
      </c>
      <c r="F134" s="23">
        <f>'التسويق'!L14</f>
        <v/>
      </c>
      <c r="G134" s="50">
        <f>'التسويق'!N14</f>
        <v/>
      </c>
      <c r="H134" s="23">
        <f>'التسويق'!O14</f>
        <v/>
      </c>
      <c r="I134" s="28">
        <f>'التسويق'!G14</f>
        <v/>
      </c>
      <c r="J134" s="23">
        <f>IF($G134="",0,$G134*$I134)</f>
        <v/>
      </c>
      <c r="K134" s="23">
        <f>IF($G134="",0,$I134)</f>
        <v/>
      </c>
    </row>
    <row r="135">
      <c r="A135" s="23" t="n">
        <v>134</v>
      </c>
      <c r="B135" s="26" t="inlineStr">
        <is>
          <t>التسويق</t>
        </is>
      </c>
      <c r="C135" s="26">
        <f>'التسويق'!C15</f>
        <v/>
      </c>
      <c r="D135" s="23">
        <f>'التسويق'!J15</f>
        <v/>
      </c>
      <c r="E135" s="26">
        <f>'التسويق'!K15</f>
        <v/>
      </c>
      <c r="F135" s="23">
        <f>'التسويق'!L15</f>
        <v/>
      </c>
      <c r="G135" s="50">
        <f>'التسويق'!N15</f>
        <v/>
      </c>
      <c r="H135" s="23">
        <f>'التسويق'!O15</f>
        <v/>
      </c>
      <c r="I135" s="28">
        <f>'التسويق'!G15</f>
        <v/>
      </c>
      <c r="J135" s="23">
        <f>IF($G135="",0,$G135*$I135)</f>
        <v/>
      </c>
      <c r="K135" s="23">
        <f>IF($G135="",0,$I135)</f>
        <v/>
      </c>
    </row>
    <row r="136">
      <c r="A136" s="23" t="n">
        <v>135</v>
      </c>
      <c r="B136" s="26" t="inlineStr">
        <is>
          <t>التسويق</t>
        </is>
      </c>
      <c r="C136" s="26">
        <f>'التسويق'!C16</f>
        <v/>
      </c>
      <c r="D136" s="23">
        <f>'التسويق'!J16</f>
        <v/>
      </c>
      <c r="E136" s="26">
        <f>'التسويق'!K16</f>
        <v/>
      </c>
      <c r="F136" s="23">
        <f>'التسويق'!L16</f>
        <v/>
      </c>
      <c r="G136" s="50">
        <f>'التسويق'!N16</f>
        <v/>
      </c>
      <c r="H136" s="23">
        <f>'التسويق'!O16</f>
        <v/>
      </c>
      <c r="I136" s="28">
        <f>'التسويق'!G16</f>
        <v/>
      </c>
      <c r="J136" s="23">
        <f>IF($G136="",0,$G136*$I136)</f>
        <v/>
      </c>
      <c r="K136" s="23">
        <f>IF($G136="",0,$I136)</f>
        <v/>
      </c>
    </row>
    <row r="137">
      <c r="A137" s="23" t="n">
        <v>136</v>
      </c>
      <c r="B137" s="26" t="inlineStr">
        <is>
          <t>التسويق</t>
        </is>
      </c>
      <c r="C137" s="26">
        <f>'التسويق'!C17</f>
        <v/>
      </c>
      <c r="D137" s="23">
        <f>'التسويق'!J17</f>
        <v/>
      </c>
      <c r="E137" s="26">
        <f>'التسويق'!K17</f>
        <v/>
      </c>
      <c r="F137" s="23">
        <f>'التسويق'!L17</f>
        <v/>
      </c>
      <c r="G137" s="50">
        <f>'التسويق'!N17</f>
        <v/>
      </c>
      <c r="H137" s="23">
        <f>'التسويق'!O17</f>
        <v/>
      </c>
      <c r="I137" s="28">
        <f>'التسويق'!G17</f>
        <v/>
      </c>
      <c r="J137" s="23">
        <f>IF($G137="",0,$G137*$I137)</f>
        <v/>
      </c>
      <c r="K137" s="23">
        <f>IF($G137="",0,$I137)</f>
        <v/>
      </c>
    </row>
    <row r="138">
      <c r="A138" s="23" t="n">
        <v>137</v>
      </c>
      <c r="B138" s="26" t="inlineStr">
        <is>
          <t>التسويق</t>
        </is>
      </c>
      <c r="C138" s="26">
        <f>'التسويق'!C18</f>
        <v/>
      </c>
      <c r="D138" s="23">
        <f>'التسويق'!J18</f>
        <v/>
      </c>
      <c r="E138" s="26">
        <f>'التسويق'!K18</f>
        <v/>
      </c>
      <c r="F138" s="23">
        <f>'التسويق'!L18</f>
        <v/>
      </c>
      <c r="G138" s="50">
        <f>'التسويق'!N18</f>
        <v/>
      </c>
      <c r="H138" s="23">
        <f>'التسويق'!O18</f>
        <v/>
      </c>
      <c r="I138" s="28">
        <f>'التسويق'!G18</f>
        <v/>
      </c>
      <c r="J138" s="23">
        <f>IF($G138="",0,$G138*$I138)</f>
        <v/>
      </c>
      <c r="K138" s="23">
        <f>IF($G138="",0,$I138)</f>
        <v/>
      </c>
    </row>
    <row r="139">
      <c r="A139" s="23" t="n">
        <v>138</v>
      </c>
      <c r="B139" s="26" t="inlineStr">
        <is>
          <t>الجودة</t>
        </is>
      </c>
      <c r="C139" s="26">
        <f>'الجودة'!C4</f>
        <v/>
      </c>
      <c r="D139" s="23">
        <f>'الجودة'!J4</f>
        <v/>
      </c>
      <c r="E139" s="26">
        <f>'الجودة'!K4</f>
        <v/>
      </c>
      <c r="F139" s="23">
        <f>'الجودة'!L4</f>
        <v/>
      </c>
      <c r="G139" s="50">
        <f>'الجودة'!N4</f>
        <v/>
      </c>
      <c r="H139" s="23">
        <f>'الجودة'!O4</f>
        <v/>
      </c>
      <c r="I139" s="28">
        <f>'الجودة'!G4</f>
        <v/>
      </c>
      <c r="J139" s="23">
        <f>IF($G139="",0,$G139*$I139)</f>
        <v/>
      </c>
      <c r="K139" s="23">
        <f>IF($G139="",0,$I139)</f>
        <v/>
      </c>
    </row>
    <row r="140">
      <c r="A140" s="23" t="n">
        <v>139</v>
      </c>
      <c r="B140" s="26" t="inlineStr">
        <is>
          <t>الجودة</t>
        </is>
      </c>
      <c r="C140" s="26">
        <f>'الجودة'!C5</f>
        <v/>
      </c>
      <c r="D140" s="23">
        <f>'الجودة'!J5</f>
        <v/>
      </c>
      <c r="E140" s="26">
        <f>'الجودة'!K5</f>
        <v/>
      </c>
      <c r="F140" s="23">
        <f>'الجودة'!L5</f>
        <v/>
      </c>
      <c r="G140" s="50">
        <f>'الجودة'!N5</f>
        <v/>
      </c>
      <c r="H140" s="23">
        <f>'الجودة'!O5</f>
        <v/>
      </c>
      <c r="I140" s="28">
        <f>'الجودة'!G5</f>
        <v/>
      </c>
      <c r="J140" s="23">
        <f>IF($G140="",0,$G140*$I140)</f>
        <v/>
      </c>
      <c r="K140" s="23">
        <f>IF($G140="",0,$I140)</f>
        <v/>
      </c>
    </row>
    <row r="141">
      <c r="A141" s="23" t="n">
        <v>140</v>
      </c>
      <c r="B141" s="26" t="inlineStr">
        <is>
          <t>الجودة</t>
        </is>
      </c>
      <c r="C141" s="26">
        <f>'الجودة'!C6</f>
        <v/>
      </c>
      <c r="D141" s="23">
        <f>'الجودة'!J6</f>
        <v/>
      </c>
      <c r="E141" s="26">
        <f>'الجودة'!K6</f>
        <v/>
      </c>
      <c r="F141" s="23">
        <f>'الجودة'!L6</f>
        <v/>
      </c>
      <c r="G141" s="50">
        <f>'الجودة'!N6</f>
        <v/>
      </c>
      <c r="H141" s="23">
        <f>'الجودة'!O6</f>
        <v/>
      </c>
      <c r="I141" s="28">
        <f>'الجودة'!G6</f>
        <v/>
      </c>
      <c r="J141" s="23">
        <f>IF($G141="",0,$G141*$I141)</f>
        <v/>
      </c>
      <c r="K141" s="23">
        <f>IF($G141="",0,$I141)</f>
        <v/>
      </c>
    </row>
    <row r="142">
      <c r="A142" s="23" t="n">
        <v>141</v>
      </c>
      <c r="B142" s="26" t="inlineStr">
        <is>
          <t>الجودة</t>
        </is>
      </c>
      <c r="C142" s="26">
        <f>'الجودة'!C7</f>
        <v/>
      </c>
      <c r="D142" s="23">
        <f>'الجودة'!J7</f>
        <v/>
      </c>
      <c r="E142" s="26">
        <f>'الجودة'!K7</f>
        <v/>
      </c>
      <c r="F142" s="23">
        <f>'الجودة'!L7</f>
        <v/>
      </c>
      <c r="G142" s="50">
        <f>'الجودة'!N7</f>
        <v/>
      </c>
      <c r="H142" s="23">
        <f>'الجودة'!O7</f>
        <v/>
      </c>
      <c r="I142" s="28">
        <f>'الجودة'!G7</f>
        <v/>
      </c>
      <c r="J142" s="23">
        <f>IF($G142="",0,$G142*$I142)</f>
        <v/>
      </c>
      <c r="K142" s="23">
        <f>IF($G142="",0,$I142)</f>
        <v/>
      </c>
    </row>
    <row r="143">
      <c r="A143" s="23" t="n">
        <v>142</v>
      </c>
      <c r="B143" s="26" t="inlineStr">
        <is>
          <t>الجودة</t>
        </is>
      </c>
      <c r="C143" s="26">
        <f>'الجودة'!C8</f>
        <v/>
      </c>
      <c r="D143" s="23">
        <f>'الجودة'!J8</f>
        <v/>
      </c>
      <c r="E143" s="26">
        <f>'الجودة'!K8</f>
        <v/>
      </c>
      <c r="F143" s="23">
        <f>'الجودة'!L8</f>
        <v/>
      </c>
      <c r="G143" s="50">
        <f>'الجودة'!N8</f>
        <v/>
      </c>
      <c r="H143" s="23">
        <f>'الجودة'!O8</f>
        <v/>
      </c>
      <c r="I143" s="28">
        <f>'الجودة'!G8</f>
        <v/>
      </c>
      <c r="J143" s="23">
        <f>IF($G143="",0,$G143*$I143)</f>
        <v/>
      </c>
      <c r="K143" s="23">
        <f>IF($G143="",0,$I143)</f>
        <v/>
      </c>
    </row>
    <row r="144">
      <c r="A144" s="23" t="n">
        <v>143</v>
      </c>
      <c r="B144" s="26" t="inlineStr">
        <is>
          <t>الجودة</t>
        </is>
      </c>
      <c r="C144" s="26">
        <f>'الجودة'!C9</f>
        <v/>
      </c>
      <c r="D144" s="23">
        <f>'الجودة'!J9</f>
        <v/>
      </c>
      <c r="E144" s="26">
        <f>'الجودة'!K9</f>
        <v/>
      </c>
      <c r="F144" s="23">
        <f>'الجودة'!L9</f>
        <v/>
      </c>
      <c r="G144" s="50">
        <f>'الجودة'!N9</f>
        <v/>
      </c>
      <c r="H144" s="23">
        <f>'الجودة'!O9</f>
        <v/>
      </c>
      <c r="I144" s="28">
        <f>'الجودة'!G9</f>
        <v/>
      </c>
      <c r="J144" s="23">
        <f>IF($G144="",0,$G144*$I144)</f>
        <v/>
      </c>
      <c r="K144" s="23">
        <f>IF($G144="",0,$I144)</f>
        <v/>
      </c>
    </row>
    <row r="145">
      <c r="A145" s="23" t="n">
        <v>144</v>
      </c>
      <c r="B145" s="26" t="inlineStr">
        <is>
          <t>الجودة</t>
        </is>
      </c>
      <c r="C145" s="26">
        <f>'الجودة'!C10</f>
        <v/>
      </c>
      <c r="D145" s="23">
        <f>'الجودة'!J10</f>
        <v/>
      </c>
      <c r="E145" s="26">
        <f>'الجودة'!K10</f>
        <v/>
      </c>
      <c r="F145" s="23">
        <f>'الجودة'!L10</f>
        <v/>
      </c>
      <c r="G145" s="50">
        <f>'الجودة'!N10</f>
        <v/>
      </c>
      <c r="H145" s="23">
        <f>'الجودة'!O10</f>
        <v/>
      </c>
      <c r="I145" s="28">
        <f>'الجودة'!G10</f>
        <v/>
      </c>
      <c r="J145" s="23">
        <f>IF($G145="",0,$G145*$I145)</f>
        <v/>
      </c>
      <c r="K145" s="23">
        <f>IF($G145="",0,$I145)</f>
        <v/>
      </c>
    </row>
    <row r="146">
      <c r="A146" s="23" t="n">
        <v>145</v>
      </c>
      <c r="B146" s="26" t="inlineStr">
        <is>
          <t>الجودة</t>
        </is>
      </c>
      <c r="C146" s="26">
        <f>'الجودة'!C11</f>
        <v/>
      </c>
      <c r="D146" s="23">
        <f>'الجودة'!J11</f>
        <v/>
      </c>
      <c r="E146" s="26">
        <f>'الجودة'!K11</f>
        <v/>
      </c>
      <c r="F146" s="23">
        <f>'الجودة'!L11</f>
        <v/>
      </c>
      <c r="G146" s="50">
        <f>'الجودة'!N11</f>
        <v/>
      </c>
      <c r="H146" s="23">
        <f>'الجودة'!O11</f>
        <v/>
      </c>
      <c r="I146" s="28">
        <f>'الجودة'!G11</f>
        <v/>
      </c>
      <c r="J146" s="23">
        <f>IF($G146="",0,$G146*$I146)</f>
        <v/>
      </c>
      <c r="K146" s="23">
        <f>IF($G146="",0,$I146)</f>
        <v/>
      </c>
    </row>
    <row r="147">
      <c r="A147" s="23" t="n">
        <v>146</v>
      </c>
      <c r="B147" s="26" t="inlineStr">
        <is>
          <t>الجودة</t>
        </is>
      </c>
      <c r="C147" s="26">
        <f>'الجودة'!C12</f>
        <v/>
      </c>
      <c r="D147" s="23">
        <f>'الجودة'!J12</f>
        <v/>
      </c>
      <c r="E147" s="26">
        <f>'الجودة'!K12</f>
        <v/>
      </c>
      <c r="F147" s="23">
        <f>'الجودة'!L12</f>
        <v/>
      </c>
      <c r="G147" s="50">
        <f>'الجودة'!N12</f>
        <v/>
      </c>
      <c r="H147" s="23">
        <f>'الجودة'!O12</f>
        <v/>
      </c>
      <c r="I147" s="28">
        <f>'الجودة'!G12</f>
        <v/>
      </c>
      <c r="J147" s="23">
        <f>IF($G147="",0,$G147*$I147)</f>
        <v/>
      </c>
      <c r="K147" s="23">
        <f>IF($G147="",0,$I147)</f>
        <v/>
      </c>
    </row>
    <row r="148">
      <c r="A148" s="23" t="n">
        <v>147</v>
      </c>
      <c r="B148" s="26" t="inlineStr">
        <is>
          <t>الجودة</t>
        </is>
      </c>
      <c r="C148" s="26">
        <f>'الجودة'!C13</f>
        <v/>
      </c>
      <c r="D148" s="23">
        <f>'الجودة'!J13</f>
        <v/>
      </c>
      <c r="E148" s="26">
        <f>'الجودة'!K13</f>
        <v/>
      </c>
      <c r="F148" s="23">
        <f>'الجودة'!L13</f>
        <v/>
      </c>
      <c r="G148" s="50">
        <f>'الجودة'!N13</f>
        <v/>
      </c>
      <c r="H148" s="23">
        <f>'الجودة'!O13</f>
        <v/>
      </c>
      <c r="I148" s="28">
        <f>'الجودة'!G13</f>
        <v/>
      </c>
      <c r="J148" s="23">
        <f>IF($G148="",0,$G148*$I148)</f>
        <v/>
      </c>
      <c r="K148" s="23">
        <f>IF($G148="",0,$I148)</f>
        <v/>
      </c>
    </row>
    <row r="149">
      <c r="A149" s="23" t="n">
        <v>148</v>
      </c>
      <c r="B149" s="26" t="inlineStr">
        <is>
          <t>الجودة</t>
        </is>
      </c>
      <c r="C149" s="26">
        <f>'الجودة'!C14</f>
        <v/>
      </c>
      <c r="D149" s="23">
        <f>'الجودة'!J14</f>
        <v/>
      </c>
      <c r="E149" s="26">
        <f>'الجودة'!K14</f>
        <v/>
      </c>
      <c r="F149" s="23">
        <f>'الجودة'!L14</f>
        <v/>
      </c>
      <c r="G149" s="50">
        <f>'الجودة'!N14</f>
        <v/>
      </c>
      <c r="H149" s="23">
        <f>'الجودة'!O14</f>
        <v/>
      </c>
      <c r="I149" s="28">
        <f>'الجودة'!G14</f>
        <v/>
      </c>
      <c r="J149" s="23">
        <f>IF($G149="",0,$G149*$I149)</f>
        <v/>
      </c>
      <c r="K149" s="23">
        <f>IF($G149="",0,$I149)</f>
        <v/>
      </c>
    </row>
    <row r="150">
      <c r="A150" s="23" t="n">
        <v>149</v>
      </c>
      <c r="B150" s="26" t="inlineStr">
        <is>
          <t>الجودة</t>
        </is>
      </c>
      <c r="C150" s="26">
        <f>'الجودة'!C15</f>
        <v/>
      </c>
      <c r="D150" s="23">
        <f>'الجودة'!J15</f>
        <v/>
      </c>
      <c r="E150" s="26">
        <f>'الجودة'!K15</f>
        <v/>
      </c>
      <c r="F150" s="23">
        <f>'الجودة'!L15</f>
        <v/>
      </c>
      <c r="G150" s="50">
        <f>'الجودة'!N15</f>
        <v/>
      </c>
      <c r="H150" s="23">
        <f>'الجودة'!O15</f>
        <v/>
      </c>
      <c r="I150" s="28">
        <f>'الجودة'!G15</f>
        <v/>
      </c>
      <c r="J150" s="23">
        <f>IF($G150="",0,$G150*$I150)</f>
        <v/>
      </c>
      <c r="K150" s="23">
        <f>IF($G150="",0,$I150)</f>
        <v/>
      </c>
    </row>
    <row r="151">
      <c r="A151" s="23" t="n">
        <v>150</v>
      </c>
      <c r="B151" s="26" t="inlineStr">
        <is>
          <t>الجودة</t>
        </is>
      </c>
      <c r="C151" s="26">
        <f>'الجودة'!C16</f>
        <v/>
      </c>
      <c r="D151" s="23">
        <f>'الجودة'!J16</f>
        <v/>
      </c>
      <c r="E151" s="26">
        <f>'الجودة'!K16</f>
        <v/>
      </c>
      <c r="F151" s="23">
        <f>'الجودة'!L16</f>
        <v/>
      </c>
      <c r="G151" s="50">
        <f>'الجودة'!N16</f>
        <v/>
      </c>
      <c r="H151" s="23">
        <f>'الجودة'!O16</f>
        <v/>
      </c>
      <c r="I151" s="28">
        <f>'الجودة'!G16</f>
        <v/>
      </c>
      <c r="J151" s="23">
        <f>IF($G151="",0,$G151*$I151)</f>
        <v/>
      </c>
      <c r="K151" s="23">
        <f>IF($G151="",0,$I151)</f>
        <v/>
      </c>
    </row>
    <row r="152">
      <c r="A152" s="23" t="n">
        <v>151</v>
      </c>
      <c r="B152" s="26" t="inlineStr">
        <is>
          <t>الجودة</t>
        </is>
      </c>
      <c r="C152" s="26">
        <f>'الجودة'!C17</f>
        <v/>
      </c>
      <c r="D152" s="23">
        <f>'الجودة'!J17</f>
        <v/>
      </c>
      <c r="E152" s="26">
        <f>'الجودة'!K17</f>
        <v/>
      </c>
      <c r="F152" s="23">
        <f>'الجودة'!L17</f>
        <v/>
      </c>
      <c r="G152" s="50">
        <f>'الجودة'!N17</f>
        <v/>
      </c>
      <c r="H152" s="23">
        <f>'الجودة'!O17</f>
        <v/>
      </c>
      <c r="I152" s="28">
        <f>'الجودة'!G17</f>
        <v/>
      </c>
      <c r="J152" s="23">
        <f>IF($G152="",0,$G152*$I152)</f>
        <v/>
      </c>
      <c r="K152" s="23">
        <f>IF($G152="",0,$I152)</f>
        <v/>
      </c>
    </row>
    <row r="153">
      <c r="A153" s="23" t="n">
        <v>152</v>
      </c>
      <c r="B153" s="26" t="inlineStr">
        <is>
          <t>الإدارة القانونية</t>
        </is>
      </c>
      <c r="C153" s="26">
        <f>'الإدارة القانونية'!C4</f>
        <v/>
      </c>
      <c r="D153" s="23">
        <f>'الإدارة القانونية'!J4</f>
        <v/>
      </c>
      <c r="E153" s="26">
        <f>'الإدارة القانونية'!K4</f>
        <v/>
      </c>
      <c r="F153" s="23">
        <f>'الإدارة القانونية'!L4</f>
        <v/>
      </c>
      <c r="G153" s="50">
        <f>'الإدارة القانونية'!N4</f>
        <v/>
      </c>
      <c r="H153" s="23">
        <f>'الإدارة القانونية'!O4</f>
        <v/>
      </c>
      <c r="I153" s="28">
        <f>'الإدارة القانونية'!G4</f>
        <v/>
      </c>
      <c r="J153" s="23">
        <f>IF($G153="",0,$G153*$I153)</f>
        <v/>
      </c>
      <c r="K153" s="23">
        <f>IF($G153="",0,$I153)</f>
        <v/>
      </c>
    </row>
    <row r="154">
      <c r="A154" s="23" t="n">
        <v>153</v>
      </c>
      <c r="B154" s="26" t="inlineStr">
        <is>
          <t>الإدارة القانونية</t>
        </is>
      </c>
      <c r="C154" s="26">
        <f>'الإدارة القانونية'!C5</f>
        <v/>
      </c>
      <c r="D154" s="23">
        <f>'الإدارة القانونية'!J5</f>
        <v/>
      </c>
      <c r="E154" s="26">
        <f>'الإدارة القانونية'!K5</f>
        <v/>
      </c>
      <c r="F154" s="23">
        <f>'الإدارة القانونية'!L5</f>
        <v/>
      </c>
      <c r="G154" s="50">
        <f>'الإدارة القانونية'!N5</f>
        <v/>
      </c>
      <c r="H154" s="23">
        <f>'الإدارة القانونية'!O5</f>
        <v/>
      </c>
      <c r="I154" s="28">
        <f>'الإدارة القانونية'!G5</f>
        <v/>
      </c>
      <c r="J154" s="23">
        <f>IF($G154="",0,$G154*$I154)</f>
        <v/>
      </c>
      <c r="K154" s="23">
        <f>IF($G154="",0,$I154)</f>
        <v/>
      </c>
    </row>
    <row r="155">
      <c r="A155" s="23" t="n">
        <v>154</v>
      </c>
      <c r="B155" s="26" t="inlineStr">
        <is>
          <t>الإدارة القانونية</t>
        </is>
      </c>
      <c r="C155" s="26">
        <f>'الإدارة القانونية'!C6</f>
        <v/>
      </c>
      <c r="D155" s="23">
        <f>'الإدارة القانونية'!J6</f>
        <v/>
      </c>
      <c r="E155" s="26">
        <f>'الإدارة القانونية'!K6</f>
        <v/>
      </c>
      <c r="F155" s="23">
        <f>'الإدارة القانونية'!L6</f>
        <v/>
      </c>
      <c r="G155" s="50">
        <f>'الإدارة القانونية'!N6</f>
        <v/>
      </c>
      <c r="H155" s="23">
        <f>'الإدارة القانونية'!O6</f>
        <v/>
      </c>
      <c r="I155" s="28">
        <f>'الإدارة القانونية'!G6</f>
        <v/>
      </c>
      <c r="J155" s="23">
        <f>IF($G155="",0,$G155*$I155)</f>
        <v/>
      </c>
      <c r="K155" s="23">
        <f>IF($G155="",0,$I155)</f>
        <v/>
      </c>
    </row>
    <row r="156">
      <c r="A156" s="23" t="n">
        <v>155</v>
      </c>
      <c r="B156" s="26" t="inlineStr">
        <is>
          <t>الإدارة القانونية</t>
        </is>
      </c>
      <c r="C156" s="26">
        <f>'الإدارة القانونية'!C7</f>
        <v/>
      </c>
      <c r="D156" s="23">
        <f>'الإدارة القانونية'!J7</f>
        <v/>
      </c>
      <c r="E156" s="26">
        <f>'الإدارة القانونية'!K7</f>
        <v/>
      </c>
      <c r="F156" s="23">
        <f>'الإدارة القانونية'!L7</f>
        <v/>
      </c>
      <c r="G156" s="50">
        <f>'الإدارة القانونية'!N7</f>
        <v/>
      </c>
      <c r="H156" s="23">
        <f>'الإدارة القانونية'!O7</f>
        <v/>
      </c>
      <c r="I156" s="28">
        <f>'الإدارة القانونية'!G7</f>
        <v/>
      </c>
      <c r="J156" s="23">
        <f>IF($G156="",0,$G156*$I156)</f>
        <v/>
      </c>
      <c r="K156" s="23">
        <f>IF($G156="",0,$I156)</f>
        <v/>
      </c>
    </row>
    <row r="157">
      <c r="A157" s="23" t="n">
        <v>156</v>
      </c>
      <c r="B157" s="26" t="inlineStr">
        <is>
          <t>الإدارة القانونية</t>
        </is>
      </c>
      <c r="C157" s="26">
        <f>'الإدارة القانونية'!C8</f>
        <v/>
      </c>
      <c r="D157" s="23">
        <f>'الإدارة القانونية'!J8</f>
        <v/>
      </c>
      <c r="E157" s="26">
        <f>'الإدارة القانونية'!K8</f>
        <v/>
      </c>
      <c r="F157" s="23">
        <f>'الإدارة القانونية'!L8</f>
        <v/>
      </c>
      <c r="G157" s="50">
        <f>'الإدارة القانونية'!N8</f>
        <v/>
      </c>
      <c r="H157" s="23">
        <f>'الإدارة القانونية'!O8</f>
        <v/>
      </c>
      <c r="I157" s="28">
        <f>'الإدارة القانونية'!G8</f>
        <v/>
      </c>
      <c r="J157" s="23">
        <f>IF($G157="",0,$G157*$I157)</f>
        <v/>
      </c>
      <c r="K157" s="23">
        <f>IF($G157="",0,$I157)</f>
        <v/>
      </c>
    </row>
    <row r="158">
      <c r="A158" s="23" t="n">
        <v>157</v>
      </c>
      <c r="B158" s="26" t="inlineStr">
        <is>
          <t>الإدارة القانونية</t>
        </is>
      </c>
      <c r="C158" s="26">
        <f>'الإدارة القانونية'!C9</f>
        <v/>
      </c>
      <c r="D158" s="23">
        <f>'الإدارة القانونية'!J9</f>
        <v/>
      </c>
      <c r="E158" s="26">
        <f>'الإدارة القانونية'!K9</f>
        <v/>
      </c>
      <c r="F158" s="23">
        <f>'الإدارة القانونية'!L9</f>
        <v/>
      </c>
      <c r="G158" s="50">
        <f>'الإدارة القانونية'!N9</f>
        <v/>
      </c>
      <c r="H158" s="23">
        <f>'الإدارة القانونية'!O9</f>
        <v/>
      </c>
      <c r="I158" s="28">
        <f>'الإدارة القانونية'!G9</f>
        <v/>
      </c>
      <c r="J158" s="23">
        <f>IF($G158="",0,$G158*$I158)</f>
        <v/>
      </c>
      <c r="K158" s="23">
        <f>IF($G158="",0,$I158)</f>
        <v/>
      </c>
    </row>
    <row r="159">
      <c r="A159" s="23" t="n">
        <v>158</v>
      </c>
      <c r="B159" s="26" t="inlineStr">
        <is>
          <t>الإدارة القانونية</t>
        </is>
      </c>
      <c r="C159" s="26">
        <f>'الإدارة القانونية'!C10</f>
        <v/>
      </c>
      <c r="D159" s="23">
        <f>'الإدارة القانونية'!J10</f>
        <v/>
      </c>
      <c r="E159" s="26">
        <f>'الإدارة القانونية'!K10</f>
        <v/>
      </c>
      <c r="F159" s="23">
        <f>'الإدارة القانونية'!L10</f>
        <v/>
      </c>
      <c r="G159" s="50">
        <f>'الإدارة القانونية'!N10</f>
        <v/>
      </c>
      <c r="H159" s="23">
        <f>'الإدارة القانونية'!O10</f>
        <v/>
      </c>
      <c r="I159" s="28">
        <f>'الإدارة القانونية'!G10</f>
        <v/>
      </c>
      <c r="J159" s="23">
        <f>IF($G159="",0,$G159*$I159)</f>
        <v/>
      </c>
      <c r="K159" s="23">
        <f>IF($G159="",0,$I159)</f>
        <v/>
      </c>
    </row>
    <row r="160">
      <c r="A160" s="23" t="n">
        <v>159</v>
      </c>
      <c r="B160" s="26" t="inlineStr">
        <is>
          <t>الإدارة القانونية</t>
        </is>
      </c>
      <c r="C160" s="26">
        <f>'الإدارة القانونية'!C11</f>
        <v/>
      </c>
      <c r="D160" s="23">
        <f>'الإدارة القانونية'!J11</f>
        <v/>
      </c>
      <c r="E160" s="26">
        <f>'الإدارة القانونية'!K11</f>
        <v/>
      </c>
      <c r="F160" s="23">
        <f>'الإدارة القانونية'!L11</f>
        <v/>
      </c>
      <c r="G160" s="50">
        <f>'الإدارة القانونية'!N11</f>
        <v/>
      </c>
      <c r="H160" s="23">
        <f>'الإدارة القانونية'!O11</f>
        <v/>
      </c>
      <c r="I160" s="28">
        <f>'الإدارة القانونية'!G11</f>
        <v/>
      </c>
      <c r="J160" s="23">
        <f>IF($G160="",0,$G160*$I160)</f>
        <v/>
      </c>
      <c r="K160" s="23">
        <f>IF($G160="",0,$I160)</f>
        <v/>
      </c>
    </row>
    <row r="161">
      <c r="A161" s="23" t="n">
        <v>160</v>
      </c>
      <c r="B161" s="26" t="inlineStr">
        <is>
          <t>الإدارة المالية</t>
        </is>
      </c>
      <c r="C161" s="26">
        <f>'الإدارة المالية'!C4</f>
        <v/>
      </c>
      <c r="D161" s="23">
        <f>'الإدارة المالية'!J4</f>
        <v/>
      </c>
      <c r="E161" s="26">
        <f>'الإدارة المالية'!K4</f>
        <v/>
      </c>
      <c r="F161" s="23">
        <f>'الإدارة المالية'!L4</f>
        <v/>
      </c>
      <c r="G161" s="50">
        <f>'الإدارة المالية'!N4</f>
        <v/>
      </c>
      <c r="H161" s="23">
        <f>'الإدارة المالية'!O4</f>
        <v/>
      </c>
      <c r="I161" s="28">
        <f>'الإدارة المالية'!G4</f>
        <v/>
      </c>
      <c r="J161" s="23">
        <f>IF($G161="",0,$G161*$I161)</f>
        <v/>
      </c>
      <c r="K161" s="23">
        <f>IF($G161="",0,$I161)</f>
        <v/>
      </c>
    </row>
    <row r="162">
      <c r="A162" s="23" t="n">
        <v>161</v>
      </c>
      <c r="B162" s="26" t="inlineStr">
        <is>
          <t>الإدارة المالية</t>
        </is>
      </c>
      <c r="C162" s="26">
        <f>'الإدارة المالية'!C5</f>
        <v/>
      </c>
      <c r="D162" s="23">
        <f>'الإدارة المالية'!J5</f>
        <v/>
      </c>
      <c r="E162" s="26">
        <f>'الإدارة المالية'!K5</f>
        <v/>
      </c>
      <c r="F162" s="23">
        <f>'الإدارة المالية'!L5</f>
        <v/>
      </c>
      <c r="G162" s="50">
        <f>'الإدارة المالية'!N5</f>
        <v/>
      </c>
      <c r="H162" s="23">
        <f>'الإدارة المالية'!O5</f>
        <v/>
      </c>
      <c r="I162" s="28">
        <f>'الإدارة المالية'!G5</f>
        <v/>
      </c>
      <c r="J162" s="23">
        <f>IF($G162="",0,$G162*$I162)</f>
        <v/>
      </c>
      <c r="K162" s="23">
        <f>IF($G162="",0,$I162)</f>
        <v/>
      </c>
    </row>
    <row r="163">
      <c r="A163" s="23" t="n">
        <v>162</v>
      </c>
      <c r="B163" s="26" t="inlineStr">
        <is>
          <t>الإدارة المالية</t>
        </is>
      </c>
      <c r="C163" s="26">
        <f>'الإدارة المالية'!C6</f>
        <v/>
      </c>
      <c r="D163" s="23">
        <f>'الإدارة المالية'!J6</f>
        <v/>
      </c>
      <c r="E163" s="26">
        <f>'الإدارة المالية'!K6</f>
        <v/>
      </c>
      <c r="F163" s="23">
        <f>'الإدارة المالية'!L6</f>
        <v/>
      </c>
      <c r="G163" s="50">
        <f>'الإدارة المالية'!N6</f>
        <v/>
      </c>
      <c r="H163" s="23">
        <f>'الإدارة المالية'!O6</f>
        <v/>
      </c>
      <c r="I163" s="28">
        <f>'الإدارة المالية'!G6</f>
        <v/>
      </c>
      <c r="J163" s="23">
        <f>IF($G163="",0,$G163*$I163)</f>
        <v/>
      </c>
      <c r="K163" s="23">
        <f>IF($G163="",0,$I163)</f>
        <v/>
      </c>
    </row>
    <row r="164">
      <c r="A164" s="23" t="n">
        <v>163</v>
      </c>
      <c r="B164" s="26" t="inlineStr">
        <is>
          <t>الإدارة المالية</t>
        </is>
      </c>
      <c r="C164" s="26">
        <f>'الإدارة المالية'!C7</f>
        <v/>
      </c>
      <c r="D164" s="23">
        <f>'الإدارة المالية'!J7</f>
        <v/>
      </c>
      <c r="E164" s="26">
        <f>'الإدارة المالية'!K7</f>
        <v/>
      </c>
      <c r="F164" s="23">
        <f>'الإدارة المالية'!L7</f>
        <v/>
      </c>
      <c r="G164" s="50">
        <f>'الإدارة المالية'!N7</f>
        <v/>
      </c>
      <c r="H164" s="23">
        <f>'الإدارة المالية'!O7</f>
        <v/>
      </c>
      <c r="I164" s="28">
        <f>'الإدارة المالية'!G7</f>
        <v/>
      </c>
      <c r="J164" s="23">
        <f>IF($G164="",0,$G164*$I164)</f>
        <v/>
      </c>
      <c r="K164" s="23">
        <f>IF($G164="",0,$I164)</f>
        <v/>
      </c>
    </row>
    <row r="165">
      <c r="A165" s="23" t="n">
        <v>164</v>
      </c>
      <c r="B165" s="26" t="inlineStr">
        <is>
          <t>الإدارة المالية</t>
        </is>
      </c>
      <c r="C165" s="26">
        <f>'الإدارة المالية'!C8</f>
        <v/>
      </c>
      <c r="D165" s="23">
        <f>'الإدارة المالية'!J8</f>
        <v/>
      </c>
      <c r="E165" s="26">
        <f>'الإدارة المالية'!K8</f>
        <v/>
      </c>
      <c r="F165" s="23">
        <f>'الإدارة المالية'!L8</f>
        <v/>
      </c>
      <c r="G165" s="50">
        <f>'الإدارة المالية'!N8</f>
        <v/>
      </c>
      <c r="H165" s="23">
        <f>'الإدارة المالية'!O8</f>
        <v/>
      </c>
      <c r="I165" s="28">
        <f>'الإدارة المالية'!G8</f>
        <v/>
      </c>
      <c r="J165" s="23">
        <f>IF($G165="",0,$G165*$I165)</f>
        <v/>
      </c>
      <c r="K165" s="23">
        <f>IF($G165="",0,$I165)</f>
        <v/>
      </c>
    </row>
    <row r="166">
      <c r="A166" s="23" t="n">
        <v>165</v>
      </c>
      <c r="B166" s="26" t="inlineStr">
        <is>
          <t>الإدارة المالية</t>
        </is>
      </c>
      <c r="C166" s="26">
        <f>'الإدارة المالية'!C9</f>
        <v/>
      </c>
      <c r="D166" s="23">
        <f>'الإدارة المالية'!J9</f>
        <v/>
      </c>
      <c r="E166" s="26">
        <f>'الإدارة المالية'!K9</f>
        <v/>
      </c>
      <c r="F166" s="23">
        <f>'الإدارة المالية'!L9</f>
        <v/>
      </c>
      <c r="G166" s="50">
        <f>'الإدارة المالية'!N9</f>
        <v/>
      </c>
      <c r="H166" s="23">
        <f>'الإدارة المالية'!O9</f>
        <v/>
      </c>
      <c r="I166" s="28">
        <f>'الإدارة المالية'!G9</f>
        <v/>
      </c>
      <c r="J166" s="23">
        <f>IF($G166="",0,$G166*$I166)</f>
        <v/>
      </c>
      <c r="K166" s="23">
        <f>IF($G166="",0,$I166)</f>
        <v/>
      </c>
    </row>
    <row r="167">
      <c r="A167" s="23" t="n">
        <v>166</v>
      </c>
      <c r="B167" s="26" t="inlineStr">
        <is>
          <t>الإدارة المالية</t>
        </is>
      </c>
      <c r="C167" s="26">
        <f>'الإدارة المالية'!C10</f>
        <v/>
      </c>
      <c r="D167" s="23">
        <f>'الإدارة المالية'!J10</f>
        <v/>
      </c>
      <c r="E167" s="26">
        <f>'الإدارة المالية'!K10</f>
        <v/>
      </c>
      <c r="F167" s="23">
        <f>'الإدارة المالية'!L10</f>
        <v/>
      </c>
      <c r="G167" s="50">
        <f>'الإدارة المالية'!N10</f>
        <v/>
      </c>
      <c r="H167" s="23">
        <f>'الإدارة المالية'!O10</f>
        <v/>
      </c>
      <c r="I167" s="28">
        <f>'الإدارة المالية'!G10</f>
        <v/>
      </c>
      <c r="J167" s="23">
        <f>IF($G167="",0,$G167*$I167)</f>
        <v/>
      </c>
      <c r="K167" s="23">
        <f>IF($G167="",0,$I167)</f>
        <v/>
      </c>
    </row>
    <row r="168">
      <c r="A168" s="23" t="n">
        <v>167</v>
      </c>
      <c r="B168" s="26" t="inlineStr">
        <is>
          <t>الإدارة المالية</t>
        </is>
      </c>
      <c r="C168" s="26">
        <f>'الإدارة المالية'!C11</f>
        <v/>
      </c>
      <c r="D168" s="23">
        <f>'الإدارة المالية'!J11</f>
        <v/>
      </c>
      <c r="E168" s="26">
        <f>'الإدارة المالية'!K11</f>
        <v/>
      </c>
      <c r="F168" s="23">
        <f>'الإدارة المالية'!L11</f>
        <v/>
      </c>
      <c r="G168" s="50">
        <f>'الإدارة المالية'!N11</f>
        <v/>
      </c>
      <c r="H168" s="23">
        <f>'الإدارة المالية'!O11</f>
        <v/>
      </c>
      <c r="I168" s="28">
        <f>'الإدارة المالية'!G11</f>
        <v/>
      </c>
      <c r="J168" s="23">
        <f>IF($G168="",0,$G168*$I168)</f>
        <v/>
      </c>
      <c r="K168" s="23">
        <f>IF($G168="",0,$I168)</f>
        <v/>
      </c>
    </row>
    <row r="169">
      <c r="A169" s="23" t="n">
        <v>168</v>
      </c>
      <c r="B169" s="26" t="inlineStr">
        <is>
          <t>الإدارة المالية</t>
        </is>
      </c>
      <c r="C169" s="26">
        <f>'الإدارة المالية'!C12</f>
        <v/>
      </c>
      <c r="D169" s="23">
        <f>'الإدارة المالية'!J12</f>
        <v/>
      </c>
      <c r="E169" s="26">
        <f>'الإدارة المالية'!K12</f>
        <v/>
      </c>
      <c r="F169" s="23">
        <f>'الإدارة المالية'!L12</f>
        <v/>
      </c>
      <c r="G169" s="50">
        <f>'الإدارة المالية'!N12</f>
        <v/>
      </c>
      <c r="H169" s="23">
        <f>'الإدارة المالية'!O12</f>
        <v/>
      </c>
      <c r="I169" s="28">
        <f>'الإدارة المالية'!G12</f>
        <v/>
      </c>
      <c r="J169" s="23">
        <f>IF($G169="",0,$G169*$I169)</f>
        <v/>
      </c>
      <c r="K169" s="23">
        <f>IF($G169="",0,$I169)</f>
        <v/>
      </c>
    </row>
    <row r="170">
      <c r="A170" s="23" t="n">
        <v>169</v>
      </c>
      <c r="B170" s="26" t="inlineStr">
        <is>
          <t>الإدارة المالية</t>
        </is>
      </c>
      <c r="C170" s="26">
        <f>'الإدارة المالية'!C13</f>
        <v/>
      </c>
      <c r="D170" s="23">
        <f>'الإدارة المالية'!J13</f>
        <v/>
      </c>
      <c r="E170" s="26">
        <f>'الإدارة المالية'!K13</f>
        <v/>
      </c>
      <c r="F170" s="23">
        <f>'الإدارة المالية'!L13</f>
        <v/>
      </c>
      <c r="G170" s="50">
        <f>'الإدارة المالية'!N13</f>
        <v/>
      </c>
      <c r="H170" s="23">
        <f>'الإدارة المالية'!O13</f>
        <v/>
      </c>
      <c r="I170" s="28">
        <f>'الإدارة المالية'!G13</f>
        <v/>
      </c>
      <c r="J170" s="23">
        <f>IF($G170="",0,$G170*$I170)</f>
        <v/>
      </c>
      <c r="K170" s="23">
        <f>IF($G170="",0,$I170)</f>
        <v/>
      </c>
    </row>
    <row r="171">
      <c r="A171" s="23" t="n">
        <v>170</v>
      </c>
      <c r="B171" s="26" t="inlineStr">
        <is>
          <t>الإدارة المالية</t>
        </is>
      </c>
      <c r="C171" s="26">
        <f>'الإدارة المالية'!C14</f>
        <v/>
      </c>
      <c r="D171" s="23">
        <f>'الإدارة المالية'!J14</f>
        <v/>
      </c>
      <c r="E171" s="26">
        <f>'الإدارة المالية'!K14</f>
        <v/>
      </c>
      <c r="F171" s="23">
        <f>'الإدارة المالية'!L14</f>
        <v/>
      </c>
      <c r="G171" s="50">
        <f>'الإدارة المالية'!N14</f>
        <v/>
      </c>
      <c r="H171" s="23">
        <f>'الإدارة المالية'!O14</f>
        <v/>
      </c>
      <c r="I171" s="28">
        <f>'الإدارة المالية'!G14</f>
        <v/>
      </c>
      <c r="J171" s="23">
        <f>IF($G171="",0,$G171*$I171)</f>
        <v/>
      </c>
      <c r="K171" s="23">
        <f>IF($G171="",0,$I171)</f>
        <v/>
      </c>
    </row>
    <row r="172">
      <c r="A172" s="23" t="n">
        <v>171</v>
      </c>
      <c r="B172" s="26" t="inlineStr">
        <is>
          <t>الإدارة المالية</t>
        </is>
      </c>
      <c r="C172" s="26">
        <f>'الإدارة المالية'!C15</f>
        <v/>
      </c>
      <c r="D172" s="23">
        <f>'الإدارة المالية'!J15</f>
        <v/>
      </c>
      <c r="E172" s="26">
        <f>'الإدارة المالية'!K15</f>
        <v/>
      </c>
      <c r="F172" s="23">
        <f>'الإدارة المالية'!L15</f>
        <v/>
      </c>
      <c r="G172" s="50">
        <f>'الإدارة المالية'!N15</f>
        <v/>
      </c>
      <c r="H172" s="23">
        <f>'الإدارة المالية'!O15</f>
        <v/>
      </c>
      <c r="I172" s="28">
        <f>'الإدارة المالية'!G15</f>
        <v/>
      </c>
      <c r="J172" s="23">
        <f>IF($G172="",0,$G172*$I172)</f>
        <v/>
      </c>
      <c r="K172" s="23">
        <f>IF($G172="",0,$I172)</f>
        <v/>
      </c>
    </row>
    <row r="173">
      <c r="A173" s="23" t="n">
        <v>172</v>
      </c>
      <c r="B173" s="26" t="inlineStr">
        <is>
          <t>الإدارة المالية</t>
        </is>
      </c>
      <c r="C173" s="26">
        <f>'الإدارة المالية'!C16</f>
        <v/>
      </c>
      <c r="D173" s="23">
        <f>'الإدارة المالية'!J16</f>
        <v/>
      </c>
      <c r="E173" s="26">
        <f>'الإدارة المالية'!K16</f>
        <v/>
      </c>
      <c r="F173" s="23">
        <f>'الإدارة المالية'!L16</f>
        <v/>
      </c>
      <c r="G173" s="50">
        <f>'الإدارة المالية'!N16</f>
        <v/>
      </c>
      <c r="H173" s="23">
        <f>'الإدارة المالية'!O16</f>
        <v/>
      </c>
      <c r="I173" s="28">
        <f>'الإدارة المالية'!G16</f>
        <v/>
      </c>
      <c r="J173" s="23">
        <f>IF($G173="",0,$G173*$I173)</f>
        <v/>
      </c>
      <c r="K173" s="23">
        <f>IF($G173="",0,$I173)</f>
        <v/>
      </c>
    </row>
    <row r="174">
      <c r="A174" s="23" t="n">
        <v>173</v>
      </c>
      <c r="B174" s="26" t="inlineStr">
        <is>
          <t>الإدارة المالية</t>
        </is>
      </c>
      <c r="C174" s="26">
        <f>'الإدارة المالية'!C17</f>
        <v/>
      </c>
      <c r="D174" s="23">
        <f>'الإدارة المالية'!J17</f>
        <v/>
      </c>
      <c r="E174" s="26">
        <f>'الإدارة المالية'!K17</f>
        <v/>
      </c>
      <c r="F174" s="23">
        <f>'الإدارة المالية'!L17</f>
        <v/>
      </c>
      <c r="G174" s="50">
        <f>'الإدارة المالية'!N17</f>
        <v/>
      </c>
      <c r="H174" s="23">
        <f>'الإدارة المالية'!O17</f>
        <v/>
      </c>
      <c r="I174" s="28">
        <f>'الإدارة المالية'!G17</f>
        <v/>
      </c>
      <c r="J174" s="23">
        <f>IF($G174="",0,$G174*$I174)</f>
        <v/>
      </c>
      <c r="K174" s="23">
        <f>IF($G174="",0,$I174)</f>
        <v/>
      </c>
    </row>
    <row r="175">
      <c r="A175" s="23" t="n">
        <v>174</v>
      </c>
      <c r="B175" s="26" t="inlineStr">
        <is>
          <t>الإدارة المالية</t>
        </is>
      </c>
      <c r="C175" s="26">
        <f>'الإدارة المالية'!C18</f>
        <v/>
      </c>
      <c r="D175" s="23">
        <f>'الإدارة المالية'!J18</f>
        <v/>
      </c>
      <c r="E175" s="26">
        <f>'الإدارة المالية'!K18</f>
        <v/>
      </c>
      <c r="F175" s="23">
        <f>'الإدارة المالية'!L18</f>
        <v/>
      </c>
      <c r="G175" s="50">
        <f>'الإدارة المالية'!N18</f>
        <v/>
      </c>
      <c r="H175" s="23">
        <f>'الإدارة المالية'!O18</f>
        <v/>
      </c>
      <c r="I175" s="28">
        <f>'الإدارة المالية'!G18</f>
        <v/>
      </c>
      <c r="J175" s="23">
        <f>IF($G175="",0,$G175*$I175)</f>
        <v/>
      </c>
      <c r="K175" s="23">
        <f>IF($G175="",0,$I175)</f>
        <v/>
      </c>
    </row>
    <row r="176">
      <c r="A176" s="23" t="n">
        <v>175</v>
      </c>
      <c r="B176" s="26" t="inlineStr">
        <is>
          <t>الإدارة المالية</t>
        </is>
      </c>
      <c r="C176" s="26">
        <f>'الإدارة المالية'!C19</f>
        <v/>
      </c>
      <c r="D176" s="23">
        <f>'الإدارة المالية'!J19</f>
        <v/>
      </c>
      <c r="E176" s="26">
        <f>'الإدارة المالية'!K19</f>
        <v/>
      </c>
      <c r="F176" s="23">
        <f>'الإدارة المالية'!L19</f>
        <v/>
      </c>
      <c r="G176" s="50">
        <f>'الإدارة المالية'!N19</f>
        <v/>
      </c>
      <c r="H176" s="23">
        <f>'الإدارة المالية'!O19</f>
        <v/>
      </c>
      <c r="I176" s="28">
        <f>'الإدارة المالية'!G19</f>
        <v/>
      </c>
      <c r="J176" s="23">
        <f>IF($G176="",0,$G176*$I176)</f>
        <v/>
      </c>
      <c r="K176" s="23">
        <f>IF($G176="",0,$I176)</f>
        <v/>
      </c>
    </row>
    <row r="177">
      <c r="A177" s="23" t="n">
        <v>176</v>
      </c>
      <c r="B177" s="26" t="inlineStr">
        <is>
          <t>الإدارة المالية</t>
        </is>
      </c>
      <c r="C177" s="26">
        <f>'الإدارة المالية'!C20</f>
        <v/>
      </c>
      <c r="D177" s="23">
        <f>'الإدارة المالية'!J20</f>
        <v/>
      </c>
      <c r="E177" s="26">
        <f>'الإدارة المالية'!K20</f>
        <v/>
      </c>
      <c r="F177" s="23">
        <f>'الإدارة المالية'!L20</f>
        <v/>
      </c>
      <c r="G177" s="50">
        <f>'الإدارة المالية'!N20</f>
        <v/>
      </c>
      <c r="H177" s="23">
        <f>'الإدارة المالية'!O20</f>
        <v/>
      </c>
      <c r="I177" s="28">
        <f>'الإدارة المالية'!G20</f>
        <v/>
      </c>
      <c r="J177" s="23">
        <f>IF($G177="",0,$G177*$I177)</f>
        <v/>
      </c>
      <c r="K177" s="23">
        <f>IF($G177="",0,$I177)</f>
        <v/>
      </c>
    </row>
    <row r="178">
      <c r="A178" s="23" t="n">
        <v>177</v>
      </c>
      <c r="B178" s="26" t="inlineStr">
        <is>
          <t>الإدارة المالية</t>
        </is>
      </c>
      <c r="C178" s="26">
        <f>'الإدارة المالية'!C21</f>
        <v/>
      </c>
      <c r="D178" s="23">
        <f>'الإدارة المالية'!J21</f>
        <v/>
      </c>
      <c r="E178" s="26">
        <f>'الإدارة المالية'!K21</f>
        <v/>
      </c>
      <c r="F178" s="23">
        <f>'الإدارة المالية'!L21</f>
        <v/>
      </c>
      <c r="G178" s="50">
        <f>'الإدارة المالية'!N21</f>
        <v/>
      </c>
      <c r="H178" s="23">
        <f>'الإدارة المالية'!O21</f>
        <v/>
      </c>
      <c r="I178" s="28">
        <f>'الإدارة المالية'!G21</f>
        <v/>
      </c>
      <c r="J178" s="23">
        <f>IF($G178="",0,$G178*$I178)</f>
        <v/>
      </c>
      <c r="K178" s="23">
        <f>IF($G178="",0,$I178)</f>
        <v/>
      </c>
    </row>
    <row r="179">
      <c r="A179" s="23" t="n">
        <v>178</v>
      </c>
      <c r="B179" s="26" t="inlineStr">
        <is>
          <t>الإدارة المالية</t>
        </is>
      </c>
      <c r="C179" s="26">
        <f>'الإدارة المالية'!C22</f>
        <v/>
      </c>
      <c r="D179" s="23">
        <f>'الإدارة المالية'!J22</f>
        <v/>
      </c>
      <c r="E179" s="26">
        <f>'الإدارة المالية'!K22</f>
        <v/>
      </c>
      <c r="F179" s="23">
        <f>'الإدارة المالية'!L22</f>
        <v/>
      </c>
      <c r="G179" s="50">
        <f>'الإدارة المالية'!N22</f>
        <v/>
      </c>
      <c r="H179" s="23">
        <f>'الإدارة المالية'!O22</f>
        <v/>
      </c>
      <c r="I179" s="28">
        <f>'الإدارة المالية'!G22</f>
        <v/>
      </c>
      <c r="J179" s="23">
        <f>IF($G179="",0,$G179*$I179)</f>
        <v/>
      </c>
      <c r="K179" s="23">
        <f>IF($G179="",0,$I179)</f>
        <v/>
      </c>
    </row>
    <row r="180">
      <c r="A180" s="23" t="n">
        <v>179</v>
      </c>
      <c r="B180" s="26" t="inlineStr">
        <is>
          <t>الإدارة المالية</t>
        </is>
      </c>
      <c r="C180" s="26">
        <f>'الإدارة المالية'!C23</f>
        <v/>
      </c>
      <c r="D180" s="23">
        <f>'الإدارة المالية'!J23</f>
        <v/>
      </c>
      <c r="E180" s="26">
        <f>'الإدارة المالية'!K23</f>
        <v/>
      </c>
      <c r="F180" s="23">
        <f>'الإدارة المالية'!L23</f>
        <v/>
      </c>
      <c r="G180" s="50">
        <f>'الإدارة المالية'!N23</f>
        <v/>
      </c>
      <c r="H180" s="23">
        <f>'الإدارة المالية'!O23</f>
        <v/>
      </c>
      <c r="I180" s="28">
        <f>'الإدارة المالية'!G23</f>
        <v/>
      </c>
      <c r="J180" s="23">
        <f>IF($G180="",0,$G180*$I180)</f>
        <v/>
      </c>
      <c r="K180" s="23">
        <f>IF($G180="",0,$I180)</f>
        <v/>
      </c>
    </row>
    <row r="181">
      <c r="A181" s="23" t="n">
        <v>180</v>
      </c>
      <c r="B181" s="26" t="inlineStr">
        <is>
          <t>الإدارة المالية</t>
        </is>
      </c>
      <c r="C181" s="26">
        <f>'الإدارة المالية'!C24</f>
        <v/>
      </c>
      <c r="D181" s="23">
        <f>'الإدارة المالية'!J24</f>
        <v/>
      </c>
      <c r="E181" s="26">
        <f>'الإدارة المالية'!K24</f>
        <v/>
      </c>
      <c r="F181" s="23">
        <f>'الإدارة المالية'!L24</f>
        <v/>
      </c>
      <c r="G181" s="50">
        <f>'الإدارة المالية'!N24</f>
        <v/>
      </c>
      <c r="H181" s="23">
        <f>'الإدارة المالية'!O24</f>
        <v/>
      </c>
      <c r="I181" s="28">
        <f>'الإدارة المالية'!G24</f>
        <v/>
      </c>
      <c r="J181" s="23">
        <f>IF($G181="",0,$G181*$I181)</f>
        <v/>
      </c>
      <c r="K181" s="23">
        <f>IF($G181="",0,$I181)</f>
        <v/>
      </c>
    </row>
    <row r="182">
      <c r="A182" s="23" t="n">
        <v>181</v>
      </c>
      <c r="B182" s="26" t="inlineStr">
        <is>
          <t>الإدارة المالية</t>
        </is>
      </c>
      <c r="C182" s="26">
        <f>'الإدارة المالية'!C25</f>
        <v/>
      </c>
      <c r="D182" s="23">
        <f>'الإدارة المالية'!J25</f>
        <v/>
      </c>
      <c r="E182" s="26">
        <f>'الإدارة المالية'!K25</f>
        <v/>
      </c>
      <c r="F182" s="23">
        <f>'الإدارة المالية'!L25</f>
        <v/>
      </c>
      <c r="G182" s="50">
        <f>'الإدارة المالية'!N25</f>
        <v/>
      </c>
      <c r="H182" s="23">
        <f>'الإدارة المالية'!O25</f>
        <v/>
      </c>
      <c r="I182" s="28">
        <f>'الإدارة المالية'!G25</f>
        <v/>
      </c>
      <c r="J182" s="23">
        <f>IF($G182="",0,$G182*$I182)</f>
        <v/>
      </c>
      <c r="K182" s="23">
        <f>IF($G182="",0,$I182)</f>
        <v/>
      </c>
    </row>
    <row r="183">
      <c r="A183" s="23" t="n">
        <v>182</v>
      </c>
      <c r="B183" s="26" t="inlineStr">
        <is>
          <t>الإدارة المالية</t>
        </is>
      </c>
      <c r="C183" s="26">
        <f>'الإدارة المالية'!C26</f>
        <v/>
      </c>
      <c r="D183" s="23">
        <f>'الإدارة المالية'!J26</f>
        <v/>
      </c>
      <c r="E183" s="26">
        <f>'الإدارة المالية'!K26</f>
        <v/>
      </c>
      <c r="F183" s="23">
        <f>'الإدارة المالية'!L26</f>
        <v/>
      </c>
      <c r="G183" s="50">
        <f>'الإدارة المالية'!N26</f>
        <v/>
      </c>
      <c r="H183" s="23">
        <f>'الإدارة المالية'!O26</f>
        <v/>
      </c>
      <c r="I183" s="28">
        <f>'الإدارة المالية'!G26</f>
        <v/>
      </c>
      <c r="J183" s="23">
        <f>IF($G183="",0,$G183*$I183)</f>
        <v/>
      </c>
      <c r="K183" s="23">
        <f>IF($G183="",0,$I183)</f>
        <v/>
      </c>
    </row>
    <row r="184">
      <c r="A184" s="23" t="n">
        <v>183</v>
      </c>
      <c r="B184" s="26" t="inlineStr">
        <is>
          <t>الإدارة المالية</t>
        </is>
      </c>
      <c r="C184" s="26">
        <f>'الإدارة المالية'!C27</f>
        <v/>
      </c>
      <c r="D184" s="23">
        <f>'الإدارة المالية'!J27</f>
        <v/>
      </c>
      <c r="E184" s="26">
        <f>'الإدارة المالية'!K27</f>
        <v/>
      </c>
      <c r="F184" s="23">
        <f>'الإدارة المالية'!L27</f>
        <v/>
      </c>
      <c r="G184" s="50">
        <f>'الإدارة المالية'!N27</f>
        <v/>
      </c>
      <c r="H184" s="23">
        <f>'الإدارة المالية'!O27</f>
        <v/>
      </c>
      <c r="I184" s="28">
        <f>'الإدارة المالية'!G27</f>
        <v/>
      </c>
      <c r="J184" s="23">
        <f>IF($G184="",0,$G184*$I184)</f>
        <v/>
      </c>
      <c r="K184" s="23">
        <f>IF($G184="",0,$I184)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2026-06-25T08:44:43Z</dcterms:created>
  <dcterms:modified xmlns:dcterms="http://purl.org/dc/terms/" xmlns:xsi="http://www.w3.org/2001/XMLSchema-instance" xsi:type="dcterms:W3CDTF">2026-06-25T08:44:44Z</dcterms:modified>
</cp:coreProperties>
</file>