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الانحراف'!$A$2:$M$169</definedName>
    <definedName name="_xlnm._FilterDatabase" localSheetId="6" hidden="1">'التتبّع الشهري'!$A$3:$X$225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المؤشرات'!$A$2:$N$224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والمحطات'!$A$3:$R$19</definedName>
    <definedName name="_xlnm._FilterDatabase" localSheetId="14" hidden="1">'الاستثمار'!$A$3:$R$27</definedName>
    <definedName name="_xlnm._FilterDatabase" localSheetId="15" hidden="1">'العقار'!$A$3:$R$19</definedName>
    <definedName name="_xlnm._FilterDatabase" localSheetId="16" hidden="1">'إدارة المشاريع'!$A$3:$R$18</definedName>
    <definedName name="_xlnm._FilterDatabase" localSheetId="17" hidden="1">'سلاسل الإمداد'!$A$3:$R$15</definedName>
    <definedName name="_xlnm._FilterDatabase" localSheetId="18" hidden="1">'الصيانة والأتمتة'!$A$3:$R$13</definedName>
    <definedName name="_xlnm._FilterDatabase" localSheetId="19" hidden="1">'التقنية الرقمية'!$A$3:$R$15</definedName>
    <definedName name="_xlnm._FilterDatabase" localSheetId="20" hidden="1">'الموارد البشرية'!$A$3:$R$15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المؤشرات'!$G$2:$G$223,'قاعدة المؤشرات'!$D$2:$D$223,"النمو"),"—")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المؤشرات'!$G$2:$G$223,'قاعدة المؤشرات'!$D$2:$D$223,"الابتكار"),"—")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المؤشرات'!$G$2:$G$223,'قاعدة المؤشرات'!$D$2:$D$223,"الاستدامة"),"—")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20" t="n">
        <v>5</v>
      </c>
      <c r="B20" s="21">
        <f>'التشغيل والمحطات'!C8</f>
        <v/>
      </c>
      <c r="C20" s="22">
        <f>'التشغيل والمحطات'!I8</f>
        <v/>
      </c>
      <c r="D20" s="23">
        <f>'التشغيل والمحطات'!M8</f>
        <v/>
      </c>
      <c r="E20" s="10">
        <f>'التشغيل والمحطات'!N8</f>
        <v/>
      </c>
      <c r="F20" s="20">
        <f>'التشغيل والمحطات'!O8</f>
        <v/>
      </c>
      <c r="G20" s="24">
        <f>'التشغيل والمحطات'!G8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'الاستثمار'!C4</f>
        <v/>
      </c>
      <c r="C22" s="22">
        <f>'الاستثمار'!I4</f>
        <v/>
      </c>
      <c r="D22" s="23">
        <f>'الاستثمار'!M4</f>
        <v/>
      </c>
      <c r="E22" s="10">
        <f>'الاستثمار'!N4</f>
        <v/>
      </c>
      <c r="F22" s="20">
        <f>'الاستثمار'!O4</f>
        <v/>
      </c>
      <c r="G22" s="24">
        <f>'الاستثمار'!G4</f>
        <v/>
      </c>
    </row>
    <row r="23" ht="22" customHeight="1">
      <c r="A23" s="20" t="n">
        <v>2</v>
      </c>
      <c r="B23" s="21">
        <f>'الاستثمار'!C5</f>
        <v/>
      </c>
      <c r="C23" s="22">
        <f>'الاستثمار'!I5</f>
        <v/>
      </c>
      <c r="D23" s="23">
        <f>'الاستثمار'!M5</f>
        <v/>
      </c>
      <c r="E23" s="10">
        <f>'الاستثمار'!N5</f>
        <v/>
      </c>
      <c r="F23" s="20">
        <f>'الاستثمار'!O5</f>
        <v/>
      </c>
      <c r="G23" s="24">
        <f>'الاستثمار'!G5</f>
        <v/>
      </c>
    </row>
    <row r="24" ht="22" customHeight="1">
      <c r="A24" s="20" t="n">
        <v>3</v>
      </c>
      <c r="B24" s="21">
        <f>'الاستثمار'!C6</f>
        <v/>
      </c>
      <c r="C24" s="22">
        <f>'الاستثمار'!I6</f>
        <v/>
      </c>
      <c r="D24" s="23">
        <f>'الاستثمار'!M6</f>
        <v/>
      </c>
      <c r="E24" s="10">
        <f>'الاستثمار'!N6</f>
        <v/>
      </c>
      <c r="F24" s="20">
        <f>'الاستثمار'!O6</f>
        <v/>
      </c>
      <c r="G24" s="24">
        <f>'الاستثمار'!G6</f>
        <v/>
      </c>
    </row>
    <row r="25" ht="22" customHeight="1">
      <c r="A25" s="20" t="n">
        <v>4</v>
      </c>
      <c r="B25" s="21">
        <f>'الاستثمار'!C7</f>
        <v/>
      </c>
      <c r="C25" s="22">
        <f>'الاستثمار'!I7</f>
        <v/>
      </c>
      <c r="D25" s="23">
        <f>'الاستثمار'!M7</f>
        <v/>
      </c>
      <c r="E25" s="10">
        <f>'الاستثمار'!N7</f>
        <v/>
      </c>
      <c r="F25" s="20">
        <f>'الاستثمار'!O7</f>
        <v/>
      </c>
      <c r="G25" s="24">
        <f>'الاستثمار'!G7</f>
        <v/>
      </c>
    </row>
    <row r="26" ht="22" customHeight="1">
      <c r="A26" s="20" t="n">
        <v>5</v>
      </c>
      <c r="B26" s="21">
        <f>'الاستثمار'!C8</f>
        <v/>
      </c>
      <c r="C26" s="22">
        <f>'الاستثمار'!I8</f>
        <v/>
      </c>
      <c r="D26" s="23">
        <f>'الاستثمار'!M8</f>
        <v/>
      </c>
      <c r="E26" s="10">
        <f>'الاستثمار'!N8</f>
        <v/>
      </c>
      <c r="F26" s="20">
        <f>'الاستثمار'!O8</f>
        <v/>
      </c>
      <c r="G26" s="24">
        <f>'الاستثمار'!G8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'العقار'!C4</f>
        <v/>
      </c>
      <c r="C28" s="22">
        <f>'العقار'!I4</f>
        <v/>
      </c>
      <c r="D28" s="23">
        <f>'العقار'!M4</f>
        <v/>
      </c>
      <c r="E28" s="10">
        <f>'العقار'!N4</f>
        <v/>
      </c>
      <c r="F28" s="20">
        <f>'العقار'!O4</f>
        <v/>
      </c>
      <c r="G28" s="24">
        <f>'العقار'!G4</f>
        <v/>
      </c>
    </row>
    <row r="29" ht="22" customHeight="1">
      <c r="A29" s="20" t="n">
        <v>2</v>
      </c>
      <c r="B29" s="21">
        <f>'العقار'!C5</f>
        <v/>
      </c>
      <c r="C29" s="22">
        <f>'العقار'!I5</f>
        <v/>
      </c>
      <c r="D29" s="23">
        <f>'العقار'!M5</f>
        <v/>
      </c>
      <c r="E29" s="10">
        <f>'العقار'!N5</f>
        <v/>
      </c>
      <c r="F29" s="20">
        <f>'العقار'!O5</f>
        <v/>
      </c>
      <c r="G29" s="24">
        <f>'العقار'!G5</f>
        <v/>
      </c>
    </row>
    <row r="30" ht="22" customHeight="1">
      <c r="A30" s="20" t="n">
        <v>3</v>
      </c>
      <c r="B30" s="21">
        <f>'العقار'!C6</f>
        <v/>
      </c>
      <c r="C30" s="22">
        <f>'العقار'!I6</f>
        <v/>
      </c>
      <c r="D30" s="23">
        <f>'العقار'!M6</f>
        <v/>
      </c>
      <c r="E30" s="10">
        <f>'العقار'!N6</f>
        <v/>
      </c>
      <c r="F30" s="20">
        <f>'العقار'!O6</f>
        <v/>
      </c>
      <c r="G30" s="24">
        <f>'العقار'!G6</f>
        <v/>
      </c>
    </row>
    <row r="31" ht="22" customHeight="1">
      <c r="A31" s="20" t="n">
        <v>4</v>
      </c>
      <c r="B31" s="21">
        <f>'العقار'!C7</f>
        <v/>
      </c>
      <c r="C31" s="22">
        <f>'العقار'!I7</f>
        <v/>
      </c>
      <c r="D31" s="23">
        <f>'العقار'!M7</f>
        <v/>
      </c>
      <c r="E31" s="10">
        <f>'العقار'!N7</f>
        <v/>
      </c>
      <c r="F31" s="20">
        <f>'العقار'!O7</f>
        <v/>
      </c>
      <c r="G31" s="24">
        <f>'العقار'!G7</f>
        <v/>
      </c>
    </row>
    <row r="32" ht="22" customHeight="1">
      <c r="A32" s="20" t="n">
        <v>5</v>
      </c>
      <c r="B32" s="21">
        <f>'العقار'!C10</f>
        <v/>
      </c>
      <c r="C32" s="22">
        <f>'العقار'!I10</f>
        <v/>
      </c>
      <c r="D32" s="23">
        <f>'العقار'!M10</f>
        <v/>
      </c>
      <c r="E32" s="10">
        <f>'العقار'!N10</f>
        <v/>
      </c>
      <c r="F32" s="20">
        <f>'العقار'!O10</f>
        <v/>
      </c>
      <c r="G32" s="24">
        <f>'العقار'!G10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المشاريع'!C4</f>
        <v/>
      </c>
      <c r="C34" s="22">
        <f>'إدارة المشاريع'!I4</f>
        <v/>
      </c>
      <c r="D34" s="23">
        <f>'إدارة المشاريع'!M4</f>
        <v/>
      </c>
      <c r="E34" s="10">
        <f>'إدارة المشاريع'!N4</f>
        <v/>
      </c>
      <c r="F34" s="20">
        <f>'إدارة المشاريع'!O4</f>
        <v/>
      </c>
      <c r="G34" s="24">
        <f>'إدارة المشاريع'!G4</f>
        <v/>
      </c>
    </row>
    <row r="35" ht="22" customHeight="1">
      <c r="A35" s="20" t="n">
        <v>2</v>
      </c>
      <c r="B35" s="21">
        <f>'إدارة المشاريع'!C5</f>
        <v/>
      </c>
      <c r="C35" s="22">
        <f>'إدارة المشاريع'!I5</f>
        <v/>
      </c>
      <c r="D35" s="23">
        <f>'إدارة المشاريع'!M5</f>
        <v/>
      </c>
      <c r="E35" s="10">
        <f>'إدارة المشاريع'!N5</f>
        <v/>
      </c>
      <c r="F35" s="20">
        <f>'إدارة المشاريع'!O5</f>
        <v/>
      </c>
      <c r="G35" s="24">
        <f>'إدارة المشاريع'!G5</f>
        <v/>
      </c>
    </row>
    <row r="36" ht="22" customHeight="1">
      <c r="A36" s="20" t="n">
        <v>3</v>
      </c>
      <c r="B36" s="21">
        <f>'إدارة المشاريع'!C6</f>
        <v/>
      </c>
      <c r="C36" s="22">
        <f>'إدارة المشاريع'!I6</f>
        <v/>
      </c>
      <c r="D36" s="23">
        <f>'إدارة المشاريع'!M6</f>
        <v/>
      </c>
      <c r="E36" s="10">
        <f>'إدارة المشاريع'!N6</f>
        <v/>
      </c>
      <c r="F36" s="20">
        <f>'إدارة المشاريع'!O6</f>
        <v/>
      </c>
      <c r="G36" s="24">
        <f>'إدارة المشاريع'!G6</f>
        <v/>
      </c>
    </row>
    <row r="37" ht="22" customHeight="1">
      <c r="A37" s="20" t="n">
        <v>4</v>
      </c>
      <c r="B37" s="21">
        <f>'إدارة المشاريع'!C8</f>
        <v/>
      </c>
      <c r="C37" s="22">
        <f>'إدارة المشاريع'!I8</f>
        <v/>
      </c>
      <c r="D37" s="23">
        <f>'إدارة المشاريع'!M8</f>
        <v/>
      </c>
      <c r="E37" s="10">
        <f>'إدارة المشاريع'!N8</f>
        <v/>
      </c>
      <c r="F37" s="20">
        <f>'إدارة المشاريع'!O8</f>
        <v/>
      </c>
      <c r="G37" s="24">
        <f>'إدارة المشاريع'!G8</f>
        <v/>
      </c>
    </row>
    <row r="38" ht="22" customHeight="1">
      <c r="A38" s="20" t="n">
        <v>5</v>
      </c>
      <c r="B38" s="21">
        <f>'إدارة المشاريع'!C12</f>
        <v/>
      </c>
      <c r="C38" s="22">
        <f>'إدارة المشاريع'!I12</f>
        <v/>
      </c>
      <c r="D38" s="23">
        <f>'إدارة المشاريع'!M12</f>
        <v/>
      </c>
      <c r="E38" s="10">
        <f>'إدارة المشاريع'!N12</f>
        <v/>
      </c>
      <c r="F38" s="20">
        <f>'إدارة المشاريع'!O12</f>
        <v/>
      </c>
      <c r="G38" s="24">
        <f>'إدارة المشاريع'!G12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الإمداد'!C4</f>
        <v/>
      </c>
      <c r="C40" s="22">
        <f>'سلاسل الإمداد'!I4</f>
        <v/>
      </c>
      <c r="D40" s="23">
        <f>'سلاسل الإمداد'!M4</f>
        <v/>
      </c>
      <c r="E40" s="10">
        <f>'سلاسل الإمداد'!N4</f>
        <v/>
      </c>
      <c r="F40" s="20">
        <f>'سلاسل الإمداد'!O4</f>
        <v/>
      </c>
      <c r="G40" s="24">
        <f>'سلاسل الإمداد'!G4</f>
        <v/>
      </c>
    </row>
    <row r="41" ht="22" customHeight="1">
      <c r="A41" s="20" t="n">
        <v>2</v>
      </c>
      <c r="B41" s="21">
        <f>'سلاسل الإمداد'!C5</f>
        <v/>
      </c>
      <c r="C41" s="22">
        <f>'سلاسل الإمداد'!I5</f>
        <v/>
      </c>
      <c r="D41" s="23">
        <f>'سلاسل الإمداد'!M5</f>
        <v/>
      </c>
      <c r="E41" s="10">
        <f>'سلاسل الإمداد'!N5</f>
        <v/>
      </c>
      <c r="F41" s="20">
        <f>'سلاسل الإمداد'!O5</f>
        <v/>
      </c>
      <c r="G41" s="24">
        <f>'سلاسل الإمداد'!G5</f>
        <v/>
      </c>
    </row>
    <row r="42" ht="22" customHeight="1">
      <c r="A42" s="20" t="n">
        <v>3</v>
      </c>
      <c r="B42" s="21">
        <f>'سلاسل الإمداد'!C9</f>
        <v/>
      </c>
      <c r="C42" s="22">
        <f>'سلاسل الإمداد'!I9</f>
        <v/>
      </c>
      <c r="D42" s="23">
        <f>'سلاسل الإمداد'!M9</f>
        <v/>
      </c>
      <c r="E42" s="10">
        <f>'سلاسل الإمداد'!N9</f>
        <v/>
      </c>
      <c r="F42" s="20">
        <f>'سلاسل الإمداد'!O9</f>
        <v/>
      </c>
      <c r="G42" s="24">
        <f>'سلاسل الإمداد'!G9</f>
        <v/>
      </c>
    </row>
    <row r="43" ht="22" customHeight="1">
      <c r="A43" s="20" t="n">
        <v>4</v>
      </c>
      <c r="B43" s="21">
        <f>'سلاسل الإمداد'!C11</f>
        <v/>
      </c>
      <c r="C43" s="22">
        <f>'سلاسل الإمداد'!I11</f>
        <v/>
      </c>
      <c r="D43" s="23">
        <f>'سلاسل الإمداد'!M11</f>
        <v/>
      </c>
      <c r="E43" s="10">
        <f>'سلاسل الإمداد'!N11</f>
        <v/>
      </c>
      <c r="F43" s="20">
        <f>'سلاسل الإمداد'!O11</f>
        <v/>
      </c>
      <c r="G43" s="24">
        <f>'سلاسل الإمداد'!G11</f>
        <v/>
      </c>
    </row>
    <row r="44" ht="22" customHeight="1">
      <c r="A44" s="20" t="n">
        <v>5</v>
      </c>
      <c r="B44" s="21">
        <f>'سلاسل الإمداد'!C6</f>
        <v/>
      </c>
      <c r="C44" s="22">
        <f>'سلاسل الإمداد'!I6</f>
        <v/>
      </c>
      <c r="D44" s="23">
        <f>'سلاسل الإمداد'!M6</f>
        <v/>
      </c>
      <c r="E44" s="10">
        <f>'سلاسل الإمداد'!N6</f>
        <v/>
      </c>
      <c r="F44" s="20">
        <f>'سلاسل الإمداد'!O6</f>
        <v/>
      </c>
      <c r="G44" s="24">
        <f>'سلاسل الإمداد'!G6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والأتمتة'!C4</f>
        <v/>
      </c>
      <c r="C46" s="22">
        <f>'الصيانة والأتمتة'!I4</f>
        <v/>
      </c>
      <c r="D46" s="23">
        <f>'الصيانة والأتمتة'!M4</f>
        <v/>
      </c>
      <c r="E46" s="10">
        <f>'الصيانة والأتمتة'!N4</f>
        <v/>
      </c>
      <c r="F46" s="20">
        <f>'الصيانة والأتمتة'!O4</f>
        <v/>
      </c>
      <c r="G46" s="24">
        <f>'الصيانة والأتمتة'!G4</f>
        <v/>
      </c>
    </row>
    <row r="47" ht="22" customHeight="1">
      <c r="A47" s="20" t="n">
        <v>2</v>
      </c>
      <c r="B47" s="21">
        <f>'الصيانة والأتمتة'!C10</f>
        <v/>
      </c>
      <c r="C47" s="22">
        <f>'الصيانة والأتمتة'!I10</f>
        <v/>
      </c>
      <c r="D47" s="23">
        <f>'الصيانة والأتمتة'!M10</f>
        <v/>
      </c>
      <c r="E47" s="10">
        <f>'الصيانة والأتمتة'!N10</f>
        <v/>
      </c>
      <c r="F47" s="20">
        <f>'الصيانة والأتمتة'!O10</f>
        <v/>
      </c>
      <c r="G47" s="24">
        <f>'الصيانة والأتمتة'!G10</f>
        <v/>
      </c>
    </row>
    <row r="48" ht="22" customHeight="1">
      <c r="A48" s="20" t="n">
        <v>3</v>
      </c>
      <c r="B48" s="21">
        <f>'الصيانة والأتمتة'!C5</f>
        <v/>
      </c>
      <c r="C48" s="22">
        <f>'الصيانة والأتمتة'!I5</f>
        <v/>
      </c>
      <c r="D48" s="23">
        <f>'الصيانة والأتمتة'!M5</f>
        <v/>
      </c>
      <c r="E48" s="10">
        <f>'الصيانة والأتمتة'!N5</f>
        <v/>
      </c>
      <c r="F48" s="20">
        <f>'الصيانة والأتمتة'!O5</f>
        <v/>
      </c>
      <c r="G48" s="24">
        <f>'الصيانة والأتمتة'!G5</f>
        <v/>
      </c>
    </row>
    <row r="49" ht="22" customHeight="1">
      <c r="A49" s="20" t="n">
        <v>4</v>
      </c>
      <c r="B49" s="21">
        <f>'الصيانة والأتمتة'!C6</f>
        <v/>
      </c>
      <c r="C49" s="22">
        <f>'الصيانة والأتمتة'!I6</f>
        <v/>
      </c>
      <c r="D49" s="23">
        <f>'الصيانة والأتمتة'!M6</f>
        <v/>
      </c>
      <c r="E49" s="10">
        <f>'الصيانة والأتمتة'!N6</f>
        <v/>
      </c>
      <c r="F49" s="20">
        <f>'الصيانة والأتمتة'!O6</f>
        <v/>
      </c>
      <c r="G49" s="24">
        <f>'الصيانة والأتمتة'!G6</f>
        <v/>
      </c>
    </row>
    <row r="50" ht="22" customHeight="1">
      <c r="A50" s="20" t="n">
        <v>5</v>
      </c>
      <c r="B50" s="21">
        <f>'الصيانة والأتمتة'!C9</f>
        <v/>
      </c>
      <c r="C50" s="22">
        <f>'الصيانة والأتمتة'!I9</f>
        <v/>
      </c>
      <c r="D50" s="23">
        <f>'الصيانة والأتمتة'!M9</f>
        <v/>
      </c>
      <c r="E50" s="10">
        <f>'الصيانة والأتمتة'!N9</f>
        <v/>
      </c>
      <c r="F50" s="20">
        <f>'الصيانة والأتمتة'!O9</f>
        <v/>
      </c>
      <c r="G50" s="24">
        <f>'الصيانة والأتمتة'!G9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الرقمية'!C4</f>
        <v/>
      </c>
      <c r="C52" s="22">
        <f>'التقنية الرقمية'!I4</f>
        <v/>
      </c>
      <c r="D52" s="23">
        <f>'التقنية الرقمية'!M4</f>
        <v/>
      </c>
      <c r="E52" s="10">
        <f>'التقنية الرقمية'!N4</f>
        <v/>
      </c>
      <c r="F52" s="20">
        <f>'التقنية الرقمية'!O4</f>
        <v/>
      </c>
      <c r="G52" s="24">
        <f>'التقنية الرقمية'!G4</f>
        <v/>
      </c>
    </row>
    <row r="53" ht="22" customHeight="1">
      <c r="A53" s="20" t="n">
        <v>2</v>
      </c>
      <c r="B53" s="21">
        <f>'التقنية الرقمية'!C5</f>
        <v/>
      </c>
      <c r="C53" s="22">
        <f>'التقنية الرقمية'!I5</f>
        <v/>
      </c>
      <c r="D53" s="23">
        <f>'التقنية الرقمية'!M5</f>
        <v/>
      </c>
      <c r="E53" s="10">
        <f>'التقنية الرقمية'!N5</f>
        <v/>
      </c>
      <c r="F53" s="20">
        <f>'التقنية الرقمية'!O5</f>
        <v/>
      </c>
      <c r="G53" s="24">
        <f>'التقنية الرقمية'!G5</f>
        <v/>
      </c>
    </row>
    <row r="54" ht="22" customHeight="1">
      <c r="A54" s="20" t="n">
        <v>3</v>
      </c>
      <c r="B54" s="21">
        <f>'التقنية الرقمية'!C6</f>
        <v/>
      </c>
      <c r="C54" s="22">
        <f>'التقنية الرقمية'!I6</f>
        <v/>
      </c>
      <c r="D54" s="23">
        <f>'التقنية الرقمية'!M6</f>
        <v/>
      </c>
      <c r="E54" s="10">
        <f>'التقنية الرقمية'!N6</f>
        <v/>
      </c>
      <c r="F54" s="20">
        <f>'التقنية الرقمية'!O6</f>
        <v/>
      </c>
      <c r="G54" s="24">
        <f>'التقنية الرقمية'!G6</f>
        <v/>
      </c>
    </row>
    <row r="55" ht="22" customHeight="1">
      <c r="A55" s="20" t="n">
        <v>4</v>
      </c>
      <c r="B55" s="21">
        <f>'التقنية الرقمية'!C7</f>
        <v/>
      </c>
      <c r="C55" s="22">
        <f>'التقنية الرقمية'!I7</f>
        <v/>
      </c>
      <c r="D55" s="23">
        <f>'التقنية الرقمية'!M7</f>
        <v/>
      </c>
      <c r="E55" s="10">
        <f>'التقنية الرقمية'!N7</f>
        <v/>
      </c>
      <c r="F55" s="20">
        <f>'التقنية الرقمية'!O7</f>
        <v/>
      </c>
      <c r="G55" s="24">
        <f>'التقنية الرقمية'!G7</f>
        <v/>
      </c>
    </row>
    <row r="56" ht="22" customHeight="1">
      <c r="A56" s="20" t="n">
        <v>5</v>
      </c>
      <c r="B56" s="21">
        <f>'التقنية الرقمية'!C9</f>
        <v/>
      </c>
      <c r="C56" s="22">
        <f>'التقنية الرقمية'!I9</f>
        <v/>
      </c>
      <c r="D56" s="23">
        <f>'التقنية الرقمية'!M9</f>
        <v/>
      </c>
      <c r="E56" s="10">
        <f>'التقنية الرقمية'!N9</f>
        <v/>
      </c>
      <c r="F56" s="20">
        <f>'التقنية الرقمية'!O9</f>
        <v/>
      </c>
      <c r="G56" s="24">
        <f>'التقنية الرقمية'!G9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البشرية'!C4</f>
        <v/>
      </c>
      <c r="C58" s="22">
        <f>'الموارد البشرية'!I4</f>
        <v/>
      </c>
      <c r="D58" s="23">
        <f>'الموارد البشرية'!M4</f>
        <v/>
      </c>
      <c r="E58" s="10">
        <f>'الموارد البشرية'!N4</f>
        <v/>
      </c>
      <c r="F58" s="20">
        <f>'الموارد البشرية'!O4</f>
        <v/>
      </c>
      <c r="G58" s="24">
        <f>'الموارد البشرية'!G4</f>
        <v/>
      </c>
    </row>
    <row r="59" ht="22" customHeight="1">
      <c r="A59" s="20" t="n">
        <v>2</v>
      </c>
      <c r="B59" s="21">
        <f>'الموارد البشرية'!C5</f>
        <v/>
      </c>
      <c r="C59" s="22">
        <f>'الموارد البشرية'!I5</f>
        <v/>
      </c>
      <c r="D59" s="23">
        <f>'الموارد البشرية'!M5</f>
        <v/>
      </c>
      <c r="E59" s="10">
        <f>'الموارد البشرية'!N5</f>
        <v/>
      </c>
      <c r="F59" s="20">
        <f>'الموارد البشرية'!O5</f>
        <v/>
      </c>
      <c r="G59" s="24">
        <f>'الموارد البشرية'!G5</f>
        <v/>
      </c>
    </row>
    <row r="60" ht="22" customHeight="1">
      <c r="A60" s="20" t="n">
        <v>3</v>
      </c>
      <c r="B60" s="21">
        <f>'الموارد البشرية'!C8</f>
        <v/>
      </c>
      <c r="C60" s="22">
        <f>'الموارد البشرية'!I8</f>
        <v/>
      </c>
      <c r="D60" s="23">
        <f>'الموارد البشرية'!M8</f>
        <v/>
      </c>
      <c r="E60" s="10">
        <f>'الموارد البشرية'!N8</f>
        <v/>
      </c>
      <c r="F60" s="20">
        <f>'الموارد البشرية'!O8</f>
        <v/>
      </c>
      <c r="G60" s="24">
        <f>'الموارد البشرية'!G8</f>
        <v/>
      </c>
    </row>
    <row r="61" ht="22" customHeight="1">
      <c r="A61" s="20" t="n">
        <v>4</v>
      </c>
      <c r="B61" s="21">
        <f>'الموارد البشرية'!C6</f>
        <v/>
      </c>
      <c r="C61" s="22">
        <f>'الموارد البشرية'!I6</f>
        <v/>
      </c>
      <c r="D61" s="23">
        <f>'الموارد البشرية'!M6</f>
        <v/>
      </c>
      <c r="E61" s="10">
        <f>'الموارد البشرية'!N6</f>
        <v/>
      </c>
      <c r="F61" s="20">
        <f>'الموارد البشرية'!O6</f>
        <v/>
      </c>
      <c r="G61" s="24">
        <f>'الموارد البشرية'!G6</f>
        <v/>
      </c>
    </row>
    <row r="62" ht="22" customHeight="1">
      <c r="A62" s="20" t="n">
        <v>5</v>
      </c>
      <c r="B62" s="21">
        <f>'الموارد البشرية'!C7</f>
        <v/>
      </c>
      <c r="C62" s="22">
        <f>'الموارد البشرية'!I7</f>
        <v/>
      </c>
      <c r="D62" s="23">
        <f>'الموارد البشرية'!M7</f>
        <v/>
      </c>
      <c r="E62" s="10">
        <f>'الموارد البشرية'!N7</f>
        <v/>
      </c>
      <c r="F62" s="20">
        <f>'الموارد البشرية'!O7</f>
        <v/>
      </c>
      <c r="G62" s="24">
        <f>'الموارد البشرية'!G7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'التسويق'!C4</f>
        <v/>
      </c>
      <c r="C64" s="22">
        <f>'التسويق'!I4</f>
        <v/>
      </c>
      <c r="D64" s="23">
        <f>'التسويق'!M4</f>
        <v/>
      </c>
      <c r="E64" s="10">
        <f>'التسويق'!N4</f>
        <v/>
      </c>
      <c r="F64" s="20">
        <f>'التسويق'!O4</f>
        <v/>
      </c>
      <c r="G64" s="24">
        <f>'التسويق'!G4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'التسويق'!C9</f>
        <v/>
      </c>
      <c r="C67" s="22">
        <f>'التسويق'!I9</f>
        <v/>
      </c>
      <c r="D67" s="23">
        <f>'التسويق'!M9</f>
        <v/>
      </c>
      <c r="E67" s="10">
        <f>'التسويق'!N9</f>
        <v/>
      </c>
      <c r="F67" s="20">
        <f>'التسويق'!O9</f>
        <v/>
      </c>
      <c r="G67" s="24">
        <f>'التسويق'!G9</f>
        <v/>
      </c>
    </row>
    <row r="68" ht="22" customHeight="1">
      <c r="A68" s="20" t="n">
        <v>5</v>
      </c>
      <c r="B68" s="21">
        <f>'التسويق'!C10</f>
        <v/>
      </c>
      <c r="C68" s="22">
        <f>'التسويق'!I10</f>
        <v/>
      </c>
      <c r="D68" s="23">
        <f>'التسويق'!M10</f>
        <v/>
      </c>
      <c r="E68" s="10">
        <f>'التسويق'!N10</f>
        <v/>
      </c>
      <c r="F68" s="20">
        <f>'التسويق'!O10</f>
        <v/>
      </c>
      <c r="G68" s="24">
        <f>'التسويق'!G10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'الجودة'!C4</f>
        <v/>
      </c>
      <c r="C70" s="22">
        <f>'الجودة'!I4</f>
        <v/>
      </c>
      <c r="D70" s="23">
        <f>'الجودة'!M4</f>
        <v/>
      </c>
      <c r="E70" s="10">
        <f>'الجودة'!N4</f>
        <v/>
      </c>
      <c r="F70" s="20">
        <f>'الجودة'!O4</f>
        <v/>
      </c>
      <c r="G70" s="24">
        <f>'الجودة'!G4</f>
        <v/>
      </c>
    </row>
    <row r="71" ht="22" customHeight="1">
      <c r="A71" s="20" t="n">
        <v>2</v>
      </c>
      <c r="B71" s="21">
        <f>'الجودة'!C10</f>
        <v/>
      </c>
      <c r="C71" s="22">
        <f>'الجودة'!I10</f>
        <v/>
      </c>
      <c r="D71" s="23">
        <f>'الجودة'!M10</f>
        <v/>
      </c>
      <c r="E71" s="10">
        <f>'الجودة'!N10</f>
        <v/>
      </c>
      <c r="F71" s="20">
        <f>'الجودة'!O10</f>
        <v/>
      </c>
      <c r="G71" s="24">
        <f>'الجودة'!G10</f>
        <v/>
      </c>
    </row>
    <row r="72" ht="22" customHeight="1">
      <c r="A72" s="20" t="n">
        <v>3</v>
      </c>
      <c r="B72" s="21">
        <f>'الجودة'!C5</f>
        <v/>
      </c>
      <c r="C72" s="22">
        <f>'الجودة'!I5</f>
        <v/>
      </c>
      <c r="D72" s="23">
        <f>'الجودة'!M5</f>
        <v/>
      </c>
      <c r="E72" s="10">
        <f>'الجودة'!N5</f>
        <v/>
      </c>
      <c r="F72" s="20">
        <f>'الجودة'!O5</f>
        <v/>
      </c>
      <c r="G72" s="24">
        <f>'الجودة'!G5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'الجودة'!C7</f>
        <v/>
      </c>
      <c r="C74" s="22">
        <f>'الجودة'!I7</f>
        <v/>
      </c>
      <c r="D74" s="23">
        <f>'الجودة'!M7</f>
        <v/>
      </c>
      <c r="E74" s="10">
        <f>'الجودة'!N7</f>
        <v/>
      </c>
      <c r="F74" s="20">
        <f>'الجودة'!O7</f>
        <v/>
      </c>
      <c r="G74" s="24">
        <f>'الجودة'!G7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القانونية'!C4</f>
        <v/>
      </c>
      <c r="C76" s="22">
        <f>'الإدارة القانونية'!I4</f>
        <v/>
      </c>
      <c r="D76" s="23">
        <f>'الإدارة القانونية'!M4</f>
        <v/>
      </c>
      <c r="E76" s="10">
        <f>'الإدارة القانونية'!N4</f>
        <v/>
      </c>
      <c r="F76" s="20">
        <f>'الإدارة القانونية'!O4</f>
        <v/>
      </c>
      <c r="G76" s="24">
        <f>'الإدارة القانونية'!G4</f>
        <v/>
      </c>
    </row>
    <row r="77" ht="22" customHeight="1">
      <c r="A77" s="20" t="n">
        <v>2</v>
      </c>
      <c r="B77" s="21">
        <f>'الإدارة القانونية'!C5</f>
        <v/>
      </c>
      <c r="C77" s="22">
        <f>'الإدارة القانونية'!I5</f>
        <v/>
      </c>
      <c r="D77" s="23">
        <f>'الإدارة القانونية'!M5</f>
        <v/>
      </c>
      <c r="E77" s="10">
        <f>'الإدارة القانونية'!N5</f>
        <v/>
      </c>
      <c r="F77" s="20">
        <f>'الإدارة القانونية'!O5</f>
        <v/>
      </c>
      <c r="G77" s="24">
        <f>'الإدارة القانونية'!G5</f>
        <v/>
      </c>
    </row>
    <row r="78" ht="22" customHeight="1">
      <c r="A78" s="20" t="n">
        <v>3</v>
      </c>
      <c r="B78" s="21">
        <f>'الإدارة القانونية'!C6</f>
        <v/>
      </c>
      <c r="C78" s="22">
        <f>'الإدارة القانونية'!I6</f>
        <v/>
      </c>
      <c r="D78" s="23">
        <f>'الإدارة القانونية'!M6</f>
        <v/>
      </c>
      <c r="E78" s="10">
        <f>'الإدارة القانونية'!N6</f>
        <v/>
      </c>
      <c r="F78" s="20">
        <f>'الإدارة القانونية'!O6</f>
        <v/>
      </c>
      <c r="G78" s="24">
        <f>'الإدارة القانونية'!G6</f>
        <v/>
      </c>
    </row>
    <row r="79" ht="22" customHeight="1">
      <c r="A79" s="20" t="n">
        <v>4</v>
      </c>
      <c r="B79" s="21">
        <f>'الإدارة القانونية'!C11</f>
        <v/>
      </c>
      <c r="C79" s="22">
        <f>'الإدارة القانونية'!I11</f>
        <v/>
      </c>
      <c r="D79" s="23">
        <f>'الإدارة القانونية'!M11</f>
        <v/>
      </c>
      <c r="E79" s="10">
        <f>'الإدارة القانونية'!N11</f>
        <v/>
      </c>
      <c r="F79" s="20">
        <f>'الإدارة القانونية'!O11</f>
        <v/>
      </c>
      <c r="G79" s="24">
        <f>'الإدارة القانونية'!G11</f>
        <v/>
      </c>
    </row>
    <row r="80" ht="22" customHeight="1">
      <c r="A80" s="20" t="n">
        <v>5</v>
      </c>
      <c r="B80" s="21">
        <f>'الإدارة القانونية'!C7</f>
        <v/>
      </c>
      <c r="C80" s="22">
        <f>'الإدارة القانونية'!I7</f>
        <v/>
      </c>
      <c r="D80" s="23">
        <f>'الإدارة القانونية'!M7</f>
        <v/>
      </c>
      <c r="E80" s="10">
        <f>'الإدارة القانونية'!N7</f>
        <v/>
      </c>
      <c r="F80" s="20">
        <f>'الإدارة القانونية'!O7</f>
        <v/>
      </c>
      <c r="G80" s="24">
        <f>'الإدارة القانونية'!G7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المالية'!C4</f>
        <v/>
      </c>
      <c r="C82" s="22">
        <f>'الإدارة المالية'!I4</f>
        <v/>
      </c>
      <c r="D82" s="23">
        <f>'الإدارة المالية'!M4</f>
        <v/>
      </c>
      <c r="E82" s="10">
        <f>'الإدارة المالية'!N4</f>
        <v/>
      </c>
      <c r="F82" s="20">
        <f>'الإدارة المالية'!O4</f>
        <v/>
      </c>
      <c r="G82" s="24">
        <f>'الإدارة المالية'!G4</f>
        <v/>
      </c>
    </row>
    <row r="83" ht="22" customHeight="1">
      <c r="A83" s="20" t="n">
        <v>2</v>
      </c>
      <c r="B83" s="21">
        <f>'الإدارة المالية'!C7</f>
        <v/>
      </c>
      <c r="C83" s="22">
        <f>'الإدارة المالية'!I7</f>
        <v/>
      </c>
      <c r="D83" s="23">
        <f>'الإدارة المالية'!M7</f>
        <v/>
      </c>
      <c r="E83" s="10">
        <f>'الإدارة المالية'!N7</f>
        <v/>
      </c>
      <c r="F83" s="20">
        <f>'الإدارة المالية'!O7</f>
        <v/>
      </c>
      <c r="G83" s="24">
        <f>'الإدارة المالية'!G7</f>
        <v/>
      </c>
    </row>
    <row r="84" ht="22" customHeight="1">
      <c r="A84" s="20" t="n">
        <v>3</v>
      </c>
      <c r="B84" s="21">
        <f>'الإدارة المالية'!C10</f>
        <v/>
      </c>
      <c r="C84" s="22">
        <f>'الإدارة المالية'!I10</f>
        <v/>
      </c>
      <c r="D84" s="23">
        <f>'الإدارة المالية'!M10</f>
        <v/>
      </c>
      <c r="E84" s="10">
        <f>'الإدارة المالية'!N10</f>
        <v/>
      </c>
      <c r="F84" s="20">
        <f>'الإدارة المالية'!O10</f>
        <v/>
      </c>
      <c r="G84" s="24">
        <f>'الإدارة المالية'!G10</f>
        <v/>
      </c>
    </row>
    <row r="85" ht="22" customHeight="1">
      <c r="A85" s="20" t="n">
        <v>4</v>
      </c>
      <c r="B85" s="21">
        <f>'الإدارة المالية'!C11</f>
        <v/>
      </c>
      <c r="C85" s="22">
        <f>'الإدارة المالية'!I11</f>
        <v/>
      </c>
      <c r="D85" s="23">
        <f>'الإدارة المالية'!M11</f>
        <v/>
      </c>
      <c r="E85" s="10">
        <f>'الإدارة المالية'!N11</f>
        <v/>
      </c>
      <c r="F85" s="20">
        <f>'الإدارة المالية'!O11</f>
        <v/>
      </c>
      <c r="G85" s="24">
        <f>'الإدارة المالية'!G11</f>
        <v/>
      </c>
    </row>
    <row r="86" ht="22" customHeight="1">
      <c r="A86" s="20" t="n">
        <v>5</v>
      </c>
      <c r="B86" s="21">
        <f>'الإدارة المالية'!C12</f>
        <v/>
      </c>
      <c r="C86" s="22">
        <f>'الإدارة المالية'!I12</f>
        <v/>
      </c>
      <c r="D86" s="23">
        <f>'الإدارة المالية'!M12</f>
        <v/>
      </c>
      <c r="E86" s="10">
        <f>'الإدارة المالية'!N12</f>
        <v/>
      </c>
      <c r="F86" s="20">
        <f>'الإدارة المالية'!O12</f>
        <v/>
      </c>
      <c r="G86" s="24">
        <f>'الإدارة المالية'!G12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المؤشرات'!$E$2:$E$223,"التوسع في المواقع")</f>
        <v/>
      </c>
      <c r="E19" s="10">
        <f>IFERROR(AVERAGEIFS('قاعدة المؤشرات'!$G$2:$G$223,'قاعدة المؤشرات'!$E$2:$E$223,"التوسع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المؤشرات'!$E$2:$E$223,"الامتياز التجاري")</f>
        <v/>
      </c>
      <c r="E20" s="10">
        <f>IFERROR(AVERAGEIFS('قاعدة المؤشرات'!$G$2:$G$223,'قاعدة المؤشرات'!$E$2:$E$223,"الامتياز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المؤشرات'!$E$2:$E$223,"زيادة وصول العملاء")</f>
        <v/>
      </c>
      <c r="E21" s="10">
        <f>IFERROR(AVERAGEIFS('قاعدة المؤشرات'!$G$2:$G$223,'قاعدة المؤشرات'!$E$2:$E$223,"زيادة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المؤشرات'!$E$2:$E$223,"إطلاق مشاريع جديدة")</f>
        <v/>
      </c>
      <c r="E22" s="10">
        <f>IFERROR(AVERAGEIFS('قاعدة المؤشرات'!$G$2:$G$223,'قاعدة المؤشرات'!$E$2:$E$223,"إطلاق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المؤشرات'!$E$2:$E$223,"تطوير التصاميم والهوية")</f>
        <v/>
      </c>
      <c r="E23" s="10">
        <f>IFERROR(AVERAGEIFS('قاعدة المؤشرات'!$G$2:$G$223,'قاعدة المؤشرات'!$E$2:$E$223,"تطوير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المؤشرات'!$E$2:$E$223,"التحول التقني")</f>
        <v/>
      </c>
      <c r="E24" s="10">
        <f>IFERROR(AVERAGEIFS('قاعدة المؤشرات'!$G$2:$G$223,'قاعدة المؤشرات'!$E$2:$E$223,"التحول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المؤشرات'!$E$2:$E$223,"ساحات درب")</f>
        <v/>
      </c>
      <c r="E25" s="10">
        <f>IFERROR(AVERAGEIFS('قاعدة المؤشرات'!$G$2:$G$223,'قاعدة المؤشرات'!$E$2:$E$223,"ساحات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المؤشرات'!$E$2:$E$223,"تطبيق «تانكي»")</f>
        <v/>
      </c>
      <c r="E26" s="10">
        <f>IFERROR(AVERAGEIFS('قاعدة المؤشرات'!$G$2:$G$223,'قاعدة المؤشرات'!$E$2:$E$223,"تطبيق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المؤشرات'!$E$2:$E$223,"تعزيز تجربة العملاء")</f>
        <v/>
      </c>
      <c r="E27" s="10">
        <f>IFERROR(AVERAGEIFS('قاعدة المؤشرات'!$G$2:$G$223,'قاعدة المؤشرات'!$E$2:$E$223,"تعزيز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المؤشرات'!$E$2:$E$223,"جودة التشغيل")</f>
        <v/>
      </c>
      <c r="E28" s="10">
        <f>IFERROR(AVERAGEIFS('قاعدة المؤشرات'!$G$2:$G$223,'قاعدة المؤشرات'!$E$2:$E$223,"جودة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المؤشرات'!$E$2:$E$223,"منظومة التأجير")</f>
        <v/>
      </c>
      <c r="E29" s="10">
        <f>IFERROR(AVERAGEIFS('قاعدة المؤشرات'!$G$2:$G$223,'قاعدة المؤشرات'!$E$2:$E$223,"منظومة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المؤشرات'!$E$2:$E$223,"الاستثمار في الموظفين")</f>
        <v/>
      </c>
      <c r="E30" s="10">
        <f>IFERROR(AVERAGEIFS('قاعدة المؤشرات'!$G$2:$G$223,'قاعدة المؤشرات'!$E$2:$E$223,"الاستثمار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المؤشرات'!$G$2:$G$223,'قاعدة المؤشرات'!$F$2:$F$223,"مالي"),"—")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المؤشرات'!$G$2:$G$223,'قاعدة المؤشرات'!$E$2:$E$223,"زيادة وصول العملاء"),"—")</f>
        <v/>
      </c>
      <c r="E10" s="40">
        <f>IFERROR(AVERAGEIFS('قاعدة المؤشرات'!$G$2:$G$223,'قاعدة المؤشرات'!$E$2:$E$223,"تعزيز تجربة العملاء"),"—")</f>
        <v/>
      </c>
      <c r="H10" s="40">
        <f>IFERROR(AVERAGEIFS('قاعدة المؤشرات'!$G$2:$G$223,'قاعدة المؤشرات'!$E$2:$E$223,"تطبيق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المؤشرات'!$G$2:$G$223,'قاعدة المؤشرات'!$E$2:$E$223,"التوسع في المواقع"),"—")</f>
        <v/>
      </c>
      <c r="D14" s="42">
        <f>IFERROR(AVERAGEIFS('قاعدة المؤشرات'!$G$2:$G$223,'قاعدة المؤشرات'!$E$2:$E$223,"الامتياز التجاري"),"—")</f>
        <v/>
      </c>
      <c r="F14" s="42">
        <f>IFERROR(AVERAGEIFS('قاعدة المؤشرات'!$G$2:$G$223,'قاعدة المؤشرات'!$E$2:$E$223,"منظومة التأجير"),"—")</f>
        <v/>
      </c>
      <c r="H14" s="42">
        <f>IFERROR(AVERAGEIFS('قاعدة المؤشرات'!$G$2:$G$223,'قاعدة المؤشرات'!$E$2:$E$223,"ساحات درب"),"—")</f>
        <v/>
      </c>
      <c r="J14" s="42">
        <f>IFERROR(AVERAGEIFS('قاعدة المؤشرات'!$G$2:$G$223,'قاعدة المؤشرات'!$E$2:$E$223,"جودة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المؤشرات'!$G$2:$G$223,'قاعدة المؤشرات'!$E$2:$E$223,"الاستثمار في الموظفين"),"—")</f>
        <v/>
      </c>
      <c r="D18" s="44">
        <f>IFERROR(AVERAGEIFS('قاعدة المؤشرات'!$G$2:$G$223,'قاعدة المؤشرات'!$E$2:$E$223,"التحول التقني"),"—")</f>
        <v/>
      </c>
      <c r="F18" s="44">
        <f>IFERROR(AVERAGEIFS('قاعدة المؤشرات'!$G$2:$G$223,'قاعدة المؤشرات'!$E$2:$E$223,"إطلاق مشاريع جديدة"),"—")</f>
        <v/>
      </c>
      <c r="H18" s="44">
        <f>IFERROR(AVERAGEIFS('قاعدة المؤشرات'!$G$2:$G$223,'قاعدة المؤشرات'!$E$2:$E$223,"تطوير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المؤشرات'!$H$2:$H$223,"✅ محقق",'قاعدة المؤشرات'!$B$2:$B$223,"&lt;&gt;الإدارة التنفيذية")</f>
        <v/>
      </c>
      <c r="D5" s="5">
        <f>COUNTIFS('قاعدة المؤشرات'!$H$2:$H$223,"🟡 قريب",'قاعدة المؤشرات'!$B$2:$B$223,"&lt;&gt;الإدارة التنفيذية")</f>
        <v/>
      </c>
      <c r="E5" s="5">
        <f>COUNTIFS('قاعدة المؤشرات'!$H$2:$H$223,"🔴 تحت الهدف",'قاعدة المؤشرات'!$B$2:$B$223,"&lt;&gt;الإدارة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المؤشرات'!$B$2:$B$223,"الإدارة التنفيذية",'قاعدة المؤشرات'!$J$2:$J$223)/SUMIF('قاعدة المؤشرات'!$B$2:$B$223,"الإدارة التنفيذية",'قاعدة المؤشرات'!$K$2:$K$223),"—")</f>
        <v/>
      </c>
      <c r="D9" s="9" t="inlineStr">
        <is>
          <t>النمو</t>
        </is>
      </c>
      <c r="E9" s="10">
        <f>IFERROR(AVERAGEIFS('قاعدة المؤشرات'!$G$2:$G$223,'قاعدة المؤشرات'!$D$2:$D$223,"النمو"),"—")</f>
        <v/>
      </c>
      <c r="H9" s="15">
        <f>IFERROR(SUMIF('قاعدة المؤشرات'!$B$2:$B$223,"الإدارة التنفيذية",'قاعدة المؤشرات'!$J$2:$J$223)/SUMIF('قاعدة المؤشرات'!$B$2:$B$223,"الإدارة التنفيذية",'قاعدة المؤشرات'!$K$2:$K$223),0)</f>
        <v/>
      </c>
      <c r="I9" s="15" t="n">
        <v>0</v>
      </c>
      <c r="J9" s="15">
        <f>IF(SUMIF('قاعدة المؤشرات'!$B$2:$B$223,"الإدارة التنفيذية",'قاعدة المؤشرات'!$K$2:$K$223)=0,0,1)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المؤشرات'!$B$2:$B$223,"الامتياز التجاري",'قاعدة المؤشرات'!$J$2:$J$223)/SUMIF('قاعدة المؤشرات'!$B$2:$B$223,"الامتياز التجاري",'قاعدة المؤشرات'!$K$2:$K$223),"—")</f>
        <v/>
      </c>
      <c r="D10" s="9" t="inlineStr">
        <is>
          <t>الابتكار</t>
        </is>
      </c>
      <c r="E10" s="10">
        <f>IFERROR(AVERAGEIFS('قاعدة المؤشرات'!$G$2:$G$223,'قاعدة المؤشرات'!$D$2:$D$223,"الابتكار"),"—")</f>
        <v/>
      </c>
      <c r="H10" s="15">
        <f>IFERROR(SUMIF('قاعدة المؤشرات'!$B$2:$B$223,"الامتياز التجاري",'قاعدة المؤشرات'!$J$2:$J$223)/SUMIF('قاعدة المؤشرات'!$B$2:$B$223,"الامتياز التجاري",'قاعدة المؤشرات'!$K$2:$K$223),0)</f>
        <v/>
      </c>
      <c r="I10" s="15" t="n">
        <v>0.14</v>
      </c>
      <c r="J10" s="15">
        <f>IF(SUMIF('قاعدة المؤشرات'!$B$2:$B$223,"الامتياز التجاري",'قاعدة المؤشرات'!$K$2:$K$223)=0,0,1)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المؤشرات'!$B$2:$B$223,"التشغيل والمحطات",'قاعدة المؤشرات'!$J$2:$J$223)/SUMIF('قاعدة المؤشرات'!$B$2:$B$223,"التشغيل والمحطات",'قاعدة المؤشرات'!$K$2:$K$223),"—")</f>
        <v/>
      </c>
      <c r="D11" s="9" t="inlineStr">
        <is>
          <t>الاستدامة</t>
        </is>
      </c>
      <c r="E11" s="10">
        <f>IFERROR(AVERAGEIFS('قاعدة المؤشرات'!$G$2:$G$223,'قاعدة المؤشرات'!$D$2:$D$223,"الاستدامة"),"—")</f>
        <v/>
      </c>
      <c r="H11" s="15">
        <f>IFERROR(SUMIF('قاعدة المؤشرات'!$B$2:$B$223,"التشغيل والمحطات",'قاعدة المؤشرات'!$J$2:$J$223)/SUMIF('قاعدة المؤشرات'!$B$2:$B$223,"التشغيل والمحطات",'قاعدة المؤشرات'!$K$2:$K$223),0)</f>
        <v/>
      </c>
      <c r="I11" s="15" t="n">
        <v>0.12</v>
      </c>
      <c r="J11" s="15">
        <f>IF(SUMIF('قاعدة المؤشرات'!$B$2:$B$223,"التشغيل والمحطات",'قاعدة المؤشرات'!$K$2:$K$223)=0,0,1)</f>
        <v/>
      </c>
    </row>
    <row r="12">
      <c r="B12" s="9" t="inlineStr">
        <is>
          <t>الاستثمار</t>
        </is>
      </c>
      <c r="C12" s="10">
        <f>IFERROR(SUMIF('قاعدة المؤشرات'!$B$2:$B$223,"الاستثمار",'قاعدة المؤشرات'!$J$2:$J$223)/SUMIF('قاعدة المؤشرات'!$B$2:$B$223,"الاستثمار",'قاعدة المؤشرات'!$K$2:$K$223),"—")</f>
        <v/>
      </c>
      <c r="H12" s="15">
        <f>IFERROR(SUMIF('قاعدة المؤشرات'!$B$2:$B$223,"الاستثمار",'قاعدة المؤشرات'!$J$2:$J$223)/SUMIF('قاعدة المؤشرات'!$B$2:$B$223,"الاستثمار",'قاعدة المؤشرات'!$K$2:$K$223),0)</f>
        <v/>
      </c>
      <c r="I12" s="15" t="n">
        <v>0.11</v>
      </c>
      <c r="J12" s="15">
        <f>IF(SUMIF('قاعدة المؤشرات'!$B$2:$B$223,"الاستثمار",'قاعدة المؤشرات'!$K$2:$K$223)=0,0,1)</f>
        <v/>
      </c>
    </row>
    <row r="13">
      <c r="B13" s="9" t="inlineStr">
        <is>
          <t>العقار</t>
        </is>
      </c>
      <c r="C13" s="10">
        <f>IFERROR(SUMIF('قاعدة المؤشرات'!$B$2:$B$223,"العقار",'قاعدة المؤشرات'!$J$2:$J$223)/SUMIF('قاعدة المؤشرات'!$B$2:$B$223,"العقار",'قاعدة المؤشرات'!$K$2:$K$223),"—")</f>
        <v/>
      </c>
      <c r="D13" s="46" t="inlineStr">
        <is>
          <t>حسب منظور BSC</t>
        </is>
      </c>
      <c r="E13" s="7" t="n"/>
      <c r="H13" s="15">
        <f>IFERROR(SUMIF('قاعدة المؤشرات'!$B$2:$B$223,"العقار",'قاعدة المؤشرات'!$J$2:$J$223)/SUMIF('قاعدة المؤشرات'!$B$2:$B$223,"العقار",'قاعدة المؤشرات'!$K$2:$K$223),0)</f>
        <v/>
      </c>
      <c r="I13" s="15" t="n">
        <v>0.09</v>
      </c>
      <c r="J13" s="15">
        <f>IF(SUMIF('قاعدة المؤشرات'!$B$2:$B$223,"العقار",'قاعدة المؤشرات'!$K$2:$K$223)=0,0,1)</f>
        <v/>
      </c>
    </row>
    <row r="14">
      <c r="B14" s="9" t="inlineStr">
        <is>
          <t>إدارة المشاريع</t>
        </is>
      </c>
      <c r="C14" s="10">
        <f>IFERROR(SUMIF('قاعدة المؤشرات'!$B$2:$B$223,"إدارة المشاريع",'قاعدة المؤشرات'!$J$2:$J$223)/SUMIF('قاعدة المؤشرات'!$B$2:$B$223,"إدارة المشاريع",'قاعدة المؤشرات'!$K$2:$K$223),"—")</f>
        <v/>
      </c>
      <c r="D14" s="9" t="inlineStr">
        <is>
          <t>مالي</t>
        </is>
      </c>
      <c r="E14" s="10">
        <f>IFERROR(AVERAGEIFS('قاعدة المؤشرات'!$G$2:$G$223,'قاعدة المؤشرات'!$F$2:$F$223,"مالي"),"—")</f>
        <v/>
      </c>
      <c r="H14" s="15">
        <f>IFERROR(SUMIF('قاعدة المؤشرات'!$B$2:$B$223,"إدارة المشاريع",'قاعدة المؤشرات'!$J$2:$J$223)/SUMIF('قاعدة المؤشرات'!$B$2:$B$223,"إدارة المشاريع",'قاعدة المؤشرات'!$K$2:$K$223),0)</f>
        <v/>
      </c>
      <c r="I14" s="15" t="n">
        <v>0.08</v>
      </c>
      <c r="J14" s="15">
        <f>IF(SUMIF('قاعدة المؤشرات'!$B$2:$B$223,"إدارة المشاريع",'قاعدة المؤشرات'!$K$2:$K$223)=0,0,1)</f>
        <v/>
      </c>
    </row>
    <row r="15">
      <c r="B15" s="9" t="inlineStr">
        <is>
          <t>سلاسل الإمداد</t>
        </is>
      </c>
      <c r="C15" s="10">
        <f>IFERROR(SUMIF('قاعدة المؤشرات'!$B$2:$B$223,"سلاسل الإمداد",'قاعدة المؤشرات'!$J$2:$J$223)/SUMIF('قاعدة المؤشرات'!$B$2:$B$223,"سلاسل الإمداد",'قاعدة المؤشرات'!$K$2:$K$223),"—")</f>
        <v/>
      </c>
      <c r="D15" s="9" t="inlineStr">
        <is>
          <t>العملاء</t>
        </is>
      </c>
      <c r="E15" s="10">
        <f>IFERROR(AVERAGEIFS('قاعدة المؤشرات'!$G$2:$G$223,'قاعدة المؤشرات'!$F$2:$F$223,"العملاء"),"—")</f>
        <v/>
      </c>
      <c r="H15" s="15">
        <f>IFERROR(SUMIF('قاعدة المؤشرات'!$B$2:$B$223,"سلاسل الإمداد",'قاعدة المؤشرات'!$J$2:$J$223)/SUMIF('قاعدة المؤشرات'!$B$2:$B$223,"سلاسل الإمداد",'قاعدة المؤشرات'!$K$2:$K$223),0)</f>
        <v/>
      </c>
      <c r="I15" s="15" t="n">
        <v>0.1</v>
      </c>
      <c r="J15" s="15">
        <f>IF(SUMIF('قاعدة المؤشرات'!$B$2:$B$223,"سلاسل الإمداد",'قاعدة المؤشرات'!$K$2:$K$223)=0,0,1)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المؤشرات'!$B$2:$B$223,"الصيانة والأتمتة",'قاعدة المؤشرات'!$J$2:$J$223)/SUMIF('قاعدة المؤشرات'!$B$2:$B$223,"الصيانة والأتمتة",'قاعدة المؤشرات'!$K$2:$K$223),"—")</f>
        <v/>
      </c>
      <c r="D16" s="9" t="inlineStr">
        <is>
          <t>العمليات الداخلية</t>
        </is>
      </c>
      <c r="E16" s="10">
        <f>IFERROR(AVERAGEIFS('قاعدة المؤشرات'!$G$2:$G$223,'قاعدة المؤشرات'!$F$2:$F$223,"العمليات الداخلية"),"—")</f>
        <v/>
      </c>
      <c r="H16" s="15">
        <f>IFERROR(SUMIF('قاعدة المؤشرات'!$B$2:$B$223,"الصيانة والأتمتة",'قاعدة المؤشرات'!$J$2:$J$223)/SUMIF('قاعدة المؤشرات'!$B$2:$B$223,"الصيانة والأتمتة",'قاعدة المؤشرات'!$K$2:$K$223),0)</f>
        <v/>
      </c>
      <c r="I16" s="15" t="n">
        <v>0.07000000000000001</v>
      </c>
      <c r="J16" s="15">
        <f>IF(SUMIF('قاعدة المؤشرات'!$B$2:$B$223,"الصيانة والأتمتة",'قاعدة المؤشرات'!$K$2:$K$223)=0,0,1)</f>
        <v/>
      </c>
    </row>
    <row r="17">
      <c r="B17" s="9" t="inlineStr">
        <is>
          <t>التقنية الرقمية</t>
        </is>
      </c>
      <c r="C17" s="10">
        <f>IFERROR(SUMIF('قاعدة المؤشرات'!$B$2:$B$223,"التقنية الرقمية",'قاعدة المؤشرات'!$J$2:$J$223)/SUMIF('قاعدة المؤشرات'!$B$2:$B$223,"التقنية الرقمية",'قاعدة المؤشرات'!$K$2:$K$223),"—")</f>
        <v/>
      </c>
      <c r="D17" s="9" t="inlineStr">
        <is>
          <t>التعلّم والنمو</t>
        </is>
      </c>
      <c r="E17" s="10">
        <f>IFERROR(AVERAGEIFS('قاعدة المؤشرات'!$G$2:$G$223,'قاعدة المؤشرات'!$F$2:$F$223,"التعلّم والنمو"),"—")</f>
        <v/>
      </c>
      <c r="H17" s="15">
        <f>IFERROR(SUMIF('قاعدة المؤشرات'!$B$2:$B$223,"التقنية الرقمية",'قاعدة المؤشرات'!$J$2:$J$223)/SUMIF('قاعدة المؤشرات'!$B$2:$B$223,"التقنية الرقمية",'قاعدة المؤشرات'!$K$2:$K$223),0)</f>
        <v/>
      </c>
      <c r="I17" s="15" t="n">
        <v>0.04</v>
      </c>
      <c r="J17" s="15">
        <f>IF(SUMIF('قاعدة المؤشرات'!$B$2:$B$223,"التقنية الرقمية",'قاعدة المؤشرات'!$K$2:$K$223)=0,0,1)</f>
        <v/>
      </c>
    </row>
    <row r="18">
      <c r="B18" s="9" t="inlineStr">
        <is>
          <t>الموارد البشرية</t>
        </is>
      </c>
      <c r="C18" s="10">
        <f>IFERROR(SUMIF('قاعدة المؤشرات'!$B$2:$B$223,"الموارد البشرية",'قاعدة المؤشرات'!$J$2:$J$223)/SUMIF('قاعدة المؤشرات'!$B$2:$B$223,"الموارد البشرية",'قاعدة المؤشرات'!$K$2:$K$223),"—")</f>
        <v/>
      </c>
      <c r="H18" s="15">
        <f>IFERROR(SUMIF('قاعدة المؤشرات'!$B$2:$B$223,"الموارد البشرية",'قاعدة المؤشرات'!$J$2:$J$223)/SUMIF('قاعدة المؤشرات'!$B$2:$B$223,"الموارد البشرية",'قاعدة المؤشرات'!$K$2:$K$223),0)</f>
        <v/>
      </c>
      <c r="I18" s="15" t="n">
        <v>0.04</v>
      </c>
      <c r="J18" s="15">
        <f>IF(SUMIF('قاعدة المؤشرات'!$B$2:$B$223,"الموارد البشرية",'قاعدة المؤشرات'!$K$2:$K$223)=0,0,1)</f>
        <v/>
      </c>
    </row>
    <row r="19">
      <c r="B19" s="9" t="inlineStr">
        <is>
          <t>التسويق</t>
        </is>
      </c>
      <c r="C19" s="10">
        <f>IFERROR(SUMIF('قاعدة المؤشرات'!$B$2:$B$223,"التسويق",'قاعدة المؤشرات'!$J$2:$J$223)/SUMIF('قاعدة المؤشرات'!$B$2:$B$223,"التسويق",'قاعدة المؤشرات'!$K$2:$K$223),"—")</f>
        <v/>
      </c>
      <c r="H19" s="15">
        <f>IFERROR(SUMIF('قاعدة المؤشرات'!$B$2:$B$223,"التسويق",'قاعدة المؤشرات'!$J$2:$J$223)/SUMIF('قاعدة المؤشرات'!$B$2:$B$223,"التسويق",'قاعدة المؤشرات'!$K$2:$K$223),0)</f>
        <v/>
      </c>
      <c r="I19" s="15" t="n">
        <v>0.05</v>
      </c>
      <c r="J19" s="15">
        <f>IF(SUMIF('قاعدة المؤشرات'!$B$2:$B$223,"التسويق",'قاعدة المؤشرات'!$K$2:$K$223)=0,0,1)</f>
        <v/>
      </c>
    </row>
    <row r="20">
      <c r="B20" s="9" t="inlineStr">
        <is>
          <t>الجودة</t>
        </is>
      </c>
      <c r="C20" s="10">
        <f>IFERROR(SUMIF('قاعدة المؤشرات'!$B$2:$B$223,"الجودة",'قاعدة المؤشرات'!$J$2:$J$223)/SUMIF('قاعدة المؤشرات'!$B$2:$B$223,"الجودة",'قاعدة المؤشرات'!$K$2:$K$223),"—")</f>
        <v/>
      </c>
      <c r="H20" s="15">
        <f>IFERROR(SUMIF('قاعدة المؤشرات'!$B$2:$B$223,"الجودة",'قاعدة المؤشرات'!$J$2:$J$223)/SUMIF('قاعدة المؤشرات'!$B$2:$B$223,"الجودة",'قاعدة المؤشرات'!$K$2:$K$223),0)</f>
        <v/>
      </c>
      <c r="I20" s="15" t="n">
        <v>0.05</v>
      </c>
      <c r="J20" s="15">
        <f>IF(SUMIF('قاعدة المؤشرات'!$B$2:$B$223,"الجودة",'قاعدة المؤشرات'!$K$2:$K$223)=0,0,1)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المؤشرات'!$B$2:$B$223,"الإدارة القانونية",'قاعدة المؤشرات'!$J$2:$J$223)/SUMIF('قاعدة المؤشرات'!$B$2:$B$223,"الإدارة القانونية",'قاعدة المؤشرات'!$K$2:$K$223),"—")</f>
        <v/>
      </c>
      <c r="H21" s="15">
        <f>IFERROR(SUMIF('قاعدة المؤشرات'!$B$2:$B$223,"الإدارة القانونية",'قاعدة المؤشرات'!$J$2:$J$223)/SUMIF('قاعدة المؤشرات'!$B$2:$B$223,"الإدارة القانونية",'قاعدة المؤشرات'!$K$2:$K$223),0)</f>
        <v/>
      </c>
      <c r="I21" s="15" t="n">
        <v>0.03</v>
      </c>
      <c r="J21" s="15">
        <f>IF(SUMIF('قاعدة المؤشرات'!$B$2:$B$223,"الإدارة القانونية",'قاعدة المؤشرات'!$K$2:$K$223)=0,0,1)</f>
        <v/>
      </c>
    </row>
    <row r="22">
      <c r="B22" s="9" t="inlineStr">
        <is>
          <t>الإدارة المالية</t>
        </is>
      </c>
      <c r="C22" s="10">
        <f>IFERROR(SUMIF('قاعدة المؤشرات'!$B$2:$B$223,"الإدارة المالية",'قاعدة المؤشرات'!$J$2:$J$223)/SUMIF('قاعدة المؤشرات'!$B$2:$B$223,"الإدارة المالية",'قاعدة المؤشرات'!$K$2:$K$223),"—")</f>
        <v/>
      </c>
      <c r="H22" s="15">
        <f>IFERROR(SUMIF('قاعدة المؤشرات'!$B$2:$B$223,"الإدارة المالية",'قاعدة المؤشرات'!$J$2:$J$223)/SUMIF('قاعدة المؤشرات'!$B$2:$B$223,"الإدارة المالية",'قاعدة المؤشرات'!$K$2:$K$223),0)</f>
        <v/>
      </c>
      <c r="I22" s="15" t="n">
        <v>0.08</v>
      </c>
      <c r="J22" s="15">
        <f>IF(SUMIF('قاعدة المؤشرات'!$B$2:$B$223,"الإدارة المالية",'قاعدة المؤشرات'!$K$2:$K$223)=0,0,1)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49" t="n">
        <v>0</v>
      </c>
      <c r="E3" s="49" t="n">
        <v>0.5</v>
      </c>
      <c r="F3" s="50" t="n">
        <v>0</v>
      </c>
      <c r="G3" s="12" t="n">
        <v>1</v>
      </c>
      <c r="H3" s="49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49" t="n">
        <v>0</v>
      </c>
      <c r="E4" s="49" t="n">
        <v>3</v>
      </c>
      <c r="F4" s="50" t="n">
        <v>0</v>
      </c>
      <c r="G4" s="12" t="n">
        <v>1</v>
      </c>
      <c r="H4" s="49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49" t="n">
        <v>0</v>
      </c>
      <c r="E5" s="49" t="n">
        <v>3</v>
      </c>
      <c r="F5" s="50" t="n">
        <v>0</v>
      </c>
      <c r="G5" s="12" t="n">
        <v>1</v>
      </c>
      <c r="H5" s="49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49" t="n">
        <v>1</v>
      </c>
      <c r="E6" s="49" t="n">
        <v>200</v>
      </c>
      <c r="F6" s="50" t="n">
        <v>0.005</v>
      </c>
      <c r="G6" s="12" t="n">
        <v>0.995</v>
      </c>
      <c r="H6" s="49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1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49" t="n">
        <v>5000000</v>
      </c>
      <c r="E7" s="49" t="n">
        <v>50000000</v>
      </c>
      <c r="F7" s="50" t="n">
        <v>0.1</v>
      </c>
      <c r="G7" s="12" t="n">
        <v>0.9</v>
      </c>
      <c r="H7" s="49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1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49" t="n">
        <v>0.1</v>
      </c>
      <c r="E8" s="49" t="n">
        <v>1</v>
      </c>
      <c r="F8" s="50" t="n">
        <v>0.1</v>
      </c>
      <c r="G8" s="12" t="n">
        <v>0.9</v>
      </c>
      <c r="H8" s="49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1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49" t="n">
        <v>0.16</v>
      </c>
      <c r="E9" s="49" t="n">
        <v>1</v>
      </c>
      <c r="F9" s="50" t="n">
        <v>0.16</v>
      </c>
      <c r="G9" s="12" t="n">
        <v>0.84</v>
      </c>
      <c r="H9" s="49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1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49" t="n">
        <v>1500000</v>
      </c>
      <c r="E10" s="49" t="n">
        <v>7000000</v>
      </c>
      <c r="F10" s="50" t="n">
        <v>0.2142857142857143</v>
      </c>
      <c r="G10" s="12" t="n">
        <v>0.7857142857142857</v>
      </c>
      <c r="H10" s="49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1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49" t="n">
        <v>11</v>
      </c>
      <c r="E11" s="49" t="n">
        <v>48</v>
      </c>
      <c r="F11" s="50" t="n">
        <v>0.2291666666666667</v>
      </c>
      <c r="G11" s="12" t="n">
        <v>0.7708333333333334</v>
      </c>
      <c r="H11" s="49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1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49" t="n">
        <v>253000</v>
      </c>
      <c r="E12" s="49" t="n">
        <v>380000</v>
      </c>
      <c r="F12" s="50" t="n">
        <v>0.6657894736842105</v>
      </c>
      <c r="G12" s="12" t="n">
        <v>0.3342105263157895</v>
      </c>
      <c r="H12" s="49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1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49" t="n">
        <v>0.17</v>
      </c>
      <c r="E13" s="49" t="n">
        <v>0.25</v>
      </c>
      <c r="F13" s="50" t="n">
        <v>0.68</v>
      </c>
      <c r="G13" s="12" t="n">
        <v>0.32</v>
      </c>
      <c r="H13" s="49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1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49" t="n">
        <v>0.21</v>
      </c>
      <c r="E14" s="49" t="n">
        <v>0.3</v>
      </c>
      <c r="F14" s="50" t="n">
        <v>0.7</v>
      </c>
      <c r="G14" s="12" t="n">
        <v>0.3</v>
      </c>
      <c r="H14" s="49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1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49" t="n">
        <v>0.715</v>
      </c>
      <c r="E15" s="49" t="n">
        <v>0.99</v>
      </c>
      <c r="F15" s="50" t="n">
        <v>0.7222222222222222</v>
      </c>
      <c r="G15" s="12" t="n">
        <v>0.2777777777777778</v>
      </c>
      <c r="H15" s="49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1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49" t="n">
        <v>180.7</v>
      </c>
      <c r="E16" s="49" t="n">
        <v>250</v>
      </c>
      <c r="F16" s="50" t="n">
        <v>0.7228</v>
      </c>
      <c r="G16" s="12" t="n">
        <v>0.2772</v>
      </c>
      <c r="H16" s="49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1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49" t="n">
        <v>0.651</v>
      </c>
      <c r="E17" s="49" t="n">
        <v>0.9</v>
      </c>
      <c r="F17" s="50" t="n">
        <v>0.7233333333333334</v>
      </c>
      <c r="G17" s="12" t="n">
        <v>0.2766666666666666</v>
      </c>
      <c r="H17" s="49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1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49" t="n">
        <v>0.652</v>
      </c>
      <c r="E18" s="49" t="n">
        <v>0.9</v>
      </c>
      <c r="F18" s="50" t="n">
        <v>0.7244444444444444</v>
      </c>
      <c r="G18" s="12" t="n">
        <v>0.2755555555555556</v>
      </c>
      <c r="H18" s="49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1" t="n"/>
    </row>
    <row r="19">
      <c r="A19" s="15" t="n">
        <v>17</v>
      </c>
      <c r="B19" s="13" t="inlineStr">
        <is>
          <t>الاستثمار</t>
        </is>
      </c>
      <c r="C19" s="21" t="inlineStr">
        <is>
          <t>عقود تشغيل المحطة الجديدة</t>
        </is>
      </c>
      <c r="D19" s="49" t="n">
        <v>49.4</v>
      </c>
      <c r="E19" s="49" t="n">
        <v>68</v>
      </c>
      <c r="F19" s="50" t="n">
        <v>0.7264705882352941</v>
      </c>
      <c r="G19" s="12" t="n">
        <v>0.2735294117647059</v>
      </c>
      <c r="H19" s="49" t="n">
        <v>98.8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1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49" t="n">
        <v>0.6919999999999999</v>
      </c>
      <c r="E20" s="49" t="n">
        <v>0.95</v>
      </c>
      <c r="F20" s="50" t="n">
        <v>0.728421052631579</v>
      </c>
      <c r="G20" s="12" t="n">
        <v>0.271578947368421</v>
      </c>
      <c r="H20" s="49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1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49" t="n">
        <v>0.659</v>
      </c>
      <c r="E21" s="49" t="n">
        <v>0.9</v>
      </c>
      <c r="F21" s="50" t="n">
        <v>0.7322222222222222</v>
      </c>
      <c r="G21" s="12" t="n">
        <v>0.2677777777777778</v>
      </c>
      <c r="H21" s="49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1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49" t="n">
        <v>0.696</v>
      </c>
      <c r="E22" s="49" t="n">
        <v>0.95</v>
      </c>
      <c r="F22" s="50" t="n">
        <v>0.7326315789473684</v>
      </c>
      <c r="G22" s="12" t="n">
        <v>0.2673684210526316</v>
      </c>
      <c r="H22" s="49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1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49" t="n">
        <v>110</v>
      </c>
      <c r="E23" s="49" t="n">
        <v>150</v>
      </c>
      <c r="F23" s="50" t="n">
        <v>0.7333333333333333</v>
      </c>
      <c r="G23" s="12" t="n">
        <v>0.2666666666666667</v>
      </c>
      <c r="H23" s="49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1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49" t="n">
        <v>0.699</v>
      </c>
      <c r="E24" s="49" t="n">
        <v>0.95</v>
      </c>
      <c r="F24" s="50" t="n">
        <v>0.7357894736842105</v>
      </c>
      <c r="G24" s="12" t="n">
        <v>0.2642105263157895</v>
      </c>
      <c r="H24" s="49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1" t="n"/>
    </row>
    <row r="25">
      <c r="A25" s="15" t="n">
        <v>23</v>
      </c>
      <c r="B25" s="13" t="inlineStr">
        <is>
          <t>الاستثمار</t>
        </is>
      </c>
      <c r="C25" s="21" t="inlineStr">
        <is>
          <t>عقود تأجير الأرض الجديدة</t>
        </is>
      </c>
      <c r="D25" s="49" t="n">
        <v>8.1</v>
      </c>
      <c r="E25" s="49" t="n">
        <v>11</v>
      </c>
      <c r="F25" s="50" t="n">
        <v>0.7363636363636363</v>
      </c>
      <c r="G25" s="12" t="n">
        <v>0.2636363636363637</v>
      </c>
      <c r="H25" s="49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1" t="n"/>
    </row>
    <row r="26">
      <c r="A26" s="15" t="n">
        <v>24</v>
      </c>
      <c r="B26" s="13" t="inlineStr">
        <is>
          <t>الاستثمار</t>
        </is>
      </c>
      <c r="C26" s="21" t="inlineStr">
        <is>
          <t>نسبة تخفيض إيجار المواقع عالية التكاليف</t>
        </is>
      </c>
      <c r="D26" s="49" t="n">
        <v>0.221</v>
      </c>
      <c r="E26" s="49" t="n">
        <v>0.3</v>
      </c>
      <c r="F26" s="50" t="n">
        <v>0.7366666666666667</v>
      </c>
      <c r="G26" s="12" t="n">
        <v>0.2633333333333333</v>
      </c>
      <c r="H26" s="49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51" t="n"/>
    </row>
    <row r="27">
      <c r="A27" s="15" t="n">
        <v>25</v>
      </c>
      <c r="B27" s="13" t="inlineStr">
        <is>
          <t>الامتياز التجاري</t>
        </is>
      </c>
      <c r="C27" s="21" t="inlineStr">
        <is>
          <t>متوسط تقييم المحطات على خرائط قوقل</t>
        </is>
      </c>
      <c r="D27" s="49" t="n">
        <v>3.474</v>
      </c>
      <c r="E27" s="49" t="n">
        <v>4.7</v>
      </c>
      <c r="F27" s="50" t="n">
        <v>0.7391489361702128</v>
      </c>
      <c r="G27" s="12" t="n">
        <v>0.2608510638297872</v>
      </c>
      <c r="H27" s="49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51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العائد على حقوق الملكية (ROE)</t>
        </is>
      </c>
      <c r="D28" s="49" t="n">
        <v>0.074</v>
      </c>
      <c r="E28" s="49" t="n">
        <v>0.1</v>
      </c>
      <c r="F28" s="50" t="n">
        <v>0.7399999999999999</v>
      </c>
      <c r="G28" s="12" t="n">
        <v>0.2600000000000001</v>
      </c>
      <c r="H28" s="49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1" t="n"/>
    </row>
    <row r="29">
      <c r="A29" s="15" t="n">
        <v>27</v>
      </c>
      <c r="B29" s="13" t="inlineStr">
        <is>
          <t>التشغيل والمحطات</t>
        </is>
      </c>
      <c r="C29" s="21" t="inlineStr">
        <is>
          <t>التشجير داخل المحطة (معيار الوزارة)</t>
        </is>
      </c>
      <c r="D29" s="49" t="n">
        <v>0.747</v>
      </c>
      <c r="E29" s="49" t="n">
        <v>1</v>
      </c>
      <c r="F29" s="50" t="n">
        <v>0.747</v>
      </c>
      <c r="G29" s="12" t="n">
        <v>0.253</v>
      </c>
      <c r="H29" s="49" t="n">
        <v>0.747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التشغيل</t>
        </is>
      </c>
      <c r="M29" s="51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49" t="n">
        <v>0.674</v>
      </c>
      <c r="E30" s="49" t="n">
        <v>0.9</v>
      </c>
      <c r="F30" s="50" t="n">
        <v>0.7488888888888889</v>
      </c>
      <c r="G30" s="12" t="n">
        <v>0.2511111111111111</v>
      </c>
      <c r="H30" s="49" t="n">
        <v>0.674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1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الالتزام بمعايير وزارة الطاقة (تغطية 13 منطقة)</t>
        </is>
      </c>
      <c r="D31" s="49" t="n">
        <v>0.749</v>
      </c>
      <c r="E31" s="49" t="n">
        <v>1</v>
      </c>
      <c r="F31" s="50" t="n">
        <v>0.749</v>
      </c>
      <c r="G31" s="12" t="n">
        <v>0.251</v>
      </c>
      <c r="H31" s="49" t="n">
        <v>0.749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1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مؤشر رضا الموظفين العام (eNPS)</t>
        </is>
      </c>
      <c r="D32" s="49" t="n">
        <v>22.5</v>
      </c>
      <c r="E32" s="49" t="n">
        <v>30</v>
      </c>
      <c r="F32" s="50" t="n">
        <v>0.75</v>
      </c>
      <c r="G32" s="12" t="n">
        <v>0.25</v>
      </c>
      <c r="H32" s="49" t="n">
        <v>22.5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الرئيس التنفيذي</t>
        </is>
      </c>
      <c r="M32" s="51" t="n"/>
    </row>
    <row r="33">
      <c r="A33" s="15" t="n">
        <v>31</v>
      </c>
      <c r="B33" s="13" t="inlineStr">
        <is>
          <t>الاستثمار</t>
        </is>
      </c>
      <c r="C33" s="21" t="inlineStr">
        <is>
          <t>نسبة اكتمال المستندات النظامية قبل التوقيع</t>
        </is>
      </c>
      <c r="D33" s="49" t="n">
        <v>0.751</v>
      </c>
      <c r="E33" s="49" t="n">
        <v>1</v>
      </c>
      <c r="F33" s="50" t="n">
        <v>0.751</v>
      </c>
      <c r="G33" s="12" t="n">
        <v>0.249</v>
      </c>
      <c r="H33" s="49" t="n">
        <v>0.751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1" t="n"/>
    </row>
    <row r="34">
      <c r="A34" s="15" t="n">
        <v>32</v>
      </c>
      <c r="B34" s="13" t="inlineStr">
        <is>
          <t>التقنية الرقمية</t>
        </is>
      </c>
      <c r="C34" s="21" t="inlineStr">
        <is>
          <t>نسبة الالتزام بإدارة صلاحيات المستخدمين والحسابات</t>
        </is>
      </c>
      <c r="D34" s="49" t="n">
        <v>0.756</v>
      </c>
      <c r="E34" s="49" t="n">
        <v>1</v>
      </c>
      <c r="F34" s="50" t="n">
        <v>0.756</v>
      </c>
      <c r="G34" s="12" t="n">
        <v>0.244</v>
      </c>
      <c r="H34" s="49" t="n">
        <v>0.756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التقنية</t>
        </is>
      </c>
      <c r="M34" s="51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التحقيقات المُغلقة من إجمالي المُحالة</t>
        </is>
      </c>
      <c r="D35" s="49" t="n">
        <v>0.719</v>
      </c>
      <c r="E35" s="49" t="n">
        <v>0.95</v>
      </c>
      <c r="F35" s="50" t="n">
        <v>0.7568421052631579</v>
      </c>
      <c r="G35" s="12" t="n">
        <v>0.2431578947368421</v>
      </c>
      <c r="H35" s="49" t="n">
        <v>0.719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1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نمو مبيعات بنزين 98 مقارنة بالعام السابق</t>
        </is>
      </c>
      <c r="D36" s="49" t="n">
        <v>0.076</v>
      </c>
      <c r="E36" s="49" t="n">
        <v>0.1</v>
      </c>
      <c r="F36" s="50" t="n">
        <v>0.7599999999999999</v>
      </c>
      <c r="G36" s="12" t="n">
        <v>0.2400000000000001</v>
      </c>
      <c r="H36" s="49" t="n">
        <v>0.076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1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49" t="n">
        <v>0.76</v>
      </c>
      <c r="E37" s="49" t="n">
        <v>1</v>
      </c>
      <c r="F37" s="50" t="n">
        <v>0.76</v>
      </c>
      <c r="G37" s="12" t="n">
        <v>0.24</v>
      </c>
      <c r="H37" s="49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1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49" t="n">
        <v>0.76</v>
      </c>
      <c r="E38" s="49" t="n">
        <v>1</v>
      </c>
      <c r="F38" s="50" t="n">
        <v>0.76</v>
      </c>
      <c r="G38" s="12" t="n">
        <v>0.24</v>
      </c>
      <c r="H38" s="49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1" t="n"/>
    </row>
    <row r="39">
      <c r="A39" s="15" t="n">
        <v>37</v>
      </c>
      <c r="B39" s="13" t="inlineStr">
        <is>
          <t>الجودة</t>
        </is>
      </c>
      <c r="C39" s="21" t="inlineStr">
        <is>
          <t>نسبة فعالية الإجراءات التصحيحية</t>
        </is>
      </c>
      <c r="D39" s="49" t="n">
        <v>0.648</v>
      </c>
      <c r="E39" s="49" t="n">
        <v>0.85</v>
      </c>
      <c r="F39" s="50" t="n">
        <v>0.7623529411764707</v>
      </c>
      <c r="G39" s="12" t="n">
        <v>0.2376470588235293</v>
      </c>
      <c r="H39" s="49" t="n">
        <v>0.648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1" t="n"/>
    </row>
    <row r="40">
      <c r="A40" s="15" t="n">
        <v>38</v>
      </c>
      <c r="B40" s="13" t="inlineStr">
        <is>
          <t>الجودة</t>
        </is>
      </c>
      <c r="C40" s="21" t="inlineStr">
        <is>
          <t>نسبة إغلاق الملاحظات في الوقت المحدد</t>
        </is>
      </c>
      <c r="D40" s="49" t="n">
        <v>0.6870000000000001</v>
      </c>
      <c r="E40" s="49" t="n">
        <v>0.9</v>
      </c>
      <c r="F40" s="50" t="n">
        <v>0.7633333333333334</v>
      </c>
      <c r="G40" s="12" t="n">
        <v>0.2366666666666666</v>
      </c>
      <c r="H40" s="49" t="n">
        <v>0.6870000000000001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1" t="n"/>
    </row>
    <row r="41">
      <c r="A41" s="15" t="n">
        <v>39</v>
      </c>
      <c r="B41" s="13" t="inlineStr">
        <is>
          <t>الجودة</t>
        </is>
      </c>
      <c r="C41" s="21" t="inlineStr">
        <is>
          <t>نسبة تنفيذ خطة التفتيش والتدقيق</t>
        </is>
      </c>
      <c r="D41" s="49" t="n">
        <v>0.728</v>
      </c>
      <c r="E41" s="49" t="n">
        <v>0.95</v>
      </c>
      <c r="F41" s="50" t="n">
        <v>0.7663157894736842</v>
      </c>
      <c r="G41" s="12" t="n">
        <v>0.2336842105263158</v>
      </c>
      <c r="H41" s="49" t="n">
        <v>0.728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51" t="n"/>
    </row>
    <row r="42">
      <c r="A42" s="15" t="n">
        <v>40</v>
      </c>
      <c r="B42" s="13" t="inlineStr">
        <is>
          <t>الموارد البشرية</t>
        </is>
      </c>
      <c r="C42" s="21" t="inlineStr">
        <is>
          <t>نسبة تنفيذ برامج التدريب والتأهيل المعتمدة</t>
        </is>
      </c>
      <c r="D42" s="49" t="n">
        <v>0.6899999999999999</v>
      </c>
      <c r="E42" s="49" t="n">
        <v>0.9</v>
      </c>
      <c r="F42" s="50" t="n">
        <v>0.7666666666666666</v>
      </c>
      <c r="G42" s="12" t="n">
        <v>0.2333333333333334</v>
      </c>
      <c r="H42" s="49" t="n">
        <v>0.6899999999999999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الموارد البشرية</t>
        </is>
      </c>
      <c r="M42" s="51" t="n"/>
    </row>
    <row r="43">
      <c r="A43" s="15" t="n">
        <v>41</v>
      </c>
      <c r="B43" s="13" t="inlineStr">
        <is>
          <t>الإدارة التنفيذية</t>
        </is>
      </c>
      <c r="C43" s="21" t="inlineStr">
        <is>
          <t>نسبة الالتزام بإطار الحوكمة المؤسسية والامتثال التنظيمي</t>
        </is>
      </c>
      <c r="D43" s="49" t="n">
        <v>0.729</v>
      </c>
      <c r="E43" s="49" t="n">
        <v>0.95</v>
      </c>
      <c r="F43" s="50" t="n">
        <v>0.7673684210526316</v>
      </c>
      <c r="G43" s="12" t="n">
        <v>0.2326315789473684</v>
      </c>
      <c r="H43" s="49" t="n">
        <v>0.729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الرئيس التنفيذي</t>
        </is>
      </c>
      <c r="M43" s="51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سداد الموردين في الموعد</t>
        </is>
      </c>
      <c r="D44" s="49" t="n">
        <v>0.754</v>
      </c>
      <c r="E44" s="49" t="n">
        <v>0.98</v>
      </c>
      <c r="F44" s="50" t="n">
        <v>0.7693877551020408</v>
      </c>
      <c r="G44" s="12" t="n">
        <v>0.2306122448979592</v>
      </c>
      <c r="H44" s="49" t="n">
        <v>0.754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1" t="n"/>
    </row>
    <row r="45">
      <c r="A45" s="15" t="n">
        <v>43</v>
      </c>
      <c r="B45" s="13" t="inlineStr">
        <is>
          <t>الموارد البشرية</t>
        </is>
      </c>
      <c r="C45" s="21" t="inlineStr">
        <is>
          <t>نسبة الالتزام بالتوطين والامتثال الحكومي دون مخالفات</t>
        </is>
      </c>
      <c r="D45" s="49" t="n">
        <v>0.77</v>
      </c>
      <c r="E45" s="49" t="n">
        <v>1</v>
      </c>
      <c r="F45" s="50" t="n">
        <v>0.77</v>
      </c>
      <c r="G45" s="12" t="n">
        <v>0.23</v>
      </c>
      <c r="H45" s="49" t="n">
        <v>0.77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الموارد البشرية</t>
        </is>
      </c>
      <c r="M45" s="51" t="n"/>
    </row>
    <row r="46">
      <c r="A46" s="15" t="n">
        <v>44</v>
      </c>
      <c r="B46" s="13" t="inlineStr">
        <is>
          <t>إدارة المشاريع</t>
        </is>
      </c>
      <c r="C46" s="21" t="inlineStr">
        <is>
          <t>نسبة المشاريع الخالية من مخالفات الجودة</t>
        </is>
      </c>
      <c r="D46" s="49" t="n">
        <v>0.697</v>
      </c>
      <c r="E46" s="49" t="n">
        <v>0.9</v>
      </c>
      <c r="F46" s="50" t="n">
        <v>0.7744444444444444</v>
      </c>
      <c r="G46" s="12" t="n">
        <v>0.2255555555555556</v>
      </c>
      <c r="H46" s="49" t="n">
        <v>0.697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إدارة المشاريع</t>
        </is>
      </c>
      <c r="M46" s="51" t="n"/>
    </row>
    <row r="47">
      <c r="A47" s="15" t="n">
        <v>45</v>
      </c>
      <c r="B47" s="13" t="inlineStr">
        <is>
          <t>الاستثمار</t>
        </is>
      </c>
      <c r="C47" s="21" t="inlineStr">
        <is>
          <t>نسبة العقود المؤرشفة إلكترونياً خلال 48 ساعة</t>
        </is>
      </c>
      <c r="D47" s="49" t="n">
        <v>0.736</v>
      </c>
      <c r="E47" s="49" t="n">
        <v>0.95</v>
      </c>
      <c r="F47" s="50" t="n">
        <v>0.7747368421052632</v>
      </c>
      <c r="G47" s="12" t="n">
        <v>0.2252631578947368</v>
      </c>
      <c r="H47" s="49" t="n">
        <v>0.736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الاستثمار</t>
        </is>
      </c>
      <c r="M47" s="51" t="n"/>
    </row>
    <row r="48">
      <c r="A48" s="15" t="n">
        <v>46</v>
      </c>
      <c r="B48" s="13" t="inlineStr">
        <is>
          <t>الإدارة المالية</t>
        </is>
      </c>
      <c r="C48" s="21" t="inlineStr">
        <is>
          <t>هامش EBITDA</t>
        </is>
      </c>
      <c r="D48" s="49" t="n">
        <v>0.062</v>
      </c>
      <c r="E48" s="49" t="n">
        <v>0.08</v>
      </c>
      <c r="F48" s="50" t="n">
        <v>0.775</v>
      </c>
      <c r="G48" s="12" t="n">
        <v>0.225</v>
      </c>
      <c r="H48" s="49" t="n">
        <v>0.062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51" t="n"/>
    </row>
    <row r="49">
      <c r="A49" s="15" t="n">
        <v>47</v>
      </c>
      <c r="B49" s="13" t="inlineStr">
        <is>
          <t>العقار</t>
        </is>
      </c>
      <c r="C49" s="21" t="inlineStr">
        <is>
          <t>نسبة إغلاق الطلبات خلال 3 أسابيع</t>
        </is>
      </c>
      <c r="D49" s="49" t="n">
        <v>0.698</v>
      </c>
      <c r="E49" s="49" t="n">
        <v>0.9</v>
      </c>
      <c r="F49" s="50" t="n">
        <v>0.7755555555555554</v>
      </c>
      <c r="G49" s="12" t="n">
        <v>0.2244444444444446</v>
      </c>
      <c r="H49" s="49" t="n">
        <v>0.698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51" t="n"/>
    </row>
    <row r="50">
      <c r="A50" s="15" t="n">
        <v>48</v>
      </c>
      <c r="B50" s="13" t="inlineStr">
        <is>
          <t>التقنية الرقمية</t>
        </is>
      </c>
      <c r="C50" s="21" t="inlineStr">
        <is>
          <t>نسبة تسليم المشاريع التقنية ضمن الوقت والميزانية ونطاق العمل المعتمد</t>
        </is>
      </c>
      <c r="D50" s="49" t="n">
        <v>0.701</v>
      </c>
      <c r="E50" s="49" t="n">
        <v>0.9</v>
      </c>
      <c r="F50" s="50" t="n">
        <v>0.7788888888888889</v>
      </c>
      <c r="G50" s="12" t="n">
        <v>0.2211111111111111</v>
      </c>
      <c r="H50" s="49" t="n">
        <v>0.701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51" t="n"/>
    </row>
    <row r="51">
      <c r="A51" s="15" t="n">
        <v>49</v>
      </c>
      <c r="B51" s="13" t="inlineStr">
        <is>
          <t>التقنية الرقمية</t>
        </is>
      </c>
      <c r="C51" s="21" t="inlineStr">
        <is>
          <t>نسبة معالجة الأعطال وطلبات الدعم الفني ضمن المدة المستهدفة SLA</t>
        </is>
      </c>
      <c r="D51" s="49" t="n">
        <v>0.74</v>
      </c>
      <c r="E51" s="49" t="n">
        <v>0.95</v>
      </c>
      <c r="F51" s="50" t="n">
        <v>0.7789473684210526</v>
      </c>
      <c r="G51" s="12" t="n">
        <v>0.2210526315789474</v>
      </c>
      <c r="H51" s="49" t="n">
        <v>0.74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التقنية</t>
        </is>
      </c>
      <c r="M51" s="51" t="n"/>
    </row>
    <row r="52">
      <c r="A52" s="15" t="n">
        <v>50</v>
      </c>
      <c r="B52" s="13" t="inlineStr">
        <is>
          <t>الإدارة المالية</t>
        </is>
      </c>
      <c r="C52" s="21" t="inlineStr">
        <is>
          <t>دقة مطابقة المخزون</t>
        </is>
      </c>
      <c r="D52" s="49" t="n">
        <v>0.776</v>
      </c>
      <c r="E52" s="49" t="n">
        <v>0.995</v>
      </c>
      <c r="F52" s="50" t="n">
        <v>0.7798994974874373</v>
      </c>
      <c r="G52" s="12" t="n">
        <v>0.2201005025125627</v>
      </c>
      <c r="H52" s="49" t="n">
        <v>0.776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51" t="n"/>
    </row>
    <row r="53">
      <c r="A53" s="15" t="n">
        <v>51</v>
      </c>
      <c r="B53" s="13" t="inlineStr">
        <is>
          <t>الإدارة المالية</t>
        </is>
      </c>
      <c r="C53" s="21" t="inlineStr">
        <is>
          <t>معدل تجديد عقود الإيجار</t>
        </is>
      </c>
      <c r="D53" s="49" t="n">
        <v>0.702</v>
      </c>
      <c r="E53" s="49" t="n">
        <v>0.9</v>
      </c>
      <c r="F53" s="50" t="n">
        <v>0.7799999999999999</v>
      </c>
      <c r="G53" s="12" t="n">
        <v>0.2200000000000001</v>
      </c>
      <c r="H53" s="49" t="n">
        <v>0.702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المدير المالي</t>
        </is>
      </c>
      <c r="M53" s="51" t="n"/>
    </row>
    <row r="54">
      <c r="A54" s="15" t="n">
        <v>52</v>
      </c>
      <c r="B54" s="13" t="inlineStr">
        <is>
          <t>سلاسل الإمداد</t>
        </is>
      </c>
      <c r="C54" s="21" t="inlineStr">
        <is>
          <t>نسبة توفر المواد المخزنية والحرجة</t>
        </is>
      </c>
      <c r="D54" s="49" t="n">
        <v>0.766</v>
      </c>
      <c r="E54" s="49" t="n">
        <v>0.98</v>
      </c>
      <c r="F54" s="50" t="n">
        <v>0.7816326530612245</v>
      </c>
      <c r="G54" s="12" t="n">
        <v>0.2183673469387755</v>
      </c>
      <c r="H54" s="49" t="n">
        <v>0.766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سلاسل الإمداد</t>
        </is>
      </c>
      <c r="M54" s="51" t="n"/>
    </row>
    <row r="55">
      <c r="A55" s="15" t="n">
        <v>53</v>
      </c>
      <c r="B55" s="13" t="inlineStr">
        <is>
          <t>العقار</t>
        </is>
      </c>
      <c r="C55" s="21" t="inlineStr">
        <is>
          <t>العملاء المحتملون (LEADS)</t>
        </is>
      </c>
      <c r="D55" s="49" t="n">
        <v>531.8</v>
      </c>
      <c r="E55" s="49" t="n">
        <v>680</v>
      </c>
      <c r="F55" s="50" t="n">
        <v>0.7820588235294117</v>
      </c>
      <c r="G55" s="12" t="n">
        <v>0.2179411764705883</v>
      </c>
      <c r="H55" s="49" t="n">
        <v>531.8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العقار</t>
        </is>
      </c>
      <c r="M55" s="51" t="n"/>
    </row>
    <row r="56">
      <c r="A56" s="15" t="n">
        <v>54</v>
      </c>
      <c r="B56" s="13" t="inlineStr">
        <is>
          <t>الصيانة والأتمتة</t>
        </is>
      </c>
      <c r="C56" s="21" t="inlineStr">
        <is>
          <t>نسبة إغلاق بلاغات الصيانة ضمن اتفاقية الخدمة (SLA)</t>
        </is>
      </c>
      <c r="D56" s="49" t="n">
        <v>0.744</v>
      </c>
      <c r="E56" s="49" t="n">
        <v>0.95</v>
      </c>
      <c r="F56" s="50" t="n">
        <v>0.7831578947368422</v>
      </c>
      <c r="G56" s="12" t="n">
        <v>0.2168421052631578</v>
      </c>
      <c r="H56" s="49" t="n">
        <v>0.744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الصيانة والأتمتة</t>
        </is>
      </c>
      <c r="M56" s="51" t="n"/>
    </row>
    <row r="57">
      <c r="A57" s="15" t="n">
        <v>55</v>
      </c>
      <c r="B57" s="13" t="inlineStr">
        <is>
          <t>الامتياز التجاري</t>
        </is>
      </c>
      <c r="C57" s="21" t="inlineStr">
        <is>
          <t>نسبة الشركاء الملتزمين بمواعيد السداد</t>
        </is>
      </c>
      <c r="D57" s="49" t="n">
        <v>0.705</v>
      </c>
      <c r="E57" s="49" t="n">
        <v>0.9</v>
      </c>
      <c r="F57" s="50" t="n">
        <v>0.7833333333333332</v>
      </c>
      <c r="G57" s="12" t="n">
        <v>0.2166666666666668</v>
      </c>
      <c r="H57" s="49" t="n">
        <v>0.705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الامتياز</t>
        </is>
      </c>
      <c r="M57" s="51" t="n"/>
    </row>
    <row r="58">
      <c r="A58" s="15" t="n">
        <v>56</v>
      </c>
      <c r="B58" s="13" t="inlineStr">
        <is>
          <t>سلاسل الإمداد</t>
        </is>
      </c>
      <c r="C58" s="21" t="inlineStr">
        <is>
          <t>نسبة الالتزام بزمن التسليم والتوريد للمحطات والإدارات</t>
        </is>
      </c>
      <c r="D58" s="49" t="n">
        <v>0.751</v>
      </c>
      <c r="E58" s="49" t="n">
        <v>0.95</v>
      </c>
      <c r="F58" s="50" t="n">
        <v>0.7905263157894737</v>
      </c>
      <c r="G58" s="12" t="n">
        <v>0.2094736842105263</v>
      </c>
      <c r="H58" s="49" t="n">
        <v>0.751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سلاسل الإمداد</t>
        </is>
      </c>
      <c r="M58" s="51" t="n"/>
    </row>
    <row r="59">
      <c r="A59" s="15" t="n">
        <v>57</v>
      </c>
      <c r="B59" s="13" t="inlineStr">
        <is>
          <t>الصيانة والأتمتة</t>
        </is>
      </c>
      <c r="C59" s="21" t="inlineStr">
        <is>
          <t>نسبة تنفيذ الصيانة الوقائية في موعدها (PM)</t>
        </is>
      </c>
      <c r="D59" s="49" t="n">
        <v>0.751</v>
      </c>
      <c r="E59" s="49" t="n">
        <v>0.95</v>
      </c>
      <c r="F59" s="50" t="n">
        <v>0.7905263157894737</v>
      </c>
      <c r="G59" s="12" t="n">
        <v>0.2094736842105263</v>
      </c>
      <c r="H59" s="49" t="n">
        <v>0.751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الصيانة والأتمتة</t>
        </is>
      </c>
      <c r="M59" s="51" t="n"/>
    </row>
    <row r="60">
      <c r="A60" s="15" t="n">
        <v>58</v>
      </c>
      <c r="B60" s="13" t="inlineStr">
        <is>
          <t>العقار</t>
        </is>
      </c>
      <c r="C60" s="21" t="inlineStr">
        <is>
          <t>نسبة تجديد العقود</t>
        </is>
      </c>
      <c r="D60" s="49" t="n">
        <v>0.792</v>
      </c>
      <c r="E60" s="49" t="n">
        <v>1</v>
      </c>
      <c r="F60" s="50" t="n">
        <v>0.792</v>
      </c>
      <c r="G60" s="12" t="n">
        <v>0.208</v>
      </c>
      <c r="H60" s="49" t="n">
        <v>0.792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العقار</t>
        </is>
      </c>
      <c r="M60" s="51" t="n"/>
    </row>
    <row r="61">
      <c r="A61" s="15" t="n">
        <v>59</v>
      </c>
      <c r="B61" s="13" t="inlineStr">
        <is>
          <t>الإدارة القانونية</t>
        </is>
      </c>
      <c r="C61" s="21" t="inlineStr">
        <is>
          <t>مستوى رضا الإدارات عن الدعم القانوني</t>
        </is>
      </c>
      <c r="D61" s="49" t="n">
        <v>0.674</v>
      </c>
      <c r="E61" s="49" t="n">
        <v>0.85</v>
      </c>
      <c r="F61" s="50" t="n">
        <v>0.7929411764705883</v>
      </c>
      <c r="G61" s="12" t="n">
        <v>0.2070588235294117</v>
      </c>
      <c r="H61" s="49" t="n">
        <v>0.674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المدير القانوني</t>
        </is>
      </c>
      <c r="M61" s="51" t="n"/>
    </row>
    <row r="62">
      <c r="A62" s="15" t="n">
        <v>60</v>
      </c>
      <c r="B62" s="13" t="inlineStr">
        <is>
          <t>التقنية الرقمية</t>
        </is>
      </c>
      <c r="C62" s="21" t="inlineStr">
        <is>
          <t>نسبة نجاح النسخ الاحتياطي واختبارات استعادة البيانات</t>
        </is>
      </c>
      <c r="D62" s="49" t="n">
        <v>0.794</v>
      </c>
      <c r="E62" s="49" t="n">
        <v>1</v>
      </c>
      <c r="F62" s="50" t="n">
        <v>0.794</v>
      </c>
      <c r="G62" s="12" t="n">
        <v>0.206</v>
      </c>
      <c r="H62" s="49" t="n">
        <v>0.794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التقنية</t>
        </is>
      </c>
      <c r="M62" s="51" t="n"/>
    </row>
    <row r="63">
      <c r="A63" s="15" t="n">
        <v>61</v>
      </c>
      <c r="B63" s="13" t="inlineStr">
        <is>
          <t>التقنية الرقمية</t>
        </is>
      </c>
      <c r="C63" s="21" t="inlineStr">
        <is>
          <t>نسبة تنفيذ الصيانة الوقائية للأجهزة والبنية التقنية</t>
        </is>
      </c>
      <c r="D63" s="49" t="n">
        <v>0.756</v>
      </c>
      <c r="E63" s="49" t="n">
        <v>0.95</v>
      </c>
      <c r="F63" s="50" t="n">
        <v>0.7957894736842106</v>
      </c>
      <c r="G63" s="12" t="n">
        <v>0.2042105263157894</v>
      </c>
      <c r="H63" s="49" t="n">
        <v>0.756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التقنية</t>
        </is>
      </c>
      <c r="M63" s="51" t="n"/>
    </row>
    <row r="64">
      <c r="A64" s="15" t="n">
        <v>62</v>
      </c>
      <c r="B64" s="13" t="inlineStr">
        <is>
          <t>الموارد البشرية</t>
        </is>
      </c>
      <c r="C64" s="21" t="inlineStr">
        <is>
          <t>نسبة الالتزام بتجديد الوثائق واكتمال ملفات الموظفين</t>
        </is>
      </c>
      <c r="D64" s="49" t="n">
        <v>0.796</v>
      </c>
      <c r="E64" s="49" t="n">
        <v>1</v>
      </c>
      <c r="F64" s="50" t="n">
        <v>0.796</v>
      </c>
      <c r="G64" s="12" t="n">
        <v>0.204</v>
      </c>
      <c r="H64" s="49" t="n">
        <v>0.796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51" t="n"/>
    </row>
    <row r="65">
      <c r="A65" s="15" t="n">
        <v>63</v>
      </c>
      <c r="B65" s="13" t="inlineStr">
        <is>
          <t>الإدارة القانونية</t>
        </is>
      </c>
      <c r="C65" s="21" t="inlineStr">
        <is>
          <t>نسبة تقديم المذكرات والردود في المواعيد النظامية</t>
        </is>
      </c>
      <c r="D65" s="49" t="n">
        <v>0.797</v>
      </c>
      <c r="E65" s="49" t="n">
        <v>1</v>
      </c>
      <c r="F65" s="50" t="n">
        <v>0.797</v>
      </c>
      <c r="G65" s="12" t="n">
        <v>0.203</v>
      </c>
      <c r="H65" s="49" t="n">
        <v>0.797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51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الصيانة الوقائية المنفذة في موعدها</t>
        </is>
      </c>
      <c r="D66" s="49" t="n">
        <v>0.758</v>
      </c>
      <c r="E66" s="49" t="n">
        <v>0.95</v>
      </c>
      <c r="F66" s="50" t="n">
        <v>0.7978947368421053</v>
      </c>
      <c r="G66" s="12" t="n">
        <v>0.2021052631578947</v>
      </c>
      <c r="H66" s="49" t="n">
        <v>0.758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1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توفر الأنظمة والخدمات التقنية المركزية</t>
        </is>
      </c>
      <c r="D67" s="49" t="n">
        <v>0.79</v>
      </c>
      <c r="E67" s="49" t="n">
        <v>0.99</v>
      </c>
      <c r="F67" s="50" t="n">
        <v>0.797979797979798</v>
      </c>
      <c r="G67" s="12" t="n">
        <v>0.202020202020202</v>
      </c>
      <c r="H67" s="49" t="n">
        <v>0.79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1" t="n"/>
    </row>
    <row r="68">
      <c r="A68" s="15" t="n">
        <v>66</v>
      </c>
      <c r="B68" s="13" t="inlineStr">
        <is>
          <t>إدارة المشاريع</t>
        </is>
      </c>
      <c r="C68" s="21" t="inlineStr">
        <is>
          <t>نسبة الالتزام بالجدول الزمني العام</t>
        </is>
      </c>
      <c r="D68" s="49" t="n">
        <v>0.798</v>
      </c>
      <c r="E68" s="49" t="n">
        <v>1</v>
      </c>
      <c r="F68" s="50" t="n">
        <v>0.798</v>
      </c>
      <c r="G68" s="12" t="n">
        <v>0.202</v>
      </c>
      <c r="H68" s="49" t="n">
        <v>0.798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إدارة المشاريع</t>
        </is>
      </c>
      <c r="M68" s="51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التزام المحطات بالهوية المؤسسية</t>
        </is>
      </c>
      <c r="D69" s="49" t="n">
        <v>0.44</v>
      </c>
      <c r="E69" s="49" t="n">
        <v>0.55</v>
      </c>
      <c r="F69" s="50" t="n">
        <v>0.7999999999999999</v>
      </c>
      <c r="G69" s="12" t="n">
        <v>0.2000000000000001</v>
      </c>
      <c r="H69" s="49" t="n">
        <v>0.44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1" t="n"/>
    </row>
    <row r="70">
      <c r="A70" s="15" t="n">
        <v>68</v>
      </c>
      <c r="B70" s="13" t="inlineStr">
        <is>
          <t>الإدارة المالية</t>
        </is>
      </c>
      <c r="C70" s="21" t="inlineStr">
        <is>
          <t>هامش صافي الربح</t>
        </is>
      </c>
      <c r="D70" s="49" t="n">
        <v>0.008</v>
      </c>
      <c r="E70" s="49" t="n">
        <v>0.01</v>
      </c>
      <c r="F70" s="50" t="n">
        <v>0.8</v>
      </c>
      <c r="G70" s="12" t="n">
        <v>0.2</v>
      </c>
      <c r="H70" s="49" t="n">
        <v>0.008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المدير المالي</t>
        </is>
      </c>
      <c r="M70" s="51" t="n"/>
    </row>
    <row r="71">
      <c r="A71" s="15" t="n">
        <v>69</v>
      </c>
      <c r="B71" s="13" t="inlineStr">
        <is>
          <t>سلاسل الإمداد</t>
        </is>
      </c>
      <c r="C71" s="21" t="inlineStr">
        <is>
          <t>نسبة تلبية طلبات المحطات من الوقود Fill Rate</t>
        </is>
      </c>
      <c r="D71" s="49" t="n">
        <v>0.786</v>
      </c>
      <c r="E71" s="49" t="n">
        <v>0.98</v>
      </c>
      <c r="F71" s="50" t="n">
        <v>0.8020408163265307</v>
      </c>
      <c r="G71" s="12" t="n">
        <v>0.1979591836734693</v>
      </c>
      <c r="H71" s="49" t="n">
        <v>0.786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سلاسل الإمداد</t>
        </is>
      </c>
      <c r="M71" s="51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إجمالي مبيعات وقود محطات الامتياز</t>
        </is>
      </c>
      <c r="D72" s="49" t="n">
        <v>576630340</v>
      </c>
      <c r="E72" s="49" t="n">
        <v>718838077</v>
      </c>
      <c r="F72" s="50" t="n">
        <v>0.8021699996840874</v>
      </c>
      <c r="G72" s="12" t="n">
        <v>0.1978300003159126</v>
      </c>
      <c r="H72" s="49" t="n">
        <v>1153260680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الامتياز</t>
        </is>
      </c>
      <c r="M72" s="51" t="n"/>
    </row>
    <row r="73">
      <c r="A73" s="15" t="n">
        <v>71</v>
      </c>
      <c r="B73" s="13" t="inlineStr">
        <is>
          <t>العقار</t>
        </is>
      </c>
      <c r="C73" s="21" t="inlineStr">
        <is>
          <t>الوحدات المؤجَّرة شهرياً</t>
        </is>
      </c>
      <c r="D73" s="49" t="n">
        <v>54.8</v>
      </c>
      <c r="E73" s="49" t="n">
        <v>68</v>
      </c>
      <c r="F73" s="50" t="n">
        <v>0.8058823529411764</v>
      </c>
      <c r="G73" s="12" t="n">
        <v>0.1941176470588236</v>
      </c>
      <c r="H73" s="49" t="n">
        <v>54.8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العقار</t>
        </is>
      </c>
      <c r="M73" s="51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مطابقة جودة الوقود</t>
        </is>
      </c>
      <c r="D74" s="49" t="n">
        <v>0.804</v>
      </c>
      <c r="E74" s="49" t="n">
        <v>0.995</v>
      </c>
      <c r="F74" s="50" t="n">
        <v>0.8080402010050252</v>
      </c>
      <c r="G74" s="12" t="n">
        <v>0.1919597989949748</v>
      </c>
      <c r="H74" s="49" t="n">
        <v>0.804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1" t="n"/>
    </row>
    <row r="75">
      <c r="A75" s="15" t="n">
        <v>73</v>
      </c>
      <c r="B75" s="13" t="inlineStr">
        <is>
          <t>التقنية الرقمية</t>
        </is>
      </c>
      <c r="C75" s="21" t="inlineStr">
        <is>
          <t>نسبة استقرار التشغيل التقني للمحطات</t>
        </is>
      </c>
      <c r="D75" s="49" t="n">
        <v>0.8</v>
      </c>
      <c r="E75" s="49" t="n">
        <v>0.99</v>
      </c>
      <c r="F75" s="50" t="n">
        <v>0.8080808080808082</v>
      </c>
      <c r="G75" s="12" t="n">
        <v>0.1919191919191918</v>
      </c>
      <c r="H75" s="49" t="n">
        <v>0.8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التقنية</t>
        </is>
      </c>
      <c r="M75" s="51" t="n"/>
    </row>
    <row r="76">
      <c r="A76" s="15" t="n">
        <v>74</v>
      </c>
      <c r="B76" s="13" t="inlineStr">
        <is>
          <t>الامتياز التجاري</t>
        </is>
      </c>
      <c r="C76" s="21" t="inlineStr">
        <is>
          <t>نسبة زيادة عدد أصحاب الامتياز</t>
        </is>
      </c>
      <c r="D76" s="49" t="n">
        <v>0.8100000000000001</v>
      </c>
      <c r="E76" s="49" t="n">
        <v>1</v>
      </c>
      <c r="F76" s="50" t="n">
        <v>0.8100000000000001</v>
      </c>
      <c r="G76" s="12" t="n">
        <v>0.1899999999999999</v>
      </c>
      <c r="H76" s="49" t="n">
        <v>0.8100000000000001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الامتياز</t>
        </is>
      </c>
      <c r="M76" s="51" t="n"/>
    </row>
    <row r="77">
      <c r="A77" s="15" t="n">
        <v>75</v>
      </c>
      <c r="B77" s="13" t="inlineStr">
        <is>
          <t>الاستثمار</t>
        </is>
      </c>
      <c r="C77" s="21" t="inlineStr">
        <is>
          <t>نسبة المواقع المعتمدة ذات العائد المجدي</t>
        </is>
      </c>
      <c r="D77" s="49" t="n">
        <v>0.649</v>
      </c>
      <c r="E77" s="49" t="n">
        <v>0.8</v>
      </c>
      <c r="F77" s="50" t="n">
        <v>0.81125</v>
      </c>
      <c r="G77" s="12" t="n">
        <v>0.18875</v>
      </c>
      <c r="H77" s="49" t="n">
        <v>0.649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51" t="n"/>
    </row>
    <row r="78">
      <c r="A78" s="15" t="n">
        <v>76</v>
      </c>
      <c r="B78" s="13" t="inlineStr">
        <is>
          <t>الإدارة التنفيذية</t>
        </is>
      </c>
      <c r="C78" s="21" t="inlineStr">
        <is>
          <t>نسبة نمو إيرادات الشركة (سنوي)</t>
        </is>
      </c>
      <c r="D78" s="49" t="n">
        <v>0.122</v>
      </c>
      <c r="E78" s="49" t="n">
        <v>0.15</v>
      </c>
      <c r="F78" s="50" t="n">
        <v>0.8133333333333334</v>
      </c>
      <c r="G78" s="12" t="n">
        <v>0.1866666666666666</v>
      </c>
      <c r="H78" s="49" t="n">
        <v>0.122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الرئيس التنفيذي</t>
        </is>
      </c>
      <c r="M78" s="51" t="n"/>
    </row>
    <row r="79">
      <c r="A79" s="15" t="n">
        <v>77</v>
      </c>
      <c r="B79" s="13" t="inlineStr">
        <is>
          <t>الموارد البشرية</t>
        </is>
      </c>
      <c r="C79" s="21" t="inlineStr">
        <is>
          <t>نسبة إنجاز معاملات شؤون الموظفين ضمن المدة المستهدفة SLA</t>
        </is>
      </c>
      <c r="D79" s="49" t="n">
        <v>0.733</v>
      </c>
      <c r="E79" s="49" t="n">
        <v>0.9</v>
      </c>
      <c r="F79" s="50" t="n">
        <v>0.8144444444444444</v>
      </c>
      <c r="G79" s="12" t="n">
        <v>0.1855555555555556</v>
      </c>
      <c r="H79" s="49" t="n">
        <v>0.733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الموارد البشرية</t>
        </is>
      </c>
      <c r="M79" s="51" t="n"/>
    </row>
    <row r="80">
      <c r="A80" s="15" t="n">
        <v>78</v>
      </c>
      <c r="B80" s="13" t="inlineStr">
        <is>
          <t>التشغيل والمحطات</t>
        </is>
      </c>
      <c r="C80" s="21" t="inlineStr">
        <is>
          <t>نسبة انخفاض الشكاوى مقارنة بالشهر السابق</t>
        </is>
      </c>
      <c r="D80" s="49" t="n">
        <v>0.163</v>
      </c>
      <c r="E80" s="49" t="n">
        <v>0.2</v>
      </c>
      <c r="F80" s="50" t="n">
        <v>0.8149999999999999</v>
      </c>
      <c r="G80" s="12" t="n">
        <v>0.1850000000000001</v>
      </c>
      <c r="H80" s="49" t="n">
        <v>0.163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التشغيل</t>
        </is>
      </c>
      <c r="M80" s="51" t="n"/>
    </row>
    <row r="81">
      <c r="A81" s="15" t="n">
        <v>79</v>
      </c>
      <c r="B81" s="13" t="inlineStr">
        <is>
          <t>الاستثمار</t>
        </is>
      </c>
      <c r="C81" s="21" t="inlineStr">
        <is>
          <t>عقود الاستحواذ الجديدة</t>
        </is>
      </c>
      <c r="D81" s="49" t="n">
        <v>82.2</v>
      </c>
      <c r="E81" s="49" t="n">
        <v>100</v>
      </c>
      <c r="F81" s="50" t="n">
        <v>0.8220000000000001</v>
      </c>
      <c r="G81" s="12" t="n">
        <v>0.1779999999999999</v>
      </c>
      <c r="H81" s="49" t="n">
        <v>164.4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الاستثمار</t>
        </is>
      </c>
      <c r="M81" s="51" t="n"/>
    </row>
    <row r="82">
      <c r="A82" s="15" t="n">
        <v>80</v>
      </c>
      <c r="B82" s="13" t="inlineStr">
        <is>
          <t>العقار</t>
        </is>
      </c>
      <c r="C82" s="21" t="inlineStr">
        <is>
          <t>زيادة عدد العلامات التجارية</t>
        </is>
      </c>
      <c r="D82" s="49" t="n">
        <v>202.6</v>
      </c>
      <c r="E82" s="49" t="n">
        <v>246</v>
      </c>
      <c r="F82" s="50" t="n">
        <v>0.8235772357723578</v>
      </c>
      <c r="G82" s="12" t="n">
        <v>0.1764227642276422</v>
      </c>
      <c r="H82" s="49" t="n">
        <v>202.6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1" t="n"/>
    </row>
    <row r="83">
      <c r="A83" s="15" t="n">
        <v>81</v>
      </c>
      <c r="B83" s="13" t="inlineStr">
        <is>
          <t>الإدارة القانونية</t>
        </is>
      </c>
      <c r="C83" s="21" t="inlineStr">
        <is>
          <t>نسبة القضايا المُغلقة لصالح الشركة</t>
        </is>
      </c>
      <c r="D83" s="49" t="n">
        <v>0.664</v>
      </c>
      <c r="E83" s="49" t="n">
        <v>0.8</v>
      </c>
      <c r="F83" s="50" t="n">
        <v>0.83</v>
      </c>
      <c r="G83" s="12" t="n">
        <v>0.17</v>
      </c>
      <c r="H83" s="49" t="n">
        <v>0.664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المدير القانوني</t>
        </is>
      </c>
      <c r="M83" s="51" t="n"/>
    </row>
    <row r="84">
      <c r="A84" s="15" t="n">
        <v>82</v>
      </c>
      <c r="B84" s="13" t="inlineStr">
        <is>
          <t>سلاسل الإمداد</t>
        </is>
      </c>
      <c r="C84" s="21" t="inlineStr">
        <is>
          <t>نسبة الالتزام بجدول النقل واستخدام الأسطول بكفاءة</t>
        </is>
      </c>
      <c r="D84" s="49" t="n">
        <v>0.751</v>
      </c>
      <c r="E84" s="49" t="n">
        <v>0.9</v>
      </c>
      <c r="F84" s="50" t="n">
        <v>0.8344444444444444</v>
      </c>
      <c r="G84" s="12" t="n">
        <v>0.1655555555555556</v>
      </c>
      <c r="H84" s="49" t="n">
        <v>0.751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سلاسل الإمداد</t>
        </is>
      </c>
      <c r="M84" s="51" t="n"/>
    </row>
    <row r="85">
      <c r="A85" s="15" t="n">
        <v>83</v>
      </c>
      <c r="B85" s="13" t="inlineStr">
        <is>
          <t>الإدارة القانونية</t>
        </is>
      </c>
      <c r="C85" s="21" t="inlineStr">
        <is>
          <t>نسبة إنجاز التحقيقات ضمن المدة المحددة</t>
        </is>
      </c>
      <c r="D85" s="49" t="n">
        <v>0.753</v>
      </c>
      <c r="E85" s="49" t="n">
        <v>0.9</v>
      </c>
      <c r="F85" s="50" t="n">
        <v>0.8366666666666667</v>
      </c>
      <c r="G85" s="12" t="n">
        <v>0.1633333333333333</v>
      </c>
      <c r="H85" s="49" t="n">
        <v>0.753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المدير القانوني</t>
        </is>
      </c>
      <c r="M85" s="51" t="n"/>
    </row>
    <row r="86">
      <c r="A86" s="15" t="n">
        <v>84</v>
      </c>
      <c r="B86" s="13" t="inlineStr">
        <is>
          <t>التشغيل والمحطات</t>
        </is>
      </c>
      <c r="C86" s="21" t="inlineStr">
        <is>
          <t>الالتزام بمعايير السلامة داخل المحطة</t>
        </is>
      </c>
      <c r="D86" s="49" t="n">
        <v>0.837</v>
      </c>
      <c r="E86" s="49" t="n">
        <v>1</v>
      </c>
      <c r="F86" s="50" t="n">
        <v>0.837</v>
      </c>
      <c r="G86" s="12" t="n">
        <v>0.163</v>
      </c>
      <c r="H86" s="49" t="n">
        <v>0.837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51" t="n"/>
    </row>
    <row r="87">
      <c r="A87" s="15" t="n">
        <v>85</v>
      </c>
      <c r="B87" s="13" t="inlineStr">
        <is>
          <t>الجودة</t>
        </is>
      </c>
      <c r="C87" s="21" t="inlineStr">
        <is>
          <t>نسبة جاهزية نظام إدارة الجودة QMS</t>
        </is>
      </c>
      <c r="D87" s="49" t="n">
        <v>0.754</v>
      </c>
      <c r="E87" s="49" t="n">
        <v>0.9</v>
      </c>
      <c r="F87" s="50" t="n">
        <v>0.8377777777777777</v>
      </c>
      <c r="G87" s="12" t="n">
        <v>0.1622222222222223</v>
      </c>
      <c r="H87" s="49" t="n">
        <v>0.754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الجودة</t>
        </is>
      </c>
      <c r="M87" s="51" t="n"/>
    </row>
    <row r="88">
      <c r="A88" s="15" t="n">
        <v>86</v>
      </c>
      <c r="B88" s="13" t="inlineStr">
        <is>
          <t>العقار</t>
        </is>
      </c>
      <c r="C88" s="21" t="inlineStr">
        <is>
          <t>نسبة تأجير ساحة درب</t>
        </is>
      </c>
      <c r="D88" s="49" t="n">
        <v>0.671</v>
      </c>
      <c r="E88" s="49" t="n">
        <v>0.8</v>
      </c>
      <c r="F88" s="50" t="n">
        <v>0.83875</v>
      </c>
      <c r="G88" s="12" t="n">
        <v>0.16125</v>
      </c>
      <c r="H88" s="49" t="n">
        <v>0.671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العقار</t>
        </is>
      </c>
      <c r="M88" s="51" t="n"/>
    </row>
    <row r="89">
      <c r="A89" s="15" t="n">
        <v>87</v>
      </c>
      <c r="B89" s="13" t="inlineStr">
        <is>
          <t>التشغيل والمحطات</t>
        </is>
      </c>
      <c r="C89" s="21" t="inlineStr">
        <is>
          <t>نسبة جاهزية المحطة الشاملة (Uptime)</t>
        </is>
      </c>
      <c r="D89" s="49" t="n">
        <v>0.831</v>
      </c>
      <c r="E89" s="49" t="n">
        <v>0.99</v>
      </c>
      <c r="F89" s="50" t="n">
        <v>0.8393939393939394</v>
      </c>
      <c r="G89" s="12" t="n">
        <v>0.1606060606060606</v>
      </c>
      <c r="H89" s="49" t="n">
        <v>0.831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التشغيل</t>
        </is>
      </c>
      <c r="M89" s="51" t="n"/>
    </row>
    <row r="90">
      <c r="A90" s="15" t="n">
        <v>88</v>
      </c>
      <c r="B90" s="13" t="inlineStr">
        <is>
          <t>التشغيل والمحطات</t>
        </is>
      </c>
      <c r="C90" s="21" t="inlineStr">
        <is>
          <t>دقة التعبئة بدون أخطاء</t>
        </is>
      </c>
      <c r="D90" s="49" t="n">
        <v>0.831</v>
      </c>
      <c r="E90" s="49" t="n">
        <v>0.99</v>
      </c>
      <c r="F90" s="50" t="n">
        <v>0.8393939393939394</v>
      </c>
      <c r="G90" s="12" t="n">
        <v>0.1606060606060606</v>
      </c>
      <c r="H90" s="49" t="n">
        <v>0.831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51" t="n"/>
    </row>
    <row r="91">
      <c r="A91" s="15" t="n">
        <v>89</v>
      </c>
      <c r="B91" s="13" t="inlineStr">
        <is>
          <t>التشغيل والمحطات</t>
        </is>
      </c>
      <c r="C91" s="21" t="inlineStr">
        <is>
          <t>نمو مبيعات بنزين 95 مقارنة بالعام السابق</t>
        </is>
      </c>
      <c r="D91" s="49" t="n">
        <v>0.08400000000000001</v>
      </c>
      <c r="E91" s="49" t="n">
        <v>0.1</v>
      </c>
      <c r="F91" s="50" t="n">
        <v>0.84</v>
      </c>
      <c r="G91" s="12" t="n">
        <v>0.16</v>
      </c>
      <c r="H91" s="49" t="n">
        <v>0.08400000000000001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التشغيل</t>
        </is>
      </c>
      <c r="M91" s="51" t="n"/>
    </row>
    <row r="92">
      <c r="A92" s="15" t="n">
        <v>90</v>
      </c>
      <c r="B92" s="13" t="inlineStr">
        <is>
          <t>الجودة</t>
        </is>
      </c>
      <c r="C92" s="21" t="inlineStr">
        <is>
          <t>نسبة انخفاض الشكاوى المتكررة ذات العلاقة بالجودة</t>
        </is>
      </c>
      <c r="D92" s="49" t="n">
        <v>0.126</v>
      </c>
      <c r="E92" s="49" t="n">
        <v>0.15</v>
      </c>
      <c r="F92" s="50" t="n">
        <v>0.8400000000000001</v>
      </c>
      <c r="G92" s="12" t="n">
        <v>0.1599999999999999</v>
      </c>
      <c r="H92" s="49" t="n">
        <v>0.126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الجودة</t>
        </is>
      </c>
      <c r="M92" s="51" t="n"/>
    </row>
    <row r="93">
      <c r="A93" s="15" t="n">
        <v>91</v>
      </c>
      <c r="B93" s="13" t="inlineStr">
        <is>
          <t>الإدارة المالية</t>
        </is>
      </c>
      <c r="C93" s="21" t="inlineStr">
        <is>
          <t>نمو الإيرادات السنوي</t>
        </is>
      </c>
      <c r="D93" s="49" t="n">
        <v>0.169</v>
      </c>
      <c r="E93" s="49" t="n">
        <v>0.2</v>
      </c>
      <c r="F93" s="50" t="n">
        <v>0.845</v>
      </c>
      <c r="G93" s="12" t="n">
        <v>0.155</v>
      </c>
      <c r="H93" s="49" t="n">
        <v>0.169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المدير المالي</t>
        </is>
      </c>
      <c r="M93" s="51" t="n"/>
    </row>
    <row r="94">
      <c r="A94" s="15" t="n">
        <v>92</v>
      </c>
      <c r="B94" s="13" t="inlineStr">
        <is>
          <t>العقار</t>
        </is>
      </c>
      <c r="C94" s="21" t="inlineStr">
        <is>
          <t>نسبة تحصيل الإيجارات</t>
        </is>
      </c>
      <c r="D94" s="49" t="n">
        <v>0.805</v>
      </c>
      <c r="E94" s="49" t="n">
        <v>0.95</v>
      </c>
      <c r="F94" s="50" t="n">
        <v>0.8473684210526317</v>
      </c>
      <c r="G94" s="12" t="n">
        <v>0.1526315789473683</v>
      </c>
      <c r="H94" s="49" t="n">
        <v>0.805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العقار</t>
        </is>
      </c>
      <c r="M94" s="51" t="n"/>
    </row>
    <row r="95">
      <c r="A95" s="15" t="n">
        <v>93</v>
      </c>
      <c r="B95" s="13" t="inlineStr">
        <is>
          <t>الاستثمار</t>
        </is>
      </c>
      <c r="C95" s="21" t="inlineStr">
        <is>
          <t>عقود الاستثمار العادي الجديدة</t>
        </is>
      </c>
      <c r="D95" s="49" t="n">
        <v>76.3</v>
      </c>
      <c r="E95" s="49" t="n">
        <v>90</v>
      </c>
      <c r="F95" s="50" t="n">
        <v>0.8477777777777777</v>
      </c>
      <c r="G95" s="12" t="n">
        <v>0.1522222222222223</v>
      </c>
      <c r="H95" s="49" t="n">
        <v>152.6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الاستثمار</t>
        </is>
      </c>
      <c r="M95" s="51" t="n"/>
    </row>
    <row r="96">
      <c r="A96" s="15" t="n">
        <v>94</v>
      </c>
      <c r="B96" s="13" t="inlineStr">
        <is>
          <t>التقنية الرقمية</t>
        </is>
      </c>
      <c r="C96" s="21" t="inlineStr">
        <is>
          <t>نسبة الامتثال لضوابط الأمن السيبراني الأساسية</t>
        </is>
      </c>
      <c r="D96" s="49" t="n">
        <v>0.8070000000000001</v>
      </c>
      <c r="E96" s="49" t="n">
        <v>0.95</v>
      </c>
      <c r="F96" s="50" t="n">
        <v>0.8494736842105264</v>
      </c>
      <c r="G96" s="12" t="n">
        <v>0.1505263157894736</v>
      </c>
      <c r="H96" s="49" t="n">
        <v>0.8070000000000001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التقنية</t>
        </is>
      </c>
      <c r="M96" s="51" t="n"/>
    </row>
    <row r="97">
      <c r="A97" s="15" t="n">
        <v>95</v>
      </c>
      <c r="B97" s="13" t="inlineStr">
        <is>
          <t>الإدارة التنفيذية</t>
        </is>
      </c>
      <c r="C97" s="21" t="inlineStr">
        <is>
          <t>نسبة تحقيق المستهدفات الاستراتيجية العامة</t>
        </is>
      </c>
      <c r="D97" s="49" t="n">
        <v>0.85</v>
      </c>
      <c r="E97" s="49" t="n">
        <v>1</v>
      </c>
      <c r="F97" s="50" t="n">
        <v>0.85</v>
      </c>
      <c r="G97" s="12" t="n">
        <v>0.15</v>
      </c>
      <c r="H97" s="49" t="n">
        <v>0.85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الرئيس التنفيذي</t>
        </is>
      </c>
      <c r="M97" s="51" t="n"/>
    </row>
    <row r="98">
      <c r="A98" s="15" t="n">
        <v>96</v>
      </c>
      <c r="B98" s="13" t="inlineStr">
        <is>
          <t>العقار</t>
        </is>
      </c>
      <c r="C98" s="21" t="inlineStr">
        <is>
          <t>نمو الإيرادات الإيجارية</t>
        </is>
      </c>
      <c r="D98" s="49" t="n">
        <v>0.068</v>
      </c>
      <c r="E98" s="49" t="n">
        <v>0.08</v>
      </c>
      <c r="F98" s="50" t="n">
        <v>0.8500000000000001</v>
      </c>
      <c r="G98" s="12" t="n">
        <v>0.1499999999999999</v>
      </c>
      <c r="H98" s="49" t="n">
        <v>0.068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1" t="n"/>
    </row>
    <row r="99">
      <c r="A99" s="15" t="n">
        <v>97</v>
      </c>
      <c r="B99" s="13" t="inlineStr">
        <is>
          <t>التسويق</t>
        </is>
      </c>
      <c r="C99" s="21" t="inlineStr">
        <is>
          <t>تقييم خرائط قوقل</t>
        </is>
      </c>
      <c r="D99" s="49" t="n">
        <v>4</v>
      </c>
      <c r="E99" s="49" t="n">
        <v>4.7</v>
      </c>
      <c r="F99" s="50" t="n">
        <v>0.851063829787234</v>
      </c>
      <c r="G99" s="12" t="n">
        <v>0.148936170212766</v>
      </c>
      <c r="H99" s="49" t="n">
        <v>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1" t="n"/>
    </row>
    <row r="100">
      <c r="A100" s="15" t="n">
        <v>98</v>
      </c>
      <c r="B100" s="13" t="inlineStr">
        <is>
          <t>الإدارة المالية</t>
        </is>
      </c>
      <c r="C100" s="21" t="inlineStr">
        <is>
          <t>أيام الإقفال الشهري</t>
        </is>
      </c>
      <c r="D100" s="49" t="n">
        <v>7.044</v>
      </c>
      <c r="E100" s="49" t="n">
        <v>6</v>
      </c>
      <c r="F100" s="50" t="n">
        <v>0.8517887563884157</v>
      </c>
      <c r="G100" s="12" t="n">
        <v>0.1482112436115843</v>
      </c>
      <c r="H100" s="49" t="n">
        <v>7.044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المدير المالي</t>
        </is>
      </c>
      <c r="M100" s="51" t="n"/>
    </row>
    <row r="101">
      <c r="A101" s="15" t="n">
        <v>99</v>
      </c>
      <c r="B101" s="13" t="inlineStr">
        <is>
          <t>الإدارة المالية</t>
        </is>
      </c>
      <c r="C101" s="21" t="inlineStr">
        <is>
          <t>النسبة الجارية (Current Ratio)</t>
        </is>
      </c>
      <c r="D101" s="49" t="n">
        <v>0.852</v>
      </c>
      <c r="E101" s="49" t="n">
        <v>1</v>
      </c>
      <c r="F101" s="50" t="n">
        <v>0.852</v>
      </c>
      <c r="G101" s="12" t="n">
        <v>0.148</v>
      </c>
      <c r="H101" s="49" t="n">
        <v>0.852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المدير المالي</t>
        </is>
      </c>
      <c r="M101" s="51" t="n"/>
    </row>
    <row r="102">
      <c r="A102" s="15" t="n">
        <v>100</v>
      </c>
      <c r="B102" s="13" t="inlineStr">
        <is>
          <t>الجودة</t>
        </is>
      </c>
      <c r="C102" s="21" t="inlineStr">
        <is>
          <t>عدد مبادرات التحسين المؤثرة</t>
        </is>
      </c>
      <c r="D102" s="49" t="n">
        <v>6.827</v>
      </c>
      <c r="E102" s="49" t="n">
        <v>8</v>
      </c>
      <c r="F102" s="50" t="n">
        <v>0.853375</v>
      </c>
      <c r="G102" s="12" t="n">
        <v>0.146625</v>
      </c>
      <c r="H102" s="49" t="n">
        <v>13.654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الجودة</t>
        </is>
      </c>
      <c r="M102" s="51" t="n"/>
    </row>
    <row r="103">
      <c r="A103" s="15" t="n">
        <v>101</v>
      </c>
      <c r="B103" s="13" t="inlineStr">
        <is>
          <t>الامتياز التجاري</t>
        </is>
      </c>
      <c r="C103" s="21" t="inlineStr">
        <is>
          <t>نسبة التحصيل المالي من شركاء الامتياز</t>
        </is>
      </c>
      <c r="D103" s="49" t="n">
        <v>0.8120000000000001</v>
      </c>
      <c r="E103" s="49" t="n">
        <v>0.95</v>
      </c>
      <c r="F103" s="50" t="n">
        <v>0.8547368421052632</v>
      </c>
      <c r="G103" s="12" t="n">
        <v>0.1452631578947368</v>
      </c>
      <c r="H103" s="49" t="n">
        <v>0.8120000000000001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الامتياز</t>
        </is>
      </c>
      <c r="M103" s="51" t="n"/>
    </row>
    <row r="104">
      <c r="A104" s="15" t="n">
        <v>102</v>
      </c>
      <c r="B104" s="13" t="inlineStr">
        <is>
          <t>التشغيل والمحطات</t>
        </is>
      </c>
      <c r="C104" s="21" t="inlineStr">
        <is>
          <t>نمو مبيعات بنزين 91 مقارنة بالعام السابق</t>
        </is>
      </c>
      <c r="D104" s="49" t="n">
        <v>0.08599999999999999</v>
      </c>
      <c r="E104" s="49" t="n">
        <v>0.1</v>
      </c>
      <c r="F104" s="50" t="n">
        <v>0.8599999999999999</v>
      </c>
      <c r="G104" s="12" t="n">
        <v>0.1400000000000001</v>
      </c>
      <c r="H104" s="49" t="n">
        <v>0.08599999999999999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التشغيل</t>
        </is>
      </c>
      <c r="M104" s="51" t="n"/>
    </row>
    <row r="105">
      <c r="A105" s="15" t="n">
        <v>103</v>
      </c>
      <c r="B105" s="13" t="inlineStr">
        <is>
          <t>الاستثمار</t>
        </is>
      </c>
      <c r="C105" s="21" t="inlineStr">
        <is>
          <t>نسبة العقود خارج المدن الرئيسية</t>
        </is>
      </c>
      <c r="D105" s="49" t="n">
        <v>0.516</v>
      </c>
      <c r="E105" s="49" t="n">
        <v>0.6</v>
      </c>
      <c r="F105" s="50" t="n">
        <v>0.8600000000000001</v>
      </c>
      <c r="G105" s="12" t="n">
        <v>0.1399999999999999</v>
      </c>
      <c r="H105" s="49" t="n">
        <v>0.516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الاستثمار</t>
        </is>
      </c>
      <c r="M105" s="51" t="n"/>
    </row>
    <row r="106">
      <c r="A106" s="15" t="n">
        <v>104</v>
      </c>
      <c r="B106" s="13" t="inlineStr">
        <is>
          <t>إدارة المشاريع</t>
        </is>
      </c>
      <c r="C106" s="21" t="inlineStr">
        <is>
          <t>نسبة إغلاق ملاحظات الجودة على المطوّرين</t>
        </is>
      </c>
      <c r="D106" s="49" t="n">
        <v>0.777</v>
      </c>
      <c r="E106" s="49" t="n">
        <v>0.9</v>
      </c>
      <c r="F106" s="50" t="n">
        <v>0.8633333333333333</v>
      </c>
      <c r="G106" s="12" t="n">
        <v>0.1366666666666667</v>
      </c>
      <c r="H106" s="49" t="n">
        <v>0.777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إدارة المشاريع</t>
        </is>
      </c>
      <c r="M106" s="51" t="n"/>
    </row>
    <row r="107">
      <c r="A107" s="15" t="n">
        <v>105</v>
      </c>
      <c r="B107" s="13" t="inlineStr">
        <is>
          <t>الصيانة والأتمتة</t>
        </is>
      </c>
      <c r="C107" s="21" t="inlineStr">
        <is>
          <t>متوسط زمن الاستجابة للبلاغات الطارئة</t>
        </is>
      </c>
      <c r="D107" s="49" t="n">
        <v>34.7</v>
      </c>
      <c r="E107" s="49" t="n">
        <v>30</v>
      </c>
      <c r="F107" s="50" t="n">
        <v>0.8645533141210374</v>
      </c>
      <c r="G107" s="12" t="n">
        <v>0.1354466858789626</v>
      </c>
      <c r="H107" s="49" t="n">
        <v>34.7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الصيانة والأتمتة</t>
        </is>
      </c>
      <c r="M107" s="51" t="n"/>
    </row>
    <row r="108">
      <c r="A108" s="15" t="n">
        <v>106</v>
      </c>
      <c r="B108" s="13" t="inlineStr">
        <is>
          <t>الصيانة والأتمتة</t>
        </is>
      </c>
      <c r="C108" s="21" t="inlineStr">
        <is>
          <t>نسبة الجاهزية الفنية للأصول والمعدات (Availability)</t>
        </is>
      </c>
      <c r="D108" s="49" t="n">
        <v>0.848</v>
      </c>
      <c r="E108" s="49" t="n">
        <v>0.98</v>
      </c>
      <c r="F108" s="50" t="n">
        <v>0.8653061224489795</v>
      </c>
      <c r="G108" s="12" t="n">
        <v>0.1346938775510205</v>
      </c>
      <c r="H108" s="49" t="n">
        <v>0.848</v>
      </c>
      <c r="I108" s="15" t="inlineStr">
        <is>
          <t>🔴 تحت الهدف</t>
        </is>
      </c>
      <c r="J108" s="11" t="inlineStr">
        <is>
          <t>انحراف جوهري — أولوية عاجلة.</t>
        </is>
      </c>
      <c r="K108" s="11" t="inlineStr">
        <is>
          <t>إجراء تصحيحي خلال 30 يوماً.</t>
        </is>
      </c>
      <c r="L108" s="15" t="inlineStr">
        <is>
          <t>مدير الصيانة والأتمتة</t>
        </is>
      </c>
      <c r="M108" s="51" t="n"/>
    </row>
    <row r="109">
      <c r="A109" s="15" t="n">
        <v>107</v>
      </c>
      <c r="B109" s="13" t="inlineStr">
        <is>
          <t>إدارة المشاريع</t>
        </is>
      </c>
      <c r="C109" s="21" t="inlineStr">
        <is>
          <t>عدد محطات الامتياز المُسلَّمة بالهوية</t>
        </is>
      </c>
      <c r="D109" s="49" t="n">
        <v>34.7</v>
      </c>
      <c r="E109" s="49" t="n">
        <v>40</v>
      </c>
      <c r="F109" s="50" t="n">
        <v>0.8675</v>
      </c>
      <c r="G109" s="12" t="n">
        <v>0.1325</v>
      </c>
      <c r="H109" s="49" t="n">
        <v>69.40000000000001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إدارة المشاريع</t>
        </is>
      </c>
      <c r="M109" s="51" t="n"/>
    </row>
    <row r="110">
      <c r="A110" s="15" t="n">
        <v>108</v>
      </c>
      <c r="B110" s="13" t="inlineStr">
        <is>
          <t>العقار</t>
        </is>
      </c>
      <c r="C110" s="21" t="inlineStr">
        <is>
          <t>استدامة المستأجرين (لم يُنهَ مبكراً)</t>
        </is>
      </c>
      <c r="D110" s="49" t="n">
        <v>0.695</v>
      </c>
      <c r="E110" s="49" t="n">
        <v>0.8</v>
      </c>
      <c r="F110" s="50" t="n">
        <v>0.8687499999999999</v>
      </c>
      <c r="G110" s="12" t="n">
        <v>0.1312500000000001</v>
      </c>
      <c r="H110" s="49" t="n">
        <v>0.695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1" t="n"/>
    </row>
    <row r="111">
      <c r="A111" s="15" t="n">
        <v>109</v>
      </c>
      <c r="B111" s="13" t="inlineStr">
        <is>
          <t>الامتياز التجاري</t>
        </is>
      </c>
      <c r="C111" s="21" t="inlineStr">
        <is>
          <t>رفع هامش الربحية للامتياز</t>
        </is>
      </c>
      <c r="D111" s="49" t="n">
        <v>1.564</v>
      </c>
      <c r="E111" s="49" t="n">
        <v>1.8</v>
      </c>
      <c r="F111" s="50" t="n">
        <v>0.8688888888888889</v>
      </c>
      <c r="G111" s="12" t="n">
        <v>0.1311111111111111</v>
      </c>
      <c r="H111" s="49" t="n">
        <v>1.564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الامتياز</t>
        </is>
      </c>
      <c r="M111" s="51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المطوّرين بالجدول الزمني</t>
        </is>
      </c>
      <c r="D112" s="49" t="n">
        <v>0.652</v>
      </c>
      <c r="E112" s="49" t="n">
        <v>0.75</v>
      </c>
      <c r="F112" s="50" t="n">
        <v>0.8693333333333334</v>
      </c>
      <c r="G112" s="12" t="n">
        <v>0.1306666666666666</v>
      </c>
      <c r="H112" s="49" t="n">
        <v>0.652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إدارة المشاريع</t>
        </is>
      </c>
      <c r="M112" s="51" t="n"/>
    </row>
    <row r="113">
      <c r="A113" s="15" t="n">
        <v>111</v>
      </c>
      <c r="B113" s="13" t="inlineStr">
        <is>
          <t>الاستثمار</t>
        </is>
      </c>
      <c r="C113" s="21" t="inlineStr">
        <is>
          <t>إجمالي عقود الاستثمار الجديدة (جميع النماذج)</t>
        </is>
      </c>
      <c r="D113" s="49" t="n">
        <v>165.7</v>
      </c>
      <c r="E113" s="49" t="n">
        <v>190</v>
      </c>
      <c r="F113" s="50" t="n">
        <v>0.8721052631578947</v>
      </c>
      <c r="G113" s="12" t="n">
        <v>0.1278947368421053</v>
      </c>
      <c r="H113" s="49" t="n">
        <v>331.4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الاستثمار</t>
        </is>
      </c>
      <c r="M113" s="51" t="n"/>
    </row>
    <row r="114">
      <c r="A114" s="15" t="n">
        <v>112</v>
      </c>
      <c r="B114" s="13" t="inlineStr">
        <is>
          <t>العقار</t>
        </is>
      </c>
      <c r="C114" s="21" t="inlineStr">
        <is>
          <t>متوسط زمن تسليم الوحدة</t>
        </is>
      </c>
      <c r="D114" s="49" t="n">
        <v>7.983</v>
      </c>
      <c r="E114" s="49" t="n">
        <v>7</v>
      </c>
      <c r="F114" s="50" t="n">
        <v>0.8768633345859953</v>
      </c>
      <c r="G114" s="12" t="n">
        <v>0.1231366654140047</v>
      </c>
      <c r="H114" s="49" t="n">
        <v>7.983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1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إجمالي المحطات المشغّلة — الشركة (تراكمي)</t>
        </is>
      </c>
      <c r="D115" s="49" t="n">
        <v>206.1</v>
      </c>
      <c r="E115" s="49" t="n">
        <v>235</v>
      </c>
      <c r="F115" s="50" t="n">
        <v>0.8770212765957447</v>
      </c>
      <c r="G115" s="12" t="n">
        <v>0.1229787234042553</v>
      </c>
      <c r="H115" s="49" t="n">
        <v>206.1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1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تكرار الملاحظات</t>
        </is>
      </c>
      <c r="D116" s="49" t="n">
        <v>0.114</v>
      </c>
      <c r="E116" s="49" t="n">
        <v>0.1</v>
      </c>
      <c r="F116" s="50" t="n">
        <v>0.8771929824561404</v>
      </c>
      <c r="G116" s="12" t="n">
        <v>0.1228070175438596</v>
      </c>
      <c r="H116" s="49" t="n">
        <v>0.114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1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نسبة دقة الرواتب والمستحقات الشهرية</t>
        </is>
      </c>
      <c r="D117" s="49" t="n">
        <v>0.888</v>
      </c>
      <c r="E117" s="49" t="n">
        <v>0.995</v>
      </c>
      <c r="F117" s="50" t="n">
        <v>0.892462311557789</v>
      </c>
      <c r="G117" s="12" t="n">
        <v>0.107537688442211</v>
      </c>
      <c r="H117" s="49" t="n">
        <v>0.888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1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سرعة تعبئة الوقود</t>
        </is>
      </c>
      <c r="D118" s="49" t="n">
        <v>3.352</v>
      </c>
      <c r="E118" s="49" t="n">
        <v>3</v>
      </c>
      <c r="F118" s="50" t="n">
        <v>0.8949880668257757</v>
      </c>
      <c r="G118" s="12" t="n">
        <v>0.1050119331742243</v>
      </c>
      <c r="H118" s="49" t="n">
        <v>3.352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التشغيل</t>
        </is>
      </c>
      <c r="M118" s="51" t="n"/>
    </row>
    <row r="119">
      <c r="A119" s="15" t="n">
        <v>117</v>
      </c>
      <c r="B119" s="13" t="inlineStr">
        <is>
          <t>الموارد البشرية</t>
        </is>
      </c>
      <c r="C119" s="21" t="inlineStr">
        <is>
          <t>متوسط مدة إغلاق الشواغر المعتمدة</t>
        </is>
      </c>
      <c r="D119" s="49" t="n">
        <v>33.5</v>
      </c>
      <c r="E119" s="49" t="n">
        <v>30</v>
      </c>
      <c r="F119" s="50" t="n">
        <v>0.8955223880597015</v>
      </c>
      <c r="G119" s="12" t="n">
        <v>0.1044776119402985</v>
      </c>
      <c r="H119" s="49" t="n">
        <v>33.5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51" t="n"/>
    </row>
    <row r="120">
      <c r="A120" s="15" t="n">
        <v>118</v>
      </c>
      <c r="B120" s="13" t="inlineStr">
        <is>
          <t>إدارة المشاريع</t>
        </is>
      </c>
      <c r="C120" s="21" t="inlineStr">
        <is>
          <t>نسبة التزام المقاولين بمعايير السلامة</t>
        </is>
      </c>
      <c r="D120" s="49" t="n">
        <v>0.852</v>
      </c>
      <c r="E120" s="49" t="n">
        <v>0.95</v>
      </c>
      <c r="F120" s="50" t="n">
        <v>0.8968421052631579</v>
      </c>
      <c r="G120" s="12" t="n">
        <v>0.1031578947368421</v>
      </c>
      <c r="H120" s="49" t="n">
        <v>0.852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إدارة المشاريع</t>
        </is>
      </c>
      <c r="M120" s="51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تقييم Google Maps للمحطات</t>
        </is>
      </c>
      <c r="D121" s="49" t="n">
        <v>4.048</v>
      </c>
      <c r="E121" s="49" t="n">
        <v>4.5</v>
      </c>
      <c r="F121" s="50" t="n">
        <v>0.8995555555555556</v>
      </c>
      <c r="G121" s="12" t="n">
        <v>0.1004444444444444</v>
      </c>
      <c r="H121" s="49" t="n">
        <v>4.048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1" t="n"/>
    </row>
    <row r="122">
      <c r="A122" s="15" t="n">
        <v>120</v>
      </c>
      <c r="B122" s="13" t="inlineStr">
        <is>
          <t>الإدارة المالية</t>
        </is>
      </c>
      <c r="C122" s="21" t="inlineStr">
        <is>
          <t>نسبة التدفق النقدي التشغيلي</t>
        </is>
      </c>
      <c r="D122" s="49" t="n">
        <v>0.902</v>
      </c>
      <c r="E122" s="49" t="n">
        <v>1</v>
      </c>
      <c r="F122" s="50" t="n">
        <v>0.902</v>
      </c>
      <c r="G122" s="12" t="n">
        <v>0.09799999999999998</v>
      </c>
      <c r="H122" s="49" t="n">
        <v>0.902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المدير المالي</t>
        </is>
      </c>
      <c r="M122" s="51" t="n"/>
    </row>
    <row r="123">
      <c r="A123" s="15" t="n">
        <v>121</v>
      </c>
      <c r="B123" s="13" t="inlineStr">
        <is>
          <t>الإدارة التنفيذية</t>
        </is>
      </c>
      <c r="C123" s="21" t="inlineStr">
        <is>
          <t>نسبة إنجاز مشاريع الخارطة التنفيذية</t>
        </is>
      </c>
      <c r="D123" s="49" t="n">
        <v>0.906</v>
      </c>
      <c r="E123" s="49" t="n">
        <v>1</v>
      </c>
      <c r="F123" s="50" t="n">
        <v>0.906</v>
      </c>
      <c r="G123" s="12" t="n">
        <v>0.09399999999999997</v>
      </c>
      <c r="H123" s="49" t="n">
        <v>0.906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الرئيس التنفيذي</t>
        </is>
      </c>
      <c r="M123" s="51" t="n"/>
    </row>
    <row r="124">
      <c r="A124" s="15" t="n">
        <v>122</v>
      </c>
      <c r="B124" s="13" t="inlineStr">
        <is>
          <t>التشغيل والمحطات</t>
        </is>
      </c>
      <c r="C124" s="21" t="inlineStr">
        <is>
          <t>نمو مبيعات الديزل مقارنة بالعام السابق</t>
        </is>
      </c>
      <c r="D124" s="49" t="n">
        <v>0.091</v>
      </c>
      <c r="E124" s="49" t="n">
        <v>0.1</v>
      </c>
      <c r="F124" s="50" t="n">
        <v>0.9099999999999999</v>
      </c>
      <c r="G124" s="12" t="n">
        <v>0.09000000000000008</v>
      </c>
      <c r="H124" s="49" t="n">
        <v>0.091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51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نسبة المشاريع المنفّذة ضمن الميزانية</t>
        </is>
      </c>
      <c r="D125" s="49" t="n">
        <v>0.774</v>
      </c>
      <c r="E125" s="49" t="n">
        <v>0.85</v>
      </c>
      <c r="F125" s="50" t="n">
        <v>0.9105882352941177</v>
      </c>
      <c r="G125" s="12" t="n">
        <v>0.0894117647058823</v>
      </c>
      <c r="H125" s="49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1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المحطات المستوفية لمعايير السلامة</t>
        </is>
      </c>
      <c r="D126" s="49" t="n">
        <v>0.911</v>
      </c>
      <c r="E126" s="49" t="n">
        <v>1</v>
      </c>
      <c r="F126" s="50" t="n">
        <v>0.911</v>
      </c>
      <c r="G126" s="12" t="n">
        <v>0.08899999999999997</v>
      </c>
      <c r="H126" s="49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51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انخفاض الشكاوى التشغيلية والإدارية</t>
        </is>
      </c>
      <c r="D127" s="49" t="n">
        <v>0.274</v>
      </c>
      <c r="E127" s="49" t="n">
        <v>0.3</v>
      </c>
      <c r="F127" s="50" t="n">
        <v>0.9133333333333334</v>
      </c>
      <c r="G127" s="12" t="n">
        <v>0.08666666666666656</v>
      </c>
      <c r="H127" s="49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1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وقت معالجة البلاغات التشغيلية</t>
        </is>
      </c>
      <c r="D128" s="49" t="n">
        <v>26.2</v>
      </c>
      <c r="E128" s="49" t="n">
        <v>24</v>
      </c>
      <c r="F128" s="50" t="n">
        <v>0.916030534351145</v>
      </c>
      <c r="G128" s="12" t="n">
        <v>0.08396946564885499</v>
      </c>
      <c r="H128" s="49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1" t="n"/>
    </row>
    <row r="129">
      <c r="A129" s="15" t="n">
        <v>127</v>
      </c>
      <c r="B129" s="13" t="inlineStr">
        <is>
          <t>العقار</t>
        </is>
      </c>
      <c r="C129" s="21" t="inlineStr">
        <is>
          <t>الشراكات الاستراتيجية</t>
        </is>
      </c>
      <c r="D129" s="49" t="n">
        <v>4.59</v>
      </c>
      <c r="E129" s="49" t="n">
        <v>5</v>
      </c>
      <c r="F129" s="50" t="n">
        <v>0.9179999999999999</v>
      </c>
      <c r="G129" s="12" t="n">
        <v>0.08200000000000007</v>
      </c>
      <c r="H129" s="49" t="n">
        <v>9.18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51" t="n"/>
    </row>
    <row r="130">
      <c r="A130" s="15" t="n">
        <v>128</v>
      </c>
      <c r="B130" s="13" t="inlineStr">
        <is>
          <t>سلاسل الإمداد</t>
        </is>
      </c>
      <c r="C130" s="21" t="inlineStr">
        <is>
          <t>دقة أوامر الشراء ومستنداتها</t>
        </is>
      </c>
      <c r="D130" s="49" t="n">
        <v>0.905</v>
      </c>
      <c r="E130" s="49" t="n">
        <v>0.98</v>
      </c>
      <c r="F130" s="50" t="n">
        <v>0.9234693877551021</v>
      </c>
      <c r="G130" s="12" t="n">
        <v>0.07653061224489788</v>
      </c>
      <c r="H130" s="49" t="n">
        <v>0.905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51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عدد المحطات المشغّلة (تراكمي)</t>
        </is>
      </c>
      <c r="D131" s="49" t="n">
        <v>78.5</v>
      </c>
      <c r="E131" s="49" t="n">
        <v>85</v>
      </c>
      <c r="F131" s="50" t="n">
        <v>0.9235294117647059</v>
      </c>
      <c r="G131" s="12" t="n">
        <v>0.07647058823529407</v>
      </c>
      <c r="H131" s="49" t="n">
        <v>78.5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1" t="n"/>
    </row>
    <row r="132">
      <c r="A132" s="15" t="n">
        <v>130</v>
      </c>
      <c r="B132" s="13" t="inlineStr">
        <is>
          <t>الامتياز التجاري</t>
        </is>
      </c>
      <c r="C132" s="21" t="inlineStr">
        <is>
          <t>نسبة إغلاق ملاحظات الجودة الميدانية</t>
        </is>
      </c>
      <c r="D132" s="49" t="n">
        <v>0.879</v>
      </c>
      <c r="E132" s="49" t="n">
        <v>0.95</v>
      </c>
      <c r="F132" s="50" t="n">
        <v>0.9252631578947369</v>
      </c>
      <c r="G132" s="12" t="n">
        <v>0.0747368421052631</v>
      </c>
      <c r="H132" s="49" t="n">
        <v>0.879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الامتياز</t>
        </is>
      </c>
      <c r="M132" s="51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متوسط مدة إغلاق قائمة الملاحظات النهائية</t>
        </is>
      </c>
      <c r="D133" s="49" t="n">
        <v>32.4</v>
      </c>
      <c r="E133" s="49" t="n">
        <v>30</v>
      </c>
      <c r="F133" s="50" t="n">
        <v>0.9259259259259259</v>
      </c>
      <c r="G133" s="12" t="n">
        <v>0.07407407407407407</v>
      </c>
      <c r="H133" s="49" t="n">
        <v>32.4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1" t="n"/>
    </row>
    <row r="134">
      <c r="A134" s="15" t="n">
        <v>132</v>
      </c>
      <c r="B134" s="13" t="inlineStr">
        <is>
          <t>الجودة</t>
        </is>
      </c>
      <c r="C134" s="21" t="inlineStr">
        <is>
          <t>نسبة المحطات الحرجة</t>
        </is>
      </c>
      <c r="D134" s="49" t="n">
        <v>0.054</v>
      </c>
      <c r="E134" s="49" t="n">
        <v>0.05</v>
      </c>
      <c r="F134" s="50" t="n">
        <v>0.925925925925926</v>
      </c>
      <c r="G134" s="12" t="n">
        <v>0.07407407407407396</v>
      </c>
      <c r="H134" s="49" t="n">
        <v>0.054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الجودة</t>
        </is>
      </c>
      <c r="M134" s="51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متوسط درجة تقييم جودة المحطة (قائمة التحقق)</t>
        </is>
      </c>
      <c r="D135" s="49" t="n">
        <v>78.8</v>
      </c>
      <c r="E135" s="49" t="n">
        <v>85</v>
      </c>
      <c r="F135" s="50" t="n">
        <v>0.9270588235294117</v>
      </c>
      <c r="G135" s="12" t="n">
        <v>0.07294117647058829</v>
      </c>
      <c r="H135" s="49" t="n">
        <v>78.8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1" t="n"/>
    </row>
    <row r="136">
      <c r="A136" s="15" t="n">
        <v>134</v>
      </c>
      <c r="B136" s="13" t="inlineStr">
        <is>
          <t>الإدارة المالية</t>
        </is>
      </c>
      <c r="C136" s="21" t="inlineStr">
        <is>
          <t>نسبة تحصيل الامتياز</t>
        </is>
      </c>
      <c r="D136" s="49" t="n">
        <v>0.91</v>
      </c>
      <c r="E136" s="49" t="n">
        <v>0.98</v>
      </c>
      <c r="F136" s="50" t="n">
        <v>0.9285714285714286</v>
      </c>
      <c r="G136" s="12" t="n">
        <v>0.0714285714285714</v>
      </c>
      <c r="H136" s="49" t="n">
        <v>0.91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51" t="n"/>
    </row>
    <row r="137">
      <c r="A137" s="15" t="n">
        <v>135</v>
      </c>
      <c r="B137" s="13" t="inlineStr">
        <is>
          <t>إدارة المشاريع</t>
        </is>
      </c>
      <c r="C137" s="21" t="inlineStr">
        <is>
          <t>عدد محطات الشركة المُسلَّمة</t>
        </is>
      </c>
      <c r="D137" s="49" t="n">
        <v>18.8</v>
      </c>
      <c r="E137" s="49" t="n">
        <v>20</v>
      </c>
      <c r="F137" s="50" t="n">
        <v>0.9400000000000001</v>
      </c>
      <c r="G137" s="12" t="n">
        <v>0.05999999999999994</v>
      </c>
      <c r="H137" s="49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51" t="n"/>
    </row>
    <row r="138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إغلاق قضية التحقيق</t>
        </is>
      </c>
      <c r="D138" s="49" t="n">
        <v>31.9</v>
      </c>
      <c r="E138" s="49" t="n">
        <v>30</v>
      </c>
      <c r="F138" s="50" t="n">
        <v>0.9404388714733543</v>
      </c>
      <c r="G138" s="12" t="n">
        <v>0.05956112852664575</v>
      </c>
      <c r="H138" s="49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51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تغطية مخزون الوقود بالأيام</t>
        </is>
      </c>
      <c r="D139" s="49" t="n">
        <v>4.706</v>
      </c>
      <c r="E139" s="49" t="n">
        <v>5</v>
      </c>
      <c r="F139" s="50" t="n">
        <v>0.9412</v>
      </c>
      <c r="G139" s="12" t="n">
        <v>0.05879999999999996</v>
      </c>
      <c r="H139" s="49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1" t="n"/>
    </row>
    <row r="140">
      <c r="A140" s="15" t="n">
        <v>138</v>
      </c>
      <c r="B140" s="13" t="inlineStr">
        <is>
          <t>الصيانة والأتمتة</t>
        </is>
      </c>
      <c r="C140" s="21" t="inlineStr">
        <is>
          <t>نسبة استمرارية تشغيل المحطات دون توقف فني</t>
        </is>
      </c>
      <c r="D140" s="49" t="n">
        <v>0.9320000000000001</v>
      </c>
      <c r="E140" s="49" t="n">
        <v>0.99</v>
      </c>
      <c r="F140" s="50" t="n">
        <v>0.9414141414141415</v>
      </c>
      <c r="G140" s="12" t="n">
        <v>0.05858585858585852</v>
      </c>
      <c r="H140" s="49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51" t="n"/>
    </row>
    <row r="141">
      <c r="A141" s="15" t="n">
        <v>139</v>
      </c>
      <c r="B141" s="13" t="inlineStr">
        <is>
          <t>الاستثمار</t>
        </is>
      </c>
      <c r="C141" s="21" t="inlineStr">
        <is>
          <t>سرعة إنجاز إجراءات التعاقد</t>
        </is>
      </c>
      <c r="D141" s="49" t="n">
        <v>1.061</v>
      </c>
      <c r="E141" s="49" t="n">
        <v>1</v>
      </c>
      <c r="F141" s="50" t="n">
        <v>0.942507068803016</v>
      </c>
      <c r="G141" s="12" t="n">
        <v>0.05749293119698395</v>
      </c>
      <c r="H141" s="49" t="n">
        <v>1.061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51" t="n"/>
    </row>
    <row r="142">
      <c r="A142" s="15" t="n">
        <v>140</v>
      </c>
      <c r="B142" s="13" t="inlineStr">
        <is>
          <t>الاستثمار</t>
        </is>
      </c>
      <c r="C142" s="21" t="inlineStr">
        <is>
          <t>نسبة العقود على الطرق الإقليمية</t>
        </is>
      </c>
      <c r="D142" s="49" t="n">
        <v>0.236</v>
      </c>
      <c r="E142" s="49" t="n">
        <v>0.25</v>
      </c>
      <c r="F142" s="50" t="n">
        <v>0.944</v>
      </c>
      <c r="G142" s="12" t="n">
        <v>0.05600000000000005</v>
      </c>
      <c r="H142" s="49" t="n">
        <v>0.236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51" t="n"/>
    </row>
    <row r="143">
      <c r="A143" s="15" t="n">
        <v>141</v>
      </c>
      <c r="B143" s="13" t="inlineStr">
        <is>
          <t>التسويق</t>
        </is>
      </c>
      <c r="C143" s="21" t="inlineStr">
        <is>
          <t>وصول محتوى تطبيق تانكي</t>
        </is>
      </c>
      <c r="D143" s="49" t="n">
        <v>946380</v>
      </c>
      <c r="E143" s="49" t="n">
        <v>1000000</v>
      </c>
      <c r="F143" s="50" t="n">
        <v>0.94638</v>
      </c>
      <c r="G143" s="12" t="n">
        <v>0.05362</v>
      </c>
      <c r="H143" s="49" t="n">
        <v>946380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التسويق</t>
        </is>
      </c>
      <c r="M143" s="51" t="n"/>
    </row>
    <row r="144">
      <c r="A144" s="15" t="n">
        <v>142</v>
      </c>
      <c r="B144" s="13" t="inlineStr">
        <is>
          <t>الامتياز التجاري</t>
        </is>
      </c>
      <c r="C144" s="21" t="inlineStr">
        <is>
          <t>نسبة استدامة أصحاب الامتياز (Retention)</t>
        </is>
      </c>
      <c r="D144" s="49" t="n">
        <v>0.853</v>
      </c>
      <c r="E144" s="49" t="n">
        <v>0.9</v>
      </c>
      <c r="F144" s="50" t="n">
        <v>0.9477777777777777</v>
      </c>
      <c r="G144" s="12" t="n">
        <v>0.05222222222222228</v>
      </c>
      <c r="H144" s="49" t="n">
        <v>0.853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الامتياز</t>
        </is>
      </c>
      <c r="M144" s="51" t="n"/>
    </row>
    <row r="145">
      <c r="A145" s="15" t="n">
        <v>143</v>
      </c>
      <c r="B145" s="13" t="inlineStr">
        <is>
          <t>الإدارة المالية</t>
        </is>
      </c>
      <c r="C145" s="21" t="inlineStr">
        <is>
          <t>أيام تحصيل رسوم الامتياز</t>
        </is>
      </c>
      <c r="D145" s="49" t="n">
        <v>15.8</v>
      </c>
      <c r="E145" s="49" t="n">
        <v>15</v>
      </c>
      <c r="F145" s="50" t="n">
        <v>0.9493670886075949</v>
      </c>
      <c r="G145" s="12" t="n">
        <v>0.05063291139240511</v>
      </c>
      <c r="H145" s="49" t="n">
        <v>15.8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المدير المالي</t>
        </is>
      </c>
      <c r="M145" s="51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جاهزية وتغطية عمالة المحطات حسب خطة التشغيل والافتتاحات</t>
        </is>
      </c>
      <c r="D146" s="49" t="n">
        <v>0.903</v>
      </c>
      <c r="E146" s="49" t="n">
        <v>0.95</v>
      </c>
      <c r="F146" s="50" t="n">
        <v>0.9505263157894738</v>
      </c>
      <c r="G146" s="12" t="n">
        <v>0.04947368421052623</v>
      </c>
      <c r="H146" s="49" t="n">
        <v>0.903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الموارد البشرية</t>
        </is>
      </c>
      <c r="M146" s="51" t="n"/>
    </row>
    <row r="147">
      <c r="A147" s="15" t="n">
        <v>145</v>
      </c>
      <c r="B147" s="13" t="inlineStr">
        <is>
          <t>سلاسل الإمداد</t>
        </is>
      </c>
      <c r="C147" s="21" t="inlineStr">
        <is>
          <t>نسبة جاهزية الإمداد للمحطات الجديدة وخطط الافتتاح</t>
        </is>
      </c>
      <c r="D147" s="49" t="n">
        <v>0.952</v>
      </c>
      <c r="E147" s="49" t="n">
        <v>1</v>
      </c>
      <c r="F147" s="50" t="n">
        <v>0.952</v>
      </c>
      <c r="G147" s="12" t="n">
        <v>0.04800000000000004</v>
      </c>
      <c r="H147" s="49" t="n">
        <v>0.952</v>
      </c>
      <c r="I147" s="15" t="inlineStr">
        <is>
          <t>🔴 تحت الهدف</t>
        </is>
      </c>
      <c r="J147" s="11" t="inlineStr">
        <is>
          <t>انحراف جوهري — أولوية عاجلة.</t>
        </is>
      </c>
      <c r="K147" s="11" t="inlineStr">
        <is>
          <t>إجراء تصحيحي خلال 30 يوماً.</t>
        </is>
      </c>
      <c r="L147" s="15" t="inlineStr">
        <is>
          <t>مدير سلاسل الإمداد</t>
        </is>
      </c>
      <c r="M147" s="51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عدد عقود الامتياز الجديدة الموقّعة</t>
        </is>
      </c>
      <c r="D148" s="49" t="n">
        <v>159.2</v>
      </c>
      <c r="E148" s="49" t="n">
        <v>167</v>
      </c>
      <c r="F148" s="50" t="n">
        <v>0.9532934131736527</v>
      </c>
      <c r="G148" s="12" t="n">
        <v>0.04670658682634732</v>
      </c>
      <c r="H148" s="49" t="n">
        <v>318.4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1" t="n"/>
    </row>
    <row r="149">
      <c r="A149" s="15" t="n">
        <v>147</v>
      </c>
      <c r="B149" s="13" t="inlineStr">
        <is>
          <t>إدارة المشاريع</t>
        </is>
      </c>
      <c r="C149" s="21" t="inlineStr">
        <is>
          <t>نسبة الالتزام بالميزانية المعتمدة</t>
        </is>
      </c>
      <c r="D149" s="49" t="n">
        <v>0.96</v>
      </c>
      <c r="E149" s="49" t="n">
        <v>1</v>
      </c>
      <c r="F149" s="50" t="n">
        <v>0.96</v>
      </c>
      <c r="G149" s="12" t="n">
        <v>0.04000000000000004</v>
      </c>
      <c r="H149" s="49" t="n">
        <v>0.96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إدارة المشاريع</t>
        </is>
      </c>
      <c r="M149" s="51" t="n"/>
    </row>
    <row r="150">
      <c r="A150" s="15" t="n">
        <v>148</v>
      </c>
      <c r="B150" s="13" t="inlineStr">
        <is>
          <t>الاستثمار</t>
        </is>
      </c>
      <c r="C150" s="21" t="inlineStr">
        <is>
          <t>نسبة إنجاز التقارير الدورية في موعدها</t>
        </is>
      </c>
      <c r="D150" s="49" t="n">
        <v>0.961</v>
      </c>
      <c r="E150" s="49" t="n">
        <v>1</v>
      </c>
      <c r="F150" s="50" t="n">
        <v>0.961</v>
      </c>
      <c r="G150" s="12" t="n">
        <v>0.03900000000000003</v>
      </c>
      <c r="H150" s="49" t="n">
        <v>0.961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الاستثمار</t>
        </is>
      </c>
      <c r="M150" s="51" t="n"/>
    </row>
    <row r="151">
      <c r="A151" s="15" t="n">
        <v>149</v>
      </c>
      <c r="B151" s="13" t="inlineStr">
        <is>
          <t>العقار</t>
        </is>
      </c>
      <c r="C151" s="21" t="inlineStr">
        <is>
          <t>علامات تجارية جديدة (ساحة درب)</t>
        </is>
      </c>
      <c r="D151" s="49" t="n">
        <v>5.769</v>
      </c>
      <c r="E151" s="49" t="n">
        <v>6</v>
      </c>
      <c r="F151" s="50" t="n">
        <v>0.9615</v>
      </c>
      <c r="G151" s="12" t="n">
        <v>0.03849999999999998</v>
      </c>
      <c r="H151" s="49" t="n">
        <v>11.538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العقار</t>
        </is>
      </c>
      <c r="M151" s="51" t="n"/>
    </row>
    <row r="152">
      <c r="A152" s="15" t="n">
        <v>150</v>
      </c>
      <c r="B152" s="13" t="inlineStr">
        <is>
          <t>إدارة المشاريع</t>
        </is>
      </c>
      <c r="C152" s="21" t="inlineStr">
        <is>
          <t>عدد مخالفات المقاولين (سنوي)</t>
        </is>
      </c>
      <c r="D152" s="49" t="n">
        <v>10.4</v>
      </c>
      <c r="E152" s="49" t="n">
        <v>10</v>
      </c>
      <c r="F152" s="50" t="n">
        <v>0.9615384615384615</v>
      </c>
      <c r="G152" s="12" t="n">
        <v>0.03846153846153855</v>
      </c>
      <c r="H152" s="49" t="n">
        <v>20.8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إدارة المشاريع</t>
        </is>
      </c>
      <c r="M152" s="51" t="n"/>
    </row>
    <row r="153">
      <c r="A153" s="15" t="n">
        <v>151</v>
      </c>
      <c r="B153" s="13" t="inlineStr">
        <is>
          <t>الاستثمار</t>
        </is>
      </c>
      <c r="C153" s="21" t="inlineStr">
        <is>
          <t>نسبة العقود في الـ12 مدينة الرئيسية</t>
        </is>
      </c>
      <c r="D153" s="49" t="n">
        <v>0.415</v>
      </c>
      <c r="E153" s="49" t="n">
        <v>0.4</v>
      </c>
      <c r="F153" s="50" t="n">
        <v>0.9638554216867471</v>
      </c>
      <c r="G153" s="12" t="n">
        <v>0.03614457831325291</v>
      </c>
      <c r="H153" s="49" t="n">
        <v>0.415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الاستثمار</t>
        </is>
      </c>
      <c r="M153" s="51" t="n"/>
    </row>
    <row r="154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49" t="n">
        <v>0.917</v>
      </c>
      <c r="E154" s="49" t="n">
        <v>0.95</v>
      </c>
      <c r="F154" s="50" t="n">
        <v>0.9652631578947369</v>
      </c>
      <c r="G154" s="12" t="n">
        <v>0.03473684210526307</v>
      </c>
      <c r="H154" s="49" t="n">
        <v>0.917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الموارد البشرية</t>
        </is>
      </c>
      <c r="M154" s="51" t="n"/>
    </row>
    <row r="155">
      <c r="A155" s="15" t="n">
        <v>153</v>
      </c>
      <c r="B155" s="13" t="inlineStr">
        <is>
          <t>إدارة المشاريع</t>
        </is>
      </c>
      <c r="C155" s="21" t="inlineStr">
        <is>
          <t>نسبة إنجاز محفظة مشاريع التوسع</t>
        </is>
      </c>
      <c r="D155" s="49" t="n">
        <v>0.676</v>
      </c>
      <c r="E155" s="49" t="n">
        <v>0.7</v>
      </c>
      <c r="F155" s="50" t="n">
        <v>0.9657142857142859</v>
      </c>
      <c r="G155" s="12" t="n">
        <v>0.03428571428571414</v>
      </c>
      <c r="H155" s="49" t="n">
        <v>0.676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إدارة المشاريع</t>
        </is>
      </c>
      <c r="M155" s="51" t="n"/>
    </row>
    <row r="156">
      <c r="A156" s="15" t="n">
        <v>154</v>
      </c>
      <c r="B156" s="13" t="inlineStr">
        <is>
          <t>الامتياز التجاري</t>
        </is>
      </c>
      <c r="C156" s="21" t="inlineStr">
        <is>
          <t>نسبة حل الشكاوى خلال المدة المحددة</t>
        </is>
      </c>
      <c r="D156" s="49" t="n">
        <v>0.922</v>
      </c>
      <c r="E156" s="49" t="n">
        <v>0.95</v>
      </c>
      <c r="F156" s="50" t="n">
        <v>0.9705263157894738</v>
      </c>
      <c r="G156" s="12" t="n">
        <v>0.02947368421052621</v>
      </c>
      <c r="H156" s="49" t="n">
        <v>0.922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الامتياز</t>
        </is>
      </c>
      <c r="M156" s="51" t="n"/>
    </row>
    <row r="157">
      <c r="A157" s="15" t="n">
        <v>155</v>
      </c>
      <c r="B157" s="13" t="inlineStr">
        <is>
          <t>الإدارة التنفيذية</t>
        </is>
      </c>
      <c r="C157" s="21" t="inlineStr">
        <is>
          <t>إجمالي العقود الجديدة — الشركة</t>
        </is>
      </c>
      <c r="D157" s="49" t="n">
        <v>346.6</v>
      </c>
      <c r="E157" s="49" t="n">
        <v>357</v>
      </c>
      <c r="F157" s="50" t="n">
        <v>0.9708683473389357</v>
      </c>
      <c r="G157" s="12" t="n">
        <v>0.02913165266106432</v>
      </c>
      <c r="H157" s="49" t="n">
        <v>693.2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الرئيس التنفيذي</t>
        </is>
      </c>
      <c r="M157" s="51" t="n"/>
    </row>
    <row r="158">
      <c r="A158" s="15" t="n">
        <v>156</v>
      </c>
      <c r="B158" s="13" t="inlineStr">
        <is>
          <t>الاستثمار</t>
        </is>
      </c>
      <c r="C158" s="21" t="inlineStr">
        <is>
          <t>نسبة اكتمال أرشفة ملفات العملاء</t>
        </is>
      </c>
      <c r="D158" s="49" t="n">
        <v>0.972</v>
      </c>
      <c r="E158" s="49" t="n">
        <v>1</v>
      </c>
      <c r="F158" s="50" t="n">
        <v>0.972</v>
      </c>
      <c r="G158" s="12" t="n">
        <v>0.02800000000000002</v>
      </c>
      <c r="H158" s="49" t="n">
        <v>0.972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الاستثمار</t>
        </is>
      </c>
      <c r="M158" s="51" t="n"/>
    </row>
    <row r="159">
      <c r="A159" s="15" t="n">
        <v>157</v>
      </c>
      <c r="B159" s="13" t="inlineStr">
        <is>
          <t>الإدارة القانونية</t>
        </is>
      </c>
      <c r="C159" s="21" t="inlineStr">
        <is>
          <t>نسبة العقود الخالية من الملاحظات والمخاطر القانونية</t>
        </is>
      </c>
      <c r="D159" s="49" t="n">
        <v>0.924</v>
      </c>
      <c r="E159" s="49" t="n">
        <v>0.95</v>
      </c>
      <c r="F159" s="50" t="n">
        <v>0.9726315789473685</v>
      </c>
      <c r="G159" s="12" t="n">
        <v>0.02736842105263149</v>
      </c>
      <c r="H159" s="49" t="n">
        <v>0.924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القانوني</t>
        </is>
      </c>
      <c r="M159" s="51" t="n"/>
    </row>
    <row r="160">
      <c r="A160" s="15" t="n">
        <v>158</v>
      </c>
      <c r="B160" s="13" t="inlineStr">
        <is>
          <t>الإدارة المالية</t>
        </is>
      </c>
      <c r="C160" s="21" t="inlineStr">
        <is>
          <t>اكتمال مطابقة حسابات الموردين</t>
        </is>
      </c>
      <c r="D160" s="49" t="n">
        <v>0.926</v>
      </c>
      <c r="E160" s="49" t="n">
        <v>0.95</v>
      </c>
      <c r="F160" s="50" t="n">
        <v>0.9747368421052632</v>
      </c>
      <c r="G160" s="12" t="n">
        <v>0.02526315789473677</v>
      </c>
      <c r="H160" s="49" t="n">
        <v>0.926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المدير المالي</t>
        </is>
      </c>
      <c r="M160" s="51" t="n"/>
    </row>
    <row r="161">
      <c r="A161" s="15" t="n">
        <v>159</v>
      </c>
      <c r="B161" s="13" t="inlineStr">
        <is>
          <t>سلاسل الإمداد</t>
        </is>
      </c>
      <c r="C161" s="21" t="inlineStr">
        <is>
          <t>كفاءة إدارة الموردين</t>
        </is>
      </c>
      <c r="D161" s="49" t="n">
        <v>0.881</v>
      </c>
      <c r="E161" s="49" t="n">
        <v>0.9</v>
      </c>
      <c r="F161" s="50" t="n">
        <v>0.9788888888888889</v>
      </c>
      <c r="G161" s="12" t="n">
        <v>0.02111111111111108</v>
      </c>
      <c r="H161" s="49" t="n">
        <v>0.881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سلاسل الإمداد</t>
        </is>
      </c>
      <c r="M161" s="51" t="n"/>
    </row>
    <row r="162">
      <c r="A162" s="15" t="n">
        <v>160</v>
      </c>
      <c r="B162" s="13" t="inlineStr">
        <is>
          <t>سلاسل الإمداد</t>
        </is>
      </c>
      <c r="C162" s="21" t="inlineStr">
        <is>
          <t>نسبة إنجاز أوامر الشراء خلال المدة المستهدفة</t>
        </is>
      </c>
      <c r="D162" s="49" t="n">
        <v>0.9320000000000001</v>
      </c>
      <c r="E162" s="49" t="n">
        <v>0.95</v>
      </c>
      <c r="F162" s="50" t="n">
        <v>0.9810526315789475</v>
      </c>
      <c r="G162" s="12" t="n">
        <v>0.01894736842105249</v>
      </c>
      <c r="H162" s="49" t="n">
        <v>0.9320000000000001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سلاسل الإمداد</t>
        </is>
      </c>
      <c r="M162" s="51" t="n"/>
    </row>
    <row r="163">
      <c r="A163" s="15" t="n">
        <v>161</v>
      </c>
      <c r="B163" s="13" t="inlineStr">
        <is>
          <t>التشغيل والمحطات</t>
        </is>
      </c>
      <c r="C163" s="21" t="inlineStr">
        <is>
          <t>نسبة المضخات العاملة</t>
        </is>
      </c>
      <c r="D163" s="49" t="n">
        <v>0.953</v>
      </c>
      <c r="E163" s="49" t="n">
        <v>0.97</v>
      </c>
      <c r="F163" s="50" t="n">
        <v>0.9824742268041237</v>
      </c>
      <c r="G163" s="12" t="n">
        <v>0.01752577319587634</v>
      </c>
      <c r="H163" s="49" t="n">
        <v>0.953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التشغيل</t>
        </is>
      </c>
      <c r="M163" s="51" t="n"/>
    </row>
    <row r="164">
      <c r="A164" s="15" t="n">
        <v>162</v>
      </c>
      <c r="B164" s="13" t="inlineStr">
        <is>
          <t>التشغيل والمحطات</t>
        </is>
      </c>
      <c r="C164" s="21" t="inlineStr">
        <is>
          <t>تطبيق المعيار الشامل في المحطات</t>
        </is>
      </c>
      <c r="D164" s="49" t="n">
        <v>0.787</v>
      </c>
      <c r="E164" s="49" t="n">
        <v>0.8</v>
      </c>
      <c r="F164" s="50" t="n">
        <v>0.98375</v>
      </c>
      <c r="G164" s="12" t="n">
        <v>0.01624999999999999</v>
      </c>
      <c r="H164" s="49" t="n">
        <v>0.787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التشغيل</t>
        </is>
      </c>
      <c r="M164" s="51" t="n"/>
    </row>
    <row r="165">
      <c r="A165" s="15" t="n">
        <v>163</v>
      </c>
      <c r="B165" s="13" t="inlineStr">
        <is>
          <t>التقنية الرقمية</t>
        </is>
      </c>
      <c r="C165" s="21" t="inlineStr">
        <is>
          <t>نسبة إنجاز مشاريع التحول الرقمي والمشاريع التقنية حسب الخطة</t>
        </is>
      </c>
      <c r="D165" s="49" t="n">
        <v>0.89</v>
      </c>
      <c r="E165" s="49" t="n">
        <v>0.9</v>
      </c>
      <c r="F165" s="50" t="n">
        <v>0.9888888888888889</v>
      </c>
      <c r="G165" s="12" t="n">
        <v>0.01111111111111107</v>
      </c>
      <c r="H165" s="49" t="n">
        <v>0.89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مدير التقنية</t>
        </is>
      </c>
      <c r="M165" s="51" t="n"/>
    </row>
    <row r="166">
      <c r="A166" s="15" t="n">
        <v>164</v>
      </c>
      <c r="B166" s="13" t="inlineStr">
        <is>
          <t>الإدارة المالية</t>
        </is>
      </c>
      <c r="C166" s="21" t="inlineStr">
        <is>
          <t>انحراف الموازنة</t>
        </is>
      </c>
      <c r="D166" s="49" t="n">
        <v>0.101</v>
      </c>
      <c r="E166" s="49" t="n">
        <v>0.1</v>
      </c>
      <c r="F166" s="50" t="n">
        <v>0.9900990099009901</v>
      </c>
      <c r="G166" s="12" t="n">
        <v>0.00990099009900991</v>
      </c>
      <c r="H166" s="49" t="n">
        <v>0.101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المدير المالي</t>
        </is>
      </c>
      <c r="M166" s="51" t="n"/>
    </row>
    <row r="167">
      <c r="A167" s="15" t="n">
        <v>165</v>
      </c>
      <c r="B167" s="13" t="inlineStr">
        <is>
          <t>الصيانة والأتمتة</t>
        </is>
      </c>
      <c r="C167" s="21" t="inlineStr">
        <is>
          <t>نسبة استعادة أنظمة الأتمتة ضمن الزمن المحدد</t>
        </is>
      </c>
      <c r="D167" s="49" t="n">
        <v>0.9419999999999999</v>
      </c>
      <c r="E167" s="49" t="n">
        <v>0.95</v>
      </c>
      <c r="F167" s="50" t="n">
        <v>0.991578947368421</v>
      </c>
      <c r="G167" s="12" t="n">
        <v>0.008421052631578996</v>
      </c>
      <c r="H167" s="49" t="n">
        <v>0.9419999999999999</v>
      </c>
      <c r="I167" s="15" t="inlineStr">
        <is>
          <t>🟡 قريب</t>
        </is>
      </c>
      <c r="J167" s="11" t="inlineStr">
        <is>
          <t>فجوة محدودة — متابعة.</t>
        </is>
      </c>
      <c r="K167" s="11" t="inlineStr">
        <is>
          <t>متابعة أسبوعية لإغلاق الفجوة.</t>
        </is>
      </c>
      <c r="L167" s="15" t="inlineStr">
        <is>
          <t>مدير الصيانة والأتمتة</t>
        </is>
      </c>
      <c r="M167" s="51" t="n"/>
    </row>
    <row r="168">
      <c r="A168" s="15" t="n">
        <v>166</v>
      </c>
      <c r="B168" s="13" t="inlineStr">
        <is>
          <t>الجودة</t>
        </is>
      </c>
      <c r="C168" s="21" t="inlineStr">
        <is>
          <t>نسبة اكتمال وتحديث الإجراءات المعتمدة</t>
        </is>
      </c>
      <c r="D168" s="49" t="n">
        <v>0.944</v>
      </c>
      <c r="E168" s="49" t="n">
        <v>0.95</v>
      </c>
      <c r="F168" s="50" t="n">
        <v>0.9936842105263158</v>
      </c>
      <c r="G168" s="12" t="n">
        <v>0.006315789473684164</v>
      </c>
      <c r="H168" s="49" t="n">
        <v>0.944</v>
      </c>
      <c r="I168" s="15" t="inlineStr">
        <is>
          <t>🟡 قريب</t>
        </is>
      </c>
      <c r="J168" s="11" t="inlineStr">
        <is>
          <t>فجوة محدودة — متابعة.</t>
        </is>
      </c>
      <c r="K168" s="11" t="inlineStr">
        <is>
          <t>متابعة أسبوعية لإغلاق الفجوة.</t>
        </is>
      </c>
      <c r="L168" s="15" t="inlineStr">
        <is>
          <t>مدير الجودة</t>
        </is>
      </c>
      <c r="M168" s="51" t="n"/>
    </row>
    <row r="169">
      <c r="A169" s="15" t="n">
        <v>167</v>
      </c>
      <c r="B169" s="13" t="inlineStr">
        <is>
          <t>الامتياز التجاري</t>
        </is>
      </c>
      <c r="C169" s="21" t="inlineStr">
        <is>
          <t>نسبة تطبيق المعيار الشامل داخل المحطات</t>
        </is>
      </c>
      <c r="D169" s="49" t="n">
        <v>0.299</v>
      </c>
      <c r="E169" s="49" t="n">
        <v>0.3</v>
      </c>
      <c r="F169" s="50" t="n">
        <v>0.9966666666666667</v>
      </c>
      <c r="G169" s="12" t="n">
        <v>0.003333333333333299</v>
      </c>
      <c r="H169" s="49" t="n">
        <v>0.299</v>
      </c>
      <c r="I169" s="15" t="inlineStr">
        <is>
          <t>🟡 قريب</t>
        </is>
      </c>
      <c r="J169" s="11" t="inlineStr">
        <is>
          <t>فجوة محدودة — متابعة.</t>
        </is>
      </c>
      <c r="K169" s="11" t="inlineStr">
        <is>
          <t>متابعة أسبوعية لإغلاق الفجوة.</t>
        </is>
      </c>
      <c r="L169" s="15" t="inlineStr">
        <is>
          <t>مدير الامتياز</t>
        </is>
      </c>
      <c r="M169" s="51" t="n"/>
    </row>
  </sheetData>
  <autoFilter ref="A2:M169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25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بنزين 91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نمو مبيعات بنزين 95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0.1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نمو مبيعات بنزين 98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9" t="inlineStr">
        <is>
          <t>↑</t>
        </is>
      </c>
      <c r="G46" s="59" t="n">
        <v>0.1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IF(COUNT($H46:$S46)=0,"",SUM($H46:$S46)/COUNT($H46:$S46))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التشغيل والمحطات</t>
        </is>
      </c>
      <c r="C47" s="11" t="inlineStr">
        <is>
          <t>نمو مبيعات الديزل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9" t="inlineStr">
        <is>
          <t>↑</t>
        </is>
      </c>
      <c r="G47" s="59" t="n">
        <v>0.1</v>
      </c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50">
        <f>IF(COUNT($H47:$S47)=0,"",SUM($H47:$S47)/COUNT($H47:$S47))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61">
        <f>IF($G47="","",$G47)</f>
        <v/>
      </c>
      <c r="X47" s="54">
        <f>IF($U47="","—",IF($U47&gt;=0.85,"🟢 على المسار","🟠 متأخّر"))</f>
        <v/>
      </c>
    </row>
    <row r="48" ht="22" customHeight="1">
      <c r="A48" s="54" t="n">
        <v>45</v>
      </c>
      <c r="B48" s="13" t="inlineStr">
        <is>
          <t>التشغيل والمحطات</t>
        </is>
      </c>
      <c r="C48" s="11" t="inlineStr">
        <is>
          <t>نسبة جاهزية المحطة الشاملة (Uptime)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0.99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محقق",IF($U48&gt;=0.97,"🟡 قريب","🔴 تحت الهدف")))</f>
        <v/>
      </c>
      <c r="W48" s="61">
        <f>IF($G48="","",$G48)</f>
        <v/>
      </c>
      <c r="X48" s="54">
        <f>IF($U48="","—",IF($U48&gt;=0.97,"🟢 على المسار","🟠 متأخّر"))</f>
        <v/>
      </c>
    </row>
    <row r="49" ht="22" customHeight="1">
      <c r="A49" s="54" t="n">
        <v>46</v>
      </c>
      <c r="B49" s="13" t="inlineStr">
        <is>
          <t>التشغيل والمحطات</t>
        </is>
      </c>
      <c r="C49" s="11" t="inlineStr">
        <is>
          <t>نسبة المضخات العاملة</t>
        </is>
      </c>
      <c r="D49" s="15" t="inlineStr">
        <is>
          <t>شهري</t>
        </is>
      </c>
      <c r="E49" s="15" t="inlineStr">
        <is>
          <t>معدل</t>
        </is>
      </c>
      <c r="F49" s="49" t="inlineStr">
        <is>
          <t>↑</t>
        </is>
      </c>
      <c r="G49" s="59" t="n">
        <v>0.97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هدف",IF($U49&gt;=1.0,"✅ محقق",IF($U49&gt;=0.85,"🟡 قريب","🔴 تحت الهدف")))</f>
        <v/>
      </c>
      <c r="W49" s="61">
        <f>IF($G49="","",$G49)</f>
        <v/>
      </c>
      <c r="X49" s="54">
        <f>IF($U49="","—",IF($U49&gt;=0.85,"🟢 على المسار","🟠 متأخّر"))</f>
        <v/>
      </c>
    </row>
    <row r="50" ht="22" customHeight="1">
      <c r="A50" s="54" t="n">
        <v>47</v>
      </c>
      <c r="B50" s="13" t="inlineStr">
        <is>
          <t>التشغيل والمحطات</t>
        </is>
      </c>
      <c r="C50" s="11" t="inlineStr">
        <is>
          <t>تكلفة التشغيل لكل لتر مباع</t>
        </is>
      </c>
      <c r="D50" s="15" t="inlineStr">
        <is>
          <t>ربعي</t>
        </is>
      </c>
      <c r="E50" s="15" t="inlineStr">
        <is>
          <t>معدل</t>
        </is>
      </c>
      <c r="F50" s="49" t="inlineStr">
        <is>
          <t>↓</t>
        </is>
      </c>
      <c r="G50" s="49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التشغيل والمحطات</t>
        </is>
      </c>
      <c r="C51" s="11" t="inlineStr">
        <is>
          <t>نسبة الصيانة الوقائية المنفذة في موعدها</t>
        </is>
      </c>
      <c r="D51" s="15" t="inlineStr">
        <is>
          <t>شهري</t>
        </is>
      </c>
      <c r="E51" s="15" t="inlineStr">
        <is>
          <t>معدل</t>
        </is>
      </c>
      <c r="F51" s="49" t="inlineStr">
        <is>
          <t>↑</t>
        </is>
      </c>
      <c r="G51" s="59" t="n">
        <v>0.95</v>
      </c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50">
        <f>IF(COUNT($H51:$S51)=0,"",SUM($H51:$S51)/COUNT($H51:$S51))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61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التشغيل والمحطات</t>
        </is>
      </c>
      <c r="C52" s="11" t="inlineStr">
        <is>
          <t>نسبة انخفاض الشكاوى مقارنة بالشهر السابق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0.2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التشغيل والمحطات</t>
        </is>
      </c>
      <c r="C53" s="11" t="inlineStr">
        <is>
          <t>تقييم Google Maps للمحطات</t>
        </is>
      </c>
      <c r="D53" s="15" t="inlineStr">
        <is>
          <t>شهري</t>
        </is>
      </c>
      <c r="E53" s="15" t="inlineStr">
        <is>
          <t>معدل</t>
        </is>
      </c>
      <c r="F53" s="49" t="inlineStr">
        <is>
          <t>↑</t>
        </is>
      </c>
      <c r="G53" s="62" t="n">
        <v>4.5</v>
      </c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4">
        <f>IF(COUNT($H53:$S53)=0,"",SUM($H53:$S53)/COUNT($H53:$S53))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65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التشغيل والمحطات</t>
        </is>
      </c>
      <c r="C54" s="11" t="inlineStr">
        <is>
          <t>سرعة تعبئة الوقود</t>
        </is>
      </c>
      <c r="D54" s="15" t="inlineStr">
        <is>
          <t>شهري</t>
        </is>
      </c>
      <c r="E54" s="15" t="inlineStr">
        <is>
          <t>معدل</t>
        </is>
      </c>
      <c r="F54" s="49" t="inlineStr">
        <is>
          <t>↓</t>
        </is>
      </c>
      <c r="G54" s="62" t="n">
        <v>3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هدف",IF($U54&gt;=1.0,"✅ محقق",IF($U54&gt;=0.85,"🟡 قريب","🔴 تحت الهدف")))</f>
        <v/>
      </c>
      <c r="W54" s="65">
        <f>IF($G54="","",$G54)</f>
        <v/>
      </c>
      <c r="X54" s="54">
        <f>IF($U54="","—",IF($U54&gt;=0.85,"🟢 على المسار","🟠 متأخّر"))</f>
        <v/>
      </c>
    </row>
    <row r="55" ht="22" customHeight="1">
      <c r="A55" s="54" t="n">
        <v>52</v>
      </c>
      <c r="B55" s="13" t="inlineStr">
        <is>
          <t>التشغيل والمحطات</t>
        </is>
      </c>
      <c r="C55" s="11" t="inlineStr">
        <is>
          <t>دقة التعبئة بدون أخطاء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0.99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محقق",IF($U55&gt;=0.97,"🟡 قريب","🔴 تحت الهدف")))</f>
        <v/>
      </c>
      <c r="W55" s="61">
        <f>IF($G55="","",$G55)</f>
        <v/>
      </c>
      <c r="X55" s="54">
        <f>IF($U55="","—",IF($U55&gt;=0.97,"🟢 على المسار","🟠 متأخّر"))</f>
        <v/>
      </c>
    </row>
    <row r="56" ht="22" customHeight="1">
      <c r="A56" s="54" t="n">
        <v>53</v>
      </c>
      <c r="B56" s="13" t="inlineStr">
        <is>
          <t>التشغيل والمحطات</t>
        </is>
      </c>
      <c r="C56" s="11" t="inlineStr">
        <is>
          <t>تطبيق المعيار الشامل في المحطات</t>
        </is>
      </c>
      <c r="D56" s="15" t="inlineStr">
        <is>
          <t>شهري</t>
        </is>
      </c>
      <c r="E56" s="15" t="inlineStr">
        <is>
          <t>لقطة</t>
        </is>
      </c>
      <c r="F56" s="49" t="inlineStr">
        <is>
          <t>↑</t>
        </is>
      </c>
      <c r="G56" s="59" t="n">
        <v>0.8</v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50">
        <f>IFERROR(LOOKUP(2,1/($H56:$S56&lt;&gt;""),$H56:$S56),"")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61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التشغيل والمحطات</t>
        </is>
      </c>
      <c r="C57" s="11" t="inlineStr">
        <is>
          <t>الالتزام بمعايير السلامة داخل المحطة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9" t="n">
        <v>1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محقق",IF($U57&gt;=0.97,"🟡 قريب","🔴 تحت الهدف")))</f>
        <v/>
      </c>
      <c r="W57" s="61">
        <f>IF($G57="","",$G57)</f>
        <v/>
      </c>
      <c r="X57" s="54">
        <f>IF($U57="","—",IF($U57&gt;=0.97,"🟢 على المسار","🟠 متأخّر"))</f>
        <v/>
      </c>
    </row>
    <row r="58" ht="22" customHeight="1">
      <c r="A58" s="54" t="n">
        <v>55</v>
      </c>
      <c r="B58" s="13" t="inlineStr">
        <is>
          <t>التشغيل والمحطات</t>
        </is>
      </c>
      <c r="C58" s="11" t="inlineStr">
        <is>
          <t>التشجير داخل المحطة (معيار الوزارة)</t>
        </is>
      </c>
      <c r="D58" s="15" t="inlineStr">
        <is>
          <t>شهري</t>
        </is>
      </c>
      <c r="E58" s="15" t="inlineStr">
        <is>
          <t>لقطة</t>
        </is>
      </c>
      <c r="F58" s="49" t="inlineStr">
        <is>
          <t>↑</t>
        </is>
      </c>
      <c r="G58" s="59" t="n">
        <v>1</v>
      </c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50">
        <f>IFERROR(LOOKUP(2,1/($H58:$S58&lt;&gt;""),$H58:$S58),"")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1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الاستثمار</t>
        </is>
      </c>
      <c r="C59" s="11" t="inlineStr">
        <is>
          <t>إجمالي عقود الاستثمار الجديدة (جميع النماذج)</t>
        </is>
      </c>
      <c r="D59" s="15" t="inlineStr">
        <is>
          <t>شهري</t>
        </is>
      </c>
      <c r="E59" s="15" t="inlineStr">
        <is>
          <t>تراكمي</t>
        </is>
      </c>
      <c r="F59" s="49" t="inlineStr">
        <is>
          <t>↑</t>
        </is>
      </c>
      <c r="G59" s="55" t="n">
        <v>190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7">
        <f>IF(COUNT($H59:$S59)=0,"",SUM($H59:$S59))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58">
        <f>IF($G59="","",$G59*COUNT($H59:$S59)/12)</f>
        <v/>
      </c>
      <c r="X59" s="54">
        <f>IF($U59="","—",IF($U59&gt;=COUNT($H59:$S59)/12,"🟢 على المسار","🟠 متأخّر"))</f>
        <v/>
      </c>
    </row>
    <row r="60" ht="22" customHeight="1">
      <c r="A60" s="54" t="n">
        <v>57</v>
      </c>
      <c r="B60" s="13" t="inlineStr">
        <is>
          <t>الاستثمار</t>
        </is>
      </c>
      <c r="C60" s="11" t="inlineStr">
        <is>
          <t>عقود الاستثمار العادي الجديدة</t>
        </is>
      </c>
      <c r="D60" s="15" t="inlineStr">
        <is>
          <t>شهري</t>
        </is>
      </c>
      <c r="E60" s="15" t="inlineStr">
        <is>
          <t>تراكمي</t>
        </is>
      </c>
      <c r="F60" s="49" t="inlineStr">
        <is>
          <t>↑</t>
        </is>
      </c>
      <c r="G60" s="55" t="n">
        <v>90</v>
      </c>
      <c r="H60" s="56" t="n"/>
      <c r="I60" s="56" t="n"/>
      <c r="J60" s="56" t="n"/>
      <c r="K60" s="56" t="n"/>
      <c r="L60" s="56" t="n"/>
      <c r="M60" s="56" t="n"/>
      <c r="N60" s="56" t="n"/>
      <c r="O60" s="56" t="n"/>
      <c r="P60" s="56" t="n"/>
      <c r="Q60" s="56" t="n"/>
      <c r="R60" s="56" t="n"/>
      <c r="S60" s="56" t="n"/>
      <c r="T60" s="57">
        <f>IF(COUNT($H60:$S60)=0,"",SUM($H60:$S60))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58">
        <f>IF($G60="","",$G60*COUNT($H60:$S60)/12)</f>
        <v/>
      </c>
      <c r="X60" s="54">
        <f>IF($U60="","—",IF($U60&gt;=COUNT($H60:$S60)/12,"🟢 على المسار","🟠 متأخّر"))</f>
        <v/>
      </c>
    </row>
    <row r="61" ht="22" customHeight="1">
      <c r="A61" s="54" t="n">
        <v>58</v>
      </c>
      <c r="B61" s="13" t="inlineStr">
        <is>
          <t>الاستثمار</t>
        </is>
      </c>
      <c r="C61" s="11" t="inlineStr">
        <is>
          <t>عقود الاستحواذ الجديدة</t>
        </is>
      </c>
      <c r="D61" s="15" t="inlineStr">
        <is>
          <t>شهري</t>
        </is>
      </c>
      <c r="E61" s="15" t="inlineStr">
        <is>
          <t>تراكمي</t>
        </is>
      </c>
      <c r="F61" s="49" t="inlineStr">
        <is>
          <t>↑</t>
        </is>
      </c>
      <c r="G61" s="55" t="n">
        <v>100</v>
      </c>
      <c r="H61" s="56" t="n"/>
      <c r="I61" s="56" t="n"/>
      <c r="J61" s="56" t="n"/>
      <c r="K61" s="56" t="n"/>
      <c r="L61" s="56" t="n"/>
      <c r="M61" s="56" t="n"/>
      <c r="N61" s="56" t="n"/>
      <c r="O61" s="56" t="n"/>
      <c r="P61" s="56" t="n"/>
      <c r="Q61" s="56" t="n"/>
      <c r="R61" s="56" t="n"/>
      <c r="S61" s="56" t="n"/>
      <c r="T61" s="57">
        <f>IF(COUNT($H61:$S61)=0,"",SUM($H61:$S61))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هدف",IF($U61&gt;=1.0,"✅ محقق",IF($U61&gt;=0.85,"🟡 قريب","🔴 تحت الهدف")))</f>
        <v/>
      </c>
      <c r="W61" s="58">
        <f>IF($G61="","",$G61*COUNT($H61:$S61)/12)</f>
        <v/>
      </c>
      <c r="X61" s="54">
        <f>IF($U61="","—",IF($U61&gt;=COUNT($H61:$S61)/12,"🟢 على المسار","🟠 متأخّر"))</f>
        <v/>
      </c>
    </row>
    <row r="62" ht="22" customHeight="1">
      <c r="A62" s="54" t="n">
        <v>59</v>
      </c>
      <c r="B62" s="13" t="inlineStr">
        <is>
          <t>الاستثمار</t>
        </is>
      </c>
      <c r="C62" s="11" t="inlineStr">
        <is>
          <t>المحطات المستحوَذ عليها المشغّلة (تراكمي)</t>
        </is>
      </c>
      <c r="D62" s="15" t="inlineStr">
        <is>
          <t>شهري</t>
        </is>
      </c>
      <c r="E62" s="15" t="inlineStr">
        <is>
          <t>لقطة</t>
        </is>
      </c>
      <c r="F62" s="49" t="inlineStr">
        <is>
          <t>↑</t>
        </is>
      </c>
      <c r="G62" s="55" t="n">
        <v>120</v>
      </c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7">
        <f>IFERROR(LOOKUP(2,1/($H62:$S62&lt;&gt;""),$H62:$S62),"")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58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الاستثمار</t>
        </is>
      </c>
      <c r="C63" s="11" t="inlineStr">
        <is>
          <t>عقود تأجير الأرض الجديدة</t>
        </is>
      </c>
      <c r="D63" s="15" t="inlineStr">
        <is>
          <t>شهري</t>
        </is>
      </c>
      <c r="E63" s="15" t="inlineStr">
        <is>
          <t>تراكمي</t>
        </is>
      </c>
      <c r="F63" s="49" t="inlineStr">
        <is>
          <t>↑</t>
        </is>
      </c>
      <c r="G63" s="55" t="n">
        <v>11</v>
      </c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7">
        <f>IF(COUNT($H63:$S63)=0,"",SUM($H63:$S63))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58">
        <f>IF($G63="","",$G63*COUNT($H63:$S63)/12)</f>
        <v/>
      </c>
      <c r="X63" s="54">
        <f>IF($U63="","—",IF($U63&gt;=COUNT($H63:$S63)/12,"🟢 على المسار","🟠 متأخّر"))</f>
        <v/>
      </c>
    </row>
    <row r="64" ht="22" customHeight="1">
      <c r="A64" s="54" t="n">
        <v>61</v>
      </c>
      <c r="B64" s="13" t="inlineStr">
        <is>
          <t>الاستثمار</t>
        </is>
      </c>
      <c r="C64" s="11" t="inlineStr">
        <is>
          <t>عقود إيجار المحطة الجديدة</t>
        </is>
      </c>
      <c r="D64" s="15" t="inlineStr">
        <is>
          <t>شهري</t>
        </is>
      </c>
      <c r="E64" s="15" t="inlineStr">
        <is>
          <t>تراكمي</t>
        </is>
      </c>
      <c r="F64" s="49" t="inlineStr">
        <is>
          <t>↑</t>
        </is>
      </c>
      <c r="G64" s="55" t="n">
        <v>12</v>
      </c>
      <c r="H64" s="56" t="n"/>
      <c r="I64" s="56" t="n"/>
      <c r="J64" s="56" t="n"/>
      <c r="K64" s="56" t="n"/>
      <c r="L64" s="56" t="n"/>
      <c r="M64" s="56" t="n"/>
      <c r="N64" s="56" t="n"/>
      <c r="O64" s="56" t="n"/>
      <c r="P64" s="56" t="n"/>
      <c r="Q64" s="56" t="n"/>
      <c r="R64" s="56" t="n"/>
      <c r="S64" s="56" t="n"/>
      <c r="T64" s="57">
        <f>IF(COUNT($H64:$S64)=0,"",SUM($H64:$S64))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58">
        <f>IF($G64="","",$G64*COUNT($H64:$S64)/12)</f>
        <v/>
      </c>
      <c r="X64" s="54">
        <f>IF($U64="","—",IF($U64&gt;=COUNT($H64:$S64)/12,"🟢 على المسار","🟠 متأخّر"))</f>
        <v/>
      </c>
    </row>
    <row r="65" ht="22" customHeight="1">
      <c r="A65" s="54" t="n">
        <v>62</v>
      </c>
      <c r="B65" s="13" t="inlineStr">
        <is>
          <t>الاستثمار</t>
        </is>
      </c>
      <c r="C65" s="11" t="inlineStr">
        <is>
          <t>عقود تشغيل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9" t="inlineStr">
        <is>
          <t>↑</t>
        </is>
      </c>
      <c r="G65" s="55" t="n">
        <v>68</v>
      </c>
      <c r="H65" s="56" t="n"/>
      <c r="I65" s="56" t="n"/>
      <c r="J65" s="56" t="n"/>
      <c r="K65" s="56" t="n"/>
      <c r="L65" s="56" t="n"/>
      <c r="M65" s="56" t="n"/>
      <c r="N65" s="56" t="n"/>
      <c r="O65" s="56" t="n"/>
      <c r="P65" s="56" t="n"/>
      <c r="Q65" s="56" t="n"/>
      <c r="R65" s="56" t="n"/>
      <c r="S65" s="56" t="n"/>
      <c r="T65" s="57">
        <f>IF(COUNT($H65:$S65)=0,"",SUM($H65:$S65))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58">
        <f>IF($G65="","",$G65*COUNT($H65:$S65)/12)</f>
        <v/>
      </c>
      <c r="X65" s="54">
        <f>IF($U65="","—",IF($U65&gt;=COUNT($H65:$S65)/12,"🟢 على المسار","🟠 متأخّر"))</f>
        <v/>
      </c>
    </row>
    <row r="66" ht="22" customHeight="1">
      <c r="A66" s="54" t="n">
        <v>63</v>
      </c>
      <c r="B66" s="13" t="inlineStr">
        <is>
          <t>الاستثمار</t>
        </is>
      </c>
      <c r="C66" s="11" t="inlineStr">
        <is>
          <t>نسبة المواقع المعتمدة ذات العائد المجدي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9" t="n">
        <v>0.8</v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1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الاستثمار</t>
        </is>
      </c>
      <c r="C67" s="11" t="inlineStr">
        <is>
          <t>متوسط فترة استرداد رأس المال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↓</t>
        </is>
      </c>
      <c r="G67" s="62" t="n">
        <v>5</v>
      </c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4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محقق",IF($U67&gt;=0.85,"🟡 قريب","🔴 تحت الهدف")))</f>
        <v/>
      </c>
      <c r="W67" s="65">
        <f>IF($G67="","",$G67)</f>
        <v/>
      </c>
      <c r="X67" s="54">
        <f>IF($U67="","—",IF($U67&gt;=0.85,"🟢 على المسار","🟠 متأخّر"))</f>
        <v/>
      </c>
    </row>
    <row r="68" ht="22" customHeight="1">
      <c r="A68" s="54" t="n">
        <v>65</v>
      </c>
      <c r="B68" s="13" t="inlineStr">
        <is>
          <t>الاستثمار</t>
        </is>
      </c>
      <c r="C68" s="11" t="inlineStr">
        <is>
          <t>متوسط قيمة عقد الإيجار السنوي (أرض)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↑</t>
        </is>
      </c>
      <c r="G68" s="49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7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8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الاستثمار</t>
        </is>
      </c>
      <c r="C69" s="11" t="inlineStr">
        <is>
          <t>نسبة العقود التي تغطي المناطق الـ13</t>
        </is>
      </c>
      <c r="D69" s="15" t="inlineStr">
        <is>
          <t>شهري</t>
        </is>
      </c>
      <c r="E69" s="15" t="inlineStr">
        <is>
          <t>لقطة</t>
        </is>
      </c>
      <c r="F69" s="49" t="inlineStr">
        <is>
          <t>↑</t>
        </is>
      </c>
      <c r="G69" s="59" t="n">
        <v>1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IFERROR(LOOKUP(2,1/($H69:$S69&lt;&gt;""),$H69:$S69),"")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الاستثمار</t>
        </is>
      </c>
      <c r="C70" s="11" t="inlineStr">
        <is>
          <t>نسبة العقود خارج المدن الرئيسية</t>
        </is>
      </c>
      <c r="D70" s="15" t="inlineStr">
        <is>
          <t>شهري</t>
        </is>
      </c>
      <c r="E70" s="15" t="inlineStr">
        <is>
          <t>لقطة</t>
        </is>
      </c>
      <c r="F70" s="49" t="inlineStr">
        <is>
          <t>↑</t>
        </is>
      </c>
      <c r="G70" s="59" t="n">
        <v>0.6</v>
      </c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50">
        <f>IFERROR(LOOKUP(2,1/($H70:$S70&lt;&gt;""),$H70:$S70),"")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1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الاستثمار</t>
        </is>
      </c>
      <c r="C71" s="11" t="inlineStr">
        <is>
          <t>نسبة العقود في الـ12 مدينة الرئيسية</t>
        </is>
      </c>
      <c r="D71" s="15" t="inlineStr">
        <is>
          <t>شهري</t>
        </is>
      </c>
      <c r="E71" s="15" t="inlineStr">
        <is>
          <t>لقطة</t>
        </is>
      </c>
      <c r="F71" s="49" t="inlineStr">
        <is>
          <t>↓</t>
        </is>
      </c>
      <c r="G71" s="59" t="n">
        <v>0.4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IFERROR(LOOKUP(2,1/($H71:$S71&lt;&gt;""),$H71:$S71),"")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الاستثمار</t>
        </is>
      </c>
      <c r="C72" s="11" t="inlineStr">
        <is>
          <t>نسبة العقود على الطرق الإقليمية</t>
        </is>
      </c>
      <c r="D72" s="15" t="inlineStr">
        <is>
          <t>شهري</t>
        </is>
      </c>
      <c r="E72" s="15" t="inlineStr">
        <is>
          <t>لقطة</t>
        </is>
      </c>
      <c r="F72" s="49" t="inlineStr">
        <is>
          <t>↑</t>
        </is>
      </c>
      <c r="G72" s="59" t="n">
        <v>0.25</v>
      </c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50">
        <f>IFERROR(LOOKUP(2,1/($H72:$S72&lt;&gt;""),$H72:$S72),"")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هدف",IF($U72&gt;=1.0,"✅ محقق",IF($U72&gt;=0.85,"🟡 قريب","🔴 تحت الهدف")))</f>
        <v/>
      </c>
      <c r="W72" s="61">
        <f>IF($G72="","",$G72)</f>
        <v/>
      </c>
      <c r="X72" s="54">
        <f>IF($U72="","—",IF($U72&gt;=0.85,"🟢 على المسار","🟠 متأخّر"))</f>
        <v/>
      </c>
    </row>
    <row r="73" ht="22" customHeight="1">
      <c r="A73" s="54" t="n">
        <v>70</v>
      </c>
      <c r="B73" s="13" t="inlineStr">
        <is>
          <t>الاستثمار</t>
        </is>
      </c>
      <c r="C73" s="11" t="inlineStr">
        <is>
          <t>متوسط مدة إغلاق عقد الاستثمار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↓</t>
        </is>
      </c>
      <c r="G73" s="62" t="n">
        <v>1</v>
      </c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4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5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الاستثمار</t>
        </is>
      </c>
      <c r="C74" s="11" t="inlineStr">
        <is>
          <t>نسبة العقود المتحوّلة لمحطات مشغّلة</t>
        </is>
      </c>
      <c r="D74" s="15" t="inlineStr">
        <is>
          <t>شهري</t>
        </is>
      </c>
      <c r="E74" s="15" t="inlineStr">
        <is>
          <t>معدل</t>
        </is>
      </c>
      <c r="F74" s="49" t="inlineStr">
        <is>
          <t>↑</t>
        </is>
      </c>
      <c r="G74" s="59" t="n">
        <v>0.3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50">
        <f>IF(COUNT($H74:$S74)=0,"",SUM($H74:$S74)/COUNT($H74:$S74))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1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الاستثمار</t>
        </is>
      </c>
      <c r="C75" s="11" t="inlineStr">
        <is>
          <t>نسبة تخفيض إيجار المواقع عالية التكاليف</t>
        </is>
      </c>
      <c r="D75" s="15" t="inlineStr">
        <is>
          <t>شهري</t>
        </is>
      </c>
      <c r="E75" s="15" t="inlineStr">
        <is>
          <t>معدل</t>
        </is>
      </c>
      <c r="F75" s="49" t="inlineStr">
        <is>
          <t>↑</t>
        </is>
      </c>
      <c r="G75" s="59" t="n">
        <v>0.3</v>
      </c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 t="n"/>
      <c r="S75" s="60" t="n"/>
      <c r="T75" s="50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61">
        <f>IF($G75="","",$G75)</f>
        <v/>
      </c>
      <c r="X75" s="54">
        <f>IF($U75="","—",IF($U75&gt;=0.85,"🟢 على المسار","🟠 متأخّر"))</f>
        <v/>
      </c>
    </row>
    <row r="76" ht="22" customHeight="1">
      <c r="A76" s="54" t="n">
        <v>73</v>
      </c>
      <c r="B76" s="13" t="inlineStr">
        <is>
          <t>الاستثمار</t>
        </is>
      </c>
      <c r="C76" s="11" t="inlineStr">
        <is>
          <t>نسبة اكتمال المستندات النظامية قبل التوقيع</t>
        </is>
      </c>
      <c r="D76" s="15" t="inlineStr">
        <is>
          <t>شهري</t>
        </is>
      </c>
      <c r="E76" s="15" t="inlineStr">
        <is>
          <t>معدل</t>
        </is>
      </c>
      <c r="F76" s="49" t="inlineStr">
        <is>
          <t>↑</t>
        </is>
      </c>
      <c r="G76" s="59" t="n">
        <v>1</v>
      </c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50">
        <f>IF(COUNT($H76:$S76)=0,"",SUM($H76:$S76)/COUNT($H76:$S76))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61">
        <f>IF($G76="","",$G76)</f>
        <v/>
      </c>
      <c r="X76" s="54">
        <f>IF($U76="","—",IF($U76&gt;=0.85,"🟢 على المسار","🟠 متأخّر"))</f>
        <v/>
      </c>
    </row>
    <row r="77" ht="22" customHeight="1">
      <c r="A77" s="54" t="n">
        <v>74</v>
      </c>
      <c r="B77" s="13" t="inlineStr">
        <is>
          <t>الاستثمار</t>
        </is>
      </c>
      <c r="C77" s="11" t="inlineStr">
        <is>
          <t>نسبة العقود المؤرشفة إلكترونياً خلال 48 ساعة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59" t="n">
        <v>0.95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الاستثمار</t>
        </is>
      </c>
      <c r="C78" s="11" t="inlineStr">
        <is>
          <t>جودة التفاوض مع المستثمرين</t>
        </is>
      </c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59" t="n">
        <v>0.98</v>
      </c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61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الاستثمار</t>
        </is>
      </c>
      <c r="C79" s="11" t="inlineStr">
        <is>
          <t>سرعة إنجاز إجراءات التعاقد</t>
        </is>
      </c>
      <c r="D79" s="15" t="inlineStr">
        <is>
          <t>شهري</t>
        </is>
      </c>
      <c r="E79" s="15" t="inlineStr">
        <is>
          <t>معدل</t>
        </is>
      </c>
      <c r="F79" s="49" t="inlineStr">
        <is>
          <t>↓</t>
        </is>
      </c>
      <c r="G79" s="62" t="n">
        <v>1</v>
      </c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4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65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الاستثمار</t>
        </is>
      </c>
      <c r="C80" s="11" t="inlineStr">
        <is>
          <t>مدى رضا المستثمرين وشركاء الاستثمار</t>
        </is>
      </c>
      <c r="D80" s="15" t="inlineStr">
        <is>
          <t>ربعي</t>
        </is>
      </c>
      <c r="E80" s="15" t="inlineStr">
        <is>
          <t>معدل</t>
        </is>
      </c>
      <c r="F80" s="49" t="inlineStr">
        <is>
          <t>↑</t>
        </is>
      </c>
      <c r="G80" s="59" t="n">
        <v>0.8</v>
      </c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50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هدف",IF($U80&gt;=0.9,"✅ محقق",IF($U80&gt;=0.75,"🟡 قريب","🔴 تحت الهدف")))</f>
        <v/>
      </c>
      <c r="W80" s="61">
        <f>IF($G80="","",$G80)</f>
        <v/>
      </c>
      <c r="X80" s="54">
        <f>IF($U80="","—",IF($U80&gt;=0.75,"🟢 على المسار","🟠 متأخّر"))</f>
        <v/>
      </c>
    </row>
    <row r="81" ht="22" customHeight="1">
      <c r="A81" s="54" t="n">
        <v>78</v>
      </c>
      <c r="B81" s="13" t="inlineStr">
        <is>
          <t>الاستثمار</t>
        </is>
      </c>
      <c r="C81" s="11" t="inlineStr">
        <is>
          <t>نسبة اكتمال أرشفة ملفات العملاء</t>
        </is>
      </c>
      <c r="D81" s="15" t="inlineStr">
        <is>
          <t>شهري</t>
        </is>
      </c>
      <c r="E81" s="15" t="inlineStr">
        <is>
          <t>معدل</t>
        </is>
      </c>
      <c r="F81" s="49" t="inlineStr">
        <is>
          <t>↑</t>
        </is>
      </c>
      <c r="G81" s="59" t="n">
        <v>1</v>
      </c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61">
        <f>IF($G81="","",$G81)</f>
        <v/>
      </c>
      <c r="X81" s="54">
        <f>IF($U81="","—",IF($U81&gt;=0.85,"🟢 على المسار","🟠 متأخّر"))</f>
        <v/>
      </c>
    </row>
    <row r="82" ht="22" customHeight="1">
      <c r="A82" s="54" t="n">
        <v>79</v>
      </c>
      <c r="B82" s="13" t="inlineStr">
        <is>
          <t>الاستثمار</t>
        </is>
      </c>
      <c r="C82" s="11" t="inlineStr">
        <is>
          <t>نسبة إنجاز التقارير الدورية في موعدها</t>
        </is>
      </c>
      <c r="D82" s="15" t="inlineStr">
        <is>
          <t>شهري</t>
        </is>
      </c>
      <c r="E82" s="15" t="inlineStr">
        <is>
          <t>معدل</t>
        </is>
      </c>
      <c r="F82" s="49" t="inlineStr">
        <is>
          <t>↑</t>
        </is>
      </c>
      <c r="G82" s="59" t="n">
        <v>1</v>
      </c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61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العقار</t>
        </is>
      </c>
      <c r="C83" s="11" t="inlineStr">
        <is>
          <t>نمو الإيرادات الإيجارية</t>
        </is>
      </c>
      <c r="D83" s="15" t="inlineStr">
        <is>
          <t>ربعي</t>
        </is>
      </c>
      <c r="E83" s="15" t="inlineStr">
        <is>
          <t>معدل</t>
        </is>
      </c>
      <c r="F83" s="49" t="inlineStr">
        <is>
          <t>↑</t>
        </is>
      </c>
      <c r="G83" s="59" t="n">
        <v>0.08</v>
      </c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50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61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العقار</t>
        </is>
      </c>
      <c r="C84" s="11" t="inlineStr">
        <is>
          <t>نسبة الالتزام بالعقود</t>
        </is>
      </c>
      <c r="D84" s="15" t="inlineStr">
        <is>
          <t>شهري</t>
        </is>
      </c>
      <c r="E84" s="15" t="inlineStr">
        <is>
          <t>معدل</t>
        </is>
      </c>
      <c r="F84" s="49" t="inlineStr">
        <is>
          <t>↑</t>
        </is>
      </c>
      <c r="G84" s="59" t="n">
        <v>1</v>
      </c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61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العقار</t>
        </is>
      </c>
      <c r="C85" s="11" t="inlineStr">
        <is>
          <t>نسبة تحصيل الإيجارات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59" t="n">
        <v>0.95</v>
      </c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1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العقار</t>
        </is>
      </c>
      <c r="C86" s="11" t="inlineStr">
        <is>
          <t>نسبة الإشغال</t>
        </is>
      </c>
      <c r="D86" s="15" t="inlineStr">
        <is>
          <t>شهري</t>
        </is>
      </c>
      <c r="E86" s="15" t="inlineStr">
        <is>
          <t>معدل</t>
        </is>
      </c>
      <c r="F86" s="49" t="inlineStr">
        <is>
          <t>↑</t>
        </is>
      </c>
      <c r="G86" s="59" t="n">
        <v>0.6</v>
      </c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1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العقار</t>
        </is>
      </c>
      <c r="C87" s="11" t="inlineStr">
        <is>
          <t>الوحدات المؤجَّرة شهرياً</t>
        </is>
      </c>
      <c r="D87" s="15" t="inlineStr">
        <is>
          <t>شهري</t>
        </is>
      </c>
      <c r="E87" s="15" t="inlineStr">
        <is>
          <t>معدل</t>
        </is>
      </c>
      <c r="F87" s="49" t="inlineStr">
        <is>
          <t>↑</t>
        </is>
      </c>
      <c r="G87" s="55" t="n">
        <v>68</v>
      </c>
      <c r="H87" s="56" t="n"/>
      <c r="I87" s="56" t="n"/>
      <c r="J87" s="56" t="n"/>
      <c r="K87" s="56" t="n"/>
      <c r="L87" s="56" t="n"/>
      <c r="M87" s="56" t="n"/>
      <c r="N87" s="56" t="n"/>
      <c r="O87" s="56" t="n"/>
      <c r="P87" s="56" t="n"/>
      <c r="Q87" s="56" t="n"/>
      <c r="R87" s="56" t="n"/>
      <c r="S87" s="56" t="n"/>
      <c r="T87" s="57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58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العقار</t>
        </is>
      </c>
      <c r="C88" s="11" t="inlineStr">
        <is>
          <t>العملاء المحتملون (LEADS)</t>
        </is>
      </c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55" t="n">
        <v>680</v>
      </c>
      <c r="H88" s="56" t="n"/>
      <c r="I88" s="56" t="n"/>
      <c r="J88" s="56" t="n"/>
      <c r="K88" s="56" t="n"/>
      <c r="L88" s="56" t="n"/>
      <c r="M88" s="56" t="n"/>
      <c r="N88" s="56" t="n"/>
      <c r="O88" s="56" t="n"/>
      <c r="P88" s="56" t="n"/>
      <c r="Q88" s="56" t="n"/>
      <c r="R88" s="56" t="n"/>
      <c r="S88" s="56" t="n"/>
      <c r="T88" s="57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58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العقار</t>
        </is>
      </c>
      <c r="C89" s="11" t="inlineStr">
        <is>
          <t>معدل التحويل</t>
        </is>
      </c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59" t="n">
        <v>0.2</v>
      </c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50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61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العقار</t>
        </is>
      </c>
      <c r="C90" s="11" t="inlineStr">
        <is>
          <t>زيادة عدد العلامات التجارية</t>
        </is>
      </c>
      <c r="D90" s="15" t="inlineStr">
        <is>
          <t>شهري</t>
        </is>
      </c>
      <c r="E90" s="15" t="inlineStr">
        <is>
          <t>لقطة</t>
        </is>
      </c>
      <c r="F90" s="49" t="inlineStr">
        <is>
          <t>↑</t>
        </is>
      </c>
      <c r="G90" s="55" t="n">
        <v>246</v>
      </c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  <c r="S90" s="56" t="n"/>
      <c r="T90" s="57">
        <f>IFERROR(LOOKUP(2,1/($H90:$S90&lt;&gt;""),$H90:$S90),"")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58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العقار</t>
        </is>
      </c>
      <c r="C91" s="11" t="inlineStr">
        <is>
          <t>نسبة تأجير ساحة درب</t>
        </is>
      </c>
      <c r="D91" s="15" t="inlineStr">
        <is>
          <t>شهري</t>
        </is>
      </c>
      <c r="E91" s="15" t="inlineStr">
        <is>
          <t>لقطة</t>
        </is>
      </c>
      <c r="F91" s="49" t="inlineStr">
        <is>
          <t>↑</t>
        </is>
      </c>
      <c r="G91" s="59" t="n">
        <v>0.8</v>
      </c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50">
        <f>IFERROR(LOOKUP(2,1/($H91:$S91&lt;&gt;""),$H91:$S91),"")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61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العقار</t>
        </is>
      </c>
      <c r="C92" s="11" t="inlineStr">
        <is>
          <t>علامات تجارية جديدة (ساحة درب)</t>
        </is>
      </c>
      <c r="D92" s="15" t="inlineStr">
        <is>
          <t>شهري</t>
        </is>
      </c>
      <c r="E92" s="15" t="inlineStr">
        <is>
          <t>تراكمي</t>
        </is>
      </c>
      <c r="F92" s="49" t="inlineStr">
        <is>
          <t>↑</t>
        </is>
      </c>
      <c r="G92" s="55" t="n">
        <v>6</v>
      </c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7">
        <f>IF(COUNT($H92:$S92)=0,"",SUM($H92:$S92))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58">
        <f>IF($G92="","",$G92*COUNT($H92:$S92)/12)</f>
        <v/>
      </c>
      <c r="X92" s="54">
        <f>IF($U92="","—",IF($U92&gt;=COUNT($H92:$S92)/12,"🟢 على المسار","🟠 متأخّر"))</f>
        <v/>
      </c>
    </row>
    <row r="93" ht="22" customHeight="1">
      <c r="A93" s="54" t="n">
        <v>90</v>
      </c>
      <c r="B93" s="13" t="inlineStr">
        <is>
          <t>العقار</t>
        </is>
      </c>
      <c r="C93" s="11" t="inlineStr">
        <is>
          <t>الشراكات الاستراتيجية</t>
        </is>
      </c>
      <c r="D93" s="15" t="inlineStr">
        <is>
          <t>شهري</t>
        </is>
      </c>
      <c r="E93" s="15" t="inlineStr">
        <is>
          <t>تراكمي</t>
        </is>
      </c>
      <c r="F93" s="49" t="inlineStr">
        <is>
          <t>↑</t>
        </is>
      </c>
      <c r="G93" s="55" t="n">
        <v>5</v>
      </c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7">
        <f>IF(COUNT($H93:$S93)=0,"",SUM($H93:$S93))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58">
        <f>IF($G93="","",$G93*COUNT($H93:$S93)/12)</f>
        <v/>
      </c>
      <c r="X93" s="54">
        <f>IF($U93="","—",IF($U93&gt;=COUNT($H93:$S93)/12,"🟢 على المسار","🟠 متأخّر"))</f>
        <v/>
      </c>
    </row>
    <row r="94" ht="22" customHeight="1">
      <c r="A94" s="54" t="n">
        <v>91</v>
      </c>
      <c r="B94" s="13" t="inlineStr">
        <is>
          <t>العقار</t>
        </is>
      </c>
      <c r="C94" s="11" t="inlineStr">
        <is>
          <t>نسبة تجديد العقود</t>
        </is>
      </c>
      <c r="D94" s="15" t="inlineStr">
        <is>
          <t>شهري</t>
        </is>
      </c>
      <c r="E94" s="15" t="inlineStr">
        <is>
          <t>معدل</t>
        </is>
      </c>
      <c r="F94" s="49" t="inlineStr">
        <is>
          <t>↑</t>
        </is>
      </c>
      <c r="G94" s="59" t="n">
        <v>1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هدف",IF($U94&gt;=1.0,"✅ محقق",IF($U94&gt;=0.85,"🟡 قريب","🔴 تحت الهدف")))</f>
        <v/>
      </c>
      <c r="W94" s="61">
        <f>IF($G94="","",$G94)</f>
        <v/>
      </c>
      <c r="X94" s="54">
        <f>IF($U94="","—",IF($U94&gt;=0.85,"🟢 على المسار","🟠 متأخّر"))</f>
        <v/>
      </c>
    </row>
    <row r="95" ht="22" customHeight="1">
      <c r="A95" s="54" t="n">
        <v>92</v>
      </c>
      <c r="B95" s="13" t="inlineStr">
        <is>
          <t>العقار</t>
        </is>
      </c>
      <c r="C95" s="11" t="inlineStr">
        <is>
          <t>متوسط زمن تسليم الوحدة</t>
        </is>
      </c>
      <c r="D95" s="15" t="inlineStr">
        <is>
          <t>شهري</t>
        </is>
      </c>
      <c r="E95" s="15" t="inlineStr">
        <is>
          <t>معدل</t>
        </is>
      </c>
      <c r="F95" s="49" t="inlineStr">
        <is>
          <t>↓</t>
        </is>
      </c>
      <c r="G95" s="62" t="n">
        <v>7</v>
      </c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4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65">
        <f>IF($G95="","",$G95)</f>
        <v/>
      </c>
      <c r="X95" s="54">
        <f>IF($U95="","—",IF($U95&gt;=0.85,"🟢 على المسار","🟠 متأخّر"))</f>
        <v/>
      </c>
    </row>
    <row r="96" ht="22" customHeight="1">
      <c r="A96" s="54" t="n">
        <v>93</v>
      </c>
      <c r="B96" s="13" t="inlineStr">
        <is>
          <t>العقار</t>
        </is>
      </c>
      <c r="C96" s="11" t="inlineStr">
        <is>
          <t>نسبة إغلاق الطلبات خلال 3 أسابيع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↑</t>
        </is>
      </c>
      <c r="G96" s="59" t="n">
        <v>0.9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50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1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العقار</t>
        </is>
      </c>
      <c r="C97" s="11" t="inlineStr">
        <is>
          <t>استدامة المستأجرين (لم يُنهَ مبكراً)</t>
        </is>
      </c>
      <c r="D97" s="15" t="inlineStr">
        <is>
          <t>شهري</t>
        </is>
      </c>
      <c r="E97" s="15" t="inlineStr">
        <is>
          <t>معدل</t>
        </is>
      </c>
      <c r="F97" s="49" t="inlineStr">
        <is>
          <t>↑</t>
        </is>
      </c>
      <c r="G97" s="59" t="n">
        <v>0.8</v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50">
        <f>IF(COUNT($H97:$S97)=0,"",SUM($H97:$S97)/COUNT($H97:$S97))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61">
        <f>IF($G97="","",$G97)</f>
        <v/>
      </c>
      <c r="X97" s="54">
        <f>IF($U97="","—",IF($U97&gt;=0.85,"🟢 على المسار","🟠 متأخّر"))</f>
        <v/>
      </c>
    </row>
    <row r="98" ht="22" customHeight="1">
      <c r="A98" s="54" t="n">
        <v>95</v>
      </c>
      <c r="B98" s="13" t="inlineStr">
        <is>
          <t>العقار</t>
        </is>
      </c>
      <c r="C98" s="11" t="inlineStr">
        <is>
          <t>معدل رضا المستأجرين (استبيان ربعي)</t>
        </is>
      </c>
      <c r="D98" s="15" t="inlineStr">
        <is>
          <t>ربعي</t>
        </is>
      </c>
      <c r="E98" s="15" t="inlineStr">
        <is>
          <t>معدل</t>
        </is>
      </c>
      <c r="F98" s="49" t="inlineStr">
        <is>
          <t>↑</t>
        </is>
      </c>
      <c r="G98" s="59" t="n">
        <v>0.9</v>
      </c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50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هدف",IF($U98&gt;=0.9,"✅ محقق",IF($U98&gt;=0.75,"🟡 قريب","🔴 تحت الهدف")))</f>
        <v/>
      </c>
      <c r="W98" s="61">
        <f>IF($G98="","",$G98)</f>
        <v/>
      </c>
      <c r="X98" s="54">
        <f>IF($U98="","—",IF($U98&gt;=0.75,"🟢 على المسار","🟠 متأخّر"))</f>
        <v/>
      </c>
    </row>
    <row r="99" ht="22" customHeight="1">
      <c r="A99" s="54" t="n">
        <v>96</v>
      </c>
      <c r="B99" s="13" t="inlineStr">
        <is>
          <t>إدارة المشاريع</t>
        </is>
      </c>
      <c r="C99" s="11" t="inlineStr">
        <is>
          <t>عدد محطات الشركة المُسلَّمة</t>
        </is>
      </c>
      <c r="D99" s="15" t="inlineStr">
        <is>
          <t>شهري</t>
        </is>
      </c>
      <c r="E99" s="15" t="inlineStr">
        <is>
          <t>تراكمي</t>
        </is>
      </c>
      <c r="F99" s="49" t="inlineStr">
        <is>
          <t>↑</t>
        </is>
      </c>
      <c r="G99" s="55" t="n">
        <v>20</v>
      </c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7">
        <f>IF(COUNT($H99:$S99)=0,"",SUM($H99:$S99))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محقق",IF($U99&gt;=0.85,"🟡 قريب","🔴 تحت الهدف")))</f>
        <v/>
      </c>
      <c r="W99" s="58">
        <f>IF($G99="","",$G99*COUNT($H99:$S99)/12)</f>
        <v/>
      </c>
      <c r="X99" s="54">
        <f>IF($U99="","—",IF($U99&gt;=COUNT($H99:$S99)/12,"🟢 على المسار","🟠 متأخّر"))</f>
        <v/>
      </c>
    </row>
    <row r="100" ht="22" customHeight="1">
      <c r="A100" s="54" t="n">
        <v>97</v>
      </c>
      <c r="B100" s="13" t="inlineStr">
        <is>
          <t>إدارة المشاريع</t>
        </is>
      </c>
      <c r="C100" s="11" t="inlineStr">
        <is>
          <t>نسبة إنجاز محفظة مشاريع التوسع</t>
        </is>
      </c>
      <c r="D100" s="15" t="inlineStr">
        <is>
          <t>شهري</t>
        </is>
      </c>
      <c r="E100" s="15" t="inlineStr">
        <is>
          <t>معدل</t>
        </is>
      </c>
      <c r="F100" s="49" t="inlineStr">
        <is>
          <t>↑</t>
        </is>
      </c>
      <c r="G100" s="59" t="n">
        <v>0.7</v>
      </c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50">
        <f>IF(COUNT($H100:$S100)=0,"",SUM($H100:$S100)/COUNT($H100:$S100))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محقق",IF($U100&gt;=0.85,"🟡 قريب","🔴 تحت الهدف")))</f>
        <v/>
      </c>
      <c r="W100" s="61">
        <f>IF($G100="","",$G100)</f>
        <v/>
      </c>
      <c r="X100" s="54">
        <f>IF($U100="","—",IF($U100&gt;=0.85,"🟢 على المسار","🟠 متأخّر"))</f>
        <v/>
      </c>
    </row>
    <row r="101" ht="22" customHeight="1">
      <c r="A101" s="54" t="n">
        <v>98</v>
      </c>
      <c r="B101" s="13" t="inlineStr">
        <is>
          <t>إدارة المشاريع</t>
        </is>
      </c>
      <c r="C101" s="11" t="inlineStr">
        <is>
          <t>نسبة تسليم المحطات في الموعد المخطط</t>
        </is>
      </c>
      <c r="D101" s="15" t="inlineStr">
        <is>
          <t>شهري</t>
        </is>
      </c>
      <c r="E101" s="15" t="inlineStr">
        <is>
          <t>معدل</t>
        </is>
      </c>
      <c r="F101" s="49" t="inlineStr">
        <is>
          <t>↑</t>
        </is>
      </c>
      <c r="G101" s="59" t="n">
        <v>0.8</v>
      </c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50">
        <f>IF(COUNT($H101:$S101)=0,"",SUM($H101:$S101)/COUNT($H101:$S101))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61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إدارة المشاريع</t>
        </is>
      </c>
      <c r="C102" s="11" t="inlineStr">
        <is>
          <t>نسبة المشاريع المنفّذة ضمن الميزانية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↑</t>
        </is>
      </c>
      <c r="G102" s="59" t="n">
        <v>0.85</v>
      </c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50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61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إدارة المشاريع</t>
        </is>
      </c>
      <c r="C103" s="11" t="inlineStr">
        <is>
          <t>عدد محطات الامتياز المُسلَّمة بالهوية</t>
        </is>
      </c>
      <c r="D103" s="15" t="inlineStr">
        <is>
          <t>شهري</t>
        </is>
      </c>
      <c r="E103" s="15" t="inlineStr">
        <is>
          <t>تراكمي</t>
        </is>
      </c>
      <c r="F103" s="49" t="inlineStr">
        <is>
          <t>↑</t>
        </is>
      </c>
      <c r="G103" s="55" t="n">
        <v>40</v>
      </c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7">
        <f>IF(COUNT($H103:$S103)=0,"",SUM($H103:$S103))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58">
        <f>IF($G103="","",$G103*COUNT($H103:$S103)/12)</f>
        <v/>
      </c>
      <c r="X103" s="54">
        <f>IF($U103="","—",IF($U103&gt;=COUNT($H103:$S103)/12,"🟢 على المسار","🟠 متأخّر"))</f>
        <v/>
      </c>
    </row>
    <row r="104" ht="22" customHeight="1">
      <c r="A104" s="54" t="n">
        <v>101</v>
      </c>
      <c r="B104" s="13" t="inlineStr">
        <is>
          <t>إدارة المشاريع</t>
        </is>
      </c>
      <c r="C104" s="11" t="inlineStr">
        <is>
          <t>نسبة تنفيذ زيارات الإشراف المجدولة</t>
        </is>
      </c>
      <c r="D104" s="15" t="inlineStr">
        <is>
          <t>شهري</t>
        </is>
      </c>
      <c r="E104" s="15" t="inlineStr">
        <is>
          <t>معدل</t>
        </is>
      </c>
      <c r="F104" s="49" t="inlineStr">
        <is>
          <t>↑</t>
        </is>
      </c>
      <c r="G104" s="59" t="n">
        <v>0.9</v>
      </c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50">
        <f>IF(COUNT($H104:$S104)=0,"",SUM($H104:$S104)/COUNT($H104:$S104))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61">
        <f>IF($G104="","",$G104)</f>
        <v/>
      </c>
      <c r="X104" s="54">
        <f>IF($U104="","—",IF($U104&gt;=0.85,"🟢 على المسار","🟠 متأخّر"))</f>
        <v/>
      </c>
    </row>
    <row r="105" ht="22" customHeight="1">
      <c r="A105" s="54" t="n">
        <v>102</v>
      </c>
      <c r="B105" s="13" t="inlineStr">
        <is>
          <t>إدارة المشاريع</t>
        </is>
      </c>
      <c r="C105" s="11" t="inlineStr">
        <is>
          <t>نسبة التزام المطوّرين بالجدول الزمني</t>
        </is>
      </c>
      <c r="D105" s="15" t="inlineStr">
        <is>
          <t>شهري</t>
        </is>
      </c>
      <c r="E105" s="15" t="inlineStr">
        <is>
          <t>معدل</t>
        </is>
      </c>
      <c r="F105" s="49" t="inlineStr">
        <is>
          <t>↑</t>
        </is>
      </c>
      <c r="G105" s="59" t="n">
        <v>0.75</v>
      </c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50">
        <f>IF(COUNT($H105:$S105)=0,"",SUM($H105:$S105)/COUNT($H105:$S105))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محقق",IF($U105&gt;=0.85,"🟡 قريب","🔴 تحت الهدف")))</f>
        <v/>
      </c>
      <c r="W105" s="61">
        <f>IF($G105="","",$G105)</f>
        <v/>
      </c>
      <c r="X105" s="54">
        <f>IF($U105="","—",IF($U105&gt;=0.85,"🟢 على المسار","🟠 متأخّر"))</f>
        <v/>
      </c>
    </row>
    <row r="106" ht="22" customHeight="1">
      <c r="A106" s="54" t="n">
        <v>103</v>
      </c>
      <c r="B106" s="13" t="inlineStr">
        <is>
          <t>إدارة المشاريع</t>
        </is>
      </c>
      <c r="C106" s="11" t="inlineStr">
        <is>
          <t>نسبة إغلاق ملاحظات الجودة على المطوّرين</t>
        </is>
      </c>
      <c r="D106" s="15" t="inlineStr">
        <is>
          <t>شهري</t>
        </is>
      </c>
      <c r="E106" s="15" t="inlineStr">
        <is>
          <t>معدل</t>
        </is>
      </c>
      <c r="F106" s="49" t="inlineStr">
        <is>
          <t>↑</t>
        </is>
      </c>
      <c r="G106" s="59" t="n">
        <v>0.9</v>
      </c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50">
        <f>IF(COUNT($H106:$S106)=0,"",SUM($H106:$S106)/COUNT($H106:$S106))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61">
        <f>IF($G106="","",$G106)</f>
        <v/>
      </c>
      <c r="X106" s="54">
        <f>IF($U106="","—",IF($U106&gt;=0.85,"🟢 على المسار","🟠 متأخّر"))</f>
        <v/>
      </c>
    </row>
    <row r="107" ht="22" customHeight="1">
      <c r="A107" s="54" t="n">
        <v>104</v>
      </c>
      <c r="B107" s="13" t="inlineStr">
        <is>
          <t>إدارة المشاريع</t>
        </is>
      </c>
      <c r="C107" s="11" t="inlineStr">
        <is>
          <t>إجمالي المحطات المُسلَّمة بالهوية (شركة + امتياز)</t>
        </is>
      </c>
      <c r="D107" s="15" t="inlineStr">
        <is>
          <t>شهري</t>
        </is>
      </c>
      <c r="E107" s="15" t="inlineStr">
        <is>
          <t>تراكمي</t>
        </is>
      </c>
      <c r="F107" s="49" t="inlineStr">
        <is>
          <t>↑</t>
        </is>
      </c>
      <c r="G107" s="55" t="n">
        <v>60</v>
      </c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7">
        <f>IF(COUNT($H107:$S107)=0,"",SUM($H107:$S107))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محقق",IF($U107&gt;=0.85,"🟡 قريب","🔴 تحت الهدف")))</f>
        <v/>
      </c>
      <c r="W107" s="58">
        <f>IF($G107="","",$G107*COUNT($H107:$S107)/12)</f>
        <v/>
      </c>
      <c r="X107" s="54">
        <f>IF($U107="","—",IF($U107&gt;=COUNT($H107:$S107)/12,"🟢 على المسار","🟠 متأخّر"))</f>
        <v/>
      </c>
    </row>
    <row r="108" ht="22" customHeight="1">
      <c r="A108" s="54" t="n">
        <v>105</v>
      </c>
      <c r="B108" s="13" t="inlineStr">
        <is>
          <t>إدارة المشاريع</t>
        </is>
      </c>
      <c r="C108" s="11" t="inlineStr">
        <is>
          <t>نسبة المشاريع الخالية من مخالفات الجودة</t>
        </is>
      </c>
      <c r="D108" s="15" t="inlineStr">
        <is>
          <t>شهري</t>
        </is>
      </c>
      <c r="E108" s="15" t="inlineStr">
        <is>
          <t>معدل</t>
        </is>
      </c>
      <c r="F108" s="49" t="inlineStr">
        <is>
          <t>↑</t>
        </is>
      </c>
      <c r="G108" s="59" t="n">
        <v>0.9</v>
      </c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50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هدف",IF($U108&gt;=1.0,"✅ محقق",IF($U108&gt;=0.85,"🟡 قريب","🔴 تحت الهدف")))</f>
        <v/>
      </c>
      <c r="W108" s="61">
        <f>IF($G108="","",$G108)</f>
        <v/>
      </c>
      <c r="X108" s="54">
        <f>IF($U108="","—",IF($U108&gt;=0.85,"🟢 على المسار","🟠 متأخّر"))</f>
        <v/>
      </c>
    </row>
    <row r="109" ht="22" customHeight="1">
      <c r="A109" s="54" t="n">
        <v>106</v>
      </c>
      <c r="B109" s="13" t="inlineStr">
        <is>
          <t>إدارة المشاريع</t>
        </is>
      </c>
      <c r="C109" s="11" t="inlineStr">
        <is>
          <t>عدد مخالفات المقاولين (سنوي)</t>
        </is>
      </c>
      <c r="D109" s="15" t="inlineStr">
        <is>
          <t>شهري</t>
        </is>
      </c>
      <c r="E109" s="15" t="inlineStr">
        <is>
          <t>تراكمي</t>
        </is>
      </c>
      <c r="F109" s="49" t="inlineStr">
        <is>
          <t>↓</t>
        </is>
      </c>
      <c r="G109" s="55" t="n">
        <v>10</v>
      </c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7">
        <f>IF(COUNT($H109:$S109)=0,"",SUM($H109:$S109))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58">
        <f>IF($G109="","",$G109*COUNT($H109:$S109)/12)</f>
        <v/>
      </c>
      <c r="X109" s="54">
        <f>IF($U109="","—",IF($U109&gt;=COUNT($H109:$S109)/12,"🟢 على المسار","🟠 متأخّر"))</f>
        <v/>
      </c>
    </row>
    <row r="110" ht="22" customHeight="1">
      <c r="A110" s="54" t="n">
        <v>107</v>
      </c>
      <c r="B110" s="13" t="inlineStr">
        <is>
          <t>إدارة المشاريع</t>
        </is>
      </c>
      <c r="C110" s="11" t="inlineStr">
        <is>
          <t>نسبة التزام المقاولين بمعايير السلامة</t>
        </is>
      </c>
      <c r="D110" s="15" t="inlineStr">
        <is>
          <t>شهري</t>
        </is>
      </c>
      <c r="E110" s="15" t="inlineStr">
        <is>
          <t>معدل</t>
        </is>
      </c>
      <c r="F110" s="49" t="inlineStr">
        <is>
          <t>↑</t>
        </is>
      </c>
      <c r="G110" s="59" t="n">
        <v>0.95</v>
      </c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50">
        <f>IF(COUNT($H110:$S110)=0,"",SUM($H110:$S110)/COUNT($H110:$S110))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محقق",IF($U110&gt;=0.97,"🟡 قريب","🔴 تحت الهدف")))</f>
        <v/>
      </c>
      <c r="W110" s="61">
        <f>IF($G110="","",$G110)</f>
        <v/>
      </c>
      <c r="X110" s="54">
        <f>IF($U110="","—",IF($U110&gt;=0.97,"🟢 على المسار","🟠 متأخّر"))</f>
        <v/>
      </c>
    </row>
    <row r="111" ht="22" customHeight="1">
      <c r="A111" s="54" t="n">
        <v>108</v>
      </c>
      <c r="B111" s="13" t="inlineStr">
        <is>
          <t>إدارة المشاريع</t>
        </is>
      </c>
      <c r="C111" s="11" t="inlineStr">
        <is>
          <t>نسبة الالتزام بالميزانية المعتمدة</t>
        </is>
      </c>
      <c r="D111" s="15" t="inlineStr">
        <is>
          <t>شهري</t>
        </is>
      </c>
      <c r="E111" s="15" t="inlineStr">
        <is>
          <t>معدل</t>
        </is>
      </c>
      <c r="F111" s="49" t="inlineStr">
        <is>
          <t>↑</t>
        </is>
      </c>
      <c r="G111" s="59" t="n">
        <v>1</v>
      </c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50">
        <f>IF(COUNT($H111:$S111)=0,"",SUM($H111:$S111)/COUNT($H111:$S111))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محقق",IF($U111&gt;=0.85,"🟡 قريب","🔴 تحت الهدف")))</f>
        <v/>
      </c>
      <c r="W111" s="61">
        <f>IF($G111="","",$G111)</f>
        <v/>
      </c>
      <c r="X111" s="54">
        <f>IF($U111="","—",IF($U111&gt;=0.85,"🟢 على المسار","🟠 متأخّر"))</f>
        <v/>
      </c>
    </row>
    <row r="112" ht="22" customHeight="1">
      <c r="A112" s="54" t="n">
        <v>109</v>
      </c>
      <c r="B112" s="13" t="inlineStr">
        <is>
          <t>إدارة المشاريع</t>
        </is>
      </c>
      <c r="C112" s="11" t="inlineStr">
        <is>
          <t>نسبة الالتزام بالجدول الزمني العام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↑</t>
        </is>
      </c>
      <c r="G112" s="59" t="n">
        <v>1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إدارة المشاريع</t>
        </is>
      </c>
      <c r="C113" s="11" t="inlineStr">
        <is>
          <t>متوسط مدة إغلاق قائمة الملاحظات النهائية</t>
        </is>
      </c>
      <c r="D113" s="15" t="inlineStr">
        <is>
          <t>شهري</t>
        </is>
      </c>
      <c r="E113" s="15" t="inlineStr">
        <is>
          <t>معدل</t>
        </is>
      </c>
      <c r="F113" s="49" t="inlineStr">
        <is>
          <t>↓</t>
        </is>
      </c>
      <c r="G113" s="62" t="n">
        <v>30</v>
      </c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4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محقق",IF($U113&gt;=0.85,"🟡 قريب","🔴 تحت الهدف")))</f>
        <v/>
      </c>
      <c r="W113" s="65">
        <f>IF($G113="","",$G113)</f>
        <v/>
      </c>
      <c r="X113" s="54">
        <f>IF($U113="","—",IF($U113&gt;=0.85,"🟢 على المسار","🟠 متأخّر"))</f>
        <v/>
      </c>
    </row>
    <row r="114" ht="22" customHeight="1">
      <c r="A114" s="54" t="n">
        <v>111</v>
      </c>
      <c r="B114" s="13" t="inlineStr">
        <is>
          <t>سلاسل الإمداد</t>
        </is>
      </c>
      <c r="C114" s="11" t="inlineStr">
        <is>
          <t>نسبة تلبية طلبات المحطات من الوقود Fill Rate</t>
        </is>
      </c>
      <c r="D114" s="15" t="inlineStr">
        <is>
          <t>شهري</t>
        </is>
      </c>
      <c r="E114" s="15" t="inlineStr">
        <is>
          <t>معدل</t>
        </is>
      </c>
      <c r="F114" s="49" t="inlineStr">
        <is>
          <t>↑</t>
        </is>
      </c>
      <c r="G114" s="59" t="n">
        <v>0.98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50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61">
        <f>IF($G114="","",$G114)</f>
        <v/>
      </c>
      <c r="X114" s="54">
        <f>IF($U114="","—",IF($U114&gt;=0.85,"🟢 على المسار","🟠 متأخّر"))</f>
        <v/>
      </c>
    </row>
    <row r="115" ht="22" customHeight="1">
      <c r="A115" s="54" t="n">
        <v>112</v>
      </c>
      <c r="B115" s="13" t="inlineStr">
        <is>
          <t>سلاسل الإمداد</t>
        </is>
      </c>
      <c r="C115" s="11" t="inlineStr">
        <is>
          <t>عدد انقطاعات التوريد المؤثرة شهريًا</t>
        </is>
      </c>
      <c r="D115" s="15" t="inlineStr">
        <is>
          <t>شهري</t>
        </is>
      </c>
      <c r="E115" s="15" t="inlineStr">
        <is>
          <t>تراكمي</t>
        </is>
      </c>
      <c r="F115" s="49" t="inlineStr">
        <is>
          <t>↓</t>
        </is>
      </c>
      <c r="G115" s="55" t="n">
        <v>0</v>
      </c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7">
        <f>IF(COUNT($H115:$S115)=0,"",SUM($H115:$S115))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58">
        <f>IF($G115="","",$G115*COUNT($H115:$S115)/12)</f>
        <v/>
      </c>
      <c r="X115" s="54">
        <f>IF($U115="","—",IF($U115&gt;=COUNT($H115:$S115)/12,"🟢 على المسار","🟠 متأخّر"))</f>
        <v/>
      </c>
    </row>
    <row r="116" ht="22" customHeight="1">
      <c r="A116" s="54" t="n">
        <v>113</v>
      </c>
      <c r="B116" s="13" t="inlineStr">
        <is>
          <t>سلاسل الإمداد</t>
        </is>
      </c>
      <c r="C116" s="11" t="inlineStr">
        <is>
          <t>نسبة تغطية مخزون الوقود بالأيام</t>
        </is>
      </c>
      <c r="D116" s="15" t="inlineStr">
        <is>
          <t>شهري</t>
        </is>
      </c>
      <c r="E116" s="15" t="inlineStr">
        <is>
          <t>معدل</t>
        </is>
      </c>
      <c r="F116" s="49" t="inlineStr">
        <is>
          <t>↑</t>
        </is>
      </c>
      <c r="G116" s="62" t="n">
        <v>5</v>
      </c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4">
        <f>IF(COUNT($H116:$S116)=0,"",SUM($H116:$S116)/COUNT($H116:$S116))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محقق",IF($U116&gt;=0.85,"🟡 قريب","🔴 تحت الهدف")))</f>
        <v/>
      </c>
      <c r="W116" s="65">
        <f>IF($G116="","",$G116)</f>
        <v/>
      </c>
      <c r="X116" s="54">
        <f>IF($U116="","—",IF($U116&gt;=0.85,"🟢 على المسار","🟠 متأخّر"))</f>
        <v/>
      </c>
    </row>
    <row r="117" ht="22" customHeight="1">
      <c r="A117" s="54" t="n">
        <v>114</v>
      </c>
      <c r="B117" s="13" t="inlineStr">
        <is>
          <t>سلاسل الإمداد</t>
        </is>
      </c>
      <c r="C117" s="11" t="inlineStr">
        <is>
          <t>نسبة توفر المواد المخزنية والحرجة</t>
        </is>
      </c>
      <c r="D117" s="15" t="inlineStr">
        <is>
          <t>شهري</t>
        </is>
      </c>
      <c r="E117" s="15" t="inlineStr">
        <is>
          <t>معدل</t>
        </is>
      </c>
      <c r="F117" s="49" t="inlineStr">
        <is>
          <t>↑</t>
        </is>
      </c>
      <c r="G117" s="59" t="n">
        <v>0.98</v>
      </c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50">
        <f>IF(COUNT($H117:$S117)=0,"",SUM($H117:$S117)/COUNT($H117:$S117))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محقق",IF($U117&gt;=0.85,"🟡 قريب","🔴 تحت الهدف")))</f>
        <v/>
      </c>
      <c r="W117" s="61">
        <f>IF($G117="","",$G117)</f>
        <v/>
      </c>
      <c r="X117" s="54">
        <f>IF($U117="","—",IF($U117&gt;=0.85,"🟢 على المسار","🟠 متأخّر"))</f>
        <v/>
      </c>
    </row>
    <row r="118" ht="22" customHeight="1">
      <c r="A118" s="54" t="n">
        <v>115</v>
      </c>
      <c r="B118" s="13" t="inlineStr">
        <is>
          <t>سلاسل الإمداد</t>
        </is>
      </c>
      <c r="C118" s="11" t="inlineStr">
        <is>
          <t>نسبة المواد الراكدة من المخزون</t>
        </is>
      </c>
      <c r="D118" s="15" t="inlineStr">
        <is>
          <t>شهري</t>
        </is>
      </c>
      <c r="E118" s="15" t="inlineStr">
        <is>
          <t>معدل</t>
        </is>
      </c>
      <c r="F118" s="49" t="inlineStr">
        <is>
          <t>↓</t>
        </is>
      </c>
      <c r="G118" s="59" t="n">
        <v>0.05</v>
      </c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50">
        <f>IF(COUNT($H118:$S118)=0,"",SUM($H118:$S118)/COUNT($H118:$S118))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61">
        <f>IF($G118="","",$G118)</f>
        <v/>
      </c>
      <c r="X118" s="54">
        <f>IF($U118="","—",IF($U118&gt;=0.85,"🟢 على المسار","🟠 متأخّر"))</f>
        <v/>
      </c>
    </row>
    <row r="119" ht="22" customHeight="1">
      <c r="A119" s="54" t="n">
        <v>116</v>
      </c>
      <c r="B119" s="13" t="inlineStr">
        <is>
          <t>سلاسل الإمداد</t>
        </is>
      </c>
      <c r="C119" s="11" t="inlineStr">
        <is>
          <t>دقة أوامر الشراء ومستنداتها</t>
        </is>
      </c>
      <c r="D119" s="15" t="inlineStr">
        <is>
          <t>شهري</t>
        </is>
      </c>
      <c r="E119" s="15" t="inlineStr">
        <is>
          <t>معدل</t>
        </is>
      </c>
      <c r="F119" s="49" t="inlineStr">
        <is>
          <t>↑</t>
        </is>
      </c>
      <c r="G119" s="59" t="n">
        <v>0.98</v>
      </c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50">
        <f>IF(COUNT($H119:$S119)=0,"",SUM($H119:$S119)/COUNT($H119:$S119))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هدف",IF($U119&gt;=1.0,"✅ محقق",IF($U119&gt;=0.85,"🟡 قريب","🔴 تحت الهدف")))</f>
        <v/>
      </c>
      <c r="W119" s="61">
        <f>IF($G119="","",$G119)</f>
        <v/>
      </c>
      <c r="X119" s="54">
        <f>IF($U119="","—",IF($U119&gt;=0.85,"🟢 على المسار","🟠 متأخّر"))</f>
        <v/>
      </c>
    </row>
    <row r="120" ht="22" customHeight="1">
      <c r="A120" s="54" t="n">
        <v>117</v>
      </c>
      <c r="B120" s="13" t="inlineStr">
        <is>
          <t>سلاسل الإمداد</t>
        </is>
      </c>
      <c r="C120" s="11" t="inlineStr">
        <is>
          <t>نسبة إنجاز أوامر الشراء خلال المدة المستهدفة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↑</t>
        </is>
      </c>
      <c r="G120" s="59" t="n">
        <v>0.95</v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50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هدف",IF($U120&gt;=1.0,"✅ محقق",IF($U120&gt;=0.85,"🟡 قريب","🔴 تحت الهدف")))</f>
        <v/>
      </c>
      <c r="W120" s="61">
        <f>IF($G120="","",$G120)</f>
        <v/>
      </c>
      <c r="X120" s="54">
        <f>IF($U120="","—",IF($U120&gt;=0.85,"🟢 على المسار","🟠 متأخّر"))</f>
        <v/>
      </c>
    </row>
    <row r="121" ht="22" customHeight="1">
      <c r="A121" s="54" t="n">
        <v>118</v>
      </c>
      <c r="B121" s="13" t="inlineStr">
        <is>
          <t>سلاسل الإمداد</t>
        </is>
      </c>
      <c r="C121" s="11" t="inlineStr">
        <is>
          <t>نسبة الالتزام بزمن التسليم والتوريد للمحطات والإدارات</t>
        </is>
      </c>
      <c r="D121" s="15" t="inlineStr">
        <is>
          <t>شهري</t>
        </is>
      </c>
      <c r="E121" s="15" t="inlineStr">
        <is>
          <t>معدل</t>
        </is>
      </c>
      <c r="F121" s="49" t="inlineStr">
        <is>
          <t>↑</t>
        </is>
      </c>
      <c r="G121" s="59" t="n">
        <v>0.95</v>
      </c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50">
        <f>IF(COUNT($H121:$S121)=0,"",SUM($H121:$S121)/COUNT($H121:$S121))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محقق",IF($U121&gt;=0.85,"🟡 قريب","🔴 تحت الهدف")))</f>
        <v/>
      </c>
      <c r="W121" s="61">
        <f>IF($G121="","",$G121)</f>
        <v/>
      </c>
      <c r="X121" s="54">
        <f>IF($U121="","—",IF($U121&gt;=0.85,"🟢 على المسار","🟠 متأخّر"))</f>
        <v/>
      </c>
    </row>
    <row r="122" ht="22" customHeight="1">
      <c r="A122" s="54" t="n">
        <v>119</v>
      </c>
      <c r="B122" s="13" t="inlineStr">
        <is>
          <t>سلاسل الإمداد</t>
        </is>
      </c>
      <c r="C122" s="11" t="inlineStr">
        <is>
          <t>نسبة جاهزية الإمداد للمحطات الجديدة وخطط الافتتاح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↑</t>
        </is>
      </c>
      <c r="G122" s="59" t="n">
        <v>1</v>
      </c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50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محقق",IF($U122&gt;=0.97,"🟡 قريب","🔴 تحت الهدف")))</f>
        <v/>
      </c>
      <c r="W122" s="61">
        <f>IF($G122="","",$G122)</f>
        <v/>
      </c>
      <c r="X122" s="54">
        <f>IF($U122="","—",IF($U122&gt;=0.97,"🟢 على المسار","🟠 متأخّر"))</f>
        <v/>
      </c>
    </row>
    <row r="123" ht="22" customHeight="1">
      <c r="A123" s="54" t="n">
        <v>120</v>
      </c>
      <c r="B123" s="13" t="inlineStr">
        <is>
          <t>سلاسل الإمداد</t>
        </is>
      </c>
      <c r="C123" s="11" t="inlineStr">
        <is>
          <t>نسبة الالتزام بجدول النقل واستخدام الأسطول بكفاءة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↑</t>
        </is>
      </c>
      <c r="G123" s="59" t="n">
        <v>0.9</v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50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محقق",IF($U123&gt;=0.85,"🟡 قريب","🔴 تحت الهدف")))</f>
        <v/>
      </c>
      <c r="W123" s="61">
        <f>IF($G123="","",$G123)</f>
        <v/>
      </c>
      <c r="X123" s="54">
        <f>IF($U123="","—",IF($U123&gt;=0.85,"🟢 على المسار","🟠 متأخّر"))</f>
        <v/>
      </c>
    </row>
    <row r="124" ht="22" customHeight="1">
      <c r="A124" s="54" t="n">
        <v>121</v>
      </c>
      <c r="B124" s="13" t="inlineStr">
        <is>
          <t>سلاسل الإمداد</t>
        </is>
      </c>
      <c r="C124" s="11" t="inlineStr">
        <is>
          <t>كفاءة إدارة الموردين</t>
        </is>
      </c>
      <c r="D124" s="15" t="inlineStr">
        <is>
          <t>شهري</t>
        </is>
      </c>
      <c r="E124" s="15" t="inlineStr">
        <is>
          <t>معدل</t>
        </is>
      </c>
      <c r="F124" s="49" t="inlineStr">
        <is>
          <t>↑</t>
        </is>
      </c>
      <c r="G124" s="59" t="n">
        <v>0.9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IF(COUNT($H124:$S124)=0,"",SUM($H124:$S124)/COUNT($H124:$S124))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سلاسل الإمداد</t>
        </is>
      </c>
      <c r="C125" s="11" t="inlineStr">
        <is>
          <t>مستوى رضا الإدارات عن خدمات سلاسل الإمداد</t>
        </is>
      </c>
      <c r="D125" s="15" t="inlineStr">
        <is>
          <t>ربعي</t>
        </is>
      </c>
      <c r="E125" s="15" t="inlineStr">
        <is>
          <t>معدل</t>
        </is>
      </c>
      <c r="F125" s="49" t="inlineStr">
        <is>
          <t>↑</t>
        </is>
      </c>
      <c r="G125" s="59" t="n">
        <v>0.85</v>
      </c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50">
        <f>IF(COUNT($H125:$S125)=0,"",SUM($H125:$S125)/COUNT($H125:$S125))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هدف",IF($U125&gt;=0.9,"✅ محقق",IF($U125&gt;=0.75,"🟡 قريب","🔴 تحت الهدف")))</f>
        <v/>
      </c>
      <c r="W125" s="61">
        <f>IF($G125="","",$G125)</f>
        <v/>
      </c>
      <c r="X125" s="54">
        <f>IF($U125="","—",IF($U125&gt;=0.75,"🟢 على المسار","🟠 متأخّر"))</f>
        <v/>
      </c>
    </row>
    <row r="126" ht="22" customHeight="1">
      <c r="A126" s="54" t="n">
        <v>123</v>
      </c>
      <c r="B126" s="13" t="inlineStr">
        <is>
          <t>الصيانة والأتمتة</t>
        </is>
      </c>
      <c r="C126" s="11" t="inlineStr">
        <is>
          <t>نسبة الجاهزية الفنية للأصول والمعدات (Availability)</t>
        </is>
      </c>
      <c r="D126" s="15" t="inlineStr">
        <is>
          <t>شهري</t>
        </is>
      </c>
      <c r="E126" s="15" t="inlineStr">
        <is>
          <t>معدل</t>
        </is>
      </c>
      <c r="F126" s="49" t="inlineStr">
        <is>
          <t>↑</t>
        </is>
      </c>
      <c r="G126" s="59" t="n">
        <v>0.98</v>
      </c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50">
        <f>IF(COUNT($H126:$S126)=0,"",SUM($H126:$S126)/COUNT($H126:$S126))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هدف",IF($U126&gt;=1.0,"✅ محقق",IF($U126&gt;=0.97,"🟡 قريب","🔴 تحت الهدف")))</f>
        <v/>
      </c>
      <c r="W126" s="61">
        <f>IF($G126="","",$G126)</f>
        <v/>
      </c>
      <c r="X126" s="54">
        <f>IF($U126="","—",IF($U126&gt;=0.97,"🟢 على المسار","🟠 متأخّر"))</f>
        <v/>
      </c>
    </row>
    <row r="127" ht="22" customHeight="1">
      <c r="A127" s="54" t="n">
        <v>124</v>
      </c>
      <c r="B127" s="13" t="inlineStr">
        <is>
          <t>الصيانة والأتمتة</t>
        </is>
      </c>
      <c r="C127" s="11" t="inlineStr">
        <is>
          <t>نسبة تنفيذ الصيانة الوقائية في موعدها (PM)</t>
        </is>
      </c>
      <c r="D127" s="15" t="inlineStr">
        <is>
          <t>شهري</t>
        </is>
      </c>
      <c r="E127" s="15" t="inlineStr">
        <is>
          <t>معدل</t>
        </is>
      </c>
      <c r="F127" s="49" t="inlineStr">
        <is>
          <t>↑</t>
        </is>
      </c>
      <c r="G127" s="59" t="n">
        <v>0.95</v>
      </c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50">
        <f>IF(COUNT($H127:$S127)=0,"",SUM($H127:$S127)/COUNT($H127:$S127))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محقق",IF($U127&gt;=0.85,"🟡 قريب","🔴 تحت الهدف")))</f>
        <v/>
      </c>
      <c r="W127" s="61">
        <f>IF($G127="","",$G127)</f>
        <v/>
      </c>
      <c r="X127" s="54">
        <f>IF($U127="","—",IF($U127&gt;=0.85,"🟢 على المسار","🟠 متأخّر"))</f>
        <v/>
      </c>
    </row>
    <row r="128" ht="22" customHeight="1">
      <c r="A128" s="54" t="n">
        <v>125</v>
      </c>
      <c r="B128" s="13" t="inlineStr">
        <is>
          <t>الصيانة والأتمتة</t>
        </is>
      </c>
      <c r="C128" s="11" t="inlineStr">
        <is>
          <t>نسبة إغلاق بلاغات الصيانة ضمن اتفاقية الخدمة (SLA)</t>
        </is>
      </c>
      <c r="D128" s="15" t="inlineStr">
        <is>
          <t>شهري</t>
        </is>
      </c>
      <c r="E128" s="15" t="inlineStr">
        <is>
          <t>معدل</t>
        </is>
      </c>
      <c r="F128" s="49" t="inlineStr">
        <is>
          <t>↑</t>
        </is>
      </c>
      <c r="G128" s="59" t="n">
        <v>0.95</v>
      </c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50">
        <f>IF(COUNT($H128:$S128)=0,"",SUM($H128:$S128)/COUNT($H128:$S128))</f>
        <v/>
      </c>
      <c r="U128" s="50">
        <f>IF($G128="","",IF($T128="","",MIN(1,IF($G128=0,IF($T128&lt;=0,1,0),IF($F128="↓",IFERROR($G128/$T128,0),IFERROR($T128/$G128,0))))))</f>
        <v/>
      </c>
      <c r="V128" s="54">
        <f>IF($U128="","⏳ بانتظار هدف",IF($U128&gt;=1.0,"✅ محقق",IF($U128&gt;=0.85,"🟡 قريب","🔴 تحت الهدف")))</f>
        <v/>
      </c>
      <c r="W128" s="61">
        <f>IF($G128="","",$G128)</f>
        <v/>
      </c>
      <c r="X128" s="54">
        <f>IF($U128="","—",IF($U128&gt;=0.85,"🟢 على المسار","🟠 متأخّر"))</f>
        <v/>
      </c>
    </row>
    <row r="129" ht="22" customHeight="1">
      <c r="A129" s="54" t="n">
        <v>126</v>
      </c>
      <c r="B129" s="13" t="inlineStr">
        <is>
          <t>الصيانة والأتمتة</t>
        </is>
      </c>
      <c r="C129" s="11" t="inlineStr">
        <is>
          <t>متوسط زمن الاستجابة للبلاغات الطارئة</t>
        </is>
      </c>
      <c r="D129" s="15" t="inlineStr">
        <is>
          <t>شهري</t>
        </is>
      </c>
      <c r="E129" s="15" t="inlineStr">
        <is>
          <t>معدل</t>
        </is>
      </c>
      <c r="F129" s="49" t="inlineStr">
        <is>
          <t>↓</t>
        </is>
      </c>
      <c r="G129" s="62" t="n">
        <v>30</v>
      </c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4">
        <f>IF(COUNT($H129:$S129)=0,"",SUM($H129:$S129)/COUNT($H129:$S129))</f>
        <v/>
      </c>
      <c r="U129" s="50">
        <f>IF($G129="","",IF($T129="","",MIN(1,IF($G129=0,IF($T129&lt;=0,1,0),IF($F129="↓",IFERROR($G129/$T129,0),IFERROR($T129/$G129,0))))))</f>
        <v/>
      </c>
      <c r="V129" s="54">
        <f>IF($U129="","⏳ بانتظار هدف",IF($U129&gt;=1.0,"✅ محقق",IF($U129&gt;=0.85,"🟡 قريب","🔴 تحت الهدف")))</f>
        <v/>
      </c>
      <c r="W129" s="65">
        <f>IF($G129="","",$G129)</f>
        <v/>
      </c>
      <c r="X129" s="54">
        <f>IF($U129="","—",IF($U129&gt;=0.85,"🟢 على المسار","🟠 متأخّر"))</f>
        <v/>
      </c>
    </row>
    <row r="130" ht="22" customHeight="1">
      <c r="A130" s="54" t="n">
        <v>127</v>
      </c>
      <c r="B130" s="13" t="inlineStr">
        <is>
          <t>الصيانة والأتمتة</t>
        </is>
      </c>
      <c r="C130" s="11" t="inlineStr">
        <is>
          <t>متوسط زمن إصلاح الأعطال (MTTR)</t>
        </is>
      </c>
      <c r="D130" s="15" t="inlineStr">
        <is>
          <t>شهري</t>
        </is>
      </c>
      <c r="E130" s="15" t="inlineStr">
        <is>
          <t>معدل</t>
        </is>
      </c>
      <c r="F130" s="49" t="inlineStr">
        <is>
          <t>↓</t>
        </is>
      </c>
      <c r="G130" s="62" t="n">
        <v>4</v>
      </c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4">
        <f>IF(COUNT($H130:$S130)=0,"",SUM($H130:$S130)/COUNT($H130:$S130))</f>
        <v/>
      </c>
      <c r="U130" s="50">
        <f>IF($G130="","",IF($T130="","",MIN(1,IF($G130=0,IF($T130&lt;=0,1,0),IF($F130="↓",IFERROR($G130/$T130,0),IFERROR($T130/$G130,0))))))</f>
        <v/>
      </c>
      <c r="V130" s="54">
        <f>IF($U130="","⏳ بانتظار هدف",IF($U130&gt;=1.0,"✅ محقق",IF($U130&gt;=0.85,"🟡 قريب","🔴 تحت الهدف")))</f>
        <v/>
      </c>
      <c r="W130" s="65">
        <f>IF($G130="","",$G130)</f>
        <v/>
      </c>
      <c r="X130" s="54">
        <f>IF($U130="","—",IF($U130&gt;=0.85,"🟢 على المسار","🟠 متأخّر"))</f>
        <v/>
      </c>
    </row>
    <row r="131" ht="22" customHeight="1">
      <c r="A131" s="54" t="n">
        <v>128</v>
      </c>
      <c r="B131" s="13" t="inlineStr">
        <is>
          <t>الصيانة والأتمتة</t>
        </is>
      </c>
      <c r="C131" s="11" t="inlineStr">
        <is>
          <t>معدل تكرار الأعطال</t>
        </is>
      </c>
      <c r="D131" s="15" t="inlineStr">
        <is>
          <t>شهري</t>
        </is>
      </c>
      <c r="E131" s="15" t="inlineStr">
        <is>
          <t>معدل</t>
        </is>
      </c>
      <c r="F131" s="49" t="inlineStr">
        <is>
          <t>↓</t>
        </is>
      </c>
      <c r="G131" s="59" t="n">
        <v>0.05</v>
      </c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50">
        <f>IF(COUNT($H131:$S131)=0,"",SUM($H131:$S131)/COUNT($H131:$S131))</f>
        <v/>
      </c>
      <c r="U131" s="50">
        <f>IF($G131="","",IF($T131="","",MIN(1,IF($G131=0,IF($T131&lt;=0,1,0),IF($F131="↓",IFERROR($G131/$T131,0),IFERROR($T131/$G131,0))))))</f>
        <v/>
      </c>
      <c r="V131" s="54">
        <f>IF($U131="","⏳ بانتظار هدف",IF($U131&gt;=1.0,"✅ محقق",IF($U131&gt;=0.85,"🟡 قريب","🔴 تحت الهدف")))</f>
        <v/>
      </c>
      <c r="W131" s="61">
        <f>IF($G131="","",$G131)</f>
        <v/>
      </c>
      <c r="X131" s="54">
        <f>IF($U131="","—",IF($U131&gt;=0.85,"🟢 على المسار","🟠 متأخّر"))</f>
        <v/>
      </c>
    </row>
    <row r="132" ht="22" customHeight="1">
      <c r="A132" s="54" t="n">
        <v>129</v>
      </c>
      <c r="B132" s="13" t="inlineStr">
        <is>
          <t>الصيانة والأتمتة</t>
        </is>
      </c>
      <c r="C132" s="11" t="inlineStr">
        <is>
          <t>نسبة استمرارية تشغيل المحطات دون توقف فني</t>
        </is>
      </c>
      <c r="D132" s="15" t="inlineStr">
        <is>
          <t>شهري</t>
        </is>
      </c>
      <c r="E132" s="15" t="inlineStr">
        <is>
          <t>معدل</t>
        </is>
      </c>
      <c r="F132" s="49" t="inlineStr">
        <is>
          <t>↑</t>
        </is>
      </c>
      <c r="G132" s="59" t="n">
        <v>0.99</v>
      </c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50">
        <f>IF(COUNT($H132:$S132)=0,"",SUM($H132:$S132)/COUNT($H132:$S132))</f>
        <v/>
      </c>
      <c r="U132" s="50">
        <f>IF($G132="","",IF($T132="","",MIN(1,IF($G132=0,IF($T132&lt;=0,1,0),IF($F132="↓",IFERROR($G132/$T132,0),IFERROR($T132/$G132,0))))))</f>
        <v/>
      </c>
      <c r="V132" s="54">
        <f>IF($U132="","⏳ بانتظار هدف",IF($U132&gt;=1.0,"✅ محقق",IF($U132&gt;=0.85,"🟡 قريب","🔴 تحت الهدف")))</f>
        <v/>
      </c>
      <c r="W132" s="61">
        <f>IF($G132="","",$G132)</f>
        <v/>
      </c>
      <c r="X132" s="54">
        <f>IF($U132="","—",IF($U132&gt;=0.85,"🟢 على المسار","🟠 متأخّر"))</f>
        <v/>
      </c>
    </row>
    <row r="133" ht="22" customHeight="1">
      <c r="A133" s="54" t="n">
        <v>130</v>
      </c>
      <c r="B133" s="13" t="inlineStr">
        <is>
          <t>الصيانة والأتمتة</t>
        </is>
      </c>
      <c r="C133" s="11" t="inlineStr">
        <is>
          <t>نسبة التشغيل السليم لأنظمة الأتمتة (Uptime)</t>
        </is>
      </c>
      <c r="D133" s="15" t="inlineStr">
        <is>
          <t>شهري</t>
        </is>
      </c>
      <c r="E133" s="15" t="inlineStr">
        <is>
          <t>معدل</t>
        </is>
      </c>
      <c r="F133" s="49" t="inlineStr">
        <is>
          <t>↑</t>
        </is>
      </c>
      <c r="G133" s="59" t="n">
        <v>0.99</v>
      </c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50">
        <f>IF(COUNT($H133:$S133)=0,"",SUM($H133:$S133)/COUNT($H133:$S133))</f>
        <v/>
      </c>
      <c r="U133" s="50">
        <f>IF($G133="","",IF($T133="","",MIN(1,IF($G133=0,IF($T133&lt;=0,1,0),IF($F133="↓",IFERROR($G133/$T133,0),IFERROR($T133/$G133,0))))))</f>
        <v/>
      </c>
      <c r="V133" s="54">
        <f>IF($U133="","⏳ بانتظار هدف",IF($U133&gt;=1.0,"✅ محقق",IF($U133&gt;=0.97,"🟡 قريب","🔴 تحت الهدف")))</f>
        <v/>
      </c>
      <c r="W133" s="61">
        <f>IF($G133="","",$G133)</f>
        <v/>
      </c>
      <c r="X133" s="54">
        <f>IF($U133="","—",IF($U133&gt;=0.97,"🟢 على المسار","🟠 متأخّر"))</f>
        <v/>
      </c>
    </row>
    <row r="134" ht="22" customHeight="1">
      <c r="A134" s="54" t="n">
        <v>131</v>
      </c>
      <c r="B134" s="13" t="inlineStr">
        <is>
          <t>الصيانة والأتمتة</t>
        </is>
      </c>
      <c r="C134" s="11" t="inlineStr">
        <is>
          <t>نسبة استعادة أنظمة الأتمتة ضمن الزمن المحدد</t>
        </is>
      </c>
      <c r="D134" s="15" t="inlineStr">
        <is>
          <t>شهري</t>
        </is>
      </c>
      <c r="E134" s="15" t="inlineStr">
        <is>
          <t>معدل</t>
        </is>
      </c>
      <c r="F134" s="49" t="inlineStr">
        <is>
          <t>↑</t>
        </is>
      </c>
      <c r="G134" s="59" t="n">
        <v>0.95</v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50">
        <f>IF(COUNT($H134:$S134)=0,"",SUM($H134:$S134)/COUNT($H134:$S134))</f>
        <v/>
      </c>
      <c r="U134" s="50">
        <f>IF($G134="","",IF($T134="","",MIN(1,IF($G134=0,IF($T134&lt;=0,1,0),IF($F134="↓",IFERROR($G134/$T134,0),IFERROR($T134/$G134,0))))))</f>
        <v/>
      </c>
      <c r="V134" s="54">
        <f>IF($U134="","⏳ بانتظار هدف",IF($U134&gt;=1.0,"✅ محقق",IF($U134&gt;=0.85,"🟡 قريب","🔴 تحت الهدف")))</f>
        <v/>
      </c>
      <c r="W134" s="61">
        <f>IF($G134="","",$G134)</f>
        <v/>
      </c>
      <c r="X134" s="54">
        <f>IF($U134="","—",IF($U134&gt;=0.85,"🟢 على المسار","🟠 متأخّر"))</f>
        <v/>
      </c>
    </row>
    <row r="135" ht="22" customHeight="1">
      <c r="A135" s="54" t="n">
        <v>132</v>
      </c>
      <c r="B135" s="13" t="inlineStr">
        <is>
          <t>الصيانة والأتمتة</t>
        </is>
      </c>
      <c r="C135" s="11" t="inlineStr">
        <is>
          <t>كفاءة تكاليف الصيانة (الالتزام بالميزانية)</t>
        </is>
      </c>
      <c r="D135" s="15" t="inlineStr">
        <is>
          <t>شهري</t>
        </is>
      </c>
      <c r="E135" s="15" t="inlineStr">
        <is>
          <t>معدل</t>
        </is>
      </c>
      <c r="F135" s="49" t="inlineStr">
        <is>
          <t>↑</t>
        </is>
      </c>
      <c r="G135" s="59" t="n">
        <v>0.95</v>
      </c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50">
        <f>IF(COUNT($H135:$S135)=0,"",SUM($H135:$S135)/COUNT($H135:$S135))</f>
        <v/>
      </c>
      <c r="U135" s="50">
        <f>IF($G135="","",IF($T135="","",MIN(1,IF($G135=0,IF($T135&lt;=0,1,0),IF($F135="↓",IFERROR($G135/$T135,0),IFERROR($T135/$G135,0))))))</f>
        <v/>
      </c>
      <c r="V135" s="54">
        <f>IF($U135="","⏳ بانتظار هدف",IF($U135&gt;=1.0,"✅ محقق",IF($U135&gt;=0.85,"🟡 قريب","🔴 تحت الهدف")))</f>
        <v/>
      </c>
      <c r="W135" s="61">
        <f>IF($G135="","",$G135)</f>
        <v/>
      </c>
      <c r="X135" s="54">
        <f>IF($U135="","—",IF($U135&gt;=0.85,"🟢 على المسار","🟠 متأخّر"))</f>
        <v/>
      </c>
    </row>
    <row r="136" ht="22" customHeight="1">
      <c r="A136" s="54" t="n">
        <v>133</v>
      </c>
      <c r="B136" s="13" t="inlineStr">
        <is>
          <t>التقنية الرقمية</t>
        </is>
      </c>
      <c r="C136" s="11" t="inlineStr">
        <is>
          <t>نسبة توفر الأنظمة والخدمات التقنية المركزية</t>
        </is>
      </c>
      <c r="D136" s="15" t="inlineStr">
        <is>
          <t>شهري</t>
        </is>
      </c>
      <c r="E136" s="15" t="inlineStr">
        <is>
          <t>معدل</t>
        </is>
      </c>
      <c r="F136" s="49" t="inlineStr">
        <is>
          <t>↑</t>
        </is>
      </c>
      <c r="G136" s="59" t="n">
        <v>0.99</v>
      </c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50">
        <f>IF(COUNT($H136:$S136)=0,"",SUM($H136:$S136)/COUNT($H136:$S136))</f>
        <v/>
      </c>
      <c r="U136" s="50">
        <f>IF($G136="","",IF($T136="","",MIN(1,IF($G136=0,IF($T136&lt;=0,1,0),IF($F136="↓",IFERROR($G136/$T136,0),IFERROR($T136/$G136,0))))))</f>
        <v/>
      </c>
      <c r="V136" s="54">
        <f>IF($U136="","⏳ بانتظار هدف",IF($U136&gt;=1.0,"✅ محقق",IF($U136&gt;=0.85,"🟡 قريب","🔴 تحت الهدف")))</f>
        <v/>
      </c>
      <c r="W136" s="61">
        <f>IF($G136="","",$G136)</f>
        <v/>
      </c>
      <c r="X136" s="54">
        <f>IF($U136="","—",IF($U136&gt;=0.85,"🟢 على المسار","🟠 متأخّر"))</f>
        <v/>
      </c>
    </row>
    <row r="137" ht="22" customHeight="1">
      <c r="A137" s="54" t="n">
        <v>134</v>
      </c>
      <c r="B137" s="13" t="inlineStr">
        <is>
          <t>التقنية الرقمية</t>
        </is>
      </c>
      <c r="C137" s="11" t="inlineStr">
        <is>
          <t>نسبة معالجة الأعطال وطلبات الدعم الفني ضمن المدة المستهدفة SLA</t>
        </is>
      </c>
      <c r="D137" s="15" t="inlineStr">
        <is>
          <t>شهري</t>
        </is>
      </c>
      <c r="E137" s="15" t="inlineStr">
        <is>
          <t>معدل</t>
        </is>
      </c>
      <c r="F137" s="49" t="inlineStr">
        <is>
          <t>↑</t>
        </is>
      </c>
      <c r="G137" s="59" t="n">
        <v>0.95</v>
      </c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50">
        <f>IF(COUNT($H137:$S137)=0,"",SUM($H137:$S137)/COUNT($H137:$S137))</f>
        <v/>
      </c>
      <c r="U137" s="50">
        <f>IF($G137="","",IF($T137="","",MIN(1,IF($G137=0,IF($T137&lt;=0,1,0),IF($F137="↓",IFERROR($G137/$T137,0),IFERROR($T137/$G137,0))))))</f>
        <v/>
      </c>
      <c r="V137" s="54">
        <f>IF($U137="","⏳ بانتظار هدف",IF($U137&gt;=1.0,"✅ محقق",IF($U137&gt;=0.85,"🟡 قريب","🔴 تحت الهدف")))</f>
        <v/>
      </c>
      <c r="W137" s="61">
        <f>IF($G137="","",$G137)</f>
        <v/>
      </c>
      <c r="X137" s="54">
        <f>IF($U137="","—",IF($U137&gt;=0.85,"🟢 على المسار","🟠 متأخّر"))</f>
        <v/>
      </c>
    </row>
    <row r="138" ht="22" customHeight="1">
      <c r="A138" s="54" t="n">
        <v>135</v>
      </c>
      <c r="B138" s="13" t="inlineStr">
        <is>
          <t>التقنية الرقمية</t>
        </is>
      </c>
      <c r="C138" s="11" t="inlineStr">
        <is>
          <t>نسبة استقرار التشغيل التقني للمحطات</t>
        </is>
      </c>
      <c r="D138" s="15" t="inlineStr">
        <is>
          <t>شهري</t>
        </is>
      </c>
      <c r="E138" s="15" t="inlineStr">
        <is>
          <t>معدل</t>
        </is>
      </c>
      <c r="F138" s="49" t="inlineStr">
        <is>
          <t>↑</t>
        </is>
      </c>
      <c r="G138" s="59" t="n">
        <v>0.99</v>
      </c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50">
        <f>IF(COUNT($H138:$S138)=0,"",SUM($H138:$S138)/COUNT($H138:$S138))</f>
        <v/>
      </c>
      <c r="U138" s="50">
        <f>IF($G138="","",IF($T138="","",MIN(1,IF($G138=0,IF($T138&lt;=0,1,0),IF($F138="↓",IFERROR($G138/$T138,0),IFERROR($T138/$G138,0))))))</f>
        <v/>
      </c>
      <c r="V138" s="54">
        <f>IF($U138="","⏳ بانتظار هدف",IF($U138&gt;=1.0,"✅ محقق",IF($U138&gt;=0.85,"🟡 قريب","🔴 تحت الهدف")))</f>
        <v/>
      </c>
      <c r="W138" s="61">
        <f>IF($G138="","",$G138)</f>
        <v/>
      </c>
      <c r="X138" s="54">
        <f>IF($U138="","—",IF($U138&gt;=0.85,"🟢 على المسار","🟠 متأخّر"))</f>
        <v/>
      </c>
    </row>
    <row r="139" ht="22" customHeight="1">
      <c r="A139" s="54" t="n">
        <v>136</v>
      </c>
      <c r="B139" s="13" t="inlineStr">
        <is>
          <t>التقنية الرقمية</t>
        </is>
      </c>
      <c r="C139" s="11" t="inlineStr">
        <is>
          <t>نسبة إنجاز مشاريع التحول الرقمي والمشاريع التقنية حسب الخطة</t>
        </is>
      </c>
      <c r="D139" s="15" t="inlineStr">
        <is>
          <t>شهري</t>
        </is>
      </c>
      <c r="E139" s="15" t="inlineStr">
        <is>
          <t>معدل</t>
        </is>
      </c>
      <c r="F139" s="49" t="inlineStr">
        <is>
          <t>↑</t>
        </is>
      </c>
      <c r="G139" s="59" t="n">
        <v>0.9</v>
      </c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50">
        <f>IF(COUNT($H139:$S139)=0,"",SUM($H139:$S139)/COUNT($H139:$S139))</f>
        <v/>
      </c>
      <c r="U139" s="50">
        <f>IF($G139="","",IF($T139="","",MIN(1,IF($G139=0,IF($T139&lt;=0,1,0),IF($F139="↓",IFERROR($G139/$T139,0),IFERROR($T139/$G139,0))))))</f>
        <v/>
      </c>
      <c r="V139" s="54">
        <f>IF($U139="","⏳ بانتظار هدف",IF($U139&gt;=1.0,"✅ محقق",IF($U139&gt;=0.85,"🟡 قريب","🔴 تحت الهدف")))</f>
        <v/>
      </c>
      <c r="W139" s="61">
        <f>IF($G139="","",$G139)</f>
        <v/>
      </c>
      <c r="X139" s="54">
        <f>IF($U139="","—",IF($U139&gt;=0.85,"🟢 على المسار","🟠 متأخّر"))</f>
        <v/>
      </c>
    </row>
    <row r="140" ht="22" customHeight="1">
      <c r="A140" s="54" t="n">
        <v>137</v>
      </c>
      <c r="B140" s="13" t="inlineStr">
        <is>
          <t>التقنية الرقمية</t>
        </is>
      </c>
      <c r="C140" s="11" t="inlineStr">
        <is>
          <t>نسبة تسليم المشاريع التقنية ضمن الوقت والميزانية ونطاق العمل المعتمد</t>
        </is>
      </c>
      <c r="D140" s="15" t="inlineStr">
        <is>
          <t>شهري</t>
        </is>
      </c>
      <c r="E140" s="15" t="inlineStr">
        <is>
          <t>معدل</t>
        </is>
      </c>
      <c r="F140" s="49" t="inlineStr">
        <is>
          <t>↑</t>
        </is>
      </c>
      <c r="G140" s="59" t="n">
        <v>0.9</v>
      </c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50">
        <f>IF(COUNT($H140:$S140)=0,"",SUM($H140:$S140)/COUNT($H140:$S140))</f>
        <v/>
      </c>
      <c r="U140" s="50">
        <f>IF($G140="","",IF($T140="","",MIN(1,IF($G140=0,IF($T140&lt;=0,1,0),IF($F140="↓",IFERROR($G140/$T140,0),IFERROR($T140/$G140,0))))))</f>
        <v/>
      </c>
      <c r="V140" s="54">
        <f>IF($U140="","⏳ بانتظار هدف",IF($U140&gt;=1.0,"✅ محقق",IF($U140&gt;=0.85,"🟡 قريب","🔴 تحت الهدف")))</f>
        <v/>
      </c>
      <c r="W140" s="61">
        <f>IF($G140="","",$G140)</f>
        <v/>
      </c>
      <c r="X140" s="54">
        <f>IF($U140="","—",IF($U140&gt;=0.85,"🟢 على المسار","🟠 متأخّر"))</f>
        <v/>
      </c>
    </row>
    <row r="141" ht="22" customHeight="1">
      <c r="A141" s="54" t="n">
        <v>138</v>
      </c>
      <c r="B141" s="13" t="inlineStr">
        <is>
          <t>التقنية الرقمية</t>
        </is>
      </c>
      <c r="C141" s="11" t="inlineStr">
        <is>
          <t>نسبة الالتزام بإدارة صلاحيات المستخدمين والحسابات</t>
        </is>
      </c>
      <c r="D141" s="15" t="inlineStr">
        <is>
          <t>شهري</t>
        </is>
      </c>
      <c r="E141" s="15" t="inlineStr">
        <is>
          <t>معدل</t>
        </is>
      </c>
      <c r="F141" s="49" t="inlineStr">
        <is>
          <t>↑</t>
        </is>
      </c>
      <c r="G141" s="59" t="n">
        <v>1</v>
      </c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50">
        <f>IF(COUNT($H141:$S141)=0,"",SUM($H141:$S141)/COUNT($H141:$S141))</f>
        <v/>
      </c>
      <c r="U141" s="50">
        <f>IF($G141="","",IF($T141="","",MIN(1,IF($G141=0,IF($T141&lt;=0,1,0),IF($F141="↓",IFERROR($G141/$T141,0),IFERROR($T141/$G141,0))))))</f>
        <v/>
      </c>
      <c r="V141" s="54">
        <f>IF($U141="","⏳ بانتظار هدف",IF($U141&gt;=1.0,"✅ محقق",IF($U141&gt;=0.85,"🟡 قريب","🔴 تحت الهدف")))</f>
        <v/>
      </c>
      <c r="W141" s="61">
        <f>IF($G141="","",$G141)</f>
        <v/>
      </c>
      <c r="X141" s="54">
        <f>IF($U141="","—",IF($U141&gt;=0.85,"🟢 على المسار","🟠 متأخّر"))</f>
        <v/>
      </c>
    </row>
    <row r="142" ht="22" customHeight="1">
      <c r="A142" s="54" t="n">
        <v>139</v>
      </c>
      <c r="B142" s="13" t="inlineStr">
        <is>
          <t>التقنية الرقمية</t>
        </is>
      </c>
      <c r="C142" s="11" t="inlineStr">
        <is>
          <t>نسبة نجاح النسخ الاحتياطي واختبارات استعادة البيانات</t>
        </is>
      </c>
      <c r="D142" s="15" t="inlineStr">
        <is>
          <t>شهري</t>
        </is>
      </c>
      <c r="E142" s="15" t="inlineStr">
        <is>
          <t>معدل</t>
        </is>
      </c>
      <c r="F142" s="49" t="inlineStr">
        <is>
          <t>↑</t>
        </is>
      </c>
      <c r="G142" s="59" t="n">
        <v>1</v>
      </c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50">
        <f>IF(COUNT($H142:$S142)=0,"",SUM($H142:$S142)/COUNT($H142:$S142))</f>
        <v/>
      </c>
      <c r="U142" s="50">
        <f>IF($G142="","",IF($T142="","",MIN(1,IF($G142=0,IF($T142&lt;=0,1,0),IF($F142="↓",IFERROR($G142/$T142,0),IFERROR($T142/$G142,0))))))</f>
        <v/>
      </c>
      <c r="V142" s="54">
        <f>IF($U142="","⏳ بانتظار هدف",IF($U142&gt;=1.0,"✅ محقق",IF($U142&gt;=0.85,"🟡 قريب","🔴 تحت الهدف")))</f>
        <v/>
      </c>
      <c r="W142" s="61">
        <f>IF($G142="","",$G142)</f>
        <v/>
      </c>
      <c r="X142" s="54">
        <f>IF($U142="","—",IF($U142&gt;=0.85,"🟢 على المسار","🟠 متأخّر"))</f>
        <v/>
      </c>
    </row>
    <row r="143" ht="22" customHeight="1">
      <c r="A143" s="54" t="n">
        <v>140</v>
      </c>
      <c r="B143" s="13" t="inlineStr">
        <is>
          <t>التقنية الرقمية</t>
        </is>
      </c>
      <c r="C143" s="11" t="inlineStr">
        <is>
          <t>نسبة الامتثال لضوابط الأمن السيبراني الأساسية</t>
        </is>
      </c>
      <c r="D143" s="15" t="inlineStr">
        <is>
          <t>شهري</t>
        </is>
      </c>
      <c r="E143" s="15" t="inlineStr">
        <is>
          <t>معدل</t>
        </is>
      </c>
      <c r="F143" s="49" t="inlineStr">
        <is>
          <t>↑</t>
        </is>
      </c>
      <c r="G143" s="59" t="n">
        <v>0.95</v>
      </c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50">
        <f>IF(COUNT($H143:$S143)=0,"",SUM($H143:$S143)/COUNT($H143:$S143))</f>
        <v/>
      </c>
      <c r="U143" s="50">
        <f>IF($G143="","",IF($T143="","",MIN(1,IF($G143=0,IF($T143&lt;=0,1,0),IF($F143="↓",IFERROR($G143/$T143,0),IFERROR($T143/$G143,0))))))</f>
        <v/>
      </c>
      <c r="V143" s="54">
        <f>IF($U143="","⏳ بانتظار هدف",IF($U143&gt;=1.0,"✅ محقق",IF($U143&gt;=0.97,"🟡 قريب","🔴 تحت الهدف")))</f>
        <v/>
      </c>
      <c r="W143" s="61">
        <f>IF($G143="","",$G143)</f>
        <v/>
      </c>
      <c r="X143" s="54">
        <f>IF($U143="","—",IF($U143&gt;=0.97,"🟢 على المسار","🟠 متأخّر"))</f>
        <v/>
      </c>
    </row>
    <row r="144" ht="22" customHeight="1">
      <c r="A144" s="54" t="n">
        <v>141</v>
      </c>
      <c r="B144" s="13" t="inlineStr">
        <is>
          <t>التقنية الرقمية</t>
        </is>
      </c>
      <c r="C144" s="11" t="inlineStr">
        <is>
          <t>نسبة دقة وتكامل البيانات بين الأنظمة الرقمية</t>
        </is>
      </c>
      <c r="D144" s="15" t="inlineStr">
        <is>
          <t>شهري</t>
        </is>
      </c>
      <c r="E144" s="15" t="inlineStr">
        <is>
          <t>معدل</t>
        </is>
      </c>
      <c r="F144" s="49" t="inlineStr">
        <is>
          <t>↑</t>
        </is>
      </c>
      <c r="G144" s="59" t="n">
        <v>0.98</v>
      </c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50">
        <f>IF(COUNT($H144:$S144)=0,"",SUM($H144:$S144)/COUNT($H144:$S144))</f>
        <v/>
      </c>
      <c r="U144" s="50">
        <f>IF($G144="","",IF($T144="","",MIN(1,IF($G144=0,IF($T144&lt;=0,1,0),IF($F144="↓",IFERROR($G144/$T144,0),IFERROR($T144/$G144,0))))))</f>
        <v/>
      </c>
      <c r="V144" s="54">
        <f>IF($U144="","⏳ بانتظار هدف",IF($U144&gt;=1.0,"✅ محقق",IF($U144&gt;=0.85,"🟡 قريب","🔴 تحت الهدف")))</f>
        <v/>
      </c>
      <c r="W144" s="61">
        <f>IF($G144="","",$G144)</f>
        <v/>
      </c>
      <c r="X144" s="54">
        <f>IF($U144="","—",IF($U144&gt;=0.85,"🟢 على المسار","🟠 متأخّر"))</f>
        <v/>
      </c>
    </row>
    <row r="145" ht="22" customHeight="1">
      <c r="A145" s="54" t="n">
        <v>142</v>
      </c>
      <c r="B145" s="13" t="inlineStr">
        <is>
          <t>التقنية الرقمية</t>
        </is>
      </c>
      <c r="C145" s="11" t="inlineStr">
        <is>
          <t>نسبة الالتزام بتحديث وتوثيق أصول تقنية المعلومات والتراخيص</t>
        </is>
      </c>
      <c r="D145" s="15" t="inlineStr">
        <is>
          <t>شهري</t>
        </is>
      </c>
      <c r="E145" s="15" t="inlineStr">
        <is>
          <t>معدل</t>
        </is>
      </c>
      <c r="F145" s="49" t="inlineStr">
        <is>
          <t>↑</t>
        </is>
      </c>
      <c r="G145" s="59" t="n">
        <v>0.95</v>
      </c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50">
        <f>IF(COUNT($H145:$S145)=0,"",SUM($H145:$S145)/COUNT($H145:$S145))</f>
        <v/>
      </c>
      <c r="U145" s="50">
        <f>IF($G145="","",IF($T145="","",MIN(1,IF($G145=0,IF($T145&lt;=0,1,0),IF($F145="↓",IFERROR($G145/$T145,0),IFERROR($T145/$G145,0))))))</f>
        <v/>
      </c>
      <c r="V145" s="54">
        <f>IF($U145="","⏳ بانتظار هدف",IF($U145&gt;=1.0,"✅ محقق",IF($U145&gt;=0.85,"🟡 قريب","🔴 تحت الهدف")))</f>
        <v/>
      </c>
      <c r="W145" s="61">
        <f>IF($G145="","",$G145)</f>
        <v/>
      </c>
      <c r="X145" s="54">
        <f>IF($U145="","—",IF($U145&gt;=0.85,"🟢 على المسار","🟠 متأخّر"))</f>
        <v/>
      </c>
    </row>
    <row r="146" ht="22" customHeight="1">
      <c r="A146" s="54" t="n">
        <v>143</v>
      </c>
      <c r="B146" s="13" t="inlineStr">
        <is>
          <t>التقنية الرقمية</t>
        </is>
      </c>
      <c r="C146" s="11" t="inlineStr">
        <is>
          <t>نسبة تنفيذ الصيانة الوقائية للأجهزة والبنية التقنية</t>
        </is>
      </c>
      <c r="D146" s="15" t="inlineStr">
        <is>
          <t>شهري</t>
        </is>
      </c>
      <c r="E146" s="15" t="inlineStr">
        <is>
          <t>معدل</t>
        </is>
      </c>
      <c r="F146" s="49" t="inlineStr">
        <is>
          <t>↑</t>
        </is>
      </c>
      <c r="G146" s="59" t="n">
        <v>0.95</v>
      </c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50">
        <f>IF(COUNT($H146:$S146)=0,"",SUM($H146:$S146)/COUNT($H146:$S146))</f>
        <v/>
      </c>
      <c r="U146" s="50">
        <f>IF($G146="","",IF($T146="","",MIN(1,IF($G146=0,IF($T146&lt;=0,1,0),IF($F146="↓",IFERROR($G146/$T146,0),IFERROR($T146/$G146,0))))))</f>
        <v/>
      </c>
      <c r="V146" s="54">
        <f>IF($U146="","⏳ بانتظار هدف",IF($U146&gt;=1.0,"✅ محقق",IF($U146&gt;=0.85,"🟡 قريب","🔴 تحت الهدف")))</f>
        <v/>
      </c>
      <c r="W146" s="61">
        <f>IF($G146="","",$G146)</f>
        <v/>
      </c>
      <c r="X146" s="54">
        <f>IF($U146="","—",IF($U146&gt;=0.85,"🟢 على المسار","🟠 متأخّر"))</f>
        <v/>
      </c>
    </row>
    <row r="147" ht="22" customHeight="1">
      <c r="A147" s="54" t="n">
        <v>144</v>
      </c>
      <c r="B147" s="13" t="inlineStr">
        <is>
          <t>التقنية الرقمية</t>
        </is>
      </c>
      <c r="C147" s="11" t="inlineStr">
        <is>
          <t>مستوى رضا الإدارات والمستخدمين عن خدمات تقنية المعلومات</t>
        </is>
      </c>
      <c r="D147" s="15" t="inlineStr">
        <is>
          <t>ربعي</t>
        </is>
      </c>
      <c r="E147" s="15" t="inlineStr">
        <is>
          <t>معدل</t>
        </is>
      </c>
      <c r="F147" s="49" t="inlineStr">
        <is>
          <t>↑</t>
        </is>
      </c>
      <c r="G147" s="59" t="n">
        <v>0.85</v>
      </c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50">
        <f>IF(COUNT($H147:$S147)=0,"",SUM($H147:$S147)/COUNT($H147:$S147))</f>
        <v/>
      </c>
      <c r="U147" s="50">
        <f>IF($G147="","",IF($T147="","",MIN(1,IF($G147=0,IF($T147&lt;=0,1,0),IF($F147="↓",IFERROR($G147/$T147,0),IFERROR($T147/$G147,0))))))</f>
        <v/>
      </c>
      <c r="V147" s="54">
        <f>IF($U147="","⏳ بانتظار هدف",IF($U147&gt;=0.9,"✅ محقق",IF($U147&gt;=0.75,"🟡 قريب","🔴 تحت الهدف")))</f>
        <v/>
      </c>
      <c r="W147" s="61">
        <f>IF($G147="","",$G147)</f>
        <v/>
      </c>
      <c r="X147" s="54">
        <f>IF($U147="","—",IF($U147&gt;=0.75,"🟢 على المسار","🟠 متأخّر"))</f>
        <v/>
      </c>
    </row>
    <row r="148" ht="22" customHeight="1">
      <c r="A148" s="54" t="n">
        <v>145</v>
      </c>
      <c r="B148" s="13" t="inlineStr">
        <is>
          <t>الموارد البشرية</t>
        </is>
      </c>
      <c r="C148" s="11" t="inlineStr">
        <is>
          <t>نسبة الالتزام بالتوطين والامتثال الحكومي دون مخالفات</t>
        </is>
      </c>
      <c r="D148" s="15" t="inlineStr">
        <is>
          <t>شهري</t>
        </is>
      </c>
      <c r="E148" s="15" t="inlineStr">
        <is>
          <t>معدل</t>
        </is>
      </c>
      <c r="F148" s="49" t="inlineStr">
        <is>
          <t>↑</t>
        </is>
      </c>
      <c r="G148" s="59" t="n">
        <v>1</v>
      </c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50">
        <f>IF(COUNT($H148:$S148)=0,"",SUM($H148:$S148)/COUNT($H148:$S148))</f>
        <v/>
      </c>
      <c r="U148" s="50">
        <f>IF($G148="","",IF($T148="","",MIN(1,IF($G148=0,IF($T148&lt;=0,1,0),IF($F148="↓",IFERROR($G148/$T148,0),IFERROR($T148/$G148,0))))))</f>
        <v/>
      </c>
      <c r="V148" s="54">
        <f>IF($U148="","⏳ بانتظار هدف",IF($U148&gt;=1.0,"✅ محقق",IF($U148&gt;=0.97,"🟡 قريب","🔴 تحت الهدف")))</f>
        <v/>
      </c>
      <c r="W148" s="61">
        <f>IF($G148="","",$G148)</f>
        <v/>
      </c>
      <c r="X148" s="54">
        <f>IF($U148="","—",IF($U148&gt;=0.97,"🟢 على المسار","🟠 متأخّر"))</f>
        <v/>
      </c>
    </row>
    <row r="149" ht="22" customHeight="1">
      <c r="A149" s="54" t="n">
        <v>146</v>
      </c>
      <c r="B149" s="13" t="inlineStr">
        <is>
          <t>الموارد البشرية</t>
        </is>
      </c>
      <c r="C149" s="11" t="inlineStr">
        <is>
          <t>نسبة الالتزام بنظام العمل واللوائح وخطة القوى العاملة المعتمدة</t>
        </is>
      </c>
      <c r="D149" s="15" t="inlineStr">
        <is>
          <t>شهري</t>
        </is>
      </c>
      <c r="E149" s="15" t="inlineStr">
        <is>
          <t>معدل</t>
        </is>
      </c>
      <c r="F149" s="49" t="inlineStr">
        <is>
          <t>↑</t>
        </is>
      </c>
      <c r="G149" s="59" t="n">
        <v>1</v>
      </c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50">
        <f>IF(COUNT($H149:$S149)=0,"",SUM($H149:$S149)/COUNT($H149:$S149))</f>
        <v/>
      </c>
      <c r="U149" s="50">
        <f>IF($G149="","",IF($T149="","",MIN(1,IF($G149=0,IF($T149&lt;=0,1,0),IF($F149="↓",IFERROR($G149/$T149,0),IFERROR($T149/$G149,0))))))</f>
        <v/>
      </c>
      <c r="V149" s="54">
        <f>IF($U149="","⏳ بانتظار هدف",IF($U149&gt;=1.0,"✅ محقق",IF($U149&gt;=0.85,"🟡 قريب","🔴 تحت الهدف")))</f>
        <v/>
      </c>
      <c r="W149" s="61">
        <f>IF($G149="","",$G149)</f>
        <v/>
      </c>
      <c r="X149" s="54">
        <f>IF($U149="","—",IF($U149&gt;=0.85,"🟢 على المسار","🟠 متأخّر"))</f>
        <v/>
      </c>
    </row>
    <row r="150" ht="22" customHeight="1">
      <c r="A150" s="54" t="n">
        <v>147</v>
      </c>
      <c r="B150" s="13" t="inlineStr">
        <is>
          <t>الموارد البشرية</t>
        </is>
      </c>
      <c r="C150" s="11" t="inlineStr">
        <is>
          <t>نسبة إنجاز معاملات شؤون الموظفين ضمن المدة المستهدفة SLA</t>
        </is>
      </c>
      <c r="D150" s="15" t="inlineStr">
        <is>
          <t>شهري</t>
        </is>
      </c>
      <c r="E150" s="15" t="inlineStr">
        <is>
          <t>معدل</t>
        </is>
      </c>
      <c r="F150" s="49" t="inlineStr">
        <is>
          <t>↑</t>
        </is>
      </c>
      <c r="G150" s="59" t="n">
        <v>0.9</v>
      </c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50">
        <f>IF(COUNT($H150:$S150)=0,"",SUM($H150:$S150)/COUNT($H150:$S150))</f>
        <v/>
      </c>
      <c r="U150" s="50">
        <f>IF($G150="","",IF($T150="","",MIN(1,IF($G150=0,IF($T150&lt;=0,1,0),IF($F150="↓",IFERROR($G150/$T150,0),IFERROR($T150/$G150,0))))))</f>
        <v/>
      </c>
      <c r="V150" s="54">
        <f>IF($U150="","⏳ بانتظار هدف",IF($U150&gt;=1.0,"✅ محقق",IF($U150&gt;=0.85,"🟡 قريب","🔴 تحت الهدف")))</f>
        <v/>
      </c>
      <c r="W150" s="61">
        <f>IF($G150="","",$G150)</f>
        <v/>
      </c>
      <c r="X150" s="54">
        <f>IF($U150="","—",IF($U150&gt;=0.85,"🟢 على المسار","🟠 متأخّر"))</f>
        <v/>
      </c>
    </row>
    <row r="151" ht="22" customHeight="1">
      <c r="A151" s="54" t="n">
        <v>148</v>
      </c>
      <c r="B151" s="13" t="inlineStr">
        <is>
          <t>الموارد البشرية</t>
        </is>
      </c>
      <c r="C151" s="11" t="inlineStr">
        <is>
          <t>نسبة الالتزام بتجديد الوثائق واكتمال ملفات الموظفين</t>
        </is>
      </c>
      <c r="D151" s="15" t="inlineStr">
        <is>
          <t>شهري</t>
        </is>
      </c>
      <c r="E151" s="15" t="inlineStr">
        <is>
          <t>معدل</t>
        </is>
      </c>
      <c r="F151" s="49" t="inlineStr">
        <is>
          <t>↑</t>
        </is>
      </c>
      <c r="G151" s="59" t="n">
        <v>1</v>
      </c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50">
        <f>IF(COUNT($H151:$S151)=0,"",SUM($H151:$S151)/COUNT($H151:$S151))</f>
        <v/>
      </c>
      <c r="U151" s="50">
        <f>IF($G151="","",IF($T151="","",MIN(1,IF($G151=0,IF($T151&lt;=0,1,0),IF($F151="↓",IFERROR($G151/$T151,0),IFERROR($T151/$G151,0))))))</f>
        <v/>
      </c>
      <c r="V151" s="54">
        <f>IF($U151="","⏳ بانتظار هدف",IF($U151&gt;=1.0,"✅ محقق",IF($U151&gt;=0.85,"🟡 قريب","🔴 تحت الهدف")))</f>
        <v/>
      </c>
      <c r="W151" s="61">
        <f>IF($G151="","",$G151)</f>
        <v/>
      </c>
      <c r="X151" s="54">
        <f>IF($U151="","—",IF($U151&gt;=0.85,"🟢 على المسار","🟠 متأخّر"))</f>
        <v/>
      </c>
    </row>
    <row r="152" ht="22" customHeight="1">
      <c r="A152" s="54" t="n">
        <v>149</v>
      </c>
      <c r="B152" s="13" t="inlineStr">
        <is>
          <t>الموارد البشرية</t>
        </is>
      </c>
      <c r="C152" s="11" t="inlineStr">
        <is>
          <t>نسبة جاهزية وتغطية عمالة المحطات حسب خطة التشغيل والافتتاحات</t>
        </is>
      </c>
      <c r="D152" s="15" t="inlineStr">
        <is>
          <t>شهري</t>
        </is>
      </c>
      <c r="E152" s="15" t="inlineStr">
        <is>
          <t>معدل</t>
        </is>
      </c>
      <c r="F152" s="49" t="inlineStr">
        <is>
          <t>↑</t>
        </is>
      </c>
      <c r="G152" s="59" t="n">
        <v>0.95</v>
      </c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50">
        <f>IF(COUNT($H152:$S152)=0,"",SUM($H152:$S152)/COUNT($H152:$S152))</f>
        <v/>
      </c>
      <c r="U152" s="50">
        <f>IF($G152="","",IF($T152="","",MIN(1,IF($G152=0,IF($T152&lt;=0,1,0),IF($F152="↓",IFERROR($G152/$T152,0),IFERROR($T152/$G152,0))))))</f>
        <v/>
      </c>
      <c r="V152" s="54">
        <f>IF($U152="","⏳ بانتظار هدف",IF($U152&gt;=1.0,"✅ محقق",IF($U152&gt;=0.97,"🟡 قريب","🔴 تحت الهدف")))</f>
        <v/>
      </c>
      <c r="W152" s="61">
        <f>IF($G152="","",$G152)</f>
        <v/>
      </c>
      <c r="X152" s="54">
        <f>IF($U152="","—",IF($U152&gt;=0.97,"🟢 على المسار","🟠 متأخّر"))</f>
        <v/>
      </c>
    </row>
    <row r="153" ht="22" customHeight="1">
      <c r="A153" s="54" t="n">
        <v>150</v>
      </c>
      <c r="B153" s="13" t="inlineStr">
        <is>
          <t>الموارد البشرية</t>
        </is>
      </c>
      <c r="C153" s="11" t="inlineStr">
        <is>
          <t>متوسط مدة إغلاق الشواغر المعتمدة</t>
        </is>
      </c>
      <c r="D153" s="15" t="inlineStr">
        <is>
          <t>شهري</t>
        </is>
      </c>
      <c r="E153" s="15" t="inlineStr">
        <is>
          <t>معدل</t>
        </is>
      </c>
      <c r="F153" s="49" t="inlineStr">
        <is>
          <t>↓</t>
        </is>
      </c>
      <c r="G153" s="62" t="n">
        <v>30</v>
      </c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4">
        <f>IF(COUNT($H153:$S153)=0,"",SUM($H153:$S153)/COUNT($H153:$S153))</f>
        <v/>
      </c>
      <c r="U153" s="50">
        <f>IF($G153="","",IF($T153="","",MIN(1,IF($G153=0,IF($T153&lt;=0,1,0),IF($F153="↓",IFERROR($G153/$T153,0),IFERROR($T153/$G153,0))))))</f>
        <v/>
      </c>
      <c r="V153" s="54">
        <f>IF($U153="","⏳ بانتظار هدف",IF($U153&gt;=1.0,"✅ محقق",IF($U153&gt;=0.85,"🟡 قريب","🔴 تحت الهدف")))</f>
        <v/>
      </c>
      <c r="W153" s="65">
        <f>IF($G153="","",$G153)</f>
        <v/>
      </c>
      <c r="X153" s="54">
        <f>IF($U153="","—",IF($U153&gt;=0.85,"🟢 على المسار","🟠 متأخّر"))</f>
        <v/>
      </c>
    </row>
    <row r="154" ht="22" customHeight="1">
      <c r="A154" s="54" t="n">
        <v>151</v>
      </c>
      <c r="B154" s="13" t="inlineStr">
        <is>
          <t>الموارد البشرية</t>
        </is>
      </c>
      <c r="C154" s="11" t="inlineStr">
        <is>
          <t>نسبة نجاح التعيينات الجديدة خلال فترة التجربة</t>
        </is>
      </c>
      <c r="D154" s="15" t="inlineStr">
        <is>
          <t>شهري</t>
        </is>
      </c>
      <c r="E154" s="15" t="inlineStr">
        <is>
          <t>معدل</t>
        </is>
      </c>
      <c r="F154" s="49" t="inlineStr">
        <is>
          <t>↑</t>
        </is>
      </c>
      <c r="G154" s="59" t="n">
        <v>0.9</v>
      </c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50">
        <f>IF(COUNT($H154:$S154)=0,"",SUM($H154:$S154)/COUNT($H154:$S154))</f>
        <v/>
      </c>
      <c r="U154" s="50">
        <f>IF($G154="","",IF($T154="","",MIN(1,IF($G154=0,IF($T154&lt;=0,1,0),IF($F154="↓",IFERROR($G154/$T154,0),IFERROR($T154/$G154,0))))))</f>
        <v/>
      </c>
      <c r="V154" s="54">
        <f>IF($U154="","⏳ بانتظار هدف",IF($U154&gt;=1.0,"✅ محقق",IF($U154&gt;=0.85,"🟡 قريب","🔴 تحت الهدف")))</f>
        <v/>
      </c>
      <c r="W154" s="61">
        <f>IF($G154="","",$G154)</f>
        <v/>
      </c>
      <c r="X154" s="54">
        <f>IF($U154="","—",IF($U154&gt;=0.85,"🟢 على المسار","🟠 متأخّر"))</f>
        <v/>
      </c>
    </row>
    <row r="155" ht="22" customHeight="1">
      <c r="A155" s="54" t="n">
        <v>152</v>
      </c>
      <c r="B155" s="13" t="inlineStr">
        <is>
          <t>الموارد البشرية</t>
        </is>
      </c>
      <c r="C155" s="11" t="inlineStr">
        <is>
          <t>نسبة كفاءة تكلفة القوى العاملة</t>
        </is>
      </c>
      <c r="D155" s="15" t="inlineStr">
        <is>
          <t>شهري</t>
        </is>
      </c>
      <c r="E155" s="15" t="inlineStr">
        <is>
          <t>معدل</t>
        </is>
      </c>
      <c r="F155" s="49" t="inlineStr">
        <is>
          <t>↑</t>
        </is>
      </c>
      <c r="G155" s="59" t="n">
        <v>0.95</v>
      </c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50">
        <f>IF(COUNT($H155:$S155)=0,"",SUM($H155:$S155)/COUNT($H155:$S155))</f>
        <v/>
      </c>
      <c r="U155" s="50">
        <f>IF($G155="","",IF($T155="","",MIN(1,IF($G155=0,IF($T155&lt;=0,1,0),IF($F155="↓",IFERROR($G155/$T155,0),IFERROR($T155/$G155,0))))))</f>
        <v/>
      </c>
      <c r="V155" s="54">
        <f>IF($U155="","⏳ بانتظار هدف",IF($U155&gt;=1.0,"✅ محقق",IF($U155&gt;=0.85,"🟡 قريب","🔴 تحت الهدف")))</f>
        <v/>
      </c>
      <c r="W155" s="61">
        <f>IF($G155="","",$G155)</f>
        <v/>
      </c>
      <c r="X155" s="54">
        <f>IF($U155="","—",IF($U155&gt;=0.85,"🟢 على المسار","🟠 متأخّر"))</f>
        <v/>
      </c>
    </row>
    <row r="156" ht="22" customHeight="1">
      <c r="A156" s="54" t="n">
        <v>153</v>
      </c>
      <c r="B156" s="13" t="inlineStr">
        <is>
          <t>الموارد البشرية</t>
        </is>
      </c>
      <c r="C156" s="11" t="inlineStr">
        <is>
          <t>نسبة دقة الرواتب والمستحقات الشهرية</t>
        </is>
      </c>
      <c r="D156" s="15" t="inlineStr">
        <is>
          <t>شهري</t>
        </is>
      </c>
      <c r="E156" s="15" t="inlineStr">
        <is>
          <t>معدل</t>
        </is>
      </c>
      <c r="F156" s="49" t="inlineStr">
        <is>
          <t>↑</t>
        </is>
      </c>
      <c r="G156" s="59" t="n">
        <v>0.995</v>
      </c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50">
        <f>IF(COUNT($H156:$S156)=0,"",SUM($H156:$S156)/COUNT($H156:$S156))</f>
        <v/>
      </c>
      <c r="U156" s="50">
        <f>IF($G156="","",IF($T156="","",MIN(1,IF($G156=0,IF($T156&lt;=0,1,0),IF($F156="↓",IFERROR($G156/$T156,0),IFERROR($T156/$G156,0))))))</f>
        <v/>
      </c>
      <c r="V156" s="54">
        <f>IF($U156="","⏳ بانتظار هدف",IF($U156&gt;=1.0,"✅ محقق",IF($U156&gt;=0.85,"🟡 قريب","🔴 تحت الهدف")))</f>
        <v/>
      </c>
      <c r="W156" s="61">
        <f>IF($G156="","",$G156)</f>
        <v/>
      </c>
      <c r="X156" s="54">
        <f>IF($U156="","—",IF($U156&gt;=0.85,"🟢 على المسار","🟠 متأخّر"))</f>
        <v/>
      </c>
    </row>
    <row r="157" ht="22" customHeight="1">
      <c r="A157" s="54" t="n">
        <v>154</v>
      </c>
      <c r="B157" s="13" t="inlineStr">
        <is>
          <t>الموارد البشرية</t>
        </is>
      </c>
      <c r="C157" s="11" t="inlineStr">
        <is>
          <t>معدل دوران الموظفين</t>
        </is>
      </c>
      <c r="D157" s="15" t="inlineStr">
        <is>
          <t>شهري</t>
        </is>
      </c>
      <c r="E157" s="15" t="inlineStr">
        <is>
          <t>معدل</t>
        </is>
      </c>
      <c r="F157" s="49" t="inlineStr">
        <is>
          <t>↓</t>
        </is>
      </c>
      <c r="G157" s="59" t="n">
        <v>0.1</v>
      </c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50">
        <f>IF(COUNT($H157:$S157)=0,"",SUM($H157:$S157)/COUNT($H157:$S157))</f>
        <v/>
      </c>
      <c r="U157" s="50">
        <f>IF($G157="","",IF($T157="","",MIN(1,IF($G157=0,IF($T157&lt;=0,1,0),IF($F157="↓",IFERROR($G157/$T157,0),IFERROR($T157/$G157,0))))))</f>
        <v/>
      </c>
      <c r="V157" s="54">
        <f>IF($U157="","⏳ بانتظار هدف",IF($U157&gt;=1.0,"✅ محقق",IF($U157&gt;=0.85,"🟡 قريب","🔴 تحت الهدف")))</f>
        <v/>
      </c>
      <c r="W157" s="61">
        <f>IF($G157="","",$G157)</f>
        <v/>
      </c>
      <c r="X157" s="54">
        <f>IF($U157="","—",IF($U157&gt;=0.85,"🟢 على المسار","🟠 متأخّر"))</f>
        <v/>
      </c>
    </row>
    <row r="158" ht="22" customHeight="1">
      <c r="A158" s="54" t="n">
        <v>155</v>
      </c>
      <c r="B158" s="13" t="inlineStr">
        <is>
          <t>الموارد البشرية</t>
        </is>
      </c>
      <c r="C158" s="11" t="inlineStr">
        <is>
          <t>نسبة تنفيذ برامج التدريب والتأهيل المعتمدة</t>
        </is>
      </c>
      <c r="D158" s="15" t="inlineStr">
        <is>
          <t>شهري</t>
        </is>
      </c>
      <c r="E158" s="15" t="inlineStr">
        <is>
          <t>معدل</t>
        </is>
      </c>
      <c r="F158" s="49" t="inlineStr">
        <is>
          <t>↑</t>
        </is>
      </c>
      <c r="G158" s="59" t="n">
        <v>0.9</v>
      </c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50">
        <f>IF(COUNT($H158:$S158)=0,"",SUM($H158:$S158)/COUNT($H158:$S158))</f>
        <v/>
      </c>
      <c r="U158" s="50">
        <f>IF($G158="","",IF($T158="","",MIN(1,IF($G158=0,IF($T158&lt;=0,1,0),IF($F158="↓",IFERROR($G158/$T158,0),IFERROR($T158/$G158,0))))))</f>
        <v/>
      </c>
      <c r="V158" s="54">
        <f>IF($U158="","⏳ بانتظار هدف",IF($U158&gt;=1.0,"✅ محقق",IF($U158&gt;=0.85,"🟡 قريب","🔴 تحت الهدف")))</f>
        <v/>
      </c>
      <c r="W158" s="61">
        <f>IF($G158="","",$G158)</f>
        <v/>
      </c>
      <c r="X158" s="54">
        <f>IF($U158="","—",IF($U158&gt;=0.85,"🟢 على المسار","🟠 متأخّر"))</f>
        <v/>
      </c>
    </row>
    <row r="159" ht="22" customHeight="1">
      <c r="A159" s="54" t="n">
        <v>156</v>
      </c>
      <c r="B159" s="13" t="inlineStr">
        <is>
          <t>الموارد البشرية</t>
        </is>
      </c>
      <c r="C159" s="11" t="inlineStr">
        <is>
          <t>نسبة إغلاق تقييمات الأداء وخطط الإحلال للوظائف الحرجة</t>
        </is>
      </c>
      <c r="D159" s="15" t="inlineStr">
        <is>
          <t>شهري</t>
        </is>
      </c>
      <c r="E159" s="15" t="inlineStr">
        <is>
          <t>معدل</t>
        </is>
      </c>
      <c r="F159" s="49" t="inlineStr">
        <is>
          <t>↑</t>
        </is>
      </c>
      <c r="G159" s="59" t="n">
        <v>0.95</v>
      </c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50">
        <f>IF(COUNT($H159:$S159)=0,"",SUM($H159:$S159)/COUNT($H159:$S159))</f>
        <v/>
      </c>
      <c r="U159" s="50">
        <f>IF($G159="","",IF($T159="","",MIN(1,IF($G159=0,IF($T159&lt;=0,1,0),IF($F159="↓",IFERROR($G159/$T159,0),IFERROR($T159/$G159,0))))))</f>
        <v/>
      </c>
      <c r="V159" s="54">
        <f>IF($U159="","⏳ بانتظار هدف",IF($U159&gt;=1.0,"✅ محقق",IF($U159&gt;=0.85,"🟡 قريب","🔴 تحت الهدف")))</f>
        <v/>
      </c>
      <c r="W159" s="61">
        <f>IF($G159="","",$G159)</f>
        <v/>
      </c>
      <c r="X159" s="54">
        <f>IF($U159="","—",IF($U159&gt;=0.85,"🟢 على المسار","🟠 متأخّر"))</f>
        <v/>
      </c>
    </row>
    <row r="160" ht="22" customHeight="1">
      <c r="A160" s="54" t="n">
        <v>157</v>
      </c>
      <c r="B160" s="13" t="inlineStr">
        <is>
          <t>التسويق</t>
        </is>
      </c>
      <c r="C160" s="11" t="inlineStr">
        <is>
          <t>الوصول الكلي (Total Reach)</t>
        </is>
      </c>
      <c r="D160" s="15" t="inlineStr">
        <is>
          <t>شهري</t>
        </is>
      </c>
      <c r="E160" s="15" t="inlineStr">
        <is>
          <t>لقطة</t>
        </is>
      </c>
      <c r="F160" s="49" t="inlineStr">
        <is>
          <t>↑</t>
        </is>
      </c>
      <c r="G160" s="55" t="n">
        <v>50000000</v>
      </c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7">
        <f>IFERROR(LOOKUP(2,1/($H160:$S160&lt;&gt;""),$H160:$S160),"")</f>
        <v/>
      </c>
      <c r="U160" s="50">
        <f>IF($G160="","",IF($T160="","",MIN(1,IF($G160=0,IF($T160&lt;=0,1,0),IF($F160="↓",IFERROR($G160/$T160,0),IFERROR($T160/$G160,0))))))</f>
        <v/>
      </c>
      <c r="V160" s="54">
        <f>IF($U160="","⏳ بانتظار هدف",IF($U160&gt;=0.9,"✅ محقق",IF($U160&gt;=0.75,"🟡 قريب","🔴 تحت الهدف")))</f>
        <v/>
      </c>
      <c r="W160" s="58">
        <f>IF($G160="","",$G160)</f>
        <v/>
      </c>
      <c r="X160" s="54">
        <f>IF($U160="","—",IF($U160&gt;=0.75,"🟢 على المسار","🟠 متأخّر"))</f>
        <v/>
      </c>
    </row>
    <row r="161" ht="22" customHeight="1">
      <c r="A161" s="54" t="n">
        <v>158</v>
      </c>
      <c r="B161" s="13" t="inlineStr">
        <is>
          <t>التسويق</t>
        </is>
      </c>
      <c r="C161" s="11" t="inlineStr">
        <is>
          <t>عملاء تجاريون جدد</t>
        </is>
      </c>
      <c r="D161" s="15" t="inlineStr">
        <is>
          <t>شهري</t>
        </is>
      </c>
      <c r="E161" s="15" t="inlineStr">
        <is>
          <t>تراكمي</t>
        </is>
      </c>
      <c r="F161" s="49" t="inlineStr">
        <is>
          <t>↑</t>
        </is>
      </c>
      <c r="G161" s="55" t="n">
        <v>200</v>
      </c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7">
        <f>IF(COUNT($H161:$S161)=0,"",SUM($H161:$S161))</f>
        <v/>
      </c>
      <c r="U161" s="50">
        <f>IF($G161="","",IF($T161="","",MIN(1,IF($G161=0,IF($T161&lt;=0,1,0),IF($F161="↓",IFERROR($G161/$T161,0),IFERROR($T161/$G161,0))))))</f>
        <v/>
      </c>
      <c r="V161" s="54">
        <f>IF($U161="","⏳ بانتظار هدف",IF($U161&gt;=1.0,"✅ محقق",IF($U161&gt;=0.85,"🟡 قريب","🔴 تحت الهدف")))</f>
        <v/>
      </c>
      <c r="W161" s="58">
        <f>IF($G161="","",$G161*COUNT($H161:$S161)/12)</f>
        <v/>
      </c>
      <c r="X161" s="54">
        <f>IF($U161="","—",IF($U161&gt;=COUNT($H161:$S161)/12,"🟢 على المسار","🟠 متأخّر"))</f>
        <v/>
      </c>
    </row>
    <row r="162" ht="22" customHeight="1">
      <c r="A162" s="54" t="n">
        <v>159</v>
      </c>
      <c r="B162" s="13" t="inlineStr">
        <is>
          <t>التسويق</t>
        </is>
      </c>
      <c r="C162" s="11" t="inlineStr">
        <is>
          <t>إجمالي المتابعين (كل المنصات)</t>
        </is>
      </c>
      <c r="D162" s="15" t="inlineStr">
        <is>
          <t>شهري</t>
        </is>
      </c>
      <c r="E162" s="15" t="inlineStr">
        <is>
          <t>لقطة</t>
        </is>
      </c>
      <c r="F162" s="49" t="inlineStr">
        <is>
          <t>↑</t>
        </is>
      </c>
      <c r="G162" s="55" t="n">
        <v>380000</v>
      </c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7">
        <f>IFERROR(LOOKUP(2,1/($H162:$S162&lt;&gt;""),$H162:$S162),"")</f>
        <v/>
      </c>
      <c r="U162" s="50">
        <f>IF($G162="","",IF($T162="","",MIN(1,IF($G162=0,IF($T162&lt;=0,1,0),IF($F162="↓",IFERROR($G162/$T162,0),IFERROR($T162/$G162,0))))))</f>
        <v/>
      </c>
      <c r="V162" s="54">
        <f>IF($U162="","⏳ بانتظار هدف",IF($U162&gt;=0.9,"✅ محقق",IF($U162&gt;=0.75,"🟡 قريب","🔴 تحت الهدف")))</f>
        <v/>
      </c>
      <c r="W162" s="58">
        <f>IF($G162="","",$G162)</f>
        <v/>
      </c>
      <c r="X162" s="54">
        <f>IF($U162="","—",IF($U162&gt;=0.75,"🟢 على المسار","🟠 متأخّر"))</f>
        <v/>
      </c>
    </row>
    <row r="163" ht="22" customHeight="1">
      <c r="A163" s="54" t="n">
        <v>160</v>
      </c>
      <c r="B163" s="13" t="inlineStr">
        <is>
          <t>التسويق</t>
        </is>
      </c>
      <c r="C163" s="11" t="inlineStr">
        <is>
          <t>معدل التفاعل (Engagement)</t>
        </is>
      </c>
      <c r="D163" s="15" t="inlineStr">
        <is>
          <t>شهري</t>
        </is>
      </c>
      <c r="E163" s="15" t="inlineStr">
        <is>
          <t>معدل</t>
        </is>
      </c>
      <c r="F163" s="49" t="inlineStr">
        <is>
          <t>↑</t>
        </is>
      </c>
      <c r="G163" s="59" t="n">
        <v>0.5</v>
      </c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50">
        <f>IF(COUNT($H163:$S163)=0,"",SUM($H163:$S163)/COUNT($H163:$S163))</f>
        <v/>
      </c>
      <c r="U163" s="50">
        <f>IF($G163="","",IF($T163="","",MIN(1,IF($G163=0,IF($T163&lt;=0,1,0),IF($F163="↓",IFERROR($G163/$T163,0),IFERROR($T163/$G163,0))))))</f>
        <v/>
      </c>
      <c r="V163" s="54">
        <f>IF($U163="","⏳ بانتظار هدف",IF($U163&gt;=0.9,"✅ محقق",IF($U163&gt;=0.75,"🟡 قريب","🔴 تحت الهدف")))</f>
        <v/>
      </c>
      <c r="W163" s="61">
        <f>IF($G163="","",$G163)</f>
        <v/>
      </c>
      <c r="X163" s="54">
        <f>IF($U163="","—",IF($U163&gt;=0.75,"🟢 على المسار","🟠 متأخّر"))</f>
        <v/>
      </c>
    </row>
    <row r="164" ht="22" customHeight="1">
      <c r="A164" s="54" t="n">
        <v>161</v>
      </c>
      <c r="B164" s="13" t="inlineStr">
        <is>
          <t>التسويق</t>
        </is>
      </c>
      <c r="C164" s="11" t="inlineStr">
        <is>
          <t>حملات تسويقية منجزة</t>
        </is>
      </c>
      <c r="D164" s="15" t="inlineStr">
        <is>
          <t>شهري</t>
        </is>
      </c>
      <c r="E164" s="15" t="inlineStr">
        <is>
          <t>تراكمي</t>
        </is>
      </c>
      <c r="F164" s="49" t="inlineStr">
        <is>
          <t>↑</t>
        </is>
      </c>
      <c r="G164" s="55" t="n">
        <v>48</v>
      </c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7">
        <f>IF(COUNT($H164:$S164)=0,"",SUM($H164:$S164))</f>
        <v/>
      </c>
      <c r="U164" s="50">
        <f>IF($G164="","",IF($T164="","",MIN(1,IF($G164=0,IF($T164&lt;=0,1,0),IF($F164="↓",IFERROR($G164/$T164,0),IFERROR($T164/$G164,0))))))</f>
        <v/>
      </c>
      <c r="V164" s="54">
        <f>IF($U164="","⏳ بانتظار هدف",IF($U164&gt;=1.0,"✅ محقق",IF($U164&gt;=0.85,"🟡 قريب","🔴 تحت الهدف")))</f>
        <v/>
      </c>
      <c r="W164" s="58">
        <f>IF($G164="","",$G164*COUNT($H164:$S164)/12)</f>
        <v/>
      </c>
      <c r="X164" s="54">
        <f>IF($U164="","—",IF($U164&gt;=COUNT($H164:$S164)/12,"🟢 على المسار","🟠 متأخّر"))</f>
        <v/>
      </c>
    </row>
    <row r="165" ht="22" customHeight="1">
      <c r="A165" s="54" t="n">
        <v>162</v>
      </c>
      <c r="B165" s="13" t="inlineStr">
        <is>
          <t>التسويق</t>
        </is>
      </c>
      <c r="C165" s="11" t="inlineStr">
        <is>
          <t>تحويل الفرص إلى عقود</t>
        </is>
      </c>
      <c r="D165" s="15" t="inlineStr">
        <is>
          <t>شهري</t>
        </is>
      </c>
      <c r="E165" s="15" t="inlineStr">
        <is>
          <t>معدل</t>
        </is>
      </c>
      <c r="F165" s="49" t="inlineStr">
        <is>
          <t>↑</t>
        </is>
      </c>
      <c r="G165" s="59" t="n">
        <v>0.25</v>
      </c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50">
        <f>IF(COUNT($H165:$S165)=0,"",SUM($H165:$S165)/COUNT($H165:$S165))</f>
        <v/>
      </c>
      <c r="U165" s="50">
        <f>IF($G165="","",IF($T165="","",MIN(1,IF($G165=0,IF($T165&lt;=0,1,0),IF($F165="↓",IFERROR($G165/$T165,0),IFERROR($T165/$G165,0))))))</f>
        <v/>
      </c>
      <c r="V165" s="54">
        <f>IF($U165="","⏳ بانتظار هدف",IF($U165&gt;=1.0,"✅ محقق",IF($U165&gt;=0.85,"🟡 قريب","🔴 تحت الهدف")))</f>
        <v/>
      </c>
      <c r="W165" s="61">
        <f>IF($G165="","",$G165)</f>
        <v/>
      </c>
      <c r="X165" s="54">
        <f>IF($U165="","—",IF($U165&gt;=0.85,"🟢 على المسار","🟠 متأخّر"))</f>
        <v/>
      </c>
    </row>
    <row r="166" ht="22" customHeight="1">
      <c r="A166" s="54" t="n">
        <v>163</v>
      </c>
      <c r="B166" s="13" t="inlineStr">
        <is>
          <t>التسويق</t>
        </is>
      </c>
      <c r="C166" s="11" t="inlineStr">
        <is>
          <t>نسبة المبيعات لكل حملة</t>
        </is>
      </c>
      <c r="D166" s="15" t="inlineStr">
        <is>
          <t>شهري</t>
        </is>
      </c>
      <c r="E166" s="15" t="inlineStr">
        <is>
          <t>معدل</t>
        </is>
      </c>
      <c r="F166" s="49" t="inlineStr">
        <is>
          <t>↑</t>
        </is>
      </c>
      <c r="G166" s="59" t="n">
        <v>1</v>
      </c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50">
        <f>IF(COUNT($H166:$S166)=0,"",SUM($H166:$S166)/COUNT($H166:$S166))</f>
        <v/>
      </c>
      <c r="U166" s="50">
        <f>IF($G166="","",IF($T166="","",MIN(1,IF($G166=0,IF($T166&lt;=0,1,0),IF($F166="↓",IFERROR($G166/$T166,0),IFERROR($T166/$G166,0))))))</f>
        <v/>
      </c>
      <c r="V166" s="54">
        <f>IF($U166="","⏳ بانتظار هدف",IF($U166&gt;=1.0,"✅ محقق",IF($U166&gt;=0.85,"🟡 قريب","🔴 تحت الهدف")))</f>
        <v/>
      </c>
      <c r="W166" s="61">
        <f>IF($G166="","",$G166)</f>
        <v/>
      </c>
      <c r="X166" s="54">
        <f>IF($U166="","—",IF($U166&gt;=0.85,"🟢 على المسار","🟠 متأخّر"))</f>
        <v/>
      </c>
    </row>
    <row r="167" ht="22" customHeight="1">
      <c r="A167" s="54" t="n">
        <v>164</v>
      </c>
      <c r="B167" s="13" t="inlineStr">
        <is>
          <t>التسويق</t>
        </is>
      </c>
      <c r="C167" s="11" t="inlineStr">
        <is>
          <t>نسبة التزام الهوية البصرية</t>
        </is>
      </c>
      <c r="D167" s="15" t="inlineStr">
        <is>
          <t>شهري</t>
        </is>
      </c>
      <c r="E167" s="15" t="inlineStr">
        <is>
          <t>لقطة</t>
        </is>
      </c>
      <c r="F167" s="49" t="inlineStr">
        <is>
          <t>↑</t>
        </is>
      </c>
      <c r="G167" s="59" t="n">
        <v>1</v>
      </c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50">
        <f>IFERROR(LOOKUP(2,1/($H167:$S167&lt;&gt;""),$H167:$S167),"")</f>
        <v/>
      </c>
      <c r="U167" s="50">
        <f>IF($G167="","",IF($T167="","",MIN(1,IF($G167=0,IF($T167&lt;=0,1,0),IF($F167="↓",IFERROR($G167/$T167,0),IFERROR($T167/$G167,0))))))</f>
        <v/>
      </c>
      <c r="V167" s="54">
        <f>IF($U167="","⏳ بانتظار هدف",IF($U167&gt;=1.0,"✅ محقق",IF($U167&gt;=0.85,"🟡 قريب","🔴 تحت الهدف")))</f>
        <v/>
      </c>
      <c r="W167" s="61">
        <f>IF($G167="","",$G167)</f>
        <v/>
      </c>
      <c r="X167" s="54">
        <f>IF($U167="","—",IF($U167&gt;=0.85,"🟢 على المسار","🟠 متأخّر"))</f>
        <v/>
      </c>
    </row>
    <row r="168" ht="22" customHeight="1">
      <c r="A168" s="54" t="n">
        <v>165</v>
      </c>
      <c r="B168" s="13" t="inlineStr">
        <is>
          <t>التسويق</t>
        </is>
      </c>
      <c r="C168" s="11" t="inlineStr">
        <is>
          <t>وصول العلاقات العامة (PR)</t>
        </is>
      </c>
      <c r="D168" s="15" t="inlineStr">
        <is>
          <t>شهري</t>
        </is>
      </c>
      <c r="E168" s="15" t="inlineStr">
        <is>
          <t>لقطة</t>
        </is>
      </c>
      <c r="F168" s="49" t="inlineStr">
        <is>
          <t>↑</t>
        </is>
      </c>
      <c r="G168" s="55" t="n">
        <v>7000000</v>
      </c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7">
        <f>IFERROR(LOOKUP(2,1/($H168:$S168&lt;&gt;""),$H168:$S168),"")</f>
        <v/>
      </c>
      <c r="U168" s="50">
        <f>IF($G168="","",IF($T168="","",MIN(1,IF($G168=0,IF($T168&lt;=0,1,0),IF($F168="↓",IFERROR($G168/$T168,0),IFERROR($T168/$G168,0))))))</f>
        <v/>
      </c>
      <c r="V168" s="54">
        <f>IF($U168="","⏳ بانتظار هدف",IF($U168&gt;=1.0,"✅ محقق",IF($U168&gt;=0.85,"🟡 قريب","🔴 تحت الهدف")))</f>
        <v/>
      </c>
      <c r="W168" s="58">
        <f>IF($G168="","",$G168)</f>
        <v/>
      </c>
      <c r="X168" s="54">
        <f>IF($U168="","—",IF($U168&gt;=0.85,"🟢 على المسار","🟠 متأخّر"))</f>
        <v/>
      </c>
    </row>
    <row r="169" ht="22" customHeight="1">
      <c r="A169" s="54" t="n">
        <v>166</v>
      </c>
      <c r="B169" s="13" t="inlineStr">
        <is>
          <t>التسويق</t>
        </is>
      </c>
      <c r="C169" s="11" t="inlineStr">
        <is>
          <t>عدد المعارض بالسنة</t>
        </is>
      </c>
      <c r="D169" s="15" t="inlineStr">
        <is>
          <t>شهري</t>
        </is>
      </c>
      <c r="E169" s="15" t="inlineStr">
        <is>
          <t>تراكمي</t>
        </is>
      </c>
      <c r="F169" s="49" t="inlineStr">
        <is>
          <t>↑</t>
        </is>
      </c>
      <c r="G169" s="55" t="n">
        <v>3</v>
      </c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7">
        <f>IF(COUNT($H169:$S169)=0,"",SUM($H169:$S169))</f>
        <v/>
      </c>
      <c r="U169" s="50">
        <f>IF($G169="","",IF($T169="","",MIN(1,IF($G169=0,IF($T169&lt;=0,1,0),IF($F169="↓",IFERROR($G169/$T169,0),IFERROR($T169/$G169,0))))))</f>
        <v/>
      </c>
      <c r="V169" s="54">
        <f>IF($U169="","⏳ بانتظار هدف",IF($U169&gt;=1.0,"✅ محقق",IF($U169&gt;=0.85,"🟡 قريب","🔴 تحت الهدف")))</f>
        <v/>
      </c>
      <c r="W169" s="58">
        <f>IF($G169="","",$G169*COUNT($H169:$S169)/12)</f>
        <v/>
      </c>
      <c r="X169" s="54">
        <f>IF($U169="","—",IF($U169&gt;=COUNT($H169:$S169)/12,"🟢 على المسار","🟠 متأخّر"))</f>
        <v/>
      </c>
    </row>
    <row r="170" ht="22" customHeight="1">
      <c r="A170" s="54" t="n">
        <v>167</v>
      </c>
      <c r="B170" s="13" t="inlineStr">
        <is>
          <t>التسويق</t>
        </is>
      </c>
      <c r="C170" s="11" t="inlineStr">
        <is>
          <t>اتفاقيات استراتيجية</t>
        </is>
      </c>
      <c r="D170" s="15" t="inlineStr">
        <is>
          <t>شهري</t>
        </is>
      </c>
      <c r="E170" s="15" t="inlineStr">
        <is>
          <t>تراكمي</t>
        </is>
      </c>
      <c r="F170" s="49" t="inlineStr">
        <is>
          <t>↑</t>
        </is>
      </c>
      <c r="G170" s="55" t="n">
        <v>3</v>
      </c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7">
        <f>IF(COUNT($H170:$S170)=0,"",SUM($H170:$S170))</f>
        <v/>
      </c>
      <c r="U170" s="50">
        <f>IF($G170="","",IF($T170="","",MIN(1,IF($G170=0,IF($T170&lt;=0,1,0),IF($F170="↓",IFERROR($G170/$T170,0),IFERROR($T170/$G170,0))))))</f>
        <v/>
      </c>
      <c r="V170" s="54">
        <f>IF($U170="","⏳ بانتظار هدف",IF($U170&gt;=1.0,"✅ محقق",IF($U170&gt;=0.85,"🟡 قريب","🔴 تحت الهدف")))</f>
        <v/>
      </c>
      <c r="W170" s="58">
        <f>IF($G170="","",$G170*COUNT($H170:$S170)/12)</f>
        <v/>
      </c>
      <c r="X170" s="54">
        <f>IF($U170="","—",IF($U170&gt;=COUNT($H170:$S170)/12,"🟢 على المسار","🟠 متأخّر"))</f>
        <v/>
      </c>
    </row>
    <row r="171" ht="22" customHeight="1">
      <c r="A171" s="54" t="n">
        <v>168</v>
      </c>
      <c r="B171" s="13" t="inlineStr">
        <is>
          <t>التسويق</t>
        </is>
      </c>
      <c r="C171" s="11" t="inlineStr">
        <is>
          <t>تقييم خرائط قوقل</t>
        </is>
      </c>
      <c r="D171" s="15" t="inlineStr">
        <is>
          <t>شهري</t>
        </is>
      </c>
      <c r="E171" s="15" t="inlineStr">
        <is>
          <t>معدل</t>
        </is>
      </c>
      <c r="F171" s="49" t="inlineStr">
        <is>
          <t>↑</t>
        </is>
      </c>
      <c r="G171" s="62" t="n">
        <v>4.7</v>
      </c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4">
        <f>IF(COUNT($H171:$S171)=0,"",SUM($H171:$S171)/COUNT($H171:$S171))</f>
        <v/>
      </c>
      <c r="U171" s="50">
        <f>IF($G171="","",IF($T171="","",MIN(1,IF($G171=0,IF($T171&lt;=0,1,0),IF($F171="↓",IFERROR($G171/$T171,0),IFERROR($T171/$G171,0))))))</f>
        <v/>
      </c>
      <c r="V171" s="54">
        <f>IF($U171="","⏳ بانتظار هدف",IF($U171&gt;=1.0,"✅ محقق",IF($U171&gt;=0.85,"🟡 قريب","🔴 تحت الهدف")))</f>
        <v/>
      </c>
      <c r="W171" s="65">
        <f>IF($G171="","",$G171)</f>
        <v/>
      </c>
      <c r="X171" s="54">
        <f>IF($U171="","—",IF($U171&gt;=0.85,"🟢 على المسار","🟠 متأخّر"))</f>
        <v/>
      </c>
    </row>
    <row r="172" ht="22" customHeight="1">
      <c r="A172" s="54" t="n">
        <v>169</v>
      </c>
      <c r="B172" s="13" t="inlineStr">
        <is>
          <t>التسويق</t>
        </is>
      </c>
      <c r="C172" s="11" t="inlineStr">
        <is>
          <t>معدل خفض الشكاوى</t>
        </is>
      </c>
      <c r="D172" s="15" t="inlineStr">
        <is>
          <t>شهري</t>
        </is>
      </c>
      <c r="E172" s="15" t="inlineStr">
        <is>
          <t>معدل</t>
        </is>
      </c>
      <c r="F172" s="49" t="inlineStr">
        <is>
          <t>↑</t>
        </is>
      </c>
      <c r="G172" s="59" t="n">
        <v>0.3</v>
      </c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50">
        <f>IF(COUNT($H172:$S172)=0,"",SUM($H172:$S172)/COUNT($H172:$S172))</f>
        <v/>
      </c>
      <c r="U172" s="50">
        <f>IF($G172="","",IF($T172="","",MIN(1,IF($G172=0,IF($T172&lt;=0,1,0),IF($F172="↓",IFERROR($G172/$T172,0),IFERROR($T172/$G172,0))))))</f>
        <v/>
      </c>
      <c r="V172" s="54">
        <f>IF($U172="","⏳ بانتظار هدف",IF($U172&gt;=1.0,"✅ محقق",IF($U172&gt;=0.85,"🟡 قريب","🔴 تحت الهدف")))</f>
        <v/>
      </c>
      <c r="W172" s="61">
        <f>IF($G172="","",$G172)</f>
        <v/>
      </c>
      <c r="X172" s="54">
        <f>IF($U172="","—",IF($U172&gt;=0.85,"🟢 على المسار","🟠 متأخّر"))</f>
        <v/>
      </c>
    </row>
    <row r="173" ht="22" customHeight="1">
      <c r="A173" s="54" t="n">
        <v>170</v>
      </c>
      <c r="B173" s="13" t="inlineStr">
        <is>
          <t>التسويق</t>
        </is>
      </c>
      <c r="C173" s="11" t="inlineStr">
        <is>
          <t>وصول محتوى تطبيق تانكي</t>
        </is>
      </c>
      <c r="D173" s="15" t="inlineStr">
        <is>
          <t>شهري</t>
        </is>
      </c>
      <c r="E173" s="15" t="inlineStr">
        <is>
          <t>لقطة</t>
        </is>
      </c>
      <c r="F173" s="49" t="inlineStr">
        <is>
          <t>↑</t>
        </is>
      </c>
      <c r="G173" s="55" t="n">
        <v>1000000</v>
      </c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7">
        <f>IFERROR(LOOKUP(2,1/($H173:$S173&lt;&gt;""),$H173:$S173),"")</f>
        <v/>
      </c>
      <c r="U173" s="50">
        <f>IF($G173="","",IF($T173="","",MIN(1,IF($G173=0,IF($T173&lt;=0,1,0),IF($F173="↓",IFERROR($G173/$T173,0),IFERROR($T173/$G173,0))))))</f>
        <v/>
      </c>
      <c r="V173" s="54">
        <f>IF($U173="","⏳ بانتظار هدف",IF($U173&gt;=1.0,"✅ محقق",IF($U173&gt;=0.85,"🟡 قريب","🔴 تحت الهدف")))</f>
        <v/>
      </c>
      <c r="W173" s="58">
        <f>IF($G173="","",$G173)</f>
        <v/>
      </c>
      <c r="X173" s="54">
        <f>IF($U173="","—",IF($U173&gt;=0.85,"🟢 على المسار","🟠 متأخّر"))</f>
        <v/>
      </c>
    </row>
    <row r="174" ht="22" customHeight="1">
      <c r="A174" s="54" t="n">
        <v>171</v>
      </c>
      <c r="B174" s="13" t="inlineStr">
        <is>
          <t>التسويق</t>
        </is>
      </c>
      <c r="C174" s="11" t="inlineStr">
        <is>
          <t>مشاركات تطبيق تانكي</t>
        </is>
      </c>
      <c r="D174" s="15" t="inlineStr">
        <is>
          <t>شهري</t>
        </is>
      </c>
      <c r="E174" s="15" t="inlineStr">
        <is>
          <t>تراكمي</t>
        </is>
      </c>
      <c r="F174" s="49" t="inlineStr">
        <is>
          <t>↑</t>
        </is>
      </c>
      <c r="G174" s="55" t="n">
        <v>250</v>
      </c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7">
        <f>IF(COUNT($H174:$S174)=0,"",SUM($H174:$S174))</f>
        <v/>
      </c>
      <c r="U174" s="50">
        <f>IF($G174="","",IF($T174="","",MIN(1,IF($G174=0,IF($T174&lt;=0,1,0),IF($F174="↓",IFERROR($G174/$T174,0),IFERROR($T174/$G174,0))))))</f>
        <v/>
      </c>
      <c r="V174" s="54">
        <f>IF($U174="","⏳ بانتظار هدف",IF($U174&gt;=1.0,"✅ محقق",IF($U174&gt;=0.85,"🟡 قريب","🔴 تحت الهدف")))</f>
        <v/>
      </c>
      <c r="W174" s="58">
        <f>IF($G174="","",$G174*COUNT($H174:$S174)/12)</f>
        <v/>
      </c>
      <c r="X174" s="54">
        <f>IF($U174="","—",IF($U174&gt;=COUNT($H174:$S174)/12,"🟢 على المسار","🟠 متأخّر"))</f>
        <v/>
      </c>
    </row>
    <row r="175" ht="22" customHeight="1">
      <c r="A175" s="54" t="n">
        <v>172</v>
      </c>
      <c r="B175" s="13" t="inlineStr">
        <is>
          <t>الجودة</t>
        </is>
      </c>
      <c r="C175" s="11" t="inlineStr">
        <is>
          <t>نسبة المحطات الحرجة</t>
        </is>
      </c>
      <c r="D175" s="15" t="inlineStr">
        <is>
          <t>شهري</t>
        </is>
      </c>
      <c r="E175" s="15" t="inlineStr">
        <is>
          <t>معدل</t>
        </is>
      </c>
      <c r="F175" s="49" t="inlineStr">
        <is>
          <t>↓</t>
        </is>
      </c>
      <c r="G175" s="59" t="n">
        <v>0.05</v>
      </c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50">
        <f>IF(COUNT($H175:$S175)=0,"",SUM($H175:$S175)/COUNT($H175:$S175))</f>
        <v/>
      </c>
      <c r="U175" s="50">
        <f>IF($G175="","",IF($T175="","",MIN(1,IF($G175=0,IF($T175&lt;=0,1,0),IF($F175="↓",IFERROR($G175/$T175,0),IFERROR($T175/$G175,0))))))</f>
        <v/>
      </c>
      <c r="V175" s="54">
        <f>IF($U175="","⏳ بانتظار هدف",IF($U175&gt;=1.0,"✅ محقق",IF($U175&gt;=0.85,"🟡 قريب","🔴 تحت الهدف")))</f>
        <v/>
      </c>
      <c r="W175" s="61">
        <f>IF($G175="","",$G175)</f>
        <v/>
      </c>
      <c r="X175" s="54">
        <f>IF($U175="","—",IF($U175&gt;=0.85,"🟢 على المسار","🟠 متأخّر"))</f>
        <v/>
      </c>
    </row>
    <row r="176" ht="22" customHeight="1">
      <c r="A176" s="54" t="n">
        <v>173</v>
      </c>
      <c r="B176" s="13" t="inlineStr">
        <is>
          <t>الجودة</t>
        </is>
      </c>
      <c r="C176" s="11" t="inlineStr">
        <is>
          <t>نسبة مطابقة جودة الوقود</t>
        </is>
      </c>
      <c r="D176" s="15" t="inlineStr">
        <is>
          <t>شهري</t>
        </is>
      </c>
      <c r="E176" s="15" t="inlineStr">
        <is>
          <t>معدل</t>
        </is>
      </c>
      <c r="F176" s="49" t="inlineStr">
        <is>
          <t>↑</t>
        </is>
      </c>
      <c r="G176" s="59" t="n">
        <v>0.995</v>
      </c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50">
        <f>IF(COUNT($H176:$S176)=0,"",SUM($H176:$S176)/COUNT($H176:$S176))</f>
        <v/>
      </c>
      <c r="U176" s="50">
        <f>IF($G176="","",IF($T176="","",MIN(1,IF($G176=0,IF($T176&lt;=0,1,0),IF($F176="↓",IFERROR($G176/$T176,0),IFERROR($T176/$G176,0))))))</f>
        <v/>
      </c>
      <c r="V176" s="54">
        <f>IF($U176="","⏳ بانتظار هدف",IF($U176&gt;=1.0,"✅ محقق",IF($U176&gt;=0.97,"🟡 قريب","🔴 تحت الهدف")))</f>
        <v/>
      </c>
      <c r="W176" s="61">
        <f>IF($G176="","",$G176)</f>
        <v/>
      </c>
      <c r="X176" s="54">
        <f>IF($U176="","—",IF($U176&gt;=0.97,"🟢 على المسار","🟠 متأخّر"))</f>
        <v/>
      </c>
    </row>
    <row r="177" ht="22" customHeight="1">
      <c r="A177" s="54" t="n">
        <v>174</v>
      </c>
      <c r="B177" s="13" t="inlineStr">
        <is>
          <t>الجودة</t>
        </is>
      </c>
      <c r="C177" s="11" t="inlineStr">
        <is>
          <t>نسبة إغلاق الملاحظات في الوقت المحدد</t>
        </is>
      </c>
      <c r="D177" s="15" t="inlineStr">
        <is>
          <t>شهري</t>
        </is>
      </c>
      <c r="E177" s="15" t="inlineStr">
        <is>
          <t>معدل</t>
        </is>
      </c>
      <c r="F177" s="49" t="inlineStr">
        <is>
          <t>↑</t>
        </is>
      </c>
      <c r="G177" s="59" t="n">
        <v>0.9</v>
      </c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50">
        <f>IF(COUNT($H177:$S177)=0,"",SUM($H177:$S177)/COUNT($H177:$S177))</f>
        <v/>
      </c>
      <c r="U177" s="50">
        <f>IF($G177="","",IF($T177="","",MIN(1,IF($G177=0,IF($T177&lt;=0,1,0),IF($F177="↓",IFERROR($G177/$T177,0),IFERROR($T177/$G177,0))))))</f>
        <v/>
      </c>
      <c r="V177" s="54">
        <f>IF($U177="","⏳ بانتظار هدف",IF($U177&gt;=1.0,"✅ محقق",IF($U177&gt;=0.85,"🟡 قريب","🔴 تحت الهدف")))</f>
        <v/>
      </c>
      <c r="W177" s="61">
        <f>IF($G177="","",$G177)</f>
        <v/>
      </c>
      <c r="X177" s="54">
        <f>IF($U177="","—",IF($U177&gt;=0.85,"🟢 على المسار","🟠 متأخّر"))</f>
        <v/>
      </c>
    </row>
    <row r="178" ht="22" customHeight="1">
      <c r="A178" s="54" t="n">
        <v>175</v>
      </c>
      <c r="B178" s="13" t="inlineStr">
        <is>
          <t>الجودة</t>
        </is>
      </c>
      <c r="C178" s="11" t="inlineStr">
        <is>
          <t>نسبة فعالية الإجراءات التصحيحية</t>
        </is>
      </c>
      <c r="D178" s="15" t="inlineStr">
        <is>
          <t>شهري</t>
        </is>
      </c>
      <c r="E178" s="15" t="inlineStr">
        <is>
          <t>معدل</t>
        </is>
      </c>
      <c r="F178" s="49" t="inlineStr">
        <is>
          <t>↑</t>
        </is>
      </c>
      <c r="G178" s="59" t="n">
        <v>0.85</v>
      </c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50">
        <f>IF(COUNT($H178:$S178)=0,"",SUM($H178:$S178)/COUNT($H178:$S178))</f>
        <v/>
      </c>
      <c r="U178" s="50">
        <f>IF($G178="","",IF($T178="","",MIN(1,IF($G178=0,IF($T178&lt;=0,1,0),IF($F178="↓",IFERROR($G178/$T178,0),IFERROR($T178/$G178,0))))))</f>
        <v/>
      </c>
      <c r="V178" s="54">
        <f>IF($U178="","⏳ بانتظار هدف",IF($U178&gt;=1.0,"✅ محقق",IF($U178&gt;=0.85,"🟡 قريب","🔴 تحت الهدف")))</f>
        <v/>
      </c>
      <c r="W178" s="61">
        <f>IF($G178="","",$G178)</f>
        <v/>
      </c>
      <c r="X178" s="54">
        <f>IF($U178="","—",IF($U178&gt;=0.85,"🟢 على المسار","🟠 متأخّر"))</f>
        <v/>
      </c>
    </row>
    <row r="179" ht="22" customHeight="1">
      <c r="A179" s="54" t="n">
        <v>176</v>
      </c>
      <c r="B179" s="13" t="inlineStr">
        <is>
          <t>الجودة</t>
        </is>
      </c>
      <c r="C179" s="11" t="inlineStr">
        <is>
          <t>نسبة تكرار الملاحظات</t>
        </is>
      </c>
      <c r="D179" s="15" t="inlineStr">
        <is>
          <t>شهري</t>
        </is>
      </c>
      <c r="E179" s="15" t="inlineStr">
        <is>
          <t>معدل</t>
        </is>
      </c>
      <c r="F179" s="49" t="inlineStr">
        <is>
          <t>↓</t>
        </is>
      </c>
      <c r="G179" s="59" t="n">
        <v>0.1</v>
      </c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50">
        <f>IF(COUNT($H179:$S179)=0,"",SUM($H179:$S179)/COUNT($H179:$S179))</f>
        <v/>
      </c>
      <c r="U179" s="50">
        <f>IF($G179="","",IF($T179="","",MIN(1,IF($G179=0,IF($T179&lt;=0,1,0),IF($F179="↓",IFERROR($G179/$T179,0),IFERROR($T179/$G179,0))))))</f>
        <v/>
      </c>
      <c r="V179" s="54">
        <f>IF($U179="","⏳ بانتظار هدف",IF($U179&gt;=1.0,"✅ محقق",IF($U179&gt;=0.85,"🟡 قريب","🔴 تحت الهدف")))</f>
        <v/>
      </c>
      <c r="W179" s="61">
        <f>IF($G179="","",$G179)</f>
        <v/>
      </c>
      <c r="X179" s="54">
        <f>IF($U179="","—",IF($U179&gt;=0.85,"🟢 على المسار","🟠 متأخّر"))</f>
        <v/>
      </c>
    </row>
    <row r="180" ht="22" customHeight="1">
      <c r="A180" s="54" t="n">
        <v>177</v>
      </c>
      <c r="B180" s="13" t="inlineStr">
        <is>
          <t>الجودة</t>
        </is>
      </c>
      <c r="C180" s="11" t="inlineStr">
        <is>
          <t>نسبة تنفيذ خطة التفتيش والتدقيق</t>
        </is>
      </c>
      <c r="D180" s="15" t="inlineStr">
        <is>
          <t>ربعي</t>
        </is>
      </c>
      <c r="E180" s="15" t="inlineStr">
        <is>
          <t>معدل</t>
        </is>
      </c>
      <c r="F180" s="49" t="inlineStr">
        <is>
          <t>↑</t>
        </is>
      </c>
      <c r="G180" s="59" t="n">
        <v>0.95</v>
      </c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50">
        <f>IF(COUNT($H180:$S180)=0,"",SUM($H180:$S180)/COUNT($H180:$S180))</f>
        <v/>
      </c>
      <c r="U180" s="50">
        <f>IF($G180="","",IF($T180="","",MIN(1,IF($G180=0,IF($T180&lt;=0,1,0),IF($F180="↓",IFERROR($G180/$T180,0),IFERROR($T180/$G180,0))))))</f>
        <v/>
      </c>
      <c r="V180" s="54">
        <f>IF($U180="","⏳ بانتظار هدف",IF($U180&gt;=1.0,"✅ محقق",IF($U180&gt;=0.85,"🟡 قريب","🔴 تحت الهدف")))</f>
        <v/>
      </c>
      <c r="W180" s="61">
        <f>IF($G180="","",$G180)</f>
        <v/>
      </c>
      <c r="X180" s="54">
        <f>IF($U180="","—",IF($U180&gt;=0.85,"🟢 على المسار","🟠 متأخّر"))</f>
        <v/>
      </c>
    </row>
    <row r="181" ht="22" customHeight="1">
      <c r="A181" s="54" t="n">
        <v>178</v>
      </c>
      <c r="B181" s="13" t="inlineStr">
        <is>
          <t>الجودة</t>
        </is>
      </c>
      <c r="C181" s="11" t="inlineStr">
        <is>
          <t>نسبة جاهزية نظام إدارة الجودة QMS</t>
        </is>
      </c>
      <c r="D181" s="15" t="inlineStr">
        <is>
          <t>شهري</t>
        </is>
      </c>
      <c r="E181" s="15" t="inlineStr">
        <is>
          <t>لقطة</t>
        </is>
      </c>
      <c r="F181" s="49" t="inlineStr">
        <is>
          <t>↑</t>
        </is>
      </c>
      <c r="G181" s="59" t="n">
        <v>0.9</v>
      </c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50">
        <f>IFERROR(LOOKUP(2,1/($H181:$S181&lt;&gt;""),$H181:$S181),"")</f>
        <v/>
      </c>
      <c r="U181" s="50">
        <f>IF($G181="","",IF($T181="","",MIN(1,IF($G181=0,IF($T181&lt;=0,1,0),IF($F181="↓",IFERROR($G181/$T181,0),IFERROR($T181/$G181,0))))))</f>
        <v/>
      </c>
      <c r="V181" s="54">
        <f>IF($U181="","⏳ بانتظار هدف",IF($U181&gt;=1.0,"✅ محقق",IF($U181&gt;=0.97,"🟡 قريب","🔴 تحت الهدف")))</f>
        <v/>
      </c>
      <c r="W181" s="61">
        <f>IF($G181="","",$G181)</f>
        <v/>
      </c>
      <c r="X181" s="54">
        <f>IF($U181="","—",IF($U181&gt;=0.97,"🟢 على المسار","🟠 متأخّر"))</f>
        <v/>
      </c>
    </row>
    <row r="182" ht="22" customHeight="1">
      <c r="A182" s="54" t="n">
        <v>179</v>
      </c>
      <c r="B182" s="13" t="inlineStr">
        <is>
          <t>الجودة</t>
        </is>
      </c>
      <c r="C182" s="11" t="inlineStr">
        <is>
          <t>عدد مخاطر الجودة الحرجة المفتوحة</t>
        </is>
      </c>
      <c r="D182" s="15" t="inlineStr">
        <is>
          <t>شهري</t>
        </is>
      </c>
      <c r="E182" s="15" t="inlineStr">
        <is>
          <t>لقطة</t>
        </is>
      </c>
      <c r="F182" s="49" t="inlineStr">
        <is>
          <t>↓</t>
        </is>
      </c>
      <c r="G182" s="55" t="n">
        <v>0</v>
      </c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7">
        <f>IFERROR(LOOKUP(2,1/($H182:$S182&lt;&gt;""),$H182:$S182),"")</f>
        <v/>
      </c>
      <c r="U182" s="50">
        <f>IF($G182="","",IF($T182="","",MIN(1,IF($G182=0,IF($T182&lt;=0,1,0),IF($F182="↓",IFERROR($G182/$T182,0),IFERROR($T182/$G182,0))))))</f>
        <v/>
      </c>
      <c r="V182" s="54">
        <f>IF($U182="","⏳ بانتظار هدف",IF($U182&gt;=1.0,"✅ محقق",IF($U182&gt;=0.85,"🟡 قريب","🔴 تحت الهدف")))</f>
        <v/>
      </c>
      <c r="W182" s="58">
        <f>IF($G182="","",$G182)</f>
        <v/>
      </c>
      <c r="X182" s="54">
        <f>IF($U182="","—",IF($U182&gt;=0.85,"🟢 على المسار","🟠 متأخّر"))</f>
        <v/>
      </c>
    </row>
    <row r="183" ht="22" customHeight="1">
      <c r="A183" s="54" t="n">
        <v>180</v>
      </c>
      <c r="B183" s="13" t="inlineStr">
        <is>
          <t>الجودة</t>
        </is>
      </c>
      <c r="C183" s="11" t="inlineStr">
        <is>
          <t>نسبة إغلاق مخاطر الجودة في الوقت المحدد</t>
        </is>
      </c>
      <c r="D183" s="15" t="inlineStr">
        <is>
          <t>شهري</t>
        </is>
      </c>
      <c r="E183" s="15" t="inlineStr">
        <is>
          <t>معدل</t>
        </is>
      </c>
      <c r="F183" s="49" t="inlineStr">
        <is>
          <t>↑</t>
        </is>
      </c>
      <c r="G183" s="59" t="n">
        <v>0.9</v>
      </c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50">
        <f>IF(COUNT($H183:$S183)=0,"",SUM($H183:$S183)/COUNT($H183:$S183))</f>
        <v/>
      </c>
      <c r="U183" s="50">
        <f>IF($G183="","",IF($T183="","",MIN(1,IF($G183=0,IF($T183&lt;=0,1,0),IF($F183="↓",IFERROR($G183/$T183,0),IFERROR($T183/$G183,0))))))</f>
        <v/>
      </c>
      <c r="V183" s="54">
        <f>IF($U183="","⏳ بانتظار هدف",IF($U183&gt;=1.0,"✅ محقق",IF($U183&gt;=0.85,"🟡 قريب","🔴 تحت الهدف")))</f>
        <v/>
      </c>
      <c r="W183" s="61">
        <f>IF($G183="","",$G183)</f>
        <v/>
      </c>
      <c r="X183" s="54">
        <f>IF($U183="","—",IF($U183&gt;=0.85,"🟢 على المسار","🟠 متأخّر"))</f>
        <v/>
      </c>
    </row>
    <row r="184" ht="22" customHeight="1">
      <c r="A184" s="54" t="n">
        <v>181</v>
      </c>
      <c r="B184" s="13" t="inlineStr">
        <is>
          <t>الجودة</t>
        </is>
      </c>
      <c r="C184" s="11" t="inlineStr">
        <is>
          <t>نسبة انخفاض الشكاوى المتكررة ذات العلاقة بالجودة</t>
        </is>
      </c>
      <c r="D184" s="15" t="inlineStr">
        <is>
          <t>شهري</t>
        </is>
      </c>
      <c r="E184" s="15" t="inlineStr">
        <is>
          <t>معدل</t>
        </is>
      </c>
      <c r="F184" s="49" t="inlineStr">
        <is>
          <t>↑</t>
        </is>
      </c>
      <c r="G184" s="59" t="n">
        <v>0.15</v>
      </c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50">
        <f>IF(COUNT($H184:$S184)=0,"",SUM($H184:$S184)/COUNT($H184:$S184))</f>
        <v/>
      </c>
      <c r="U184" s="50">
        <f>IF($G184="","",IF($T184="","",MIN(1,IF($G184=0,IF($T184&lt;=0,1,0),IF($F184="↓",IFERROR($G184/$T184,0),IFERROR($T184/$G184,0))))))</f>
        <v/>
      </c>
      <c r="V184" s="54">
        <f>IF($U184="","⏳ بانتظار هدف",IF($U184&gt;=1.0,"✅ محقق",IF($U184&gt;=0.85,"🟡 قريب","🔴 تحت الهدف")))</f>
        <v/>
      </c>
      <c r="W184" s="61">
        <f>IF($G184="","",$G184)</f>
        <v/>
      </c>
      <c r="X184" s="54">
        <f>IF($U184="","—",IF($U184&gt;=0.85,"🟢 على المسار","🟠 متأخّر"))</f>
        <v/>
      </c>
    </row>
    <row r="185" ht="22" customHeight="1">
      <c r="A185" s="54" t="n">
        <v>182</v>
      </c>
      <c r="B185" s="13" t="inlineStr">
        <is>
          <t>الجودة</t>
        </is>
      </c>
      <c r="C185" s="11" t="inlineStr">
        <is>
          <t>نسبة اكتمال وتحديث الإجراءات المعتمدة</t>
        </is>
      </c>
      <c r="D185" s="15" t="inlineStr">
        <is>
          <t>شهري</t>
        </is>
      </c>
      <c r="E185" s="15" t="inlineStr">
        <is>
          <t>معدل</t>
        </is>
      </c>
      <c r="F185" s="49" t="inlineStr">
        <is>
          <t>↑</t>
        </is>
      </c>
      <c r="G185" s="59" t="n">
        <v>0.95</v>
      </c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50">
        <f>IF(COUNT($H185:$S185)=0,"",SUM($H185:$S185)/COUNT($H185:$S185))</f>
        <v/>
      </c>
      <c r="U185" s="50">
        <f>IF($G185="","",IF($T185="","",MIN(1,IF($G185=0,IF($T185&lt;=0,1,0),IF($F185="↓",IFERROR($G185/$T185,0),IFERROR($T185/$G185,0))))))</f>
        <v/>
      </c>
      <c r="V185" s="54">
        <f>IF($U185="","⏳ بانتظار هدف",IF($U185&gt;=1.0,"✅ محقق",IF($U185&gt;=0.85,"🟡 قريب","🔴 تحت الهدف")))</f>
        <v/>
      </c>
      <c r="W185" s="61">
        <f>IF($G185="","",$G185)</f>
        <v/>
      </c>
      <c r="X185" s="54">
        <f>IF($U185="","—",IF($U185&gt;=0.85,"🟢 على المسار","🟠 متأخّر"))</f>
        <v/>
      </c>
    </row>
    <row r="186" ht="22" customHeight="1">
      <c r="A186" s="54" t="n">
        <v>183</v>
      </c>
      <c r="B186" s="13" t="inlineStr">
        <is>
          <t>الجودة</t>
        </is>
      </c>
      <c r="C186" s="11" t="inlineStr">
        <is>
          <t>نسبة اكتمال سجلات الجودة</t>
        </is>
      </c>
      <c r="D186" s="15" t="inlineStr">
        <is>
          <t>شهري</t>
        </is>
      </c>
      <c r="E186" s="15" t="inlineStr">
        <is>
          <t>معدل</t>
        </is>
      </c>
      <c r="F186" s="49" t="inlineStr">
        <is>
          <t>↑</t>
        </is>
      </c>
      <c r="G186" s="59" t="n">
        <v>0.95</v>
      </c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50">
        <f>IF(COUNT($H186:$S186)=0,"",SUM($H186:$S186)/COUNT($H186:$S186))</f>
        <v/>
      </c>
      <c r="U186" s="50">
        <f>IF($G186="","",IF($T186="","",MIN(1,IF($G186=0,IF($T186&lt;=0,1,0),IF($F186="↓",IFERROR($G186/$T186,0),IFERROR($T186/$G186,0))))))</f>
        <v/>
      </c>
      <c r="V186" s="54">
        <f>IF($U186="","⏳ بانتظار هدف",IF($U186&gt;=1.0,"✅ محقق",IF($U186&gt;=0.85,"🟡 قريب","🔴 تحت الهدف")))</f>
        <v/>
      </c>
      <c r="W186" s="61">
        <f>IF($G186="","",$G186)</f>
        <v/>
      </c>
      <c r="X186" s="54">
        <f>IF($U186="","—",IF($U186&gt;=0.85,"🟢 على المسار","🟠 متأخّر"))</f>
        <v/>
      </c>
    </row>
    <row r="187" ht="22" customHeight="1">
      <c r="A187" s="54" t="n">
        <v>184</v>
      </c>
      <c r="B187" s="13" t="inlineStr">
        <is>
          <t>الجودة</t>
        </is>
      </c>
      <c r="C187" s="11" t="inlineStr">
        <is>
          <t>نسبة رقمنة عمليات الجودة</t>
        </is>
      </c>
      <c r="D187" s="15" t="inlineStr">
        <is>
          <t>شهري</t>
        </is>
      </c>
      <c r="E187" s="15" t="inlineStr">
        <is>
          <t>لقطة</t>
        </is>
      </c>
      <c r="F187" s="49" t="inlineStr">
        <is>
          <t>↑</t>
        </is>
      </c>
      <c r="G187" s="59" t="n">
        <v>0.8</v>
      </c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50">
        <f>IFERROR(LOOKUP(2,1/($H187:$S187&lt;&gt;""),$H187:$S187),"")</f>
        <v/>
      </c>
      <c r="U187" s="50">
        <f>IF($G187="","",IF($T187="","",MIN(1,IF($G187=0,IF($T187&lt;=0,1,0),IF($F187="↓",IFERROR($G187/$T187,0),IFERROR($T187/$G187,0))))))</f>
        <v/>
      </c>
      <c r="V187" s="54">
        <f>IF($U187="","⏳ بانتظار هدف",IF($U187&gt;=1.0,"✅ محقق",IF($U187&gt;=0.85,"🟡 قريب","🔴 تحت الهدف")))</f>
        <v/>
      </c>
      <c r="W187" s="61">
        <f>IF($G187="","",$G187)</f>
        <v/>
      </c>
      <c r="X187" s="54">
        <f>IF($U187="","—",IF($U187&gt;=0.85,"🟢 على المسار","🟠 متأخّر"))</f>
        <v/>
      </c>
    </row>
    <row r="188" ht="22" customHeight="1">
      <c r="A188" s="54" t="n">
        <v>185</v>
      </c>
      <c r="B188" s="13" t="inlineStr">
        <is>
          <t>الجودة</t>
        </is>
      </c>
      <c r="C188" s="11" t="inlineStr">
        <is>
          <t>عدد مبادرات التحسين المؤثرة</t>
        </is>
      </c>
      <c r="D188" s="15" t="inlineStr">
        <is>
          <t>ربعي</t>
        </is>
      </c>
      <c r="E188" s="15" t="inlineStr">
        <is>
          <t>تراكمي</t>
        </is>
      </c>
      <c r="F188" s="49" t="inlineStr">
        <is>
          <t>↑</t>
        </is>
      </c>
      <c r="G188" s="55" t="n">
        <v>8</v>
      </c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7">
        <f>IF(COUNT($H188:$S188)=0,"",SUM($H188:$S188))</f>
        <v/>
      </c>
      <c r="U188" s="50">
        <f>IF($G188="","",IF($T188="","",MIN(1,IF($G188=0,IF($T188&lt;=0,1,0),IF($F188="↓",IFERROR($G188/$T188,0),IFERROR($T188/$G188,0))))))</f>
        <v/>
      </c>
      <c r="V188" s="54">
        <f>IF($U188="","⏳ بانتظار هدف",IF($U188&gt;=1.0,"✅ محقق",IF($U188&gt;=0.85,"🟡 قريب","🔴 تحت الهدف")))</f>
        <v/>
      </c>
      <c r="W188" s="58">
        <f>IF($G188="","",$G188*COUNT($H188:$S188)/12)</f>
        <v/>
      </c>
      <c r="X188" s="54">
        <f>IF($U188="","—",IF($U188&gt;=COUNT($H188:$S188)/12,"🟢 على المسار","🟠 متأخّر"))</f>
        <v/>
      </c>
    </row>
    <row r="189" ht="22" customHeight="1">
      <c r="A189" s="54" t="n">
        <v>186</v>
      </c>
      <c r="B189" s="13" t="inlineStr">
        <is>
          <t>الإدارة القانونية</t>
        </is>
      </c>
      <c r="C189" s="11" t="inlineStr">
        <is>
          <t>نسبة العقود المُراجَعة قانونياً قبل التوقيع</t>
        </is>
      </c>
      <c r="D189" s="15" t="inlineStr">
        <is>
          <t>شهري</t>
        </is>
      </c>
      <c r="E189" s="15" t="inlineStr">
        <is>
          <t>معدل</t>
        </is>
      </c>
      <c r="F189" s="49" t="inlineStr">
        <is>
          <t>↑</t>
        </is>
      </c>
      <c r="G189" s="59" t="n">
        <v>1</v>
      </c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50">
        <f>IF(COUNT($H189:$S189)=0,"",SUM($H189:$S189)/COUNT($H189:$S189))</f>
        <v/>
      </c>
      <c r="U189" s="50">
        <f>IF($G189="","",IF($T189="","",MIN(1,IF($G189=0,IF($T189&lt;=0,1,0),IF($F189="↓",IFERROR($G189/$T189,0),IFERROR($T189/$G189,0))))))</f>
        <v/>
      </c>
      <c r="V189" s="54">
        <f>IF($U189="","⏳ بانتظار هدف",IF($U189&gt;=1.0,"✅ محقق",IF($U189&gt;=0.85,"🟡 قريب","🔴 تحت الهدف")))</f>
        <v/>
      </c>
      <c r="W189" s="61">
        <f>IF($G189="","",$G189)</f>
        <v/>
      </c>
      <c r="X189" s="54">
        <f>IF($U189="","—",IF($U189&gt;=0.85,"🟢 على المسار","🟠 متأخّر"))</f>
        <v/>
      </c>
    </row>
    <row r="190" ht="22" customHeight="1">
      <c r="A190" s="54" t="n">
        <v>187</v>
      </c>
      <c r="B190" s="13" t="inlineStr">
        <is>
          <t>الإدارة القانونية</t>
        </is>
      </c>
      <c r="C190" s="11" t="inlineStr">
        <is>
          <t>متوسط زمن صياغة ومراجعة العقد</t>
        </is>
      </c>
      <c r="D190" s="15" t="inlineStr">
        <is>
          <t>شهري</t>
        </is>
      </c>
      <c r="E190" s="15" t="inlineStr">
        <is>
          <t>معدل</t>
        </is>
      </c>
      <c r="F190" s="49" t="inlineStr">
        <is>
          <t>↓</t>
        </is>
      </c>
      <c r="G190" s="62" t="n">
        <v>3</v>
      </c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4">
        <f>IF(COUNT($H190:$S190)=0,"",SUM($H190:$S190)/COUNT($H190:$S190))</f>
        <v/>
      </c>
      <c r="U190" s="50">
        <f>IF($G190="","",IF($T190="","",MIN(1,IF($G190=0,IF($T190&lt;=0,1,0),IF($F190="↓",IFERROR($G190/$T190,0),IFERROR($T190/$G190,0))))))</f>
        <v/>
      </c>
      <c r="V190" s="54">
        <f>IF($U190="","⏳ بانتظار هدف",IF($U190&gt;=1.0,"✅ محقق",IF($U190&gt;=0.85,"🟡 قريب","🔴 تحت الهدف")))</f>
        <v/>
      </c>
      <c r="W190" s="65">
        <f>IF($G190="","",$G190)</f>
        <v/>
      </c>
      <c r="X190" s="54">
        <f>IF($U190="","—",IF($U190&gt;=0.85,"🟢 على المسار","🟠 متأخّر"))</f>
        <v/>
      </c>
    </row>
    <row r="191" ht="22" customHeight="1">
      <c r="A191" s="54" t="n">
        <v>188</v>
      </c>
      <c r="B191" s="13" t="inlineStr">
        <is>
          <t>الإدارة القانونية</t>
        </is>
      </c>
      <c r="C191" s="11" t="inlineStr">
        <is>
          <t>نسبة العقود الخالية من الملاحظات والمخاطر القانونية</t>
        </is>
      </c>
      <c r="D191" s="15" t="inlineStr">
        <is>
          <t>شهري</t>
        </is>
      </c>
      <c r="E191" s="15" t="inlineStr">
        <is>
          <t>معدل</t>
        </is>
      </c>
      <c r="F191" s="49" t="inlineStr">
        <is>
          <t>↑</t>
        </is>
      </c>
      <c r="G191" s="59" t="n">
        <v>0.95</v>
      </c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50">
        <f>IF(COUNT($H191:$S191)=0,"",SUM($H191:$S191)/COUNT($H191:$S191))</f>
        <v/>
      </c>
      <c r="U191" s="50">
        <f>IF($G191="","",IF($T191="","",MIN(1,IF($G191=0,IF($T191&lt;=0,1,0),IF($F191="↓",IFERROR($G191/$T191,0),IFERROR($T191/$G191,0))))))</f>
        <v/>
      </c>
      <c r="V191" s="54">
        <f>IF($U191="","⏳ بانتظار هدف",IF($U191&gt;=1.0,"✅ محقق",IF($U191&gt;=0.85,"🟡 قريب","🔴 تحت الهدف")))</f>
        <v/>
      </c>
      <c r="W191" s="61">
        <f>IF($G191="","",$G191)</f>
        <v/>
      </c>
      <c r="X191" s="54">
        <f>IF($U191="","—",IF($U191&gt;=0.85,"🟢 على المسار","🟠 متأخّر"))</f>
        <v/>
      </c>
    </row>
    <row r="192" ht="22" customHeight="1">
      <c r="A192" s="54" t="n">
        <v>189</v>
      </c>
      <c r="B192" s="13" t="inlineStr">
        <is>
          <t>الإدارة القانونية</t>
        </is>
      </c>
      <c r="C192" s="11" t="inlineStr">
        <is>
          <t>نسبة القضايا المُغلقة لصالح الشركة</t>
        </is>
      </c>
      <c r="D192" s="15" t="inlineStr">
        <is>
          <t>شهري</t>
        </is>
      </c>
      <c r="E192" s="15" t="inlineStr">
        <is>
          <t>معدل</t>
        </is>
      </c>
      <c r="F192" s="49" t="inlineStr">
        <is>
          <t>↑</t>
        </is>
      </c>
      <c r="G192" s="59" t="n">
        <v>0.8</v>
      </c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50">
        <f>IF(COUNT($H192:$S192)=0,"",SUM($H192:$S192)/COUNT($H192:$S192))</f>
        <v/>
      </c>
      <c r="U192" s="50">
        <f>IF($G192="","",IF($T192="","",MIN(1,IF($G192=0,IF($T192&lt;=0,1,0),IF($F192="↓",IFERROR($G192/$T192,0),IFERROR($T192/$G192,0))))))</f>
        <v/>
      </c>
      <c r="V192" s="54">
        <f>IF($U192="","⏳ بانتظار هدف",IF($U192&gt;=1.0,"✅ محقق",IF($U192&gt;=0.85,"🟡 قريب","🔴 تحت الهدف")))</f>
        <v/>
      </c>
      <c r="W192" s="61">
        <f>IF($G192="","",$G192)</f>
        <v/>
      </c>
      <c r="X192" s="54">
        <f>IF($U192="","—",IF($U192&gt;=0.85,"🟢 على المسار","🟠 متأخّر"))</f>
        <v/>
      </c>
    </row>
    <row r="193" ht="22" customHeight="1">
      <c r="A193" s="54" t="n">
        <v>190</v>
      </c>
      <c r="B193" s="13" t="inlineStr">
        <is>
          <t>الإدارة القانونية</t>
        </is>
      </c>
      <c r="C193" s="11" t="inlineStr">
        <is>
          <t>نسبة تقديم المذكرات والردود في المواعيد النظامية</t>
        </is>
      </c>
      <c r="D193" s="15" t="inlineStr">
        <is>
          <t>شهري</t>
        </is>
      </c>
      <c r="E193" s="15" t="inlineStr">
        <is>
          <t>معدل</t>
        </is>
      </c>
      <c r="F193" s="49" t="inlineStr">
        <is>
          <t>↑</t>
        </is>
      </c>
      <c r="G193" s="59" t="n">
        <v>1</v>
      </c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50">
        <f>IF(COUNT($H193:$S193)=0,"",SUM($H193:$S193)/COUNT($H193:$S193))</f>
        <v/>
      </c>
      <c r="U193" s="50">
        <f>IF($G193="","",IF($T193="","",MIN(1,IF($G193=0,IF($T193&lt;=0,1,0),IF($F193="↓",IFERROR($G193/$T193,0),IFERROR($T193/$G193,0))))))</f>
        <v/>
      </c>
      <c r="V193" s="54">
        <f>IF($U193="","⏳ بانتظار هدف",IF($U193&gt;=1.0,"✅ محقق",IF($U193&gt;=0.85,"🟡 قريب","🔴 تحت الهدف")))</f>
        <v/>
      </c>
      <c r="W193" s="61">
        <f>IF($G193="","",$G193)</f>
        <v/>
      </c>
      <c r="X193" s="54">
        <f>IF($U193="","—",IF($U193&gt;=0.85,"🟢 على المسار","🟠 متأخّر"))</f>
        <v/>
      </c>
    </row>
    <row r="194" ht="22" customHeight="1">
      <c r="A194" s="54" t="n">
        <v>191</v>
      </c>
      <c r="B194" s="13" t="inlineStr">
        <is>
          <t>الإدارة القانونية</t>
        </is>
      </c>
      <c r="C194" s="11" t="inlineStr">
        <is>
          <t>متوسط زمن إعداد المذكرة القانونية</t>
        </is>
      </c>
      <c r="D194" s="15" t="inlineStr">
        <is>
          <t>شهري</t>
        </is>
      </c>
      <c r="E194" s="15" t="inlineStr">
        <is>
          <t>معدل</t>
        </is>
      </c>
      <c r="F194" s="49" t="inlineStr">
        <is>
          <t>↓</t>
        </is>
      </c>
      <c r="G194" s="62" t="n">
        <v>5</v>
      </c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4">
        <f>IF(COUNT($H194:$S194)=0,"",SUM($H194:$S194)/COUNT($H194:$S194))</f>
        <v/>
      </c>
      <c r="U194" s="50">
        <f>IF($G194="","",IF($T194="","",MIN(1,IF($G194=0,IF($T194&lt;=0,1,0),IF($F194="↓",IFERROR($G194/$T194,0),IFERROR($T194/$G194,0))))))</f>
        <v/>
      </c>
      <c r="V194" s="54">
        <f>IF($U194="","⏳ بانتظار هدف",IF($U194&gt;=1.0,"✅ محقق",IF($U194&gt;=0.85,"🟡 قريب","🔴 تحت الهدف")))</f>
        <v/>
      </c>
      <c r="W194" s="65">
        <f>IF($G194="","",$G194)</f>
        <v/>
      </c>
      <c r="X194" s="54">
        <f>IF($U194="","—",IF($U194&gt;=0.85,"🟢 على المسار","🟠 متأخّر"))</f>
        <v/>
      </c>
    </row>
    <row r="195" ht="22" customHeight="1">
      <c r="A195" s="54" t="n">
        <v>192</v>
      </c>
      <c r="B195" s="13" t="inlineStr">
        <is>
          <t>الإدارة القانونية</t>
        </is>
      </c>
      <c r="C195" s="11" t="inlineStr">
        <is>
          <t>نسبة الاستشارات المُنجزة ضمن المدة المستهدفة (SLA)</t>
        </is>
      </c>
      <c r="D195" s="15" t="inlineStr">
        <is>
          <t>شهري</t>
        </is>
      </c>
      <c r="E195" s="15" t="inlineStr">
        <is>
          <t>معدل</t>
        </is>
      </c>
      <c r="F195" s="49" t="inlineStr">
        <is>
          <t>↑</t>
        </is>
      </c>
      <c r="G195" s="59" t="n">
        <v>0.9</v>
      </c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50">
        <f>IF(COUNT($H195:$S195)=0,"",SUM($H195:$S195)/COUNT($H195:$S195))</f>
        <v/>
      </c>
      <c r="U195" s="50">
        <f>IF($G195="","",IF($T195="","",MIN(1,IF($G195=0,IF($T195&lt;=0,1,0),IF($F195="↓",IFERROR($G195/$T195,0),IFERROR($T195/$G195,0))))))</f>
        <v/>
      </c>
      <c r="V195" s="54">
        <f>IF($U195="","⏳ بانتظار هدف",IF($U195&gt;=1.0,"✅ محقق",IF($U195&gt;=0.85,"🟡 قريب","🔴 تحت الهدف")))</f>
        <v/>
      </c>
      <c r="W195" s="61">
        <f>IF($G195="","",$G195)</f>
        <v/>
      </c>
      <c r="X195" s="54">
        <f>IF($U195="","—",IF($U195&gt;=0.85,"🟢 على المسار","🟠 متأخّر"))</f>
        <v/>
      </c>
    </row>
    <row r="196" ht="22" customHeight="1">
      <c r="A196" s="54" t="n">
        <v>193</v>
      </c>
      <c r="B196" s="13" t="inlineStr">
        <is>
          <t>الإدارة القانونية</t>
        </is>
      </c>
      <c r="C196" s="11" t="inlineStr">
        <is>
          <t>مستوى رضا الإدارات عن الدعم القانوني</t>
        </is>
      </c>
      <c r="D196" s="15" t="inlineStr">
        <is>
          <t>ربعي</t>
        </is>
      </c>
      <c r="E196" s="15" t="inlineStr">
        <is>
          <t>معدل</t>
        </is>
      </c>
      <c r="F196" s="49" t="inlineStr">
        <is>
          <t>↑</t>
        </is>
      </c>
      <c r="G196" s="59" t="n">
        <v>0.85</v>
      </c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50">
        <f>IF(COUNT($H196:$S196)=0,"",SUM($H196:$S196)/COUNT($H196:$S196))</f>
        <v/>
      </c>
      <c r="U196" s="50">
        <f>IF($G196="","",IF($T196="","",MIN(1,IF($G196=0,IF($T196&lt;=0,1,0),IF($F196="↓",IFERROR($G196/$T196,0),IFERROR($T196/$G196,0))))))</f>
        <v/>
      </c>
      <c r="V196" s="54">
        <f>IF($U196="","⏳ بانتظار هدف",IF($U196&gt;=0.9,"✅ محقق",IF($U196&gt;=0.75,"🟡 قريب","🔴 تحت الهدف")))</f>
        <v/>
      </c>
      <c r="W196" s="61">
        <f>IF($G196="","",$G196)</f>
        <v/>
      </c>
      <c r="X196" s="54">
        <f>IF($U196="","—",IF($U196&gt;=0.75,"🟢 على المسار","🟠 متأخّر"))</f>
        <v/>
      </c>
    </row>
    <row r="197" ht="22" customHeight="1">
      <c r="A197" s="54" t="n">
        <v>194</v>
      </c>
      <c r="B197" s="13" t="inlineStr">
        <is>
          <t>الإدارة القانونية</t>
        </is>
      </c>
      <c r="C197" s="11" t="inlineStr">
        <is>
          <t>نسبة إنجاز التحقيقات ضمن المدة المحددة</t>
        </is>
      </c>
      <c r="D197" s="15" t="inlineStr">
        <is>
          <t>شهري</t>
        </is>
      </c>
      <c r="E197" s="15" t="inlineStr">
        <is>
          <t>معدل</t>
        </is>
      </c>
      <c r="F197" s="49" t="inlineStr">
        <is>
          <t>↑</t>
        </is>
      </c>
      <c r="G197" s="59" t="n">
        <v>0.9</v>
      </c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50">
        <f>IF(COUNT($H197:$S197)=0,"",SUM($H197:$S197)/COUNT($H197:$S197))</f>
        <v/>
      </c>
      <c r="U197" s="50">
        <f>IF($G197="","",IF($T197="","",MIN(1,IF($G197=0,IF($T197&lt;=0,1,0),IF($F197="↓",IFERROR($G197/$T197,0),IFERROR($T197/$G197,0))))))</f>
        <v/>
      </c>
      <c r="V197" s="54">
        <f>IF($U197="","⏳ بانتظار هدف",IF($U197&gt;=1.0,"✅ محقق",IF($U197&gt;=0.85,"🟡 قريب","🔴 تحت الهدف")))</f>
        <v/>
      </c>
      <c r="W197" s="61">
        <f>IF($G197="","",$G197)</f>
        <v/>
      </c>
      <c r="X197" s="54">
        <f>IF($U197="","—",IF($U197&gt;=0.85,"🟢 على المسار","🟠 متأخّر"))</f>
        <v/>
      </c>
    </row>
    <row r="198" ht="22" customHeight="1">
      <c r="A198" s="54" t="n">
        <v>195</v>
      </c>
      <c r="B198" s="13" t="inlineStr">
        <is>
          <t>الإدارة القانونية</t>
        </is>
      </c>
      <c r="C198" s="11" t="inlineStr">
        <is>
          <t>نسبة التحقيقات المُغلقة من إجمالي المُحالة</t>
        </is>
      </c>
      <c r="D198" s="15" t="inlineStr">
        <is>
          <t>شهري</t>
        </is>
      </c>
      <c r="E198" s="15" t="inlineStr">
        <is>
          <t>معدل</t>
        </is>
      </c>
      <c r="F198" s="49" t="inlineStr">
        <is>
          <t>↑</t>
        </is>
      </c>
      <c r="G198" s="59" t="n">
        <v>0.95</v>
      </c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50">
        <f>IF(COUNT($H198:$S198)=0,"",SUM($H198:$S198)/COUNT($H198:$S198))</f>
        <v/>
      </c>
      <c r="U198" s="50">
        <f>IF($G198="","",IF($T198="","",MIN(1,IF($G198=0,IF($T198&lt;=0,1,0),IF($F198="↓",IFERROR($G198/$T198,0),IFERROR($T198/$G198,0))))))</f>
        <v/>
      </c>
      <c r="V198" s="54">
        <f>IF($U198="","⏳ بانتظار هدف",IF($U198&gt;=1.0,"✅ محقق",IF($U198&gt;=0.85,"🟡 قريب","🔴 تحت الهدف")))</f>
        <v/>
      </c>
      <c r="W198" s="61">
        <f>IF($G198="","",$G198)</f>
        <v/>
      </c>
      <c r="X198" s="54">
        <f>IF($U198="","—",IF($U198&gt;=0.85,"🟢 على المسار","🟠 متأخّر"))</f>
        <v/>
      </c>
    </row>
    <row r="199" ht="22" customHeight="1">
      <c r="A199" s="54" t="n">
        <v>196</v>
      </c>
      <c r="B199" s="13" t="inlineStr">
        <is>
          <t>الإدارة القانونية</t>
        </is>
      </c>
      <c r="C199" s="11" t="inlineStr">
        <is>
          <t>متوسط زمن إغلاق قضية التحقيق</t>
        </is>
      </c>
      <c r="D199" s="15" t="inlineStr">
        <is>
          <t>شهري</t>
        </is>
      </c>
      <c r="E199" s="15" t="inlineStr">
        <is>
          <t>معدل</t>
        </is>
      </c>
      <c r="F199" s="49" t="inlineStr">
        <is>
          <t>↓</t>
        </is>
      </c>
      <c r="G199" s="62" t="n">
        <v>30</v>
      </c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4">
        <f>IF(COUNT($H199:$S199)=0,"",SUM($H199:$S199)/COUNT($H199:$S199))</f>
        <v/>
      </c>
      <c r="U199" s="50">
        <f>IF($G199="","",IF($T199="","",MIN(1,IF($G199=0,IF($T199&lt;=0,1,0),IF($F199="↓",IFERROR($G199/$T199,0),IFERROR($T199/$G199,0))))))</f>
        <v/>
      </c>
      <c r="V199" s="54">
        <f>IF($U199="","⏳ بانتظار هدف",IF($U199&gt;=1.0,"✅ محقق",IF($U199&gt;=0.85,"🟡 قريب","🔴 تحت الهدف")))</f>
        <v/>
      </c>
      <c r="W199" s="65">
        <f>IF($G199="","",$G199)</f>
        <v/>
      </c>
      <c r="X199" s="54">
        <f>IF($U199="","—",IF($U199&gt;=0.85,"🟢 على المسار","🟠 متأخّر"))</f>
        <v/>
      </c>
    </row>
    <row r="200" ht="22" customHeight="1">
      <c r="A200" s="54" t="n">
        <v>197</v>
      </c>
      <c r="B200" s="13" t="inlineStr">
        <is>
          <t>الإدارة القانونية</t>
        </is>
      </c>
      <c r="C200" s="11" t="inlineStr">
        <is>
          <t>نسبة تنفيذ التوصيات الصادرة عن التحقيقات</t>
        </is>
      </c>
      <c r="D200" s="15" t="inlineStr">
        <is>
          <t>شهري</t>
        </is>
      </c>
      <c r="E200" s="15" t="inlineStr">
        <is>
          <t>معدل</t>
        </is>
      </c>
      <c r="F200" s="49" t="inlineStr">
        <is>
          <t>↑</t>
        </is>
      </c>
      <c r="G200" s="59" t="n">
        <v>0.9</v>
      </c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50">
        <f>IF(COUNT($H200:$S200)=0,"",SUM($H200:$S200)/COUNT($H200:$S200))</f>
        <v/>
      </c>
      <c r="U200" s="50">
        <f>IF($G200="","",IF($T200="","",MIN(1,IF($G200=0,IF($T200&lt;=0,1,0),IF($F200="↓",IFERROR($G200/$T200,0),IFERROR($T200/$G200,0))))))</f>
        <v/>
      </c>
      <c r="V200" s="54">
        <f>IF($U200="","⏳ بانتظار هدف",IF($U200&gt;=1.0,"✅ محقق",IF($U200&gt;=0.85,"🟡 قريب","🔴 تحت الهدف")))</f>
        <v/>
      </c>
      <c r="W200" s="61">
        <f>IF($G200="","",$G200)</f>
        <v/>
      </c>
      <c r="X200" s="54">
        <f>IF($U200="","—",IF($U200&gt;=0.85,"🟢 على المسار","🟠 متأخّر"))</f>
        <v/>
      </c>
    </row>
    <row r="201" ht="22" customHeight="1">
      <c r="A201" s="54" t="n">
        <v>198</v>
      </c>
      <c r="B201" s="13" t="inlineStr">
        <is>
          <t>الإدارة القانونية</t>
        </is>
      </c>
      <c r="C201" s="11" t="inlineStr">
        <is>
          <t>نسبة التزام التحقيقات بالإجراءات النظامية والعدالة الإجرائية</t>
        </is>
      </c>
      <c r="D201" s="15" t="inlineStr">
        <is>
          <t>شهري</t>
        </is>
      </c>
      <c r="E201" s="15" t="inlineStr">
        <is>
          <t>معدل</t>
        </is>
      </c>
      <c r="F201" s="49" t="inlineStr">
        <is>
          <t>↑</t>
        </is>
      </c>
      <c r="G201" s="59" t="n">
        <v>1</v>
      </c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50">
        <f>IF(COUNT($H201:$S201)=0,"",SUM($H201:$S201)/COUNT($H201:$S201))</f>
        <v/>
      </c>
      <c r="U201" s="50">
        <f>IF($G201="","",IF($T201="","",MIN(1,IF($G201=0,IF($T201&lt;=0,1,0),IF($F201="↓",IFERROR($G201/$T201,0),IFERROR($T201/$G201,0))))))</f>
        <v/>
      </c>
      <c r="V201" s="54">
        <f>IF($U201="","⏳ بانتظار هدف",IF($U201&gt;=1.0,"✅ محقق",IF($U201&gt;=0.85,"🟡 قريب","🔴 تحت الهدف")))</f>
        <v/>
      </c>
      <c r="W201" s="61">
        <f>IF($G201="","",$G201)</f>
        <v/>
      </c>
      <c r="X201" s="54">
        <f>IF($U201="","—",IF($U201&gt;=0.85,"🟢 على المسار","🟠 متأخّر"))</f>
        <v/>
      </c>
    </row>
    <row r="202" ht="22" customHeight="1">
      <c r="A202" s="54" t="n">
        <v>199</v>
      </c>
      <c r="B202" s="13" t="inlineStr">
        <is>
          <t>الإدارة المالية</t>
        </is>
      </c>
      <c r="C202" s="11" t="inlineStr">
        <is>
          <t>نمو الإيرادات السنوي</t>
        </is>
      </c>
      <c r="D202" s="15" t="inlineStr">
        <is>
          <t>ربعي</t>
        </is>
      </c>
      <c r="E202" s="15" t="inlineStr">
        <is>
          <t>معدل</t>
        </is>
      </c>
      <c r="F202" s="49" t="inlineStr">
        <is>
          <t>↑</t>
        </is>
      </c>
      <c r="G202" s="59" t="n">
        <v>0.2</v>
      </c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50">
        <f>IF(COUNT($H202:$S202)=0,"",SUM($H202:$S202)/COUNT($H202:$S202))</f>
        <v/>
      </c>
      <c r="U202" s="50">
        <f>IF($G202="","",IF($T202="","",MIN(1,IF($G202=0,IF($T202&lt;=0,1,0),IF($F202="↓",IFERROR($G202/$T202,0),IFERROR($T202/$G202,0))))))</f>
        <v/>
      </c>
      <c r="V202" s="54">
        <f>IF($U202="","⏳ بانتظار هدف",IF($U202&gt;=1.0,"✅ محقق",IF($U202&gt;=0.85,"🟡 قريب","🔴 تحت الهدف")))</f>
        <v/>
      </c>
      <c r="W202" s="61">
        <f>IF($G202="","",$G202)</f>
        <v/>
      </c>
      <c r="X202" s="54">
        <f>IF($U202="","—",IF($U202&gt;=0.85,"🟢 على المسار","🟠 متأخّر"))</f>
        <v/>
      </c>
    </row>
    <row r="203" ht="22" customHeight="1">
      <c r="A203" s="54" t="n">
        <v>200</v>
      </c>
      <c r="B203" s="13" t="inlineStr">
        <is>
          <t>الإدارة المالية</t>
        </is>
      </c>
      <c r="C203" s="11" t="inlineStr">
        <is>
          <t>هامش EBITDA</t>
        </is>
      </c>
      <c r="D203" s="15" t="inlineStr">
        <is>
          <t>شهري</t>
        </is>
      </c>
      <c r="E203" s="15" t="inlineStr">
        <is>
          <t>معدل</t>
        </is>
      </c>
      <c r="F203" s="49" t="inlineStr">
        <is>
          <t>↑</t>
        </is>
      </c>
      <c r="G203" s="59" t="n">
        <v>0.08</v>
      </c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50">
        <f>IF(COUNT($H203:$S203)=0,"",SUM($H203:$S203)/COUNT($H203:$S203))</f>
        <v/>
      </c>
      <c r="U203" s="50">
        <f>IF($G203="","",IF($T203="","",MIN(1,IF($G203=0,IF($T203&lt;=0,1,0),IF($F203="↓",IFERROR($G203/$T203,0),IFERROR($T203/$G203,0))))))</f>
        <v/>
      </c>
      <c r="V203" s="54">
        <f>IF($U203="","⏳ بانتظار هدف",IF($U203&gt;=1.0,"✅ محقق",IF($U203&gt;=0.85,"🟡 قريب","🔴 تحت الهدف")))</f>
        <v/>
      </c>
      <c r="W203" s="61">
        <f>IF($G203="","",$G203)</f>
        <v/>
      </c>
      <c r="X203" s="54">
        <f>IF($U203="","—",IF($U203&gt;=0.85,"🟢 على المسار","🟠 متأخّر"))</f>
        <v/>
      </c>
    </row>
    <row r="204" ht="22" customHeight="1">
      <c r="A204" s="54" t="n">
        <v>201</v>
      </c>
      <c r="B204" s="13" t="inlineStr">
        <is>
          <t>الإدارة المالية</t>
        </is>
      </c>
      <c r="C204" s="11" t="inlineStr">
        <is>
          <t>هامش صافي الربح</t>
        </is>
      </c>
      <c r="D204" s="15" t="inlineStr">
        <is>
          <t>شهري</t>
        </is>
      </c>
      <c r="E204" s="15" t="inlineStr">
        <is>
          <t>معدل</t>
        </is>
      </c>
      <c r="F204" s="49" t="inlineStr">
        <is>
          <t>↑</t>
        </is>
      </c>
      <c r="G204" s="59" t="n">
        <v>0.01</v>
      </c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50">
        <f>IF(COUNT($H204:$S204)=0,"",SUM($H204:$S204)/COUNT($H204:$S204))</f>
        <v/>
      </c>
      <c r="U204" s="50">
        <f>IF($G204="","",IF($T204="","",MIN(1,IF($G204=0,IF($T204&lt;=0,1,0),IF($F204="↓",IFERROR($G204/$T204,0),IFERROR($T204/$G204,0))))))</f>
        <v/>
      </c>
      <c r="V204" s="54">
        <f>IF($U204="","⏳ بانتظار هدف",IF($U204&gt;=1.0,"✅ محقق",IF($U204&gt;=0.85,"🟡 قريب","🔴 تحت الهدف")))</f>
        <v/>
      </c>
      <c r="W204" s="61">
        <f>IF($G204="","",$G204)</f>
        <v/>
      </c>
      <c r="X204" s="54">
        <f>IF($U204="","—",IF($U204&gt;=0.85,"🟢 على المسار","🟠 متأخّر"))</f>
        <v/>
      </c>
    </row>
    <row r="205" ht="22" customHeight="1">
      <c r="A205" s="54" t="n">
        <v>202</v>
      </c>
      <c r="B205" s="13" t="inlineStr">
        <is>
          <t>الإدارة المالية</t>
        </is>
      </c>
      <c r="C205" s="11" t="inlineStr">
        <is>
          <t>العائد على حقوق الملكية (ROE)</t>
        </is>
      </c>
      <c r="D205" s="15" t="inlineStr">
        <is>
          <t>ربعي</t>
        </is>
      </c>
      <c r="E205" s="15" t="inlineStr">
        <is>
          <t>معدل</t>
        </is>
      </c>
      <c r="F205" s="49" t="inlineStr">
        <is>
          <t>↑</t>
        </is>
      </c>
      <c r="G205" s="59" t="n">
        <v>0.1</v>
      </c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50">
        <f>IF(COUNT($H205:$S205)=0,"",SUM($H205:$S205)/COUNT($H205:$S205))</f>
        <v/>
      </c>
      <c r="U205" s="50">
        <f>IF($G205="","",IF($T205="","",MIN(1,IF($G205=0,IF($T205&lt;=0,1,0),IF($F205="↓",IFERROR($G205/$T205,0),IFERROR($T205/$G205,0))))))</f>
        <v/>
      </c>
      <c r="V205" s="54">
        <f>IF($U205="","⏳ بانتظار هدف",IF($U205&gt;=1.0,"✅ محقق",IF($U205&gt;=0.85,"🟡 قريب","🔴 تحت الهدف")))</f>
        <v/>
      </c>
      <c r="W205" s="61">
        <f>IF($G205="","",$G205)</f>
        <v/>
      </c>
      <c r="X205" s="54">
        <f>IF($U205="","—",IF($U205&gt;=0.85,"🟢 على المسار","🟠 متأخّر"))</f>
        <v/>
      </c>
    </row>
    <row r="206" ht="22" customHeight="1">
      <c r="A206" s="54" t="n">
        <v>203</v>
      </c>
      <c r="B206" s="13" t="inlineStr">
        <is>
          <t>الإدارة المالية</t>
        </is>
      </c>
      <c r="C206" s="11" t="inlineStr">
        <is>
          <t>نسبة التدفق النقدي التشغيلي</t>
        </is>
      </c>
      <c r="D206" s="15" t="inlineStr">
        <is>
          <t>شهري</t>
        </is>
      </c>
      <c r="E206" s="15" t="inlineStr">
        <is>
          <t>معدل</t>
        </is>
      </c>
      <c r="F206" s="49" t="inlineStr">
        <is>
          <t>↑</t>
        </is>
      </c>
      <c r="G206" s="62" t="n">
        <v>1</v>
      </c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4">
        <f>IF(COUNT($H206:$S206)=0,"",SUM($H206:$S206)/COUNT($H206:$S206))</f>
        <v/>
      </c>
      <c r="U206" s="50">
        <f>IF($G206="","",IF($T206="","",MIN(1,IF($G206=0,IF($T206&lt;=0,1,0),IF($F206="↓",IFERROR($G206/$T206,0),IFERROR($T206/$G206,0))))))</f>
        <v/>
      </c>
      <c r="V206" s="54">
        <f>IF($U206="","⏳ بانتظار هدف",IF($U206&gt;=1.0,"✅ محقق",IF($U206&gt;=0.85,"🟡 قريب","🔴 تحت الهدف")))</f>
        <v/>
      </c>
      <c r="W206" s="65">
        <f>IF($G206="","",$G206)</f>
        <v/>
      </c>
      <c r="X206" s="54">
        <f>IF($U206="","—",IF($U206&gt;=0.85,"🟢 على المسار","🟠 متأخّر"))</f>
        <v/>
      </c>
    </row>
    <row r="207" ht="22" customHeight="1">
      <c r="A207" s="54" t="n">
        <v>204</v>
      </c>
      <c r="B207" s="13" t="inlineStr">
        <is>
          <t>الإدارة المالية</t>
        </is>
      </c>
      <c r="C207" s="11" t="inlineStr">
        <is>
          <t>النسبة الجارية (Current Ratio)</t>
        </is>
      </c>
      <c r="D207" s="15" t="inlineStr">
        <is>
          <t>شهري</t>
        </is>
      </c>
      <c r="E207" s="15" t="inlineStr">
        <is>
          <t>لقطة</t>
        </is>
      </c>
      <c r="F207" s="49" t="inlineStr">
        <is>
          <t>↑</t>
        </is>
      </c>
      <c r="G207" s="62" t="n">
        <v>1</v>
      </c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4">
        <f>IFERROR(LOOKUP(2,1/($H207:$S207&lt;&gt;""),$H207:$S207),"")</f>
        <v/>
      </c>
      <c r="U207" s="50">
        <f>IF($G207="","",IF($T207="","",MIN(1,IF($G207=0,IF($T207&lt;=0,1,0),IF($F207="↓",IFERROR($G207/$T207,0),IFERROR($T207/$G207,0))))))</f>
        <v/>
      </c>
      <c r="V207" s="54">
        <f>IF($U207="","⏳ بانتظار هدف",IF($U207&gt;=1.0,"✅ محقق",IF($U207&gt;=0.85,"🟡 قريب","🔴 تحت الهدف")))</f>
        <v/>
      </c>
      <c r="W207" s="65">
        <f>IF($G207="","",$G207)</f>
        <v/>
      </c>
      <c r="X207" s="54">
        <f>IF($U207="","—",IF($U207&gt;=0.85,"🟢 على المسار","🟠 متأخّر"))</f>
        <v/>
      </c>
    </row>
    <row r="208" ht="22" customHeight="1">
      <c r="A208" s="54" t="n">
        <v>205</v>
      </c>
      <c r="B208" s="13" t="inlineStr">
        <is>
          <t>الإدارة المالية</t>
        </is>
      </c>
      <c r="C208" s="11" t="inlineStr">
        <is>
          <t>دورة التحويل النقدي</t>
        </is>
      </c>
      <c r="D208" s="15" t="inlineStr">
        <is>
          <t>شهري</t>
        </is>
      </c>
      <c r="E208" s="15" t="inlineStr">
        <is>
          <t>معدل</t>
        </is>
      </c>
      <c r="F208" s="49" t="inlineStr">
        <is>
          <t>↓</t>
        </is>
      </c>
      <c r="G208" s="62" t="n">
        <v>20</v>
      </c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4">
        <f>IF(COUNT($H208:$S208)=0,"",SUM($H208:$S208)/COUNT($H208:$S208))</f>
        <v/>
      </c>
      <c r="U208" s="50">
        <f>IF($G208="","",IF($T208="","",MIN(1,IF($G208=0,IF($T208&lt;=0,1,0),IF($F208="↓",IFERROR($G208/$T208,0),IFERROR($T208/$G208,0))))))</f>
        <v/>
      </c>
      <c r="V208" s="54">
        <f>IF($U208="","⏳ بانتظار هدف",IF($U208&gt;=1.0,"✅ محقق",IF($U208&gt;=0.85,"🟡 قريب","🔴 تحت الهدف")))</f>
        <v/>
      </c>
      <c r="W208" s="65">
        <f>IF($G208="","",$G208)</f>
        <v/>
      </c>
      <c r="X208" s="54">
        <f>IF($U208="","—",IF($U208&gt;=0.85,"🟢 على المسار","🟠 متأخّر"))</f>
        <v/>
      </c>
    </row>
    <row r="209" ht="22" customHeight="1">
      <c r="A209" s="54" t="n">
        <v>206</v>
      </c>
      <c r="B209" s="13" t="inlineStr">
        <is>
          <t>الإدارة المالية</t>
        </is>
      </c>
      <c r="C209" s="11" t="inlineStr">
        <is>
          <t>متوسط أيام التحصيل العام (DSO)</t>
        </is>
      </c>
      <c r="D209" s="15" t="inlineStr">
        <is>
          <t>شهري</t>
        </is>
      </c>
      <c r="E209" s="15" t="inlineStr">
        <is>
          <t>معدل</t>
        </is>
      </c>
      <c r="F209" s="49" t="inlineStr">
        <is>
          <t>↓</t>
        </is>
      </c>
      <c r="G209" s="62" t="n">
        <v>30</v>
      </c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4">
        <f>IF(COUNT($H209:$S209)=0,"",SUM($H209:$S209)/COUNT($H209:$S209))</f>
        <v/>
      </c>
      <c r="U209" s="50">
        <f>IF($G209="","",IF($T209="","",MIN(1,IF($G209=0,IF($T209&lt;=0,1,0),IF($F209="↓",IFERROR($G209/$T209,0),IFERROR($T209/$G209,0))))))</f>
        <v/>
      </c>
      <c r="V209" s="54">
        <f>IF($U209="","⏳ بانتظار هدف",IF($U209&gt;=1.0,"✅ محقق",IF($U209&gt;=0.85,"🟡 قريب","🔴 تحت الهدف")))</f>
        <v/>
      </c>
      <c r="W209" s="65">
        <f>IF($G209="","",$G209)</f>
        <v/>
      </c>
      <c r="X209" s="54">
        <f>IF($U209="","—",IF($U209&gt;=0.85,"🟢 على المسار","🟠 متأخّر"))</f>
        <v/>
      </c>
    </row>
    <row r="210" ht="22" customHeight="1">
      <c r="A210" s="54" t="n">
        <v>207</v>
      </c>
      <c r="B210" s="13" t="inlineStr">
        <is>
          <t>الإدارة المالية</t>
        </is>
      </c>
      <c r="C210" s="11" t="inlineStr">
        <is>
          <t>نسبة التحصيل العام (الشركة)</t>
        </is>
      </c>
      <c r="D210" s="15" t="inlineStr">
        <is>
          <t>شهري</t>
        </is>
      </c>
      <c r="E210" s="15" t="inlineStr">
        <is>
          <t>معدل</t>
        </is>
      </c>
      <c r="F210" s="49" t="inlineStr">
        <is>
          <t>↑</t>
        </is>
      </c>
      <c r="G210" s="59" t="n">
        <v>0.95</v>
      </c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50">
        <f>IF(COUNT($H210:$S210)=0,"",SUM($H210:$S210)/COUNT($H210:$S210))</f>
        <v/>
      </c>
      <c r="U210" s="50">
        <f>IF($G210="","",IF($T210="","",MIN(1,IF($G210=0,IF($T210&lt;=0,1,0),IF($F210="↓",IFERROR($G210/$T210,0),IFERROR($T210/$G210,0))))))</f>
        <v/>
      </c>
      <c r="V210" s="54">
        <f>IF($U210="","⏳ بانتظار هدف",IF($U210&gt;=1.0,"✅ محقق",IF($U210&gt;=0.85,"🟡 قريب","🔴 تحت الهدف")))</f>
        <v/>
      </c>
      <c r="W210" s="61">
        <f>IF($G210="","",$G210)</f>
        <v/>
      </c>
      <c r="X210" s="54">
        <f>IF($U210="","—",IF($U210&gt;=0.85,"🟢 على المسار","🟠 متأخّر"))</f>
        <v/>
      </c>
    </row>
    <row r="211" ht="22" customHeight="1">
      <c r="A211" s="54" t="n">
        <v>208</v>
      </c>
      <c r="B211" s="13" t="inlineStr">
        <is>
          <t>الإدارة المالية</t>
        </is>
      </c>
      <c r="C211" s="11" t="inlineStr">
        <is>
          <t>نسبة الذمم المتأخرة</t>
        </is>
      </c>
      <c r="D211" s="15" t="inlineStr">
        <is>
          <t>شهري</t>
        </is>
      </c>
      <c r="E211" s="15" t="inlineStr">
        <is>
          <t>معدل</t>
        </is>
      </c>
      <c r="F211" s="49" t="inlineStr">
        <is>
          <t>↓</t>
        </is>
      </c>
      <c r="G211" s="59" t="n">
        <v>0.1</v>
      </c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50">
        <f>IF(COUNT($H211:$S211)=0,"",SUM($H211:$S211)/COUNT($H211:$S211))</f>
        <v/>
      </c>
      <c r="U211" s="50">
        <f>IF($G211="","",IF($T211="","",MIN(1,IF($G211=0,IF($T211&lt;=0,1,0),IF($F211="↓",IFERROR($G211/$T211,0),IFERROR($T211/$G211,0))))))</f>
        <v/>
      </c>
      <c r="V211" s="54">
        <f>IF($U211="","⏳ بانتظار هدف",IF($U211&gt;=1.0,"✅ محقق",IF($U211&gt;=0.85,"🟡 قريب","🔴 تحت الهدف")))</f>
        <v/>
      </c>
      <c r="W211" s="61">
        <f>IF($G211="","",$G211)</f>
        <v/>
      </c>
      <c r="X211" s="54">
        <f>IF($U211="","—",IF($U211&gt;=0.85,"🟢 على المسار","🟠 متأخّر"))</f>
        <v/>
      </c>
    </row>
    <row r="212" ht="22" customHeight="1">
      <c r="A212" s="54" t="n">
        <v>209</v>
      </c>
      <c r="B212" s="13" t="inlineStr">
        <is>
          <t>الإدارة المالية</t>
        </is>
      </c>
      <c r="C212" s="11" t="inlineStr">
        <is>
          <t>نسبة الديون المعدومة</t>
        </is>
      </c>
      <c r="D212" s="15" t="inlineStr">
        <is>
          <t>شهري</t>
        </is>
      </c>
      <c r="E212" s="15" t="inlineStr">
        <is>
          <t>معدل</t>
        </is>
      </c>
      <c r="F212" s="49" t="inlineStr">
        <is>
          <t>↓</t>
        </is>
      </c>
      <c r="G212" s="59" t="n">
        <v>0.01</v>
      </c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50">
        <f>IF(COUNT($H212:$S212)=0,"",SUM($H212:$S212)/COUNT($H212:$S212))</f>
        <v/>
      </c>
      <c r="U212" s="50">
        <f>IF($G212="","",IF($T212="","",MIN(1,IF($G212=0,IF($T212&lt;=0,1,0),IF($F212="↓",IFERROR($G212/$T212,0),IFERROR($T212/$G212,0))))))</f>
        <v/>
      </c>
      <c r="V212" s="54">
        <f>IF($U212="","⏳ بانتظار هدف",IF($U212&gt;=1.0,"✅ محقق",IF($U212&gt;=0.85,"🟡 قريب","🔴 تحت الهدف")))</f>
        <v/>
      </c>
      <c r="W212" s="61">
        <f>IF($G212="","",$G212)</f>
        <v/>
      </c>
      <c r="X212" s="54">
        <f>IF($U212="","—",IF($U212&gt;=0.85,"🟢 على المسار","🟠 متأخّر"))</f>
        <v/>
      </c>
    </row>
    <row r="213" ht="22" customHeight="1">
      <c r="A213" s="54" t="n">
        <v>210</v>
      </c>
      <c r="B213" s="13" t="inlineStr">
        <is>
          <t>الإدارة المالية</t>
        </is>
      </c>
      <c r="C213" s="11" t="inlineStr">
        <is>
          <t>سداد الموردين في الموعد</t>
        </is>
      </c>
      <c r="D213" s="15" t="inlineStr">
        <is>
          <t>شهري</t>
        </is>
      </c>
      <c r="E213" s="15" t="inlineStr">
        <is>
          <t>معدل</t>
        </is>
      </c>
      <c r="F213" s="49" t="inlineStr">
        <is>
          <t>↑</t>
        </is>
      </c>
      <c r="G213" s="59" t="n">
        <v>0.98</v>
      </c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50">
        <f>IF(COUNT($H213:$S213)=0,"",SUM($H213:$S213)/COUNT($H213:$S213))</f>
        <v/>
      </c>
      <c r="U213" s="50">
        <f>IF($G213="","",IF($T213="","",MIN(1,IF($G213=0,IF($T213&lt;=0,1,0),IF($F213="↓",IFERROR($G213/$T213,0),IFERROR($T213/$G213,0))))))</f>
        <v/>
      </c>
      <c r="V213" s="54">
        <f>IF($U213="","⏳ بانتظار هدف",IF($U213&gt;=1.0,"✅ محقق",IF($U213&gt;=0.85,"🟡 قريب","🔴 تحت الهدف")))</f>
        <v/>
      </c>
      <c r="W213" s="61">
        <f>IF($G213="","",$G213)</f>
        <v/>
      </c>
      <c r="X213" s="54">
        <f>IF($U213="","—",IF($U213&gt;=0.85,"🟢 على المسار","🟠 متأخّر"))</f>
        <v/>
      </c>
    </row>
    <row r="214" ht="22" customHeight="1">
      <c r="A214" s="54" t="n">
        <v>211</v>
      </c>
      <c r="B214" s="13" t="inlineStr">
        <is>
          <t>الإدارة المالية</t>
        </is>
      </c>
      <c r="C214" s="11" t="inlineStr">
        <is>
          <t>اكتمال مطابقة حسابات الموردين</t>
        </is>
      </c>
      <c r="D214" s="15" t="inlineStr">
        <is>
          <t>شهري</t>
        </is>
      </c>
      <c r="E214" s="15" t="inlineStr">
        <is>
          <t>معدل</t>
        </is>
      </c>
      <c r="F214" s="49" t="inlineStr">
        <is>
          <t>↑</t>
        </is>
      </c>
      <c r="G214" s="59" t="n">
        <v>0.95</v>
      </c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50">
        <f>IF(COUNT($H214:$S214)=0,"",SUM($H214:$S214)/COUNT($H214:$S214))</f>
        <v/>
      </c>
      <c r="U214" s="50">
        <f>IF($G214="","",IF($T214="","",MIN(1,IF($G214=0,IF($T214&lt;=0,1,0),IF($F214="↓",IFERROR($G214/$T214,0),IFERROR($T214/$G214,0))))))</f>
        <v/>
      </c>
      <c r="V214" s="54">
        <f>IF($U214="","⏳ بانتظار هدف",IF($U214&gt;=1.0,"✅ محقق",IF($U214&gt;=0.97,"🟡 قريب","🔴 تحت الهدف")))</f>
        <v/>
      </c>
      <c r="W214" s="61">
        <f>IF($G214="","",$G214)</f>
        <v/>
      </c>
      <c r="X214" s="54">
        <f>IF($U214="","—",IF($U214&gt;=0.97,"🟢 على المسار","🟠 متأخّر"))</f>
        <v/>
      </c>
    </row>
    <row r="215" ht="22" customHeight="1">
      <c r="A215" s="54" t="n">
        <v>212</v>
      </c>
      <c r="B215" s="13" t="inlineStr">
        <is>
          <t>الإدارة المالية</t>
        </is>
      </c>
      <c r="C215" s="11" t="inlineStr">
        <is>
          <t>دقة التنبؤ النقدي</t>
        </is>
      </c>
      <c r="D215" s="15" t="inlineStr">
        <is>
          <t>شهري</t>
        </is>
      </c>
      <c r="E215" s="15" t="inlineStr">
        <is>
          <t>معدل</t>
        </is>
      </c>
      <c r="F215" s="49" t="inlineStr">
        <is>
          <t>↑</t>
        </is>
      </c>
      <c r="G215" s="59" t="n">
        <v>0.9</v>
      </c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50">
        <f>IF(COUNT($H215:$S215)=0,"",SUM($H215:$S215)/COUNT($H215:$S215))</f>
        <v/>
      </c>
      <c r="U215" s="50">
        <f>IF($G215="","",IF($T215="","",MIN(1,IF($G215=0,IF($T215&lt;=0,1,0),IF($F215="↓",IFERROR($G215/$T215,0),IFERROR($T215/$G215,0))))))</f>
        <v/>
      </c>
      <c r="V215" s="54">
        <f>IF($U215="","⏳ بانتظار هدف",IF($U215&gt;=1.0,"✅ محقق",IF($U215&gt;=0.85,"🟡 قريب","🔴 تحت الهدف")))</f>
        <v/>
      </c>
      <c r="W215" s="61">
        <f>IF($G215="","",$G215)</f>
        <v/>
      </c>
      <c r="X215" s="54">
        <f>IF($U215="","—",IF($U215&gt;=0.85,"🟢 على المسار","🟠 متأخّر"))</f>
        <v/>
      </c>
    </row>
    <row r="216" ht="22" customHeight="1">
      <c r="A216" s="54" t="n">
        <v>213</v>
      </c>
      <c r="B216" s="13" t="inlineStr">
        <is>
          <t>الإدارة المالية</t>
        </is>
      </c>
      <c r="C216" s="11" t="inlineStr">
        <is>
          <t>تباين مخزون الوقود</t>
        </is>
      </c>
      <c r="D216" s="15" t="inlineStr">
        <is>
          <t>شهري</t>
        </is>
      </c>
      <c r="E216" s="15" t="inlineStr">
        <is>
          <t>معدل</t>
        </is>
      </c>
      <c r="F216" s="49" t="inlineStr">
        <is>
          <t>↓</t>
        </is>
      </c>
      <c r="G216" s="59" t="n">
        <v>0.001</v>
      </c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50">
        <f>IF(COUNT($H216:$S216)=0,"",SUM($H216:$S216)/COUNT($H216:$S216))</f>
        <v/>
      </c>
      <c r="U216" s="50">
        <f>IF($G216="","",IF($T216="","",MIN(1,IF($G216=0,IF($T216&lt;=0,1,0),IF($F216="↓",IFERROR($G216/$T216,0),IFERROR($T216/$G216,0))))))</f>
        <v/>
      </c>
      <c r="V216" s="54">
        <f>IF($U216="","⏳ بانتظار هدف",IF($U216&gt;=1.0,"✅ محقق",IF($U216&gt;=0.85,"🟡 قريب","🔴 تحت الهدف")))</f>
        <v/>
      </c>
      <c r="W216" s="61">
        <f>IF($G216="","",$G216)</f>
        <v/>
      </c>
      <c r="X216" s="54">
        <f>IF($U216="","—",IF($U216&gt;=0.85,"🟢 على المسار","🟠 متأخّر"))</f>
        <v/>
      </c>
    </row>
    <row r="217" ht="22" customHeight="1">
      <c r="A217" s="54" t="n">
        <v>214</v>
      </c>
      <c r="B217" s="13" t="inlineStr">
        <is>
          <t>الإدارة المالية</t>
        </is>
      </c>
      <c r="C217" s="11" t="inlineStr">
        <is>
          <t>دقة مطابقة المخزون</t>
        </is>
      </c>
      <c r="D217" s="15" t="inlineStr">
        <is>
          <t>شهري</t>
        </is>
      </c>
      <c r="E217" s="15" t="inlineStr">
        <is>
          <t>معدل</t>
        </is>
      </c>
      <c r="F217" s="49" t="inlineStr">
        <is>
          <t>↑</t>
        </is>
      </c>
      <c r="G217" s="59" t="n">
        <v>0.995</v>
      </c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50">
        <f>IF(COUNT($H217:$S217)=0,"",SUM($H217:$S217)/COUNT($H217:$S217))</f>
        <v/>
      </c>
      <c r="U217" s="50">
        <f>IF($G217="","",IF($T217="","",MIN(1,IF($G217=0,IF($T217&lt;=0,1,0),IF($F217="↓",IFERROR($G217/$T217,0),IFERROR($T217/$G217,0))))))</f>
        <v/>
      </c>
      <c r="V217" s="54">
        <f>IF($U217="","⏳ بانتظار هدف",IF($U217&gt;=1.0,"✅ محقق",IF($U217&gt;=0.97,"🟡 قريب","🔴 تحت الهدف")))</f>
        <v/>
      </c>
      <c r="W217" s="61">
        <f>IF($G217="","",$G217)</f>
        <v/>
      </c>
      <c r="X217" s="54">
        <f>IF($U217="","—",IF($U217&gt;=0.97,"🟢 على المسار","🟠 متأخّر"))</f>
        <v/>
      </c>
    </row>
    <row r="218" ht="22" customHeight="1">
      <c r="A218" s="54" t="n">
        <v>215</v>
      </c>
      <c r="B218" s="13" t="inlineStr">
        <is>
          <t>الإدارة المالية</t>
        </is>
      </c>
      <c r="C218" s="11" t="inlineStr">
        <is>
          <t>دقة تسوية أرامكو</t>
        </is>
      </c>
      <c r="D218" s="15" t="inlineStr">
        <is>
          <t>شهري</t>
        </is>
      </c>
      <c r="E218" s="15" t="inlineStr">
        <is>
          <t>معدل</t>
        </is>
      </c>
      <c r="F218" s="49" t="inlineStr">
        <is>
          <t>↑</t>
        </is>
      </c>
      <c r="G218" s="59" t="n">
        <v>1</v>
      </c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50">
        <f>IF(COUNT($H218:$S218)=0,"",SUM($H218:$S218)/COUNT($H218:$S218))</f>
        <v/>
      </c>
      <c r="U218" s="50">
        <f>IF($G218="","",IF($T218="","",MIN(1,IF($G218=0,IF($T218&lt;=0,1,0),IF($F218="↓",IFERROR($G218/$T218,0),IFERROR($T218/$G218,0))))))</f>
        <v/>
      </c>
      <c r="V218" s="54">
        <f>IF($U218="","⏳ بانتظار هدف",IF($U218&gt;=1.0,"✅ محقق",IF($U218&gt;=0.97,"🟡 قريب","🔴 تحت الهدف")))</f>
        <v/>
      </c>
      <c r="W218" s="61">
        <f>IF($G218="","",$G218)</f>
        <v/>
      </c>
      <c r="X218" s="54">
        <f>IF($U218="","—",IF($U218&gt;=0.97,"🟢 على المسار","🟠 متأخّر"))</f>
        <v/>
      </c>
    </row>
    <row r="219" ht="22" customHeight="1">
      <c r="A219" s="54" t="n">
        <v>216</v>
      </c>
      <c r="B219" s="13" t="inlineStr">
        <is>
          <t>الإدارة المالية</t>
        </is>
      </c>
      <c r="C219" s="11" t="inlineStr">
        <is>
          <t>نسبة تحصيل الامتياز</t>
        </is>
      </c>
      <c r="D219" s="15" t="inlineStr">
        <is>
          <t>شهري</t>
        </is>
      </c>
      <c r="E219" s="15" t="inlineStr">
        <is>
          <t>معدل</t>
        </is>
      </c>
      <c r="F219" s="49" t="inlineStr">
        <is>
          <t>↑</t>
        </is>
      </c>
      <c r="G219" s="59" t="n">
        <v>0.98</v>
      </c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50">
        <f>IF(COUNT($H219:$S219)=0,"",SUM($H219:$S219)/COUNT($H219:$S219))</f>
        <v/>
      </c>
      <c r="U219" s="50">
        <f>IF($G219="","",IF($T219="","",MIN(1,IF($G219=0,IF($T219&lt;=0,1,0),IF($F219="↓",IFERROR($G219/$T219,0),IFERROR($T219/$G219,0))))))</f>
        <v/>
      </c>
      <c r="V219" s="54">
        <f>IF($U219="","⏳ بانتظار هدف",IF($U219&gt;=1.0,"✅ محقق",IF($U219&gt;=0.85,"🟡 قريب","🔴 تحت الهدف")))</f>
        <v/>
      </c>
      <c r="W219" s="61">
        <f>IF($G219="","",$G219)</f>
        <v/>
      </c>
      <c r="X219" s="54">
        <f>IF($U219="","—",IF($U219&gt;=0.85,"🟢 على المسار","🟠 متأخّر"))</f>
        <v/>
      </c>
    </row>
    <row r="220" ht="22" customHeight="1">
      <c r="A220" s="54" t="n">
        <v>217</v>
      </c>
      <c r="B220" s="13" t="inlineStr">
        <is>
          <t>الإدارة المالية</t>
        </is>
      </c>
      <c r="C220" s="11" t="inlineStr">
        <is>
          <t>أيام تحصيل رسوم الامتياز</t>
        </is>
      </c>
      <c r="D220" s="15" t="inlineStr">
        <is>
          <t>شهري</t>
        </is>
      </c>
      <c r="E220" s="15" t="inlineStr">
        <is>
          <t>معدل</t>
        </is>
      </c>
      <c r="F220" s="49" t="inlineStr">
        <is>
          <t>↓</t>
        </is>
      </c>
      <c r="G220" s="62" t="n">
        <v>15</v>
      </c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4">
        <f>IF(COUNT($H220:$S220)=0,"",SUM($H220:$S220)/COUNT($H220:$S220))</f>
        <v/>
      </c>
      <c r="U220" s="50">
        <f>IF($G220="","",IF($T220="","",MIN(1,IF($G220=0,IF($T220&lt;=0,1,0),IF($F220="↓",IFERROR($G220/$T220,0),IFERROR($T220/$G220,0))))))</f>
        <v/>
      </c>
      <c r="V220" s="54">
        <f>IF($U220="","⏳ بانتظار هدف",IF($U220&gt;=1.0,"✅ محقق",IF($U220&gt;=0.85,"🟡 قريب","🔴 تحت الهدف")))</f>
        <v/>
      </c>
      <c r="W220" s="65">
        <f>IF($G220="","",$G220)</f>
        <v/>
      </c>
      <c r="X220" s="54">
        <f>IF($U220="","—",IF($U220&gt;=0.85,"🟢 على المسار","🟠 متأخّر"))</f>
        <v/>
      </c>
    </row>
    <row r="221" ht="22" customHeight="1">
      <c r="A221" s="54" t="n">
        <v>218</v>
      </c>
      <c r="B221" s="13" t="inlineStr">
        <is>
          <t>الإدارة المالية</t>
        </is>
      </c>
      <c r="C221" s="11" t="inlineStr">
        <is>
          <t>نسبة تحصيل الإيجار</t>
        </is>
      </c>
      <c r="D221" s="15" t="inlineStr">
        <is>
          <t>شهري</t>
        </is>
      </c>
      <c r="E221" s="15" t="inlineStr">
        <is>
          <t>معدل</t>
        </is>
      </c>
      <c r="F221" s="49" t="inlineStr">
        <is>
          <t>↑</t>
        </is>
      </c>
      <c r="G221" s="59" t="n">
        <v>0.98</v>
      </c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50">
        <f>IF(COUNT($H221:$S221)=0,"",SUM($H221:$S221)/COUNT($H221:$S221))</f>
        <v/>
      </c>
      <c r="U221" s="50">
        <f>IF($G221="","",IF($T221="","",MIN(1,IF($G221=0,IF($T221&lt;=0,1,0),IF($F221="↓",IFERROR($G221/$T221,0),IFERROR($T221/$G221,0))))))</f>
        <v/>
      </c>
      <c r="V221" s="54">
        <f>IF($U221="","⏳ بانتظار هدف",IF($U221&gt;=1.0,"✅ محقق",IF($U221&gt;=0.85,"🟡 قريب","🔴 تحت الهدف")))</f>
        <v/>
      </c>
      <c r="W221" s="61">
        <f>IF($G221="","",$G221)</f>
        <v/>
      </c>
      <c r="X221" s="54">
        <f>IF($U221="","—",IF($U221&gt;=0.85,"🟢 على المسار","🟠 متأخّر"))</f>
        <v/>
      </c>
    </row>
    <row r="222" ht="22" customHeight="1">
      <c r="A222" s="54" t="n">
        <v>219</v>
      </c>
      <c r="B222" s="13" t="inlineStr">
        <is>
          <t>الإدارة المالية</t>
        </is>
      </c>
      <c r="C222" s="11" t="inlineStr">
        <is>
          <t>معدل تجديد عقود الإيجار</t>
        </is>
      </c>
      <c r="D222" s="15" t="inlineStr">
        <is>
          <t>شهري</t>
        </is>
      </c>
      <c r="E222" s="15" t="inlineStr">
        <is>
          <t>معدل</t>
        </is>
      </c>
      <c r="F222" s="49" t="inlineStr">
        <is>
          <t>↑</t>
        </is>
      </c>
      <c r="G222" s="59" t="n">
        <v>0.9</v>
      </c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50">
        <f>IF(COUNT($H222:$S222)=0,"",SUM($H222:$S222)/COUNT($H222:$S222))</f>
        <v/>
      </c>
      <c r="U222" s="50">
        <f>IF($G222="","",IF($T222="","",MIN(1,IF($G222=0,IF($T222&lt;=0,1,0),IF($F222="↓",IFERROR($G222/$T222,0),IFERROR($T222/$G222,0))))))</f>
        <v/>
      </c>
      <c r="V222" s="54">
        <f>IF($U222="","⏳ بانتظار هدف",IF($U222&gt;=1.0,"✅ محقق",IF($U222&gt;=0.85,"🟡 قريب","🔴 تحت الهدف")))</f>
        <v/>
      </c>
      <c r="W222" s="61">
        <f>IF($G222="","",$G222)</f>
        <v/>
      </c>
      <c r="X222" s="54">
        <f>IF($U222="","—",IF($U222&gt;=0.85,"🟢 على المسار","🟠 متأخّر"))</f>
        <v/>
      </c>
    </row>
    <row r="223" ht="22" customHeight="1">
      <c r="A223" s="54" t="n">
        <v>220</v>
      </c>
      <c r="B223" s="13" t="inlineStr">
        <is>
          <t>الإدارة المالية</t>
        </is>
      </c>
      <c r="C223" s="11" t="inlineStr">
        <is>
          <t>انحراف الموازنة</t>
        </is>
      </c>
      <c r="D223" s="15" t="inlineStr">
        <is>
          <t>ربعي</t>
        </is>
      </c>
      <c r="E223" s="15" t="inlineStr">
        <is>
          <t>معدل</t>
        </is>
      </c>
      <c r="F223" s="49" t="inlineStr">
        <is>
          <t>↓</t>
        </is>
      </c>
      <c r="G223" s="59" t="n">
        <v>0.1</v>
      </c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50">
        <f>IF(COUNT($H223:$S223)=0,"",SUM($H223:$S223)/COUNT($H223:$S223))</f>
        <v/>
      </c>
      <c r="U223" s="50">
        <f>IF($G223="","",IF($T223="","",MIN(1,IF($G223=0,IF($T223&lt;=0,1,0),IF($F223="↓",IFERROR($G223/$T223,0),IFERROR($T223/$G223,0))))))</f>
        <v/>
      </c>
      <c r="V223" s="54">
        <f>IF($U223="","⏳ بانتظار هدف",IF($U223&gt;=1.0,"✅ محقق",IF($U223&gt;=0.85,"🟡 قريب","🔴 تحت الهدف")))</f>
        <v/>
      </c>
      <c r="W223" s="61">
        <f>IF($G223="","",$G223)</f>
        <v/>
      </c>
      <c r="X223" s="54">
        <f>IF($U223="","—",IF($U223&gt;=0.85,"🟢 على المسار","🟠 متأخّر"))</f>
        <v/>
      </c>
    </row>
    <row r="224" ht="22" customHeight="1">
      <c r="A224" s="54" t="n">
        <v>221</v>
      </c>
      <c r="B224" s="13" t="inlineStr">
        <is>
          <t>الإدارة المالية</t>
        </is>
      </c>
      <c r="C224" s="11" t="inlineStr">
        <is>
          <t>أيام الإقفال الشهري</t>
        </is>
      </c>
      <c r="D224" s="15" t="inlineStr">
        <is>
          <t>شهري</t>
        </is>
      </c>
      <c r="E224" s="15" t="inlineStr">
        <is>
          <t>معدل</t>
        </is>
      </c>
      <c r="F224" s="49" t="inlineStr">
        <is>
          <t>↓</t>
        </is>
      </c>
      <c r="G224" s="62" t="n">
        <v>6</v>
      </c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4">
        <f>IF(COUNT($H224:$S224)=0,"",SUM($H224:$S224)/COUNT($H224:$S224))</f>
        <v/>
      </c>
      <c r="U224" s="50">
        <f>IF($G224="","",IF($T224="","",MIN(1,IF($G224=0,IF($T224&lt;=0,1,0),IF($F224="↓",IFERROR($G224/$T224,0),IFERROR($T224/$G224,0))))))</f>
        <v/>
      </c>
      <c r="V224" s="54">
        <f>IF($U224="","⏳ بانتظار هدف",IF($U224&gt;=1.0,"✅ محقق",IF($U224&gt;=0.85,"🟡 قريب","🔴 تحت الهدف")))</f>
        <v/>
      </c>
      <c r="W224" s="65">
        <f>IF($G224="","",$G224)</f>
        <v/>
      </c>
      <c r="X224" s="54">
        <f>IF($U224="","—",IF($U224&gt;=0.85,"🟢 على المسار","🟠 متأخّر"))</f>
        <v/>
      </c>
    </row>
    <row r="225" ht="22" customHeight="1">
      <c r="A225" s="54" t="n">
        <v>222</v>
      </c>
      <c r="B225" s="13" t="inlineStr">
        <is>
          <t>الإدارة المالية</t>
        </is>
      </c>
      <c r="C225" s="11" t="inlineStr">
        <is>
          <t>نسبة تسويات التدقيق</t>
        </is>
      </c>
      <c r="D225" s="15" t="inlineStr">
        <is>
          <t>ربعي</t>
        </is>
      </c>
      <c r="E225" s="15" t="inlineStr">
        <is>
          <t>معدل</t>
        </is>
      </c>
      <c r="F225" s="49" t="inlineStr">
        <is>
          <t>↓</t>
        </is>
      </c>
      <c r="G225" s="59" t="n">
        <v>0.02</v>
      </c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50">
        <f>IF(COUNT($H225:$S225)=0,"",SUM($H225:$S225)/COUNT($H225:$S225))</f>
        <v/>
      </c>
      <c r="U225" s="50">
        <f>IF($G225="","",IF($T225="","",MIN(1,IF($G225=0,IF($T225&lt;=0,1,0),IF($F225="↓",IFERROR($G225/$T225,0),IFERROR($T225/$G225,0))))))</f>
        <v/>
      </c>
      <c r="V225" s="54">
        <f>IF($U225="","⏳ بانتظار هدف",IF($U225&gt;=1.0,"✅ محقق",IF($U225&gt;=0.85,"🟡 قريب","🔴 تحت الهدف")))</f>
        <v/>
      </c>
      <c r="W225" s="61">
        <f>IF($G225="","",$G225)</f>
        <v/>
      </c>
      <c r="X225" s="54">
        <f>IF($U225="","—",IF($U225&gt;=0.85,"🟢 على المسار","🟠 متأخّر"))</f>
        <v/>
      </c>
    </row>
  </sheetData>
  <autoFilter ref="A3:X225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0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70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0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70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0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0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0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0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0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24" t="n">
        <v>0.149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24" t="n">
        <v>0.108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0.635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24" t="n">
        <v>0.108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12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21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96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0.08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بنزين 91 مقارنة بالعام السابق</t>
        </is>
      </c>
      <c r="D43" s="71" t="inlineStr">
        <is>
          <t>يقيس نمو مبيعات بنزين 91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0.08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نمو مبيعات بنزين 95 مقارنة بالعام السابق</t>
        </is>
      </c>
      <c r="D44" s="71" t="inlineStr">
        <is>
          <t>يقيس نمو مبيعات بنزين 95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59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نمو مبيعات بنزين 98 مقارنة بالعام السابق</t>
        </is>
      </c>
      <c r="D45" s="71" t="inlineStr">
        <is>
          <t>يقيس نمو مبيعات بنزين 98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59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1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نمو مبيعات الديزل مقارنة بالعام السابق</t>
        </is>
      </c>
      <c r="D46" s="71" t="inlineStr">
        <is>
          <t>يقيس نمو مبيعات الديزل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59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51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جاهزية المحطة الشاملة (Uptime)</t>
        </is>
      </c>
      <c r="D47" s="71" t="inlineStr">
        <is>
          <t>يقيس نسبة جاهزية المحطة الشاملة (Uptime) ضمن محور «حماية الإيراد»،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59" t="n">
        <v>0.07000000000000001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المضخات العاملة</t>
        </is>
      </c>
      <c r="D48" s="71" t="inlineStr">
        <is>
          <t>يقيس نسبة المضخات العاملة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59" t="n">
        <v>0.05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51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تكلفة التشغيل لكل لتر مباع</t>
        </is>
      </c>
      <c r="D49" s="71" t="inlineStr">
        <is>
          <t>يقيس تكلفة التشغيل لكل لتر مباع ضمن محور «ضغط التكلفة»،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مالي</t>
        </is>
      </c>
      <c r="I49" s="59" t="n">
        <v>0.05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ربعي</t>
        </is>
      </c>
      <c r="M49" s="15" t="inlineStr">
        <is>
          <t>مدير التشغيل</t>
        </is>
      </c>
      <c r="N49" s="51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الصيانة الوقائية المنفذة في موعدها</t>
        </is>
      </c>
      <c r="D50" s="71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59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1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انخفاض الشكاوى مقارنة بالشهر السابق</t>
        </is>
      </c>
      <c r="D51" s="71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59" t="n">
        <v>0.05</v>
      </c>
      <c r="J51" s="15" t="inlineStr">
        <is>
          <t>مدير التشغيل</t>
        </is>
      </c>
      <c r="K51" s="11" t="inlineStr">
        <is>
          <t>سجلات الإدارة</t>
        </is>
      </c>
      <c r="L51" s="15" t="inlineStr">
        <is>
          <t>شهري</t>
        </is>
      </c>
      <c r="M51" s="15" t="inlineStr">
        <is>
          <t>مدير التشغيل</t>
        </is>
      </c>
      <c r="N51" s="51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تقييم Google Maps للمحطات</t>
        </is>
      </c>
      <c r="D52" s="71" t="inlineStr">
        <is>
          <t>يقيس تقييم Google Maps للمحطات ضمن محور «تجربة العميل»، ويعكس مساهمة الإدارة في ركيزة الاستدامة.</t>
        </is>
      </c>
      <c r="E52" s="11" t="inlineStr">
        <is>
          <t>متوسط التقييم (من 5)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59" t="n">
        <v>0.07000000000000001</v>
      </c>
      <c r="J52" s="15" t="inlineStr">
        <is>
          <t>مدير التشغيل</t>
        </is>
      </c>
      <c r="K52" s="11" t="inlineStr">
        <is>
          <t>تقييمات خرائط قوقل</t>
        </is>
      </c>
      <c r="L52" s="15" t="inlineStr">
        <is>
          <t>شهري</t>
        </is>
      </c>
      <c r="M52" s="15" t="inlineStr">
        <is>
          <t>مدير التشغيل</t>
        </is>
      </c>
      <c r="N52" s="51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سرعة تعبئة الوقود</t>
        </is>
      </c>
      <c r="D53" s="71" t="inlineStr">
        <is>
          <t>يقيس سرعة تعبئة الوقود ضمن محور «تجربة العميل»، ويعكس مساهمة الإدارة في ركيزة الاستدامة.</t>
        </is>
      </c>
      <c r="E53" s="11" t="inlineStr">
        <is>
          <t>متوسط دقيقة خلال الفترة</t>
        </is>
      </c>
      <c r="F53" s="15" t="inlineStr">
        <is>
          <t>🔧 تشغيلي</t>
        </is>
      </c>
      <c r="G53" s="11" t="inlineStr">
        <is>
          <t>الاستدامة · تعزيز تجربة العملاء</t>
        </is>
      </c>
      <c r="H53" s="15" t="inlineStr">
        <is>
          <t>العمليات الداخلية</t>
        </is>
      </c>
      <c r="I53" s="59" t="n">
        <v>0.05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شهري</t>
        </is>
      </c>
      <c r="M53" s="15" t="inlineStr">
        <is>
          <t>مدير التشغيل</t>
        </is>
      </c>
      <c r="N53" s="51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دقة التعبئة بدون أخطاء</t>
        </is>
      </c>
      <c r="D54" s="71" t="inlineStr">
        <is>
          <t>يقيس دقة التعبئة بدون أخطاء ضمن محور «تجربة العميل»،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جودة التشغيل</t>
        </is>
      </c>
      <c r="H54" s="15" t="inlineStr">
        <is>
          <t>العمليات الداخلية</t>
        </is>
      </c>
      <c r="I54" s="59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51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تطبيق المعيار الشامل في المحطات</t>
        </is>
      </c>
      <c r="D55" s="71" t="inlineStr">
        <is>
          <t>يقيس تطبيق المعيار الشامل في المحطات ضمن محور «تجربة العميل»، ويعكس مساهمة الإدارة في ركيزة الابتكار.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الابتكار · التحول التقني</t>
        </is>
      </c>
      <c r="H55" s="15" t="inlineStr">
        <is>
          <t>التعلّم والنمو</t>
        </is>
      </c>
      <c r="I55" s="59" t="n">
        <v>0.02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51" t="n"/>
    </row>
    <row r="56" ht="30" customHeight="1">
      <c r="A56" s="15" t="n">
        <v>54</v>
      </c>
      <c r="B56" s="13" t="inlineStr">
        <is>
          <t>التشغيل والمحطات</t>
        </is>
      </c>
      <c r="C56" s="21" t="inlineStr">
        <is>
          <t>الالتزام بمعايير السلامة داخل المحطة</t>
        </is>
      </c>
      <c r="D56" s="71" t="inlineStr">
        <is>
          <t>يقيس الالتزام بمعايير السلامة داخل المحطة ضمن محور «السلامة»، ويعكس مساهمة الإدارة في ركيزة الاستدامة.</t>
        </is>
      </c>
      <c r="E56" s="11" t="inlineStr">
        <is>
          <t>(المتحقّق ÷ الإجمالي) × 100٪</t>
        </is>
      </c>
      <c r="F56" s="15" t="inlineStr">
        <is>
          <t>🎯 نتيجة</t>
        </is>
      </c>
      <c r="G56" s="11" t="inlineStr">
        <is>
          <t>الاستدامة · جودة التشغيل</t>
        </is>
      </c>
      <c r="H56" s="15" t="inlineStr">
        <is>
          <t>العمليات الداخلية</t>
        </is>
      </c>
      <c r="I56" s="59" t="n">
        <v>0.07000000000000001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51" t="n"/>
    </row>
    <row r="57" ht="30" customHeight="1">
      <c r="A57" s="15" t="n">
        <v>55</v>
      </c>
      <c r="B57" s="13" t="inlineStr">
        <is>
          <t>التشغيل والمحطات</t>
        </is>
      </c>
      <c r="C57" s="21" t="inlineStr">
        <is>
          <t>التشجير داخل المحطة (معيار الوزارة)</t>
        </is>
      </c>
      <c r="D57" s="71" t="inlineStr">
        <is>
          <t>يقيس التشجير داخل المحطة (معيار الوزارة) ضمن محور «البيئة»،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9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51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إجمالي عقود الاستثمار الجديدة (جميع النماذج)</t>
        </is>
      </c>
      <c r="D58" s="71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59" t="n">
        <v>0.05</v>
      </c>
      <c r="J58" s="15" t="inlineStr">
        <is>
          <t>مدير الاستثمار</t>
        </is>
      </c>
      <c r="K58" s="11" t="inlineStr">
        <is>
          <t>نظام إدارة العقود (CRM)</t>
        </is>
      </c>
      <c r="L58" s="15" t="inlineStr">
        <is>
          <t>شهري</t>
        </is>
      </c>
      <c r="M58" s="15" t="inlineStr">
        <is>
          <t>مدير الاستثمار</t>
        </is>
      </c>
      <c r="N58" s="51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عقود الاستثمار العادي الجديدة</t>
        </is>
      </c>
      <c r="D59" s="71" t="inlineStr">
        <is>
          <t>يقيس عقود الاستثمار العادي الجديدة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59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51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عقود الاستحواذ الجديدة</t>
        </is>
      </c>
      <c r="D60" s="71" t="inlineStr">
        <is>
          <t>يقيس عقود الاستحواذ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59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1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المحطات المستحوَذ عليها المشغّلة (تراكمي)</t>
        </is>
      </c>
      <c r="D61" s="71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59" t="n">
        <v>0.05</v>
      </c>
      <c r="J61" s="15" t="inlineStr">
        <is>
          <t>مدير الاستثمار</t>
        </is>
      </c>
      <c r="K61" s="11" t="inlineStr">
        <is>
          <t>نظام تشغيل المحطات</t>
        </is>
      </c>
      <c r="L61" s="15" t="inlineStr">
        <is>
          <t>شهري</t>
        </is>
      </c>
      <c r="M61" s="15" t="inlineStr">
        <is>
          <t>مدير الاستثمار</t>
        </is>
      </c>
      <c r="N61" s="51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عقود تأجير الأرض الجديدة</t>
        </is>
      </c>
      <c r="D62" s="71" t="inlineStr">
        <is>
          <t>يقيس عقود تأجير الأرض الجديدة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59" t="n">
        <v>0.05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1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عقود إيجار المحطة الجديدة</t>
        </is>
      </c>
      <c r="D63" s="71" t="inlineStr">
        <is>
          <t>يقيس عقود إيجار المحطة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59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51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عقود تشغيل المحطة الجديدة</t>
        </is>
      </c>
      <c r="D64" s="71" t="inlineStr">
        <is>
          <t>يقيس عقود تشغيل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59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51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المواقع المعتمدة ذات العائد المجدي</t>
        </is>
      </c>
      <c r="D65" s="71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جودة التشغيل</t>
        </is>
      </c>
      <c r="H65" s="15" t="inlineStr">
        <is>
          <t>مالي</t>
        </is>
      </c>
      <c r="I65" s="59" t="n">
        <v>0.05</v>
      </c>
      <c r="J65" s="15" t="inlineStr">
        <is>
          <t>مدير الاستثمار</t>
        </is>
      </c>
      <c r="K65" s="11" t="inlineStr">
        <is>
          <t>نظام المحاسبة / ERP (D365)</t>
        </is>
      </c>
      <c r="L65" s="15" t="inlineStr">
        <is>
          <t>شهري</t>
        </is>
      </c>
      <c r="M65" s="15" t="inlineStr">
        <is>
          <t>الإدارة المالية</t>
        </is>
      </c>
      <c r="N65" s="51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متوسط فترة استرداد رأس المال</t>
        </is>
      </c>
      <c r="D66" s="71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6" s="11" t="inlineStr">
        <is>
          <t>متوسط سنة خلال الفترة</t>
        </is>
      </c>
      <c r="F66" s="15" t="inlineStr">
        <is>
          <t>🔧 تشغيلي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59" t="n">
        <v>0.03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51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متوسط قيمة عقد الإيجار السنوي (أرض)</t>
        </is>
      </c>
      <c r="D67" s="71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7" s="11" t="inlineStr">
        <is>
          <t>إجمالي القيمة (ر.س) خلال الفترة</t>
        </is>
      </c>
      <c r="F67" s="15" t="inlineStr">
        <is>
          <t>🎯 نتيجة</t>
        </is>
      </c>
      <c r="G67" s="11" t="inlineStr">
        <is>
          <t>النمو · التوسع في المواقع</t>
        </is>
      </c>
      <c r="H67" s="15" t="inlineStr">
        <is>
          <t>مالي</t>
        </is>
      </c>
      <c r="I67" s="59" t="n">
        <v>0.05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51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نسبة العقود التي تغطي المناطق الـ13</t>
        </is>
      </c>
      <c r="D68" s="71" t="inlineStr">
        <is>
          <t>يقيس نسبة العقود التي تغطي المناطق الـ13 ضمن محور «التوسع الإقليمي»،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النمو · التوسع في المواقع</t>
        </is>
      </c>
      <c r="H68" s="15" t="inlineStr">
        <is>
          <t>العمليات الداخلية</t>
        </is>
      </c>
      <c r="I68" s="59" t="n">
        <v>0.05</v>
      </c>
      <c r="J68" s="15" t="inlineStr">
        <is>
          <t>مدير الاستثمار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الاستثمار</t>
        </is>
      </c>
      <c r="N68" s="51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نسبة العقود خارج المدن الرئيسية</t>
        </is>
      </c>
      <c r="D69" s="71" t="inlineStr">
        <is>
          <t>يقيس نسبة العقود خارج المدن الرئيسية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59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51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نسبة العقود في الـ12 مدينة الرئيسية</t>
        </is>
      </c>
      <c r="D70" s="71" t="inlineStr">
        <is>
          <t>يقيس نسبة العقود في الـ12 مدينة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59" t="n">
        <v>0.05</v>
      </c>
      <c r="J70" s="15" t="inlineStr">
        <is>
          <t>مدير الاستثمار</t>
        </is>
      </c>
      <c r="K70" s="11" t="inlineStr">
        <is>
          <t>نظام المحاسبة / ERP (D365)</t>
        </is>
      </c>
      <c r="L70" s="15" t="inlineStr">
        <is>
          <t>شهري</t>
        </is>
      </c>
      <c r="M70" s="15" t="inlineStr">
        <is>
          <t>الإدارة المالية</t>
        </is>
      </c>
      <c r="N70" s="51" t="n"/>
    </row>
    <row r="71" ht="30" customHeight="1">
      <c r="A71" s="15" t="n">
        <v>69</v>
      </c>
      <c r="B71" s="13" t="inlineStr">
        <is>
          <t>الاستثمار</t>
        </is>
      </c>
      <c r="C71" s="21" t="inlineStr">
        <is>
          <t>نسبة العقود على الطرق الإقليمية</t>
        </is>
      </c>
      <c r="D71" s="71" t="inlineStr">
        <is>
          <t>يقيس نسبة العقود على الطرق الإقليمية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59" t="n">
        <v>0.05</v>
      </c>
      <c r="J71" s="15" t="inlineStr">
        <is>
          <t>مدير الاستثمار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الاستثمار</t>
        </is>
      </c>
      <c r="N71" s="51" t="n"/>
    </row>
    <row r="72" ht="30" customHeight="1">
      <c r="A72" s="15" t="n">
        <v>70</v>
      </c>
      <c r="B72" s="13" t="inlineStr">
        <is>
          <t>الاستثمار</t>
        </is>
      </c>
      <c r="C72" s="21" t="inlineStr">
        <is>
          <t>متوسط مدة إغلاق عقد الاستثمار</t>
        </is>
      </c>
      <c r="D72" s="71" t="inlineStr">
        <is>
          <t>يقيس متوسط مدة إغلاق عقد الاستثمار ضمن محور «كفاءة الدورة»، ويعكس مساهمة الإدارة في ركيزة النمو.</t>
        </is>
      </c>
      <c r="E72" s="11" t="inlineStr">
        <is>
          <t>متوسط أسبوع خلال الفترة</t>
        </is>
      </c>
      <c r="F72" s="15" t="inlineStr">
        <is>
          <t>🎯 نتيجة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59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51" t="n"/>
    </row>
    <row r="73" ht="30" customHeight="1">
      <c r="A73" s="15" t="n">
        <v>71</v>
      </c>
      <c r="B73" s="13" t="inlineStr">
        <is>
          <t>الاستثمار</t>
        </is>
      </c>
      <c r="C73" s="21" t="inlineStr">
        <is>
          <t>نسبة العقود المتحوّلة لمحطات مشغّلة</t>
        </is>
      </c>
      <c r="D73" s="71" t="inlineStr">
        <is>
          <t>يقيس نسبة العقود المتحوّلة لمحطات مشغّلة ضمن محور «كفاءة الدورة»، ويعكس مساهمة الإدارة في ركيزة النمو.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59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51" t="n"/>
    </row>
    <row r="74" ht="30" customHeight="1">
      <c r="A74" s="15" t="n">
        <v>72</v>
      </c>
      <c r="B74" s="13" t="inlineStr">
        <is>
          <t>الاستثمار</t>
        </is>
      </c>
      <c r="C74" s="21" t="inlineStr">
        <is>
          <t>نسبة تخفيض إيجار المواقع عالية التكاليف</t>
        </is>
      </c>
      <c r="D74" s="71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59" t="n">
        <v>0.03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51" t="n"/>
    </row>
    <row r="75" ht="30" customHeight="1">
      <c r="A75" s="15" t="n">
        <v>73</v>
      </c>
      <c r="B75" s="13" t="inlineStr">
        <is>
          <t>الاستثمار</t>
        </is>
      </c>
      <c r="C75" s="21" t="inlineStr">
        <is>
          <t>نسبة اكتمال المستندات النظامية قبل التوقيع</t>
        </is>
      </c>
      <c r="D75" s="71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⚙️ نشاط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59" t="n">
        <v>0.01</v>
      </c>
      <c r="J75" s="15" t="inlineStr">
        <is>
          <t>مدير الاستثمار</t>
        </is>
      </c>
      <c r="K75" s="11" t="inlineStr">
        <is>
          <t>نظام إدارة الجودة (QMS)</t>
        </is>
      </c>
      <c r="L75" s="15" t="inlineStr">
        <is>
          <t>شهري</t>
        </is>
      </c>
      <c r="M75" s="15" t="inlineStr">
        <is>
          <t>مدير الاستثمار</t>
        </is>
      </c>
      <c r="N75" s="51" t="n"/>
    </row>
    <row r="76" ht="30" customHeight="1">
      <c r="A76" s="15" t="n">
        <v>74</v>
      </c>
      <c r="B76" s="13" t="inlineStr">
        <is>
          <t>الاستثمار</t>
        </is>
      </c>
      <c r="C76" s="21" t="inlineStr">
        <is>
          <t>نسبة العقود المؤرشفة إلكترونياً خلال 48 ساعة</t>
        </is>
      </c>
      <c r="D76" s="71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9" t="n">
        <v>0.05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51" t="n"/>
    </row>
    <row r="77" ht="30" customHeight="1">
      <c r="A77" s="15" t="n">
        <v>75</v>
      </c>
      <c r="B77" s="13" t="inlineStr">
        <is>
          <t>الاستثمار</t>
        </is>
      </c>
      <c r="C77" s="21" t="inlineStr">
        <is>
          <t>جودة التفاوض مع المستثمرين</t>
        </is>
      </c>
      <c r="D77" s="71" t="inlineStr">
        <is>
          <t>يقيس جودة التفاوض مع المستثمرين ضمن محور «جودة التعاقد»، ويعكس مساهمة الإدارة في ركيزة النمو.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النمو · التوسع في المواقع</t>
        </is>
      </c>
      <c r="H77" s="15" t="inlineStr">
        <is>
          <t>العمليات الداخلية</t>
        </is>
      </c>
      <c r="I77" s="59" t="n">
        <v>0.03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51" t="n"/>
    </row>
    <row r="78" ht="30" customHeight="1">
      <c r="A78" s="15" t="n">
        <v>76</v>
      </c>
      <c r="B78" s="13" t="inlineStr">
        <is>
          <t>الاستثمار</t>
        </is>
      </c>
      <c r="C78" s="21" t="inlineStr">
        <is>
          <t>سرعة إنجاز إجراءات التعاقد</t>
        </is>
      </c>
      <c r="D78" s="71" t="inlineStr">
        <is>
          <t>يقيس سرعة إنجاز إجراءات التعاقد ضمن محور «جودة التعاقد»، ويعكس مساهمة الإدارة في ركيزة النمو.</t>
        </is>
      </c>
      <c r="E78" s="11" t="inlineStr">
        <is>
          <t>متوسط أسبوع خلال الفترة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59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51" t="n"/>
    </row>
    <row r="79" ht="30" customHeight="1">
      <c r="A79" s="15" t="n">
        <v>77</v>
      </c>
      <c r="B79" s="13" t="inlineStr">
        <is>
          <t>الاستثمار</t>
        </is>
      </c>
      <c r="C79" s="21" t="inlineStr">
        <is>
          <t>مدى رضا المستثمرين وشركاء الاستثمار</t>
        </is>
      </c>
      <c r="D79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تعزيز تجربة العملاء</t>
        </is>
      </c>
      <c r="H79" s="15" t="inlineStr">
        <is>
          <t>العملاء</t>
        </is>
      </c>
      <c r="I79" s="59" t="n">
        <v>0.05</v>
      </c>
      <c r="J79" s="15" t="inlineStr">
        <is>
          <t>مدير الاستثمار</t>
        </is>
      </c>
      <c r="K79" s="11" t="inlineStr">
        <is>
          <t>استبيان دوري</t>
        </is>
      </c>
      <c r="L79" s="15" t="inlineStr">
        <is>
          <t>ربعي</t>
        </is>
      </c>
      <c r="M79" s="15" t="inlineStr">
        <is>
          <t>مدير الاستثمار</t>
        </is>
      </c>
      <c r="N79" s="51" t="n"/>
    </row>
    <row r="80" ht="30" customHeight="1">
      <c r="A80" s="15" t="n">
        <v>78</v>
      </c>
      <c r="B80" s="13" t="inlineStr">
        <is>
          <t>الاستثمار</t>
        </is>
      </c>
      <c r="C80" s="21" t="inlineStr">
        <is>
          <t>نسبة اكتمال أرشفة ملفات العملاء</t>
        </is>
      </c>
      <c r="D80" s="71" t="inlineStr">
        <is>
          <t>يقيس نسبة اكتمال أرشفة ملفات العملاء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⚙️ نشاط</t>
        </is>
      </c>
      <c r="G80" s="11" t="inlineStr">
        <is>
          <t>الاستدامة · جودة التشغيل</t>
        </is>
      </c>
      <c r="H80" s="15" t="inlineStr">
        <is>
          <t>العملاء</t>
        </is>
      </c>
      <c r="I80" s="59" t="n">
        <v>0.01</v>
      </c>
      <c r="J80" s="15" t="inlineStr">
        <is>
          <t>مدير الاستثمار</t>
        </is>
      </c>
      <c r="K80" s="11" t="inlineStr">
        <is>
          <t>نظام إدارة الجودة (QMS)</t>
        </is>
      </c>
      <c r="L80" s="15" t="inlineStr">
        <is>
          <t>شهري</t>
        </is>
      </c>
      <c r="M80" s="15" t="inlineStr">
        <is>
          <t>مدير الاستثمار</t>
        </is>
      </c>
      <c r="N80" s="51" t="n"/>
    </row>
    <row r="81" ht="30" customHeight="1">
      <c r="A81" s="15" t="n">
        <v>79</v>
      </c>
      <c r="B81" s="13" t="inlineStr">
        <is>
          <t>الاستثمار</t>
        </is>
      </c>
      <c r="C81" s="21" t="inlineStr">
        <is>
          <t>نسبة إنجاز التقارير الدورية في موعدها</t>
        </is>
      </c>
      <c r="D81" s="71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59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51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نمو الإيرادات الإيجارية</t>
        </is>
      </c>
      <c r="D82" s="71" t="inlineStr">
        <is>
          <t>يقيس نمو الإيرادات الإيجارية ضمن محور «الإدارة»،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منظومة التأجير</t>
        </is>
      </c>
      <c r="H82" s="15" t="inlineStr">
        <is>
          <t>مالي</t>
        </is>
      </c>
      <c r="I82" s="59" t="n">
        <v>0.08</v>
      </c>
      <c r="J82" s="15" t="inlineStr">
        <is>
          <t>مدير العقار</t>
        </is>
      </c>
      <c r="K82" s="11" t="inlineStr">
        <is>
          <t>نظام المحاسبة / ERP (D365)</t>
        </is>
      </c>
      <c r="L82" s="15" t="inlineStr">
        <is>
          <t>ربعي</t>
        </is>
      </c>
      <c r="M82" s="15" t="inlineStr">
        <is>
          <t>الإدارة المالية</t>
        </is>
      </c>
      <c r="N82" s="51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نسبة الالتزام بالعقود</t>
        </is>
      </c>
      <c r="D83" s="71" t="inlineStr">
        <is>
          <t>يقيس نسبة الالتزام بالعقود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العمليات الداخلية</t>
        </is>
      </c>
      <c r="I83" s="59" t="n">
        <v>0.08</v>
      </c>
      <c r="J83" s="15" t="inlineStr">
        <is>
          <t>مدير العقار</t>
        </is>
      </c>
      <c r="K83" s="11" t="inlineStr">
        <is>
          <t>نظام إدارة العقود (CRM)</t>
        </is>
      </c>
      <c r="L83" s="15" t="inlineStr">
        <is>
          <t>شهري</t>
        </is>
      </c>
      <c r="M83" s="15" t="inlineStr">
        <is>
          <t>مدير العقار</t>
        </is>
      </c>
      <c r="N83" s="51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نسبة تحصيل الإيجارات</t>
        </is>
      </c>
      <c r="D84" s="71" t="inlineStr">
        <is>
          <t>يقيس نسبة تحصيل الإيجارات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مالي</t>
        </is>
      </c>
      <c r="I84" s="59" t="n">
        <v>0.08</v>
      </c>
      <c r="J84" s="15" t="inlineStr">
        <is>
          <t>مدير العقار</t>
        </is>
      </c>
      <c r="K84" s="11" t="inlineStr">
        <is>
          <t>نظام المحاسبة / ERP (D365)</t>
        </is>
      </c>
      <c r="L84" s="15" t="inlineStr">
        <is>
          <t>شهري</t>
        </is>
      </c>
      <c r="M84" s="15" t="inlineStr">
        <is>
          <t>الإدارة المالية</t>
        </is>
      </c>
      <c r="N84" s="51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نسبة الإشغال</t>
        </is>
      </c>
      <c r="D85" s="71" t="inlineStr">
        <is>
          <t>يقيس نسبة الإشغال ضمن محور «التأجير»،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العمليات الداخلية</t>
        </is>
      </c>
      <c r="I85" s="59" t="n">
        <v>0.08</v>
      </c>
      <c r="J85" s="15" t="inlineStr">
        <is>
          <t>مدير العقار</t>
        </is>
      </c>
      <c r="K85" s="11" t="inlineStr">
        <is>
          <t>نظام إدارة العقود (CRM)</t>
        </is>
      </c>
      <c r="L85" s="15" t="inlineStr">
        <is>
          <t>شهري</t>
        </is>
      </c>
      <c r="M85" s="15" t="inlineStr">
        <is>
          <t>مدير العقار</t>
        </is>
      </c>
      <c r="N85" s="51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الوحدات المؤجَّرة شهرياً</t>
        </is>
      </c>
      <c r="D86" s="71" t="inlineStr">
        <is>
          <t>يقيس الوحدات المؤجَّرة شهرياً ضمن محور «التأجير»، ويعكس مساهمة الإدارة في ركيزة الاستدامة.</t>
        </is>
      </c>
      <c r="E86" s="11" t="inlineStr">
        <is>
          <t>إجمالي العدد خلال الفترة</t>
        </is>
      </c>
      <c r="F86" s="15" t="inlineStr">
        <is>
          <t>🔧 تشغيلي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59" t="n">
        <v>0.05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51" t="n"/>
    </row>
    <row r="87" ht="30" customHeight="1">
      <c r="A87" s="15" t="n">
        <v>85</v>
      </c>
      <c r="B87" s="13" t="inlineStr">
        <is>
          <t>العقار</t>
        </is>
      </c>
      <c r="C87" s="21" t="inlineStr">
        <is>
          <t>العملاء المحتملون (LEADS)</t>
        </is>
      </c>
      <c r="D87" s="71" t="inlineStr">
        <is>
          <t>يقيس العملاء المحتملون (LEADS) ضمن محور «التأجير»، ويعكس مساهمة الإدارة في ركيزة النمو.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النمو · زيادة وصول العملاء</t>
        </is>
      </c>
      <c r="H87" s="15" t="inlineStr">
        <is>
          <t>العملاء</t>
        </is>
      </c>
      <c r="I87" s="59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51" t="n"/>
    </row>
    <row r="88" ht="30" customHeight="1">
      <c r="A88" s="15" t="n">
        <v>86</v>
      </c>
      <c r="B88" s="13" t="inlineStr">
        <is>
          <t>العقار</t>
        </is>
      </c>
      <c r="C88" s="21" t="inlineStr">
        <is>
          <t>معدل التحويل</t>
        </is>
      </c>
      <c r="D88" s="71" t="inlineStr">
        <is>
          <t>يقيس معدل التحويل ضمن محور «التأجير»، ويعكس مساهمة الإدارة في ركيزة النمو.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العمليات الداخلية</t>
        </is>
      </c>
      <c r="I88" s="59" t="n">
        <v>0.08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51" t="n"/>
    </row>
    <row r="89" ht="30" customHeight="1">
      <c r="A89" s="15" t="n">
        <v>87</v>
      </c>
      <c r="B89" s="13" t="inlineStr">
        <is>
          <t>العقار</t>
        </is>
      </c>
      <c r="C89" s="21" t="inlineStr">
        <is>
          <t>زيادة عدد العلامات التجارية</t>
        </is>
      </c>
      <c r="D89" s="71" t="inlineStr">
        <is>
          <t>يقيس زيادة عدد العلامات التجارية ضمن محور «التأجير»، ويعكس مساهمة الإدارة في ركيزة الاستدامة.</t>
        </is>
      </c>
      <c r="E89" s="11" t="inlineStr">
        <is>
          <t>إجمالي العدد خلال الفترة</t>
        </is>
      </c>
      <c r="F89" s="15" t="inlineStr">
        <is>
          <t>⚙️ نشاط</t>
        </is>
      </c>
      <c r="G89" s="11" t="inlineStr">
        <is>
          <t>الاستدامة · منظومة التأجير</t>
        </is>
      </c>
      <c r="H89" s="15" t="inlineStr">
        <is>
          <t>العمليات الداخلية</t>
        </is>
      </c>
      <c r="I89" s="59" t="n">
        <v>0.05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51" t="n"/>
    </row>
    <row r="90" ht="30" customHeight="1">
      <c r="A90" s="15" t="n">
        <v>88</v>
      </c>
      <c r="B90" s="13" t="inlineStr">
        <is>
          <t>العقار</t>
        </is>
      </c>
      <c r="C90" s="21" t="inlineStr">
        <is>
          <t>نسبة تأجير ساحة درب</t>
        </is>
      </c>
      <c r="D90" s="71" t="inlineStr">
        <is>
          <t>يقيس نسبة تأجير ساحة درب ضمن محور «الإبداع والتكامل»، ويعكس مساهمة الإدارة في ركيزة الابتكار.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الابتكار · ساحات درب</t>
        </is>
      </c>
      <c r="H90" s="15" t="inlineStr">
        <is>
          <t>العمليات الداخلية</t>
        </is>
      </c>
      <c r="I90" s="59" t="n">
        <v>0.05</v>
      </c>
      <c r="J90" s="15" t="inlineStr">
        <is>
          <t>مدير العقار</t>
        </is>
      </c>
      <c r="K90" s="11" t="inlineStr">
        <is>
          <t>مكتب إدارة المشاريع (PMO)</t>
        </is>
      </c>
      <c r="L90" s="15" t="inlineStr">
        <is>
          <t>شهري</t>
        </is>
      </c>
      <c r="M90" s="15" t="inlineStr">
        <is>
          <t>مدير العقار</t>
        </is>
      </c>
      <c r="N90" s="51" t="n"/>
    </row>
    <row r="91" ht="30" customHeight="1">
      <c r="A91" s="15" t="n">
        <v>89</v>
      </c>
      <c r="B91" s="13" t="inlineStr">
        <is>
          <t>العقار</t>
        </is>
      </c>
      <c r="C91" s="21" t="inlineStr">
        <is>
          <t>علامات تجارية جديدة (ساحة درب)</t>
        </is>
      </c>
      <c r="D91" s="71" t="inlineStr">
        <is>
          <t>يقيس علامات تجارية جديدة (ساحة درب) ضمن محور «الإبداع والتكامل»، ويعكس مساهمة الإدارة في ركيزة الابتكار.</t>
        </is>
      </c>
      <c r="E91" s="11" t="inlineStr">
        <is>
          <t>إجمالي العدد خلال الفترة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59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51" t="n"/>
    </row>
    <row r="92" ht="30" customHeight="1">
      <c r="A92" s="15" t="n">
        <v>90</v>
      </c>
      <c r="B92" s="13" t="inlineStr">
        <is>
          <t>العقار</t>
        </is>
      </c>
      <c r="C92" s="21" t="inlineStr">
        <is>
          <t>الشراكات الاستراتيجية</t>
        </is>
      </c>
      <c r="D92" s="71" t="inlineStr">
        <is>
          <t>يقيس الشراكات الاستراتيجية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إطلاق مشاريع جديدة</t>
        </is>
      </c>
      <c r="H92" s="15" t="inlineStr">
        <is>
          <t>التعلّم والنمو</t>
        </is>
      </c>
      <c r="I92" s="59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51" t="n"/>
    </row>
    <row r="93" ht="30" customHeight="1">
      <c r="A93" s="15" t="n">
        <v>91</v>
      </c>
      <c r="B93" s="13" t="inlineStr">
        <is>
          <t>العقار</t>
        </is>
      </c>
      <c r="C93" s="21" t="inlineStr">
        <is>
          <t>نسبة تجديد العقود</t>
        </is>
      </c>
      <c r="D93" s="71" t="inlineStr">
        <is>
          <t>يقيس نسبة تجديد العقود ضمن محور «إدارة الأملاك»،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منظومة التأجير</t>
        </is>
      </c>
      <c r="H93" s="15" t="inlineStr">
        <is>
          <t>العمليات الداخلية</t>
        </is>
      </c>
      <c r="I93" s="59" t="n">
        <v>0.08</v>
      </c>
      <c r="J93" s="15" t="inlineStr">
        <is>
          <t>مدير العقار</t>
        </is>
      </c>
      <c r="K93" s="11" t="inlineStr">
        <is>
          <t>نظام إدارة العقود (CRM)</t>
        </is>
      </c>
      <c r="L93" s="15" t="inlineStr">
        <is>
          <t>شهري</t>
        </is>
      </c>
      <c r="M93" s="15" t="inlineStr">
        <is>
          <t>مدير العقار</t>
        </is>
      </c>
      <c r="N93" s="51" t="n"/>
    </row>
    <row r="94" ht="30" customHeight="1">
      <c r="A94" s="15" t="n">
        <v>92</v>
      </c>
      <c r="B94" s="13" t="inlineStr">
        <is>
          <t>العقار</t>
        </is>
      </c>
      <c r="C94" s="21" t="inlineStr">
        <is>
          <t>متوسط زمن تسليم الوحدة</t>
        </is>
      </c>
      <c r="D94" s="71" t="inlineStr">
        <is>
          <t>يقيس متوسط زمن تسليم الوحدة ضمن محور «تنسيق المشاريع»،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🔧 تشغيلي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59" t="n">
        <v>0.05</v>
      </c>
      <c r="J94" s="15" t="inlineStr">
        <is>
          <t>مدير العقار</t>
        </is>
      </c>
      <c r="K94" s="11" t="inlineStr">
        <is>
          <t>سجلات الإدارة</t>
        </is>
      </c>
      <c r="L94" s="15" t="inlineStr">
        <is>
          <t>شهري</t>
        </is>
      </c>
      <c r="M94" s="15" t="inlineStr">
        <is>
          <t>مدير العقار</t>
        </is>
      </c>
      <c r="N94" s="51" t="n"/>
    </row>
    <row r="95" ht="30" customHeight="1">
      <c r="A95" s="15" t="n">
        <v>93</v>
      </c>
      <c r="B95" s="13" t="inlineStr">
        <is>
          <t>العقار</t>
        </is>
      </c>
      <c r="C95" s="21" t="inlineStr">
        <is>
          <t>نسبة إغلاق الطلبات خلال 3 أسابيع</t>
        </is>
      </c>
      <c r="D95" s="71" t="inlineStr">
        <is>
          <t>يقيس نسبة إغلاق الطلبات خلال 3 أسابيع ضمن محور «تنسيق المشاريع»،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9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51" t="n"/>
    </row>
    <row r="96" ht="30" customHeight="1">
      <c r="A96" s="15" t="n">
        <v>94</v>
      </c>
      <c r="B96" s="13" t="inlineStr">
        <is>
          <t>العقار</t>
        </is>
      </c>
      <c r="C96" s="21" t="inlineStr">
        <is>
          <t>استدامة المستأجرين (لم يُنهَ مبكراً)</t>
        </is>
      </c>
      <c r="D96" s="71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تعزيز تجربة العملاء</t>
        </is>
      </c>
      <c r="H96" s="15" t="inlineStr">
        <is>
          <t>العملاء</t>
        </is>
      </c>
      <c r="I96" s="59" t="n">
        <v>0.05</v>
      </c>
      <c r="J96" s="15" t="inlineStr">
        <is>
          <t>مدير العقار</t>
        </is>
      </c>
      <c r="K96" s="11" t="inlineStr">
        <is>
          <t>نظام إدارة الجودة (QMS)</t>
        </is>
      </c>
      <c r="L96" s="15" t="inlineStr">
        <is>
          <t>شهري</t>
        </is>
      </c>
      <c r="M96" s="15" t="inlineStr">
        <is>
          <t>مدير العقار</t>
        </is>
      </c>
      <c r="N96" s="51" t="n"/>
    </row>
    <row r="97" ht="30" customHeight="1">
      <c r="A97" s="15" t="n">
        <v>95</v>
      </c>
      <c r="B97" s="13" t="inlineStr">
        <is>
          <t>العقار</t>
        </is>
      </c>
      <c r="C97" s="21" t="inlineStr">
        <is>
          <t>معدل رضا المستأجرين (استبيان ربعي)</t>
        </is>
      </c>
      <c r="D97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59" t="n">
        <v>0.07000000000000001</v>
      </c>
      <c r="J97" s="15" t="inlineStr">
        <is>
          <t>مدير العقار</t>
        </is>
      </c>
      <c r="K97" s="11" t="inlineStr">
        <is>
          <t>استبيان دوري</t>
        </is>
      </c>
      <c r="L97" s="15" t="inlineStr">
        <is>
          <t>ربعي</t>
        </is>
      </c>
      <c r="M97" s="15" t="inlineStr">
        <is>
          <t>مدير العقار</t>
        </is>
      </c>
      <c r="N97" s="51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عدد محطات الشركة المُسلَّمة</t>
        </is>
      </c>
      <c r="D98" s="71" t="inlineStr">
        <is>
          <t>يقيس عدد محطات الشركة المُسلَّمة ضمن محور «تسليم محطات الشركة»، ويعكس مساهمة الإدارة في ركيزة النمو.</t>
        </is>
      </c>
      <c r="E98" s="11" t="inlineStr">
        <is>
          <t>إجمالي العدد خلال الفترة</t>
        </is>
      </c>
      <c r="F98" s="15" t="inlineStr">
        <is>
          <t>⚙️ نشاط</t>
        </is>
      </c>
      <c r="G98" s="11" t="inlineStr">
        <is>
          <t>النمو · التوسع في المواقع</t>
        </is>
      </c>
      <c r="H98" s="15" t="inlineStr">
        <is>
          <t>العمليات الداخلية</t>
        </is>
      </c>
      <c r="I98" s="59" t="n">
        <v>0.08</v>
      </c>
      <c r="J98" s="15" t="inlineStr">
        <is>
          <t>مدير إدارة المشاريع</t>
        </is>
      </c>
      <c r="K98" s="11" t="inlineStr">
        <is>
          <t>نظام إدارة المشاريع (PMO/Primavera)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1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نسبة إنجاز محفظة مشاريع التوسع</t>
        </is>
      </c>
      <c r="D99" s="71" t="inlineStr">
        <is>
          <t>يقيس نسبة إنجاز محفظة مشاريع التوسع ضمن محور «تسليم محطات الشركة»، ويعكس مساهمة الإدارة في ركيزة النمو.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59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1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نسبة تسليم المحطات في الموعد المخطط</t>
        </is>
      </c>
      <c r="D100" s="71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59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1" t="n"/>
    </row>
    <row r="101" ht="30" customHeight="1">
      <c r="A101" s="15" t="n">
        <v>99</v>
      </c>
      <c r="B101" s="13" t="inlineStr">
        <is>
          <t>إدارة المشاريع</t>
        </is>
      </c>
      <c r="C101" s="21" t="inlineStr">
        <is>
          <t>نسبة المشاريع المنفّذة ضمن الميزانية</t>
        </is>
      </c>
      <c r="D101" s="71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59" t="n">
        <v>0.06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51" t="n"/>
    </row>
    <row r="102" ht="30" customHeight="1">
      <c r="A102" s="15" t="n">
        <v>100</v>
      </c>
      <c r="B102" s="13" t="inlineStr">
        <is>
          <t>إدارة المشاريع</t>
        </is>
      </c>
      <c r="C102" s="21" t="inlineStr">
        <is>
          <t>عدد محطات الامتياز المُسلَّمة بالهوية</t>
        </is>
      </c>
      <c r="D102" s="71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2" s="11" t="inlineStr">
        <is>
          <t>إجمالي العدد خلال الفترة</t>
        </is>
      </c>
      <c r="F102" s="15" t="inlineStr">
        <is>
          <t>⚙️ نشاط</t>
        </is>
      </c>
      <c r="G102" s="11" t="inlineStr">
        <is>
          <t>النمو · الامتياز التجاري</t>
        </is>
      </c>
      <c r="H102" s="15" t="inlineStr">
        <is>
          <t>التعلّم والنمو</t>
        </is>
      </c>
      <c r="I102" s="59" t="n">
        <v>0.08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51" t="n"/>
    </row>
    <row r="103" ht="30" customHeight="1">
      <c r="A103" s="15" t="n">
        <v>101</v>
      </c>
      <c r="B103" s="13" t="inlineStr">
        <is>
          <t>إدارة المشاريع</t>
        </is>
      </c>
      <c r="C103" s="21" t="inlineStr">
        <is>
          <t>نسبة تنفيذ زيارات الإشراف المجدولة</t>
        </is>
      </c>
      <c r="D103" s="71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⚙️ نشاط</t>
        </is>
      </c>
      <c r="G103" s="11" t="inlineStr">
        <is>
          <t>الاستدامة · الامتياز التجاري</t>
        </is>
      </c>
      <c r="H103" s="15" t="inlineStr">
        <is>
          <t>العمليات الداخلية</t>
        </is>
      </c>
      <c r="I103" s="59" t="n">
        <v>0.06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51" t="n"/>
    </row>
    <row r="104" ht="30" customHeight="1">
      <c r="A104" s="15" t="n">
        <v>102</v>
      </c>
      <c r="B104" s="13" t="inlineStr">
        <is>
          <t>إدارة المشاريع</t>
        </is>
      </c>
      <c r="C104" s="21" t="inlineStr">
        <is>
          <t>نسبة التزام المطوّرين بالجدول الزمني</t>
        </is>
      </c>
      <c r="D104" s="71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59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51" t="n"/>
    </row>
    <row r="105" ht="30" customHeight="1">
      <c r="A105" s="15" t="n">
        <v>103</v>
      </c>
      <c r="B105" s="13" t="inlineStr">
        <is>
          <t>إدارة المشاريع</t>
        </is>
      </c>
      <c r="C105" s="21" t="inlineStr">
        <is>
          <t>نسبة إغلاق ملاحظات الجودة على المطوّرين</t>
        </is>
      </c>
      <c r="D105" s="71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59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51" t="n"/>
    </row>
    <row r="106" ht="30" customHeight="1">
      <c r="A106" s="15" t="n">
        <v>104</v>
      </c>
      <c r="B106" s="13" t="inlineStr">
        <is>
          <t>إدارة المشاريع</t>
        </is>
      </c>
      <c r="C106" s="21" t="inlineStr">
        <is>
          <t>إجمالي المحطات المُسلَّمة بالهوية (شركة + امتياز)</t>
        </is>
      </c>
      <c r="D106" s="71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6" s="11" t="inlineStr">
        <is>
          <t>إجمالي العدد خلال الفترة</t>
        </is>
      </c>
      <c r="F106" s="15" t="inlineStr">
        <is>
          <t>🔧 تشغيلي</t>
        </is>
      </c>
      <c r="G106" s="11" t="inlineStr">
        <is>
          <t>النمو · التوسع في المواقع</t>
        </is>
      </c>
      <c r="H106" s="15" t="inlineStr">
        <is>
          <t>التعلّم والنمو</t>
        </is>
      </c>
      <c r="I106" s="59" t="n">
        <v>0.08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51" t="n"/>
    </row>
    <row r="107" ht="30" customHeight="1">
      <c r="A107" s="15" t="n">
        <v>105</v>
      </c>
      <c r="B107" s="13" t="inlineStr">
        <is>
          <t>إدارة المشاريع</t>
        </is>
      </c>
      <c r="C107" s="21" t="inlineStr">
        <is>
          <t>نسبة المشاريع الخالية من مخالفات الجودة</t>
        </is>
      </c>
      <c r="D107" s="71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59" t="n">
        <v>0.06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51" t="n"/>
    </row>
    <row r="108" ht="30" customHeight="1">
      <c r="A108" s="15" t="n">
        <v>106</v>
      </c>
      <c r="B108" s="13" t="inlineStr">
        <is>
          <t>إدارة المشاريع</t>
        </is>
      </c>
      <c r="C108" s="21" t="inlineStr">
        <is>
          <t>عدد مخالفات المقاولين (سنوي)</t>
        </is>
      </c>
      <c r="D108" s="71" t="inlineStr">
        <is>
          <t>يقيس عدد مخالفات المقاولين (سنوي) ضمن محور «الجودة والمقاولون»، ويعكس مساهمة الإدارة في ركيزة الاستدامة.</t>
        </is>
      </c>
      <c r="E108" s="11" t="inlineStr">
        <is>
          <t>إجمالي العدد خلال الفترة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59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51" t="n"/>
    </row>
    <row r="109" ht="30" customHeight="1">
      <c r="A109" s="15" t="n">
        <v>107</v>
      </c>
      <c r="B109" s="13" t="inlineStr">
        <is>
          <t>إدارة المشاريع</t>
        </is>
      </c>
      <c r="C109" s="21" t="inlineStr">
        <is>
          <t>نسبة التزام المقاولين بمعايير السلامة</t>
        </is>
      </c>
      <c r="D109" s="71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59" t="n">
        <v>0.08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51" t="n"/>
    </row>
    <row r="110" ht="30" customHeight="1">
      <c r="A110" s="15" t="n">
        <v>108</v>
      </c>
      <c r="B110" s="13" t="inlineStr">
        <is>
          <t>إدارة المشاريع</t>
        </is>
      </c>
      <c r="C110" s="21" t="inlineStr">
        <is>
          <t>نسبة الالتزام بالميزانية المعتمدة</t>
        </is>
      </c>
      <c r="D110" s="71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59" t="n">
        <v>0.06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51" t="n"/>
    </row>
    <row r="111" ht="30" customHeight="1">
      <c r="A111" s="15" t="n">
        <v>109</v>
      </c>
      <c r="B111" s="13" t="inlineStr">
        <is>
          <t>إدارة المشاريع</t>
        </is>
      </c>
      <c r="C111" s="21" t="inlineStr">
        <is>
          <t>نسبة الالتزام بالجدول الزمني العام</t>
        </is>
      </c>
      <c r="D111" s="71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59" t="n">
        <v>0.05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51" t="n"/>
    </row>
    <row r="112" ht="30" customHeight="1">
      <c r="A112" s="15" t="n">
        <v>110</v>
      </c>
      <c r="B112" s="13" t="inlineStr">
        <is>
          <t>إدارة المشاريع</t>
        </is>
      </c>
      <c r="C112" s="21" t="inlineStr">
        <is>
          <t>متوسط مدة إغلاق قائمة الملاحظات النهائية</t>
        </is>
      </c>
      <c r="D112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2" s="11" t="inlineStr">
        <is>
          <t>متوسط يوم خلال الفترة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59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51" t="n"/>
    </row>
    <row r="113" ht="30" customHeight="1">
      <c r="A113" s="15" t="n">
        <v>111</v>
      </c>
      <c r="B113" s="13" t="inlineStr">
        <is>
          <t>سلاسل الإمداد</t>
        </is>
      </c>
      <c r="C113" s="21" t="inlineStr">
        <is>
          <t>نسبة تلبية طلبات المحطات من الوقود Fill Rate</t>
        </is>
      </c>
      <c r="D113" s="71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النمو · زيادة وصول العملاء</t>
        </is>
      </c>
      <c r="H113" s="15" t="inlineStr">
        <is>
          <t>العمليات الداخلية</t>
        </is>
      </c>
      <c r="I113" s="59" t="n">
        <v>0.13</v>
      </c>
      <c r="J113" s="15" t="inlineStr">
        <is>
          <t>مدير سلاسل الإمداد</t>
        </is>
      </c>
      <c r="K113" s="11" t="inlineStr">
        <is>
          <t>نظام سلاسل الإمداد والمخزون (WMS/ERP)</t>
        </is>
      </c>
      <c r="L113" s="15" t="inlineStr">
        <is>
          <t>شهري</t>
        </is>
      </c>
      <c r="M113" s="15" t="inlineStr">
        <is>
          <t>مدير سلاسل الإمداد</t>
        </is>
      </c>
      <c r="N113" s="51" t="n"/>
    </row>
    <row r="114" ht="30" customHeight="1">
      <c r="A114" s="15" t="n">
        <v>112</v>
      </c>
      <c r="B114" s="13" t="inlineStr">
        <is>
          <t>سلاسل الإمداد</t>
        </is>
      </c>
      <c r="C114" s="21" t="inlineStr">
        <is>
          <t>عدد انقطاعات التوريد المؤثرة شهريًا</t>
        </is>
      </c>
      <c r="D114" s="71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59" t="n">
        <v>0.1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51" t="n"/>
    </row>
    <row r="115" ht="30" customHeight="1">
      <c r="A115" s="15" t="n">
        <v>113</v>
      </c>
      <c r="B115" s="13" t="inlineStr">
        <is>
          <t>سلاسل الإمداد</t>
        </is>
      </c>
      <c r="C115" s="21" t="inlineStr">
        <is>
          <t>نسبة تغطية مخزون الوقود بالأيام</t>
        </is>
      </c>
      <c r="D115" s="71" t="inlineStr">
        <is>
          <t>يقيس نسبة تغطية مخزون الوقود بالأيام ضمن محور «المخزون»،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59" t="n">
        <v>0.09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51" t="n"/>
    </row>
    <row r="116" ht="30" customHeight="1">
      <c r="A116" s="15" t="n">
        <v>114</v>
      </c>
      <c r="B116" s="13" t="inlineStr">
        <is>
          <t>سلاسل الإمداد</t>
        </is>
      </c>
      <c r="C116" s="21" t="inlineStr">
        <is>
          <t>نسبة توفر المواد المخزنية والحرجة</t>
        </is>
      </c>
      <c r="D116" s="71" t="inlineStr">
        <is>
          <t>يقيس نسبة توفر المواد المخزنية والحرجة ضمن محور «المخزون»،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59" t="n">
        <v>0.09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51" t="n"/>
    </row>
    <row r="117" ht="30" customHeight="1">
      <c r="A117" s="15" t="n">
        <v>115</v>
      </c>
      <c r="B117" s="13" t="inlineStr">
        <is>
          <t>سلاسل الإمداد</t>
        </is>
      </c>
      <c r="C117" s="21" t="inlineStr">
        <is>
          <t>نسبة المواد الراكدة من المخزون</t>
        </is>
      </c>
      <c r="D117" s="71" t="inlineStr">
        <is>
          <t>يقيس نسبة المواد الراكدة من المخزون ضمن محور «المخزون»،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9" t="n">
        <v>0.06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51" t="n"/>
    </row>
    <row r="118" ht="30" customHeight="1">
      <c r="A118" s="15" t="n">
        <v>116</v>
      </c>
      <c r="B118" s="13" t="inlineStr">
        <is>
          <t>سلاسل الإمداد</t>
        </is>
      </c>
      <c r="C118" s="21" t="inlineStr">
        <is>
          <t>دقة أوامر الشراء ومستنداتها</t>
        </is>
      </c>
      <c r="D118" s="71" t="inlineStr">
        <is>
          <t>يقيس دقة أوامر الشراء ومستنداتها ضمن محور «المشتريات»،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59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51" t="n"/>
    </row>
    <row r="119" ht="30" customHeight="1">
      <c r="A119" s="15" t="n">
        <v>117</v>
      </c>
      <c r="B119" s="13" t="inlineStr">
        <is>
          <t>سلاسل الإمداد</t>
        </is>
      </c>
      <c r="C119" s="21" t="inlineStr">
        <is>
          <t>نسبة إنجاز أوامر الشراء خلال المدة المستهدفة</t>
        </is>
      </c>
      <c r="D119" s="71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9" t="n">
        <v>0.08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51" t="n"/>
    </row>
    <row r="120" ht="30" customHeight="1">
      <c r="A120" s="15" t="n">
        <v>118</v>
      </c>
      <c r="B120" s="13" t="inlineStr">
        <is>
          <t>سلاسل الإمداد</t>
        </is>
      </c>
      <c r="C120" s="21" t="inlineStr">
        <is>
          <t>نسبة الالتزام بزمن التسليم والتوريد للمحطات والإدارات</t>
        </is>
      </c>
      <c r="D120" s="71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59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51" t="n"/>
    </row>
    <row r="121" ht="30" customHeight="1">
      <c r="A121" s="15" t="n">
        <v>119</v>
      </c>
      <c r="B121" s="13" t="inlineStr">
        <is>
          <t>سلاسل الإمداد</t>
        </is>
      </c>
      <c r="C121" s="21" t="inlineStr">
        <is>
          <t>نسبة جاهزية الإمداد للمحطات الجديدة وخطط الافتتاح</t>
        </is>
      </c>
      <c r="D121" s="71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النمو · التوسع في المواقع</t>
        </is>
      </c>
      <c r="H121" s="15" t="inlineStr">
        <is>
          <t>العمليات الداخلية</t>
        </is>
      </c>
      <c r="I121" s="59" t="n">
        <v>0.08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51" t="n"/>
    </row>
    <row r="122" ht="30" customHeight="1">
      <c r="A122" s="15" t="n">
        <v>120</v>
      </c>
      <c r="B122" s="13" t="inlineStr">
        <is>
          <t>سلاسل الإمداد</t>
        </is>
      </c>
      <c r="C122" s="21" t="inlineStr">
        <is>
          <t>نسبة الالتزام بجدول النقل واستخدام الأسطول بكفاءة</t>
        </is>
      </c>
      <c r="D122" s="71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59" t="n">
        <v>0.07000000000000001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51" t="n"/>
    </row>
    <row r="123" ht="30" customHeight="1">
      <c r="A123" s="15" t="n">
        <v>121</v>
      </c>
      <c r="B123" s="13" t="inlineStr">
        <is>
          <t>سلاسل الإمداد</t>
        </is>
      </c>
      <c r="C123" s="21" t="inlineStr">
        <is>
          <t>كفاءة إدارة الموردين</t>
        </is>
      </c>
      <c r="D123" s="71" t="inlineStr">
        <is>
          <t>يقيس كفاءة إدارة الموردين ضمن محور «الموردون والرضا»،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59" t="n">
        <v>0.06</v>
      </c>
      <c r="J123" s="15" t="inlineStr">
        <is>
          <t>مدير سلاسل الإمداد</t>
        </is>
      </c>
      <c r="K123" s="11" t="inlineStr">
        <is>
          <t>نظام سلاسل الإمداد والمخزون (WMS/ERP)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51" t="n"/>
    </row>
    <row r="124" ht="30" customHeight="1">
      <c r="A124" s="15" t="n">
        <v>122</v>
      </c>
      <c r="B124" s="13" t="inlineStr">
        <is>
          <t>سلاسل الإمداد</t>
        </is>
      </c>
      <c r="C124" s="21" t="inlineStr">
        <is>
          <t>مستوى رضا الإدارات عن خدمات سلاسل الإمداد</t>
        </is>
      </c>
      <c r="D124" s="71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جودة التشغيل</t>
        </is>
      </c>
      <c r="H124" s="15" t="inlineStr">
        <is>
          <t>العملاء</t>
        </is>
      </c>
      <c r="I124" s="59" t="n">
        <v>0.04</v>
      </c>
      <c r="J124" s="15" t="inlineStr">
        <is>
          <t>مدير سلاسل الإمداد</t>
        </is>
      </c>
      <c r="K124" s="11" t="inlineStr">
        <is>
          <t>نظام سلاسل الإمداد والمخزون (WMS/ERP)</t>
        </is>
      </c>
      <c r="L124" s="15" t="inlineStr">
        <is>
          <t>ربعي</t>
        </is>
      </c>
      <c r="M124" s="15" t="inlineStr">
        <is>
          <t>مدير سلاسل الإمداد</t>
        </is>
      </c>
      <c r="N124" s="51" t="n"/>
    </row>
    <row r="125" ht="30" customHeight="1">
      <c r="A125" s="15" t="n">
        <v>123</v>
      </c>
      <c r="B125" s="13" t="inlineStr">
        <is>
          <t>الصيانة والأتمتة</t>
        </is>
      </c>
      <c r="C125" s="21" t="inlineStr">
        <is>
          <t>نسبة الجاهزية الفنية للأصول والمعدات (Availability)</t>
        </is>
      </c>
      <c r="D125" s="71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59" t="n">
        <v>0.15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51" t="n"/>
    </row>
    <row r="126" ht="30" customHeight="1">
      <c r="A126" s="15" t="n">
        <v>124</v>
      </c>
      <c r="B126" s="13" t="inlineStr">
        <is>
          <t>الصيانة والأتمتة</t>
        </is>
      </c>
      <c r="C126" s="21" t="inlineStr">
        <is>
          <t>نسبة تنفيذ الصيانة الوقائية في موعدها (PM)</t>
        </is>
      </c>
      <c r="D126" s="71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⚙️ نشاط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59" t="n">
        <v>0.12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51" t="n"/>
    </row>
    <row r="127" ht="30" customHeight="1">
      <c r="A127" s="15" t="n">
        <v>125</v>
      </c>
      <c r="B127" s="13" t="inlineStr">
        <is>
          <t>الصيانة والأتمتة</t>
        </is>
      </c>
      <c r="C127" s="21" t="inlineStr">
        <is>
          <t>نسبة إغلاق بلاغات الصيانة ضمن اتفاقية الخدمة (SLA)</t>
        </is>
      </c>
      <c r="D127" s="71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59" t="n">
        <v>0.1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51" t="n"/>
    </row>
    <row r="128" ht="30" customHeight="1">
      <c r="A128" s="15" t="n">
        <v>126</v>
      </c>
      <c r="B128" s="13" t="inlineStr">
        <is>
          <t>الصيانة والأتمتة</t>
        </is>
      </c>
      <c r="C128" s="21" t="inlineStr">
        <is>
          <t>متوسط زمن الاستجابة للبلاغات الطارئة</t>
        </is>
      </c>
      <c r="D128" s="71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8" s="11" t="inlineStr">
        <is>
          <t>متوسط دقيقة خلال الفترة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59" t="n">
        <v>0.08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51" t="n"/>
    </row>
    <row r="129" ht="30" customHeight="1">
      <c r="A129" s="15" t="n">
        <v>127</v>
      </c>
      <c r="B129" s="13" t="inlineStr">
        <is>
          <t>الصيانة والأتمتة</t>
        </is>
      </c>
      <c r="C129" s="21" t="inlineStr">
        <is>
          <t>متوسط زمن إصلاح الأعطال (MTTR)</t>
        </is>
      </c>
      <c r="D129" s="71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9" s="11" t="inlineStr">
        <is>
          <t>متوسط ساعة خلال الفترة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59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51" t="n"/>
    </row>
    <row r="130" ht="30" customHeight="1">
      <c r="A130" s="15" t="n">
        <v>128</v>
      </c>
      <c r="B130" s="13" t="inlineStr">
        <is>
          <t>الصيانة والأتمتة</t>
        </is>
      </c>
      <c r="C130" s="21" t="inlineStr">
        <is>
          <t>معدل تكرار الأعطال</t>
        </is>
      </c>
      <c r="D130" s="71" t="inlineStr">
        <is>
          <t>يقيس معدل تكرار الأعطال ضمن محور «الاستجابة والإصلاح»،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59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51" t="n"/>
    </row>
    <row r="131" ht="30" customHeight="1">
      <c r="A131" s="15" t="n">
        <v>129</v>
      </c>
      <c r="B131" s="13" t="inlineStr">
        <is>
          <t>الصيانة والأتمتة</t>
        </is>
      </c>
      <c r="C131" s="21" t="inlineStr">
        <is>
          <t>نسبة استمرارية تشغيل المحطات دون توقف فني</t>
        </is>
      </c>
      <c r="D131" s="71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59" t="n">
        <v>0.15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51" t="n"/>
    </row>
    <row r="132" ht="30" customHeight="1">
      <c r="A132" s="15" t="n">
        <v>130</v>
      </c>
      <c r="B132" s="13" t="inlineStr">
        <is>
          <t>الصيانة والأتمتة</t>
        </is>
      </c>
      <c r="C132" s="21" t="inlineStr">
        <is>
          <t>نسبة التشغيل السليم لأنظمة الأتمتة (Uptime)</t>
        </is>
      </c>
      <c r="D132" s="71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التحول التقني</t>
        </is>
      </c>
      <c r="H132" s="15" t="inlineStr">
        <is>
          <t>التعلّم والنمو</t>
        </is>
      </c>
      <c r="I132" s="59" t="n">
        <v>0.1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51" t="n"/>
    </row>
    <row r="133" ht="30" customHeight="1">
      <c r="A133" s="15" t="n">
        <v>131</v>
      </c>
      <c r="B133" s="13" t="inlineStr">
        <is>
          <t>الصيانة والأتمتة</t>
        </is>
      </c>
      <c r="C133" s="21" t="inlineStr">
        <is>
          <t>نسبة استعادة أنظمة الأتمتة ضمن الزمن المحدد</t>
        </is>
      </c>
      <c r="D133" s="71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59" t="n">
        <v>0.08</v>
      </c>
      <c r="J133" s="15" t="inlineStr">
        <is>
          <t>مدير الصيانة والأتمتة</t>
        </is>
      </c>
      <c r="K133" s="11" t="inlineStr">
        <is>
          <t>نظام إدارة الصيانة (CMMS) وأنظمة الأتمتة (SCADA)</t>
        </is>
      </c>
      <c r="L133" s="15" t="inlineStr">
        <is>
          <t>شهري</t>
        </is>
      </c>
      <c r="M133" s="15" t="inlineStr">
        <is>
          <t>مدير الصيانة والأتمتة</t>
        </is>
      </c>
      <c r="N133" s="51" t="n"/>
    </row>
    <row r="134" ht="30" customHeight="1">
      <c r="A134" s="15" t="n">
        <v>132</v>
      </c>
      <c r="B134" s="13" t="inlineStr">
        <is>
          <t>الصيانة والأتمتة</t>
        </is>
      </c>
      <c r="C134" s="21" t="inlineStr">
        <is>
          <t>كفاءة تكاليف الصيانة (الالتزام بالميزانية)</t>
        </is>
      </c>
      <c r="D134" s="71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59" t="n">
        <v>0.04</v>
      </c>
      <c r="J134" s="15" t="inlineStr">
        <is>
          <t>مدير الصيانة والأتمتة</t>
        </is>
      </c>
      <c r="K134" s="11" t="inlineStr">
        <is>
          <t>نظام إدارة الصيانة (CMMS) وأنظمة الأتمتة (SCADA)</t>
        </is>
      </c>
      <c r="L134" s="15" t="inlineStr">
        <is>
          <t>شهري</t>
        </is>
      </c>
      <c r="M134" s="15" t="inlineStr">
        <is>
          <t>مدير الصيانة والأتمتة</t>
        </is>
      </c>
      <c r="N134" s="51" t="n"/>
    </row>
    <row r="135" ht="30" customHeight="1">
      <c r="A135" s="15" t="n">
        <v>133</v>
      </c>
      <c r="B135" s="13" t="inlineStr">
        <is>
          <t>التقنية الرقمية</t>
        </is>
      </c>
      <c r="C135" s="21" t="inlineStr">
        <is>
          <t>نسبة توفر الأنظمة والخدمات التقنية المركزية</t>
        </is>
      </c>
      <c r="D135" s="71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الابتكار · التحول التقني</t>
        </is>
      </c>
      <c r="H135" s="15" t="inlineStr">
        <is>
          <t>التعلّم والنمو</t>
        </is>
      </c>
      <c r="I135" s="59" t="n">
        <v>0.13</v>
      </c>
      <c r="J135" s="15" t="inlineStr">
        <is>
          <t>مدير التقنية</t>
        </is>
      </c>
      <c r="K135" s="11" t="inlineStr">
        <is>
          <t>أنظمة تقنية المعلومات (ERP/ITSM/SIEM)</t>
        </is>
      </c>
      <c r="L135" s="15" t="inlineStr">
        <is>
          <t>شهري</t>
        </is>
      </c>
      <c r="M135" s="15" t="inlineStr">
        <is>
          <t>مدير التقنية</t>
        </is>
      </c>
      <c r="N135" s="51" t="n"/>
    </row>
    <row r="136" ht="30" customHeight="1">
      <c r="A136" s="15" t="n">
        <v>134</v>
      </c>
      <c r="B136" s="13" t="inlineStr">
        <is>
          <t>التقنية الرقمية</t>
        </is>
      </c>
      <c r="C136" s="21" t="inlineStr">
        <is>
          <t>نسبة معالجة الأعطال وطلبات الدعم الفني ضمن المدة المستهدفة SLA</t>
        </is>
      </c>
      <c r="D136" s="71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59" t="n">
        <v>0.12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51" t="n"/>
    </row>
    <row r="137" ht="30" customHeight="1">
      <c r="A137" s="15" t="n">
        <v>135</v>
      </c>
      <c r="B137" s="13" t="inlineStr">
        <is>
          <t>التقنية الرقمية</t>
        </is>
      </c>
      <c r="C137" s="21" t="inlineStr">
        <is>
          <t>نسبة استقرار التشغيل التقني للمحطات</t>
        </is>
      </c>
      <c r="D137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59" t="n">
        <v>0.1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51" t="n"/>
    </row>
    <row r="138" ht="30" customHeight="1">
      <c r="A138" s="15" t="n">
        <v>136</v>
      </c>
      <c r="B138" s="13" t="inlineStr">
        <is>
          <t>التقنية الرقمية</t>
        </is>
      </c>
      <c r="C138" s="21" t="inlineStr">
        <is>
          <t>نسبة إنجاز مشاريع التحول الرقمي والمشاريع التقنية حسب الخطة</t>
        </is>
      </c>
      <c r="D138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التعلّم والنمو</t>
        </is>
      </c>
      <c r="I138" s="59" t="n">
        <v>0.1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51" t="n"/>
    </row>
    <row r="139" ht="30" customHeight="1">
      <c r="A139" s="15" t="n">
        <v>137</v>
      </c>
      <c r="B139" s="13" t="inlineStr">
        <is>
          <t>التقنية الرقمية</t>
        </is>
      </c>
      <c r="C139" s="21" t="inlineStr">
        <is>
          <t>نسبة تسليم المشاريع التقنية ضمن الوقت والميزانية ونطاق العمل المعتمد</t>
        </is>
      </c>
      <c r="D139" s="71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الابتكار · التحول التقني</t>
        </is>
      </c>
      <c r="H139" s="15" t="inlineStr">
        <is>
          <t>العمليات الداخلية</t>
        </is>
      </c>
      <c r="I139" s="59" t="n">
        <v>0.09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51" t="n"/>
    </row>
    <row r="140" ht="30" customHeight="1">
      <c r="A140" s="15" t="n">
        <v>138</v>
      </c>
      <c r="B140" s="13" t="inlineStr">
        <is>
          <t>التقنية الرقمية</t>
        </is>
      </c>
      <c r="C140" s="21" t="inlineStr">
        <is>
          <t>نسبة الالتزام بإدارة صلاحيات المستخدمين والحسابات</t>
        </is>
      </c>
      <c r="D140" s="71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الابتكار · التحول التقني</t>
        </is>
      </c>
      <c r="H140" s="15" t="inlineStr">
        <is>
          <t>التعلّم والنمو</t>
        </is>
      </c>
      <c r="I140" s="59" t="n">
        <v>0.1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51" t="n"/>
    </row>
    <row r="141" ht="30" customHeight="1">
      <c r="A141" s="15" t="n">
        <v>139</v>
      </c>
      <c r="B141" s="13" t="inlineStr">
        <is>
          <t>التقنية الرقمية</t>
        </is>
      </c>
      <c r="C141" s="21" t="inlineStr">
        <is>
          <t>نسبة نجاح النسخ الاحتياطي واختبارات استعادة البيانات</t>
        </is>
      </c>
      <c r="D141" s="71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الابتكار · التحول التقني</t>
        </is>
      </c>
      <c r="H141" s="15" t="inlineStr">
        <is>
          <t>العمليات الداخلية</t>
        </is>
      </c>
      <c r="I141" s="59" t="n">
        <v>0.08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51" t="n"/>
    </row>
    <row r="142" ht="30" customHeight="1">
      <c r="A142" s="15" t="n">
        <v>140</v>
      </c>
      <c r="B142" s="13" t="inlineStr">
        <is>
          <t>التقنية الرقمية</t>
        </is>
      </c>
      <c r="C142" s="21" t="inlineStr">
        <is>
          <t>نسبة الامتثال لضوابط الأمن السيبراني الأساسية</t>
        </is>
      </c>
      <c r="D142" s="71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الابتكار · التحول التقني</t>
        </is>
      </c>
      <c r="H142" s="15" t="inlineStr">
        <is>
          <t>التعلّم والنمو</t>
        </is>
      </c>
      <c r="I142" s="59" t="n">
        <v>0.08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51" t="n"/>
    </row>
    <row r="143" ht="30" customHeight="1">
      <c r="A143" s="15" t="n">
        <v>141</v>
      </c>
      <c r="B143" s="13" t="inlineStr">
        <is>
          <t>التقنية الرقمية</t>
        </is>
      </c>
      <c r="C143" s="21" t="inlineStr">
        <is>
          <t>نسبة دقة وتكامل البيانات بين الأنظمة الرقمية</t>
        </is>
      </c>
      <c r="D143" s="71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59" t="n">
        <v>0.06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شهري</t>
        </is>
      </c>
      <c r="M143" s="15" t="inlineStr">
        <is>
          <t>مدير التقنية</t>
        </is>
      </c>
      <c r="N143" s="51" t="n"/>
    </row>
    <row r="144" ht="30" customHeight="1">
      <c r="A144" s="15" t="n">
        <v>142</v>
      </c>
      <c r="B144" s="13" t="inlineStr">
        <is>
          <t>التقنية الرقمية</t>
        </is>
      </c>
      <c r="C144" s="21" t="inlineStr">
        <is>
          <t>نسبة الالتزام بتحديث وتوثيق أصول تقنية المعلومات والتراخيص</t>
        </is>
      </c>
      <c r="D144" s="71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الابتكار · التحول التقني</t>
        </is>
      </c>
      <c r="H144" s="15" t="inlineStr">
        <is>
          <t>العمليات الداخلية</t>
        </is>
      </c>
      <c r="I144" s="59" t="n">
        <v>0.05</v>
      </c>
      <c r="J144" s="15" t="inlineStr">
        <is>
          <t>مدير التقنية</t>
        </is>
      </c>
      <c r="K144" s="11" t="inlineStr">
        <is>
          <t>أنظمة تقنية المعلومات (ERP/ITSM/SIEM)</t>
        </is>
      </c>
      <c r="L144" s="15" t="inlineStr">
        <is>
          <t>شهري</t>
        </is>
      </c>
      <c r="M144" s="15" t="inlineStr">
        <is>
          <t>مدير التقنية</t>
        </is>
      </c>
      <c r="N144" s="51" t="n"/>
    </row>
    <row r="145" ht="30" customHeight="1">
      <c r="A145" s="15" t="n">
        <v>143</v>
      </c>
      <c r="B145" s="13" t="inlineStr">
        <is>
          <t>التقنية الرقمية</t>
        </is>
      </c>
      <c r="C145" s="21" t="inlineStr">
        <is>
          <t>نسبة تنفيذ الصيانة الوقائية للأجهزة والبنية التقنية</t>
        </is>
      </c>
      <c r="D145" s="71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الابتكار · التحول التقني</t>
        </is>
      </c>
      <c r="H145" s="15" t="inlineStr">
        <is>
          <t>العمليات الداخلية</t>
        </is>
      </c>
      <c r="I145" s="59" t="n">
        <v>0.05</v>
      </c>
      <c r="J145" s="15" t="inlineStr">
        <is>
          <t>مدير التقنية</t>
        </is>
      </c>
      <c r="K145" s="11" t="inlineStr">
        <is>
          <t>أنظمة تقنية المعلومات (ERP/ITSM/SIEM)</t>
        </is>
      </c>
      <c r="L145" s="15" t="inlineStr">
        <is>
          <t>شهري</t>
        </is>
      </c>
      <c r="M145" s="15" t="inlineStr">
        <is>
          <t>مدير التقنية</t>
        </is>
      </c>
      <c r="N145" s="51" t="n"/>
    </row>
    <row r="146" ht="30" customHeight="1">
      <c r="A146" s="15" t="n">
        <v>144</v>
      </c>
      <c r="B146" s="13" t="inlineStr">
        <is>
          <t>التقنية الرقمية</t>
        </is>
      </c>
      <c r="C146" s="21" t="inlineStr">
        <is>
          <t>مستوى رضا الإدارات والمستخدمين عن خدمات تقنية المعلومات</t>
        </is>
      </c>
      <c r="D146" s="71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الابتكار · التحول التقني</t>
        </is>
      </c>
      <c r="H146" s="15" t="inlineStr">
        <is>
          <t>التعلّم والنمو</t>
        </is>
      </c>
      <c r="I146" s="59" t="n">
        <v>0.04</v>
      </c>
      <c r="J146" s="15" t="inlineStr">
        <is>
          <t>مدير التقنية</t>
        </is>
      </c>
      <c r="K146" s="11" t="inlineStr">
        <is>
          <t>أنظمة تقنية المعلومات (ERP/ITSM/SIEM)</t>
        </is>
      </c>
      <c r="L146" s="15" t="inlineStr">
        <is>
          <t>ربعي</t>
        </is>
      </c>
      <c r="M146" s="15" t="inlineStr">
        <is>
          <t>مدير التقنية</t>
        </is>
      </c>
      <c r="N146" s="51" t="n"/>
    </row>
    <row r="147" ht="30" customHeight="1">
      <c r="A147" s="15" t="n">
        <v>145</v>
      </c>
      <c r="B147" s="13" t="inlineStr">
        <is>
          <t>الموارد البشرية</t>
        </is>
      </c>
      <c r="C147" s="21" t="inlineStr">
        <is>
          <t>نسبة الالتزام بالتوطين والامتثال الحكومي دون مخالفات</t>
        </is>
      </c>
      <c r="D147" s="71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59" t="n">
        <v>0.11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51" t="n"/>
    </row>
    <row r="148" ht="30" customHeight="1">
      <c r="A148" s="15" t="n">
        <v>146</v>
      </c>
      <c r="B148" s="13" t="inlineStr">
        <is>
          <t>الموارد البشرية</t>
        </is>
      </c>
      <c r="C148" s="21" t="inlineStr">
        <is>
          <t>نسبة الالتزام بنظام العمل واللوائح وخطة القوى العاملة المعتمدة</t>
        </is>
      </c>
      <c r="D148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59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51" t="n"/>
    </row>
    <row r="149" ht="30" customHeight="1">
      <c r="A149" s="15" t="n">
        <v>147</v>
      </c>
      <c r="B149" s="13" t="inlineStr">
        <is>
          <t>الموارد البشرية</t>
        </is>
      </c>
      <c r="C149" s="21" t="inlineStr">
        <is>
          <t>نسبة إنجاز معاملات شؤون الموظفين ضمن المدة المستهدفة SLA</t>
        </is>
      </c>
      <c r="D149" s="71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59" t="n">
        <v>0.09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51" t="n"/>
    </row>
    <row r="150" ht="30" customHeight="1">
      <c r="A150" s="15" t="n">
        <v>148</v>
      </c>
      <c r="B150" s="13" t="inlineStr">
        <is>
          <t>الموارد البشرية</t>
        </is>
      </c>
      <c r="C150" s="21" t="inlineStr">
        <is>
          <t>نسبة الالتزام بتجديد الوثائق واكتمال ملفات الموظفين</t>
        </is>
      </c>
      <c r="D150" s="71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59" t="n">
        <v>0.09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51" t="n"/>
    </row>
    <row r="151" ht="30" customHeight="1">
      <c r="A151" s="15" t="n">
        <v>149</v>
      </c>
      <c r="B151" s="13" t="inlineStr">
        <is>
          <t>الموارد البشرية</t>
        </is>
      </c>
      <c r="C151" s="21" t="inlineStr">
        <is>
          <t>نسبة جاهزية وتغطية عمالة المحطات حسب خطة التشغيل والافتتاحات</t>
        </is>
      </c>
      <c r="D151" s="71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العمليات الداخلية</t>
        </is>
      </c>
      <c r="I151" s="59" t="n">
        <v>0.11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51" t="n"/>
    </row>
    <row r="152" ht="30" customHeight="1">
      <c r="A152" s="15" t="n">
        <v>150</v>
      </c>
      <c r="B152" s="13" t="inlineStr">
        <is>
          <t>الموارد البشرية</t>
        </is>
      </c>
      <c r="C152" s="21" t="inlineStr">
        <is>
          <t>متوسط مدة إغلاق الشواغر المعتمدة</t>
        </is>
      </c>
      <c r="D152" s="71" t="inlineStr">
        <is>
          <t>يقيس متوسط مدة إغلاق الشواغر المعتمدة ضمن محور «الاستقطاب»، ويعكس مساهمة الإدارة في ركيزة الاستدامة.</t>
        </is>
      </c>
      <c r="E152" s="11" t="inlineStr">
        <is>
          <t>متوسط يوم خلال الفترة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59" t="n">
        <v>0.08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51" t="n"/>
    </row>
    <row r="153" ht="30" customHeight="1">
      <c r="A153" s="15" t="n">
        <v>151</v>
      </c>
      <c r="B153" s="13" t="inlineStr">
        <is>
          <t>الموارد البشرية</t>
        </is>
      </c>
      <c r="C153" s="21" t="inlineStr">
        <is>
          <t>نسبة نجاح التعيينات الجديدة خلال فترة التجربة</t>
        </is>
      </c>
      <c r="D153" s="71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الاستثمار في الموظفين</t>
        </is>
      </c>
      <c r="H153" s="15" t="inlineStr">
        <is>
          <t>العملاء</t>
        </is>
      </c>
      <c r="I153" s="59" t="n">
        <v>0.08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51" t="n"/>
    </row>
    <row r="154" ht="30" customHeight="1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71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الاستثمار في الموظفين</t>
        </is>
      </c>
      <c r="H154" s="15" t="inlineStr">
        <is>
          <t>مالي</t>
        </is>
      </c>
      <c r="I154" s="59" t="n">
        <v>0.09</v>
      </c>
      <c r="J154" s="15" t="inlineStr">
        <is>
          <t>مدير الموارد البشرية</t>
        </is>
      </c>
      <c r="K154" s="11" t="inlineStr">
        <is>
          <t>نظام الرواتب (Payroll) / حماية الأجور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51" t="n"/>
    </row>
    <row r="155" ht="30" customHeight="1">
      <c r="A155" s="15" t="n">
        <v>153</v>
      </c>
      <c r="B155" s="13" t="inlineStr">
        <is>
          <t>الموارد البشرية</t>
        </is>
      </c>
      <c r="C155" s="21" t="inlineStr">
        <is>
          <t>نسبة دقة الرواتب والمستحقات الشهرية</t>
        </is>
      </c>
      <c r="D155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🎯 نتيجة</t>
        </is>
      </c>
      <c r="G155" s="11" t="inlineStr">
        <is>
          <t>الاستدامة · الاستثمار في الموظفين</t>
        </is>
      </c>
      <c r="H155" s="15" t="inlineStr">
        <is>
          <t>مالي</t>
        </is>
      </c>
      <c r="I155" s="59" t="n">
        <v>0.08</v>
      </c>
      <c r="J155" s="15" t="inlineStr">
        <is>
          <t>مدير الموارد البشرية</t>
        </is>
      </c>
      <c r="K155" s="11" t="inlineStr">
        <is>
          <t>نظام الرواتب (Payroll) / حماية الأجور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51" t="n"/>
    </row>
    <row r="156" ht="30" customHeight="1">
      <c r="A156" s="15" t="n">
        <v>154</v>
      </c>
      <c r="B156" s="13" t="inlineStr">
        <is>
          <t>الموارد البشرية</t>
        </is>
      </c>
      <c r="C156" s="21" t="inlineStr">
        <is>
          <t>معدل دوران الموظفين</t>
        </is>
      </c>
      <c r="D156" s="71" t="inlineStr">
        <is>
          <t>يقيس معدل دوران الموظفين ضمن محور «الاستقرار والتطوير»،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الاستثمار في الموظفين</t>
        </is>
      </c>
      <c r="H156" s="15" t="inlineStr">
        <is>
          <t>التعلّم والنمو</t>
        </is>
      </c>
      <c r="I156" s="59" t="n">
        <v>0.06</v>
      </c>
      <c r="J156" s="15" t="inlineStr">
        <is>
          <t>مدير الموارد البشرية</t>
        </is>
      </c>
      <c r="K156" s="11" t="inlineStr">
        <is>
          <t>نظام الموارد البشرية (HRMS)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51" t="n"/>
    </row>
    <row r="157" ht="30" customHeight="1">
      <c r="A157" s="15" t="n">
        <v>155</v>
      </c>
      <c r="B157" s="13" t="inlineStr">
        <is>
          <t>الموارد البشرية</t>
        </is>
      </c>
      <c r="C157" s="21" t="inlineStr">
        <is>
          <t>نسبة تنفيذ برامج التدريب والتأهيل المعتمدة</t>
        </is>
      </c>
      <c r="D157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الاستثمار في الموظفين</t>
        </is>
      </c>
      <c r="H157" s="15" t="inlineStr">
        <is>
          <t>التعلّم والنمو</t>
        </is>
      </c>
      <c r="I157" s="59" t="n">
        <v>0.06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51" t="n"/>
    </row>
    <row r="158" ht="30" customHeight="1">
      <c r="A158" s="15" t="n">
        <v>156</v>
      </c>
      <c r="B158" s="13" t="inlineStr">
        <is>
          <t>الموارد البشرية</t>
        </is>
      </c>
      <c r="C158" s="21" t="inlineStr">
        <is>
          <t>نسبة إغلاق تقييمات الأداء وخطط الإحلال للوظائف الحرجة</t>
        </is>
      </c>
      <c r="D158" s="71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الاستثمار في الموظفين</t>
        </is>
      </c>
      <c r="H158" s="15" t="inlineStr">
        <is>
          <t>العمليات الداخلية</t>
        </is>
      </c>
      <c r="I158" s="59" t="n">
        <v>0.04</v>
      </c>
      <c r="J158" s="15" t="inlineStr">
        <is>
          <t>مدير الموارد البشرية</t>
        </is>
      </c>
      <c r="K158" s="11" t="inlineStr">
        <is>
          <t>نظام الموارد البشرية (HRMS)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51" t="n"/>
    </row>
    <row r="159" ht="30" customHeight="1">
      <c r="A159" s="15" t="n">
        <v>157</v>
      </c>
      <c r="B159" s="13" t="inlineStr">
        <is>
          <t>التسويق</t>
        </is>
      </c>
      <c r="C159" s="21" t="inlineStr">
        <is>
          <t>الوصول الكلي (Total Reach)</t>
        </is>
      </c>
      <c r="D159" s="71" t="inlineStr">
        <is>
          <t>يقيس الوصول الكلي (Total Reach) ضمن محور «الإدارة العامة»،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🎯 نتيجة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59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51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عملاء تجاريون جدد</t>
        </is>
      </c>
      <c r="D160" s="71" t="inlineStr">
        <is>
          <t>يقيس عملاء تجاريون جدد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59" t="n">
        <v>0.06</v>
      </c>
      <c r="J160" s="15" t="inlineStr">
        <is>
          <t>مدير التسويق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التسويق</t>
        </is>
      </c>
      <c r="N160" s="51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إجمالي المتابعين (كل المنصات)</t>
        </is>
      </c>
      <c r="D161" s="71" t="inlineStr">
        <is>
          <t>يقيس إجمالي المتابعين (كل المنصات) ضمن محور «الفريق الإبداعي»،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59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51" t="n"/>
    </row>
    <row r="162" ht="30" customHeight="1">
      <c r="A162" s="15" t="n">
        <v>160</v>
      </c>
      <c r="B162" s="13" t="inlineStr">
        <is>
          <t>التسويق</t>
        </is>
      </c>
      <c r="C162" s="21" t="inlineStr">
        <is>
          <t>معدل التفاعل (Engagement)</t>
        </is>
      </c>
      <c r="D162" s="71" t="inlineStr">
        <is>
          <t>يقيس معدل التفاعل (Engagement) ضمن محور «الفريق الإبداعي»،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59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51" t="n"/>
    </row>
    <row r="163" ht="30" customHeight="1">
      <c r="A163" s="15" t="n">
        <v>161</v>
      </c>
      <c r="B163" s="13" t="inlineStr">
        <is>
          <t>التسويق</t>
        </is>
      </c>
      <c r="C163" s="21" t="inlineStr">
        <is>
          <t>حملات تسويقية منجزة</t>
        </is>
      </c>
      <c r="D163" s="71" t="inlineStr">
        <is>
          <t>يقيس حملات تسويقية منجزة ضمن محور «الحملات التسويقية»، ويعكس مساهمة الإدارة في ركيزة النمو.</t>
        </is>
      </c>
      <c r="E163" s="11" t="inlineStr">
        <is>
          <t>إجمالي العدد خلال الفترة</t>
        </is>
      </c>
      <c r="F163" s="15" t="inlineStr">
        <is>
          <t>⚙️ نشاط</t>
        </is>
      </c>
      <c r="G163" s="11" t="inlineStr">
        <is>
          <t>النمو · زيادة وصول العملاء</t>
        </is>
      </c>
      <c r="H163" s="15" t="inlineStr">
        <is>
          <t>العمليات الداخلية</t>
        </is>
      </c>
      <c r="I163" s="59" t="n">
        <v>0.06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51" t="n"/>
    </row>
    <row r="164" ht="30" customHeight="1">
      <c r="A164" s="15" t="n">
        <v>162</v>
      </c>
      <c r="B164" s="13" t="inlineStr">
        <is>
          <t>التسويق</t>
        </is>
      </c>
      <c r="C164" s="21" t="inlineStr">
        <is>
          <t>تحويل الفرص إلى عقود</t>
        </is>
      </c>
      <c r="D164" s="71" t="inlineStr">
        <is>
          <t>يقيس تحويل الفرص إلى عقود ضمن محور «الحملات التسويقية»،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59" t="n">
        <v>0.08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51" t="n"/>
    </row>
    <row r="165" ht="30" customHeight="1">
      <c r="A165" s="15" t="n">
        <v>163</v>
      </c>
      <c r="B165" s="13" t="inlineStr">
        <is>
          <t>التسويق</t>
        </is>
      </c>
      <c r="C165" s="21" t="inlineStr">
        <is>
          <t>نسبة المبيعات لكل حملة</t>
        </is>
      </c>
      <c r="D165" s="71" t="inlineStr">
        <is>
          <t>يقيس نسبة المبيعات لكل حملة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59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51" t="n"/>
    </row>
    <row r="166" ht="30" customHeight="1">
      <c r="A166" s="15" t="n">
        <v>164</v>
      </c>
      <c r="B166" s="13" t="inlineStr">
        <is>
          <t>التسويق</t>
        </is>
      </c>
      <c r="C166" s="21" t="inlineStr">
        <is>
          <t>نسبة التزام الهوية البصرية</t>
        </is>
      </c>
      <c r="D166" s="71" t="inlineStr">
        <is>
          <t>يقيس نسبة التزام الهوية البصرية ضمن محور «الدعاية والإعلان»، ويعكس مساهمة الإدارة في ركيزة الابتكار.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الابتكار · تطوير التصاميم والهوية</t>
        </is>
      </c>
      <c r="H166" s="15" t="inlineStr">
        <is>
          <t>التعلّم والنمو</t>
        </is>
      </c>
      <c r="I166" s="59" t="n">
        <v>0.08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51" t="n"/>
    </row>
    <row r="167" ht="30" customHeight="1">
      <c r="A167" s="15" t="n">
        <v>165</v>
      </c>
      <c r="B167" s="13" t="inlineStr">
        <is>
          <t>التسويق</t>
        </is>
      </c>
      <c r="C167" s="21" t="inlineStr">
        <is>
          <t>وصول العلاقات العامة (PR)</t>
        </is>
      </c>
      <c r="D167" s="71" t="inlineStr">
        <is>
          <t>يقيس وصول العلاقات العامة (PR) ضمن محور «العلاقات والشراكات»، ويعكس مساهمة الإدارة في ركيزة النمو.</t>
        </is>
      </c>
      <c r="E167" s="11" t="inlineStr">
        <is>
          <t>إجمالي العدد خلال الفترة</t>
        </is>
      </c>
      <c r="F167" s="15" t="inlineStr">
        <is>
          <t>🔧 تشغيلي</t>
        </is>
      </c>
      <c r="G167" s="11" t="inlineStr">
        <is>
          <t>النمو · زيادة وصول العملاء</t>
        </is>
      </c>
      <c r="H167" s="15" t="inlineStr">
        <is>
          <t>العملاء</t>
        </is>
      </c>
      <c r="I167" s="59" t="n">
        <v>0.06</v>
      </c>
      <c r="J167" s="15" t="inlineStr">
        <is>
          <t>مدير التسويق</t>
        </is>
      </c>
      <c r="K167" s="11" t="inlineStr">
        <is>
          <t>أنظمة التسويق الرقمي / تانكي</t>
        </is>
      </c>
      <c r="L167" s="15" t="inlineStr">
        <is>
          <t>شهري</t>
        </is>
      </c>
      <c r="M167" s="15" t="inlineStr">
        <is>
          <t>مدير التسويق</t>
        </is>
      </c>
      <c r="N167" s="51" t="n"/>
    </row>
    <row r="168" ht="30" customHeight="1">
      <c r="A168" s="15" t="n">
        <v>166</v>
      </c>
      <c r="B168" s="13" t="inlineStr">
        <is>
          <t>التسويق</t>
        </is>
      </c>
      <c r="C168" s="21" t="inlineStr">
        <is>
          <t>عدد المعارض بالسنة</t>
        </is>
      </c>
      <c r="D168" s="71" t="inlineStr">
        <is>
          <t>يقيس عدد المعارض بالسنة ضمن محور «العلاقات والشراكات»،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الابتكار · إطلاق مشاريع جديدة</t>
        </is>
      </c>
      <c r="H168" s="15" t="inlineStr">
        <is>
          <t>العمليات الداخلية</t>
        </is>
      </c>
      <c r="I168" s="59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51" t="n"/>
    </row>
    <row r="169" ht="30" customHeight="1">
      <c r="A169" s="15" t="n">
        <v>167</v>
      </c>
      <c r="B169" s="13" t="inlineStr">
        <is>
          <t>التسويق</t>
        </is>
      </c>
      <c r="C169" s="21" t="inlineStr">
        <is>
          <t>اتفاقيات استراتيجية</t>
        </is>
      </c>
      <c r="D169" s="71" t="inlineStr">
        <is>
          <t>يقيس اتفاقيات استراتيجية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59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51" t="n"/>
    </row>
    <row r="170" ht="30" customHeight="1">
      <c r="A170" s="15" t="n">
        <v>168</v>
      </c>
      <c r="B170" s="13" t="inlineStr">
        <is>
          <t>التسويق</t>
        </is>
      </c>
      <c r="C170" s="21" t="inlineStr">
        <is>
          <t>تقييم خرائط قوقل</t>
        </is>
      </c>
      <c r="D170" s="71" t="inlineStr">
        <is>
          <t>يقيس تقييم خرائط قوقل ضمن محور «خدمة العملاء والدعم»، ويعكس مساهمة الإدارة في ركيزة الاستدامة.</t>
        </is>
      </c>
      <c r="E170" s="11" t="inlineStr">
        <is>
          <t>متوسط التقييم (من 5)</t>
        </is>
      </c>
      <c r="F170" s="15" t="inlineStr">
        <is>
          <t>🎯 نتيجة</t>
        </is>
      </c>
      <c r="G170" s="11" t="inlineStr">
        <is>
          <t>الاستدامة · تعزيز تجربة العملاء</t>
        </is>
      </c>
      <c r="H170" s="15" t="inlineStr">
        <is>
          <t>العملاء</t>
        </is>
      </c>
      <c r="I170" s="59" t="n">
        <v>0.06</v>
      </c>
      <c r="J170" s="15" t="inlineStr">
        <is>
          <t>مدير التسويق</t>
        </is>
      </c>
      <c r="K170" s="11" t="inlineStr">
        <is>
          <t>تقييمات خرائط قوقل</t>
        </is>
      </c>
      <c r="L170" s="15" t="inlineStr">
        <is>
          <t>شهري</t>
        </is>
      </c>
      <c r="M170" s="15" t="inlineStr">
        <is>
          <t>مدير التسويق</t>
        </is>
      </c>
      <c r="N170" s="51" t="n"/>
    </row>
    <row r="171" ht="30" customHeight="1">
      <c r="A171" s="15" t="n">
        <v>169</v>
      </c>
      <c r="B171" s="13" t="inlineStr">
        <is>
          <t>التسويق</t>
        </is>
      </c>
      <c r="C171" s="21" t="inlineStr">
        <is>
          <t>معدل خفض الشكاوى</t>
        </is>
      </c>
      <c r="D171" s="71" t="inlineStr">
        <is>
          <t>يقيس معدل خفض الشكاوى ضمن محور «خدمة العملاء والدعم»،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59" t="n">
        <v>0.06</v>
      </c>
      <c r="J171" s="15" t="inlineStr">
        <is>
          <t>مدير التسويق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التسويق</t>
        </is>
      </c>
      <c r="N171" s="51" t="n"/>
    </row>
    <row r="172" ht="30" customHeight="1">
      <c r="A172" s="15" t="n">
        <v>170</v>
      </c>
      <c r="B172" s="13" t="inlineStr">
        <is>
          <t>التسويق</t>
        </is>
      </c>
      <c r="C172" s="21" t="inlineStr">
        <is>
          <t>وصول محتوى تطبيق تانكي</t>
        </is>
      </c>
      <c r="D172" s="71" t="inlineStr">
        <is>
          <t>يقيس وصول محتوى تطبيق تانكي ضمن محور «تطبيق تانكي»، ويعكس مساهمة الإدارة في ركيزة الابتكار.</t>
        </is>
      </c>
      <c r="E172" s="11" t="inlineStr">
        <is>
          <t>إجمالي العدد خلال الفترة</t>
        </is>
      </c>
      <c r="F172" s="15" t="inlineStr">
        <is>
          <t>🔧 تشغيلي</t>
        </is>
      </c>
      <c r="G172" s="11" t="inlineStr">
        <is>
          <t>الابتكار · تطبيق «تانكي»</t>
        </is>
      </c>
      <c r="H172" s="15" t="inlineStr">
        <is>
          <t>العملاء</t>
        </is>
      </c>
      <c r="I172" s="59" t="n">
        <v>0.05</v>
      </c>
      <c r="J172" s="15" t="inlineStr">
        <is>
          <t>مدير التسويق</t>
        </is>
      </c>
      <c r="K172" s="11" t="inlineStr">
        <is>
          <t>أنظمة التسويق الرقمي / تانكي</t>
        </is>
      </c>
      <c r="L172" s="15" t="inlineStr">
        <is>
          <t>شهري</t>
        </is>
      </c>
      <c r="M172" s="15" t="inlineStr">
        <is>
          <t>مدير التسويق</t>
        </is>
      </c>
      <c r="N172" s="51" t="n"/>
    </row>
    <row r="173" ht="30" customHeight="1">
      <c r="A173" s="15" t="n">
        <v>171</v>
      </c>
      <c r="B173" s="13" t="inlineStr">
        <is>
          <t>التسويق</t>
        </is>
      </c>
      <c r="C173" s="21" t="inlineStr">
        <is>
          <t>مشاركات تطبيق تانكي</t>
        </is>
      </c>
      <c r="D173" s="71" t="inlineStr">
        <is>
          <t>يقيس مشاركات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العمليات الداخلية</t>
        </is>
      </c>
      <c r="I173" s="59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51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المحطات الحرجة</t>
        </is>
      </c>
      <c r="D174" s="71" t="inlineStr">
        <is>
          <t>يقيس نسبة المحطات الحرجة ضمن محور «مخاطر الجودة»،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59" t="n">
        <v>0.1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51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مطابقة جودة الوقود</t>
        </is>
      </c>
      <c r="D175" s="71" t="inlineStr">
        <is>
          <t>يقيس نسبة مطابقة جودة الوقود ضمن محور «جودة الوقود»،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59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1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إغلاق الملاحظات في الوقت المحدد</t>
        </is>
      </c>
      <c r="D176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59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1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فعالية الإجراءات التصحيحية</t>
        </is>
      </c>
      <c r="D177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59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1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تكرار الملاحظات</t>
        </is>
      </c>
      <c r="D178" s="71" t="inlineStr">
        <is>
          <t>يقيس نسبة تكرار الملاحظات ضمن محور «منع التكرار»،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59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1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تنفيذ خطة التفتيش والتدقيق</t>
        </is>
      </c>
      <c r="D179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59" t="n">
        <v>0.07000000000000001</v>
      </c>
      <c r="J179" s="15" t="inlineStr">
        <is>
          <t>مدير الجودة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51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جاهزية نظام إدارة الجودة QMS</t>
        </is>
      </c>
      <c r="D180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59" t="n">
        <v>0.1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1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عدد مخاطر الجودة الحرجة المفتوحة</t>
        </is>
      </c>
      <c r="D181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59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1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إغلاق مخاطر الجودة في الوقت المحدد</t>
        </is>
      </c>
      <c r="D182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59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1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انخفاض الشكاوى المتكررة ذات العلاقة بالجودة</t>
        </is>
      </c>
      <c r="D183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تعزيز تجربة العملاء</t>
        </is>
      </c>
      <c r="H183" s="15" t="inlineStr">
        <is>
          <t>العملاء</t>
        </is>
      </c>
      <c r="I183" s="59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51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اكتمال وتحديث الإجراءات المعتمدة</t>
        </is>
      </c>
      <c r="D184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59" t="n">
        <v>0.03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51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اكتمال سجلات الجودة</t>
        </is>
      </c>
      <c r="D185" s="71" t="inlineStr">
        <is>
          <t>يقيس نسبة اكتمال سجلات الجودة ضمن محور «توثيق وحوكمة»،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59" t="n">
        <v>0.07000000000000001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51" t="n"/>
    </row>
    <row r="186" ht="30" customHeight="1">
      <c r="A186" s="15" t="n">
        <v>184</v>
      </c>
      <c r="B186" s="13" t="inlineStr">
        <is>
          <t>الجودة</t>
        </is>
      </c>
      <c r="C186" s="21" t="inlineStr">
        <is>
          <t>نسبة رقمنة عمليات الجودة</t>
        </is>
      </c>
      <c r="D186" s="71" t="inlineStr">
        <is>
          <t>يقيس نسبة رقمنة عمليات الجودة ضمن محور «الابتكار والرقمنة»، ويعكس مساهمة الإدارة في ركيزة الابتكار.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الابتكار · التحول التقني</t>
        </is>
      </c>
      <c r="H186" s="15" t="inlineStr">
        <is>
          <t>التعلّم والنمو</t>
        </is>
      </c>
      <c r="I186" s="59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51" t="n"/>
    </row>
    <row r="187" ht="30" customHeight="1">
      <c r="A187" s="15" t="n">
        <v>185</v>
      </c>
      <c r="B187" s="13" t="inlineStr">
        <is>
          <t>الجودة</t>
        </is>
      </c>
      <c r="C187" s="21" t="inlineStr">
        <is>
          <t>عدد مبادرات التحسين المؤثرة</t>
        </is>
      </c>
      <c r="D187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187" s="11" t="inlineStr">
        <is>
          <t>إجمالي العدد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التعلّم والنمو</t>
        </is>
      </c>
      <c r="I187" s="59" t="n">
        <v>0.07000000000000001</v>
      </c>
      <c r="J187" s="15" t="inlineStr">
        <is>
          <t>مدير الجودة</t>
        </is>
      </c>
      <c r="K187" s="11" t="inlineStr">
        <is>
          <t>سجلات الإدارة</t>
        </is>
      </c>
      <c r="L187" s="15" t="inlineStr">
        <is>
          <t>ربعي</t>
        </is>
      </c>
      <c r="M187" s="15" t="inlineStr">
        <is>
          <t>مدير الجودة</t>
        </is>
      </c>
      <c r="N187" s="51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العقود المُراجَعة قانونياً قبل التوقيع</t>
        </is>
      </c>
      <c r="D188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59" t="n">
        <v>0.1</v>
      </c>
      <c r="J188" s="15" t="inlineStr">
        <is>
          <t>المدير القانوني</t>
        </is>
      </c>
      <c r="K188" s="11" t="inlineStr">
        <is>
          <t>نظام إدارة العقود (CRM)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1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متوسط زمن صياغة ومراجعة العقد</t>
        </is>
      </c>
      <c r="D189" s="71" t="inlineStr">
        <is>
          <t>يقيس متوسط زمن صياغة ومراجعة العقد ضمن محور «أعمال العقود»،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59" t="n">
        <v>0.1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1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العقود الخالية من الملاحظات والمخاطر القانونية</t>
        </is>
      </c>
      <c r="D190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59" t="n">
        <v>0.1</v>
      </c>
      <c r="J190" s="15" t="inlineStr">
        <is>
          <t>المدير القانوني</t>
        </is>
      </c>
      <c r="K190" s="11" t="inlineStr">
        <is>
          <t>نظام إدارة الجودة (QMS)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1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القضايا المُغلقة لصالح الشركة</t>
        </is>
      </c>
      <c r="D191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59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1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تقديم المذكرات والردود في المواعيد النظامية</t>
        </is>
      </c>
      <c r="D192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59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1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متوسط زمن إعداد المذكرة القانونية</t>
        </is>
      </c>
      <c r="D193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59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1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الاستشارات المُنجزة ضمن المدة المستهدفة (SLA)</t>
        </is>
      </c>
      <c r="D194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59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1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مستوى رضا الإدارات عن الدعم القانوني</t>
        </is>
      </c>
      <c r="D195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العملاء</t>
        </is>
      </c>
      <c r="I195" s="59" t="n">
        <v>0.1</v>
      </c>
      <c r="J195" s="15" t="inlineStr">
        <is>
          <t>المدير القانوني</t>
        </is>
      </c>
      <c r="K195" s="11" t="inlineStr">
        <is>
          <t>استبيان دوري</t>
        </is>
      </c>
      <c r="L195" s="15" t="inlineStr">
        <is>
          <t>ربعي</t>
        </is>
      </c>
      <c r="M195" s="15" t="inlineStr">
        <is>
          <t>المدير القانوني</t>
        </is>
      </c>
      <c r="N195" s="51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إنجاز التحقيقات ضمن المدة المحددة</t>
        </is>
      </c>
      <c r="D196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59" t="n">
        <v>0.07000000000000001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1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التحقيقات المُغلقة من إجمالي المُحالة</t>
        </is>
      </c>
      <c r="D197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59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1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متوسط زمن إغلاق قضية التحقيق</t>
        </is>
      </c>
      <c r="D198" s="71" t="inlineStr">
        <is>
          <t>يقيس متوسط زمن إغلاق قضية التحقيق ضمن محور «التحقيق»، ويعكس مساهمة الإدارة في ركيزة الاستدامة.</t>
        </is>
      </c>
      <c r="E198" s="11" t="inlineStr">
        <is>
          <t>متوسط يوم خلال الفترة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59" t="n">
        <v>0.06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1" t="n"/>
    </row>
    <row r="199" ht="30" customHeight="1">
      <c r="A199" s="15" t="n">
        <v>197</v>
      </c>
      <c r="B199" s="13" t="inlineStr">
        <is>
          <t>الإدارة القانونية</t>
        </is>
      </c>
      <c r="C199" s="21" t="inlineStr">
        <is>
          <t>نسبة تنفيذ التوصيات الصادرة عن التحقيقات</t>
        </is>
      </c>
      <c r="D199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⚙️ نشاط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59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51" t="n"/>
    </row>
    <row r="200" ht="30" customHeight="1">
      <c r="A200" s="15" t="n">
        <v>198</v>
      </c>
      <c r="B200" s="13" t="inlineStr">
        <is>
          <t>الإدارة القانونية</t>
        </is>
      </c>
      <c r="C200" s="21" t="inlineStr">
        <is>
          <t>نسبة التزام التحقيقات بالإجراءات النظامية والعدالة الإجرائية</t>
        </is>
      </c>
      <c r="D200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59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51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نمو الإيرادات السنوي</t>
        </is>
      </c>
      <c r="D201" s="71" t="inlineStr">
        <is>
          <t>يقيس نمو الإيرادات السنوي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59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51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هامش EBITDA</t>
        </is>
      </c>
      <c r="D202" s="71" t="inlineStr">
        <is>
          <t>يقيس هامش EBITDA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59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1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هامش صافي الربح</t>
        </is>
      </c>
      <c r="D203" s="71" t="inlineStr">
        <is>
          <t>يقيس هامش صافي الربح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59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1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العائد على حقوق الملكية (ROE)</t>
        </is>
      </c>
      <c r="D204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59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ربعي</t>
        </is>
      </c>
      <c r="M204" s="15" t="inlineStr">
        <is>
          <t>الإدارة المالية</t>
        </is>
      </c>
      <c r="N204" s="51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التدفق النقدي التشغيلي</t>
        </is>
      </c>
      <c r="D205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59" t="n">
        <v>0.04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1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النسبة الجارية (Current Ratio)</t>
        </is>
      </c>
      <c r="D206" s="71" t="inlineStr">
        <is>
          <t>يقيس النسبة الجارية (Current Ratio) ضمن محور «السيولة ورأس المال»،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59" t="n">
        <v>0.04</v>
      </c>
      <c r="J206" s="15" t="inlineStr">
        <is>
          <t>المدير المالي</t>
        </is>
      </c>
      <c r="K206" s="11" t="inlineStr">
        <is>
          <t>سجلات الإدارة</t>
        </is>
      </c>
      <c r="L206" s="15" t="inlineStr">
        <is>
          <t>شهري</t>
        </is>
      </c>
      <c r="M206" s="15" t="inlineStr">
        <is>
          <t>المدير المالي</t>
        </is>
      </c>
      <c r="N206" s="51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دورة التحويل النقدي</t>
        </is>
      </c>
      <c r="D207" s="71" t="inlineStr">
        <is>
          <t>يقيس دورة التحويل النقدي ضمن محور «السيولة ورأس المال»، ويعكس مساهمة الإدارة في ركيزة الاستدامة.</t>
        </is>
      </c>
      <c r="E207" s="11" t="inlineStr">
        <is>
          <t>متوسط يوم خلال الفترة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59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1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متوسط أيام التحصيل العام (DSO)</t>
        </is>
      </c>
      <c r="D208" s="71" t="inlineStr">
        <is>
          <t>يقيس متوسط أيام التحصيل العام (DSO) ضمن محور «الذمم المدينة»،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59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1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نسبة التحصيل العام (الشركة)</t>
        </is>
      </c>
      <c r="D209" s="71" t="inlineStr">
        <is>
          <t>يقيس نسبة التحصيل العام (الشركة) ضمن محور «الذمم المدينة»،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59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1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نسبة الذمم المتأخرة</t>
        </is>
      </c>
      <c r="D210" s="71" t="inlineStr">
        <is>
          <t>يقيس نسبة الذمم المتأخرة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59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1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نسبة الديون المعدومة</t>
        </is>
      </c>
      <c r="D211" s="71" t="inlineStr">
        <is>
          <t>يقيس نسبة الديون المعدومة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59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1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سداد الموردين في الموعد</t>
        </is>
      </c>
      <c r="D212" s="71" t="inlineStr">
        <is>
          <t>يقيس سداد الموردين في الموعد ضمن محور «الذمم الدائنة»،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مالي</t>
        </is>
      </c>
      <c r="I212" s="59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1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اكتمال مطابقة حسابات الموردين</t>
        </is>
      </c>
      <c r="D213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59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1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دقة التنبؤ النقدي</t>
        </is>
      </c>
      <c r="D214" s="71" t="inlineStr">
        <is>
          <t>يقيس دقة التنبؤ النقدي ضمن محور «الخزينة»،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59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1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تباين مخزون الوقود</t>
        </is>
      </c>
      <c r="D215" s="71" t="inlineStr">
        <is>
          <t>يقيس تباين مخزون الوقود ضمن محور «صناعة الوقود»،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59" t="n">
        <v>0.04</v>
      </c>
      <c r="J215" s="15" t="inlineStr">
        <is>
          <t>المدير المالي</t>
        </is>
      </c>
      <c r="K215" s="11" t="inlineStr">
        <is>
          <t>نظام تشغيل المحطات</t>
        </is>
      </c>
      <c r="L215" s="15" t="inlineStr">
        <is>
          <t>شهري</t>
        </is>
      </c>
      <c r="M215" s="15" t="inlineStr">
        <is>
          <t>المدير المالي</t>
        </is>
      </c>
      <c r="N215" s="51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دقة مطابقة المخزون</t>
        </is>
      </c>
      <c r="D216" s="71" t="inlineStr">
        <is>
          <t>يقيس دقة مطابقة المخزون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59" t="n">
        <v>0.03</v>
      </c>
      <c r="J216" s="15" t="inlineStr">
        <is>
          <t>المدير المالي</t>
        </is>
      </c>
      <c r="K216" s="11" t="inlineStr">
        <is>
          <t>نظام إدارة الجودة (QMS)</t>
        </is>
      </c>
      <c r="L216" s="15" t="inlineStr">
        <is>
          <t>شهري</t>
        </is>
      </c>
      <c r="M216" s="15" t="inlineStr">
        <is>
          <t>المدير المالي</t>
        </is>
      </c>
      <c r="N216" s="51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دقة تسوية أرامكو</t>
        </is>
      </c>
      <c r="D217" s="71" t="inlineStr">
        <is>
          <t>يقيس دقة تسوية أرامكو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59" t="n">
        <v>0.03</v>
      </c>
      <c r="J217" s="15" t="inlineStr">
        <is>
          <t>المدير المالي</t>
        </is>
      </c>
      <c r="K217" s="11" t="inlineStr">
        <is>
          <t>نظام تشغيل المحطات</t>
        </is>
      </c>
      <c r="L217" s="15" t="inlineStr">
        <is>
          <t>شهري</t>
        </is>
      </c>
      <c r="M217" s="15" t="inlineStr">
        <is>
          <t>المدير المالي</t>
        </is>
      </c>
      <c r="N217" s="51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نسبة تحصيل الامتياز</t>
        </is>
      </c>
      <c r="D218" s="71" t="inlineStr">
        <is>
          <t>يقيس نسبة تحصيل الامتياز ضمن محور «تمويل الامتياز»، ويعكس مساهمة الإدارة في ركيزة النمو.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النمو · الامتياز التجاري</t>
        </is>
      </c>
      <c r="H218" s="15" t="inlineStr">
        <is>
          <t>مالي</t>
        </is>
      </c>
      <c r="I218" s="59" t="n">
        <v>0.05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51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أيام تحصيل رسوم الامتياز</t>
        </is>
      </c>
      <c r="D219" s="71" t="inlineStr">
        <is>
          <t>يقيس أيام تحصيل رسوم الامتياز ضمن محور «تمويل الامتياز»، ويعكس مساهمة الإدارة في ركيزة النمو.</t>
        </is>
      </c>
      <c r="E219" s="11" t="inlineStr">
        <is>
          <t>متوسط يوم خلال الفترة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59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51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نسبة تحصيل الإيجار</t>
        </is>
      </c>
      <c r="D220" s="71" t="inlineStr">
        <is>
          <t>يقيس نسبة تحصيل الإيجار ضمن محور «العقار والإيجار»،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🎯 نتيجة</t>
        </is>
      </c>
      <c r="G220" s="11" t="inlineStr">
        <is>
          <t>الاستدامة · منظومة التأجير</t>
        </is>
      </c>
      <c r="H220" s="15" t="inlineStr">
        <is>
          <t>مالي</t>
        </is>
      </c>
      <c r="I220" s="59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51" t="n"/>
    </row>
    <row r="221" ht="30" customHeight="1">
      <c r="A221" s="15" t="n">
        <v>219</v>
      </c>
      <c r="B221" s="13" t="inlineStr">
        <is>
          <t>الإدارة المالية</t>
        </is>
      </c>
      <c r="C221" s="21" t="inlineStr">
        <is>
          <t>معدل تجديد عقود الإيجار</t>
        </is>
      </c>
      <c r="D221" s="71" t="inlineStr">
        <is>
          <t>يقيس معدل تجديد عقود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العمليات الداخلية</t>
        </is>
      </c>
      <c r="I221" s="59" t="n">
        <v>0.05</v>
      </c>
      <c r="J221" s="15" t="inlineStr">
        <is>
          <t>المدير المالي</t>
        </is>
      </c>
      <c r="K221" s="11" t="inlineStr">
        <is>
          <t>نظام إدارة العقود (CRM)</t>
        </is>
      </c>
      <c r="L221" s="15" t="inlineStr">
        <is>
          <t>شهري</t>
        </is>
      </c>
      <c r="M221" s="15" t="inlineStr">
        <is>
          <t>المدير المالي</t>
        </is>
      </c>
      <c r="N221" s="51" t="n"/>
    </row>
    <row r="222" ht="30" customHeight="1">
      <c r="A222" s="15" t="n">
        <v>220</v>
      </c>
      <c r="B222" s="13" t="inlineStr">
        <is>
          <t>الإدارة المالية</t>
        </is>
      </c>
      <c r="C222" s="21" t="inlineStr">
        <is>
          <t>انحراف الموازنة</t>
        </is>
      </c>
      <c r="D222" s="71" t="inlineStr">
        <is>
          <t>يقيس انحراف الموازنة ضمن محور «الموازنة والتقارير»،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🔧 تشغيلي</t>
        </is>
      </c>
      <c r="G222" s="11" t="inlineStr">
        <is>
          <t>الاستدامة · جودة التشغيل</t>
        </is>
      </c>
      <c r="H222" s="15" t="inlineStr">
        <is>
          <t>العمليات الداخلية</t>
        </is>
      </c>
      <c r="I222" s="59" t="n">
        <v>0.03</v>
      </c>
      <c r="J222" s="15" t="inlineStr">
        <is>
          <t>المدير المالي</t>
        </is>
      </c>
      <c r="K222" s="11" t="inlineStr">
        <is>
          <t>نظام المحاسبة / ERP (D365)</t>
        </is>
      </c>
      <c r="L222" s="15" t="inlineStr">
        <is>
          <t>ربعي</t>
        </is>
      </c>
      <c r="M222" s="15" t="inlineStr">
        <is>
          <t>الإدارة المالية</t>
        </is>
      </c>
      <c r="N222" s="51" t="n"/>
    </row>
    <row r="223" ht="30" customHeight="1">
      <c r="A223" s="15" t="n">
        <v>221</v>
      </c>
      <c r="B223" s="13" t="inlineStr">
        <is>
          <t>الإدارة المالية</t>
        </is>
      </c>
      <c r="C223" s="21" t="inlineStr">
        <is>
          <t>أيام الإقفال الشهري</t>
        </is>
      </c>
      <c r="D223" s="71" t="inlineStr">
        <is>
          <t>يقيس أيام الإقفال الشهري ضمن محور «الموازنة والتقارير»، ويعكس مساهمة الإدارة في ركيزة الاستدامة.</t>
        </is>
      </c>
      <c r="E223" s="11" t="inlineStr">
        <is>
          <t>متوسط يوم خلال الفترة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59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شهري</t>
        </is>
      </c>
      <c r="M223" s="15" t="inlineStr">
        <is>
          <t>الإدارة المالية</t>
        </is>
      </c>
      <c r="N223" s="51" t="n"/>
    </row>
    <row r="224" ht="30" customHeight="1">
      <c r="A224" s="15" t="n">
        <v>222</v>
      </c>
      <c r="B224" s="13" t="inlineStr">
        <is>
          <t>الإدارة المالية</t>
        </is>
      </c>
      <c r="C224" s="21" t="inlineStr">
        <is>
          <t>نسبة تسويات التدقيق</t>
        </is>
      </c>
      <c r="D224" s="71" t="inlineStr">
        <is>
          <t>يقيس نسبة تسويات التدقيق ضمن محور «الموازنة والتقارير»، ويعكس مساهمة الإدارة في ركيزة الاستدامة.</t>
        </is>
      </c>
      <c r="E224" s="11" t="inlineStr">
        <is>
          <t>(المتحقّق ÷ الإجمالي) × 100٪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59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ربعي</t>
        </is>
      </c>
      <c r="M224" s="15" t="inlineStr">
        <is>
          <t>الإدارة المالية</t>
        </is>
      </c>
      <c r="N224" s="51" t="n"/>
    </row>
  </sheetData>
  <autoFilter ref="A2:N224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بنزين 91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0.08599999999999999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بنزين 91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الربحية</t>
        </is>
      </c>
      <c r="C6" s="21" t="inlineStr">
        <is>
          <t>نمو مبيعات بنزين 95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0.1</v>
      </c>
      <c r="I6" s="22" t="inlineStr">
        <is>
          <t>≥ 10%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0.08400000000000001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«نمو مبيعات بنزين 95 مقارنة بالعام السابق»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الربحية</t>
        </is>
      </c>
      <c r="C7" s="21" t="inlineStr">
        <is>
          <t>نمو مبيعات بنزين 98 مقارنة بالعام السابق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0.1</v>
      </c>
      <c r="I7" s="22" t="inlineStr">
        <is>
          <t>≥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«نمو مبيعات بنزين 98 مقارنة بالعام السابق» ÷ المستهدف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الربحية</t>
        </is>
      </c>
      <c r="C8" s="21" t="inlineStr">
        <is>
          <t>نمو مبيعات الديزل مقارنة بالعام السابق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0.08</v>
      </c>
      <c r="H8" s="59" t="n">
        <v>0.1</v>
      </c>
      <c r="I8" s="22" t="inlineStr">
        <is>
          <t>≥ 10%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0" t="n">
        <v>0.091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القيمة المتحقّقة من «نمو مبيعات الديزل مقارنة بالعام السابق» ÷ المستهدف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حماية الإيراد</t>
        </is>
      </c>
      <c r="C9" s="21" t="inlineStr">
        <is>
          <t>نسبة جاهزية المحطة الشاملة (Uptime)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0.07000000000000001</v>
      </c>
      <c r="H9" s="59" t="n">
        <v>0.99</v>
      </c>
      <c r="I9" s="22" t="inlineStr">
        <is>
          <t>99%+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0.831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74" t="inlineStr">
        <is>
          <t>قيمة/عدد المتحقّق من «جاهزية المحطة الشاملة»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حماية الإيراد</t>
        </is>
      </c>
      <c r="C10" s="21" t="inlineStr">
        <is>
          <t>نسبة المضخات العاملة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0.05</v>
      </c>
      <c r="H10" s="59" t="n">
        <v>0.97</v>
      </c>
      <c r="I10" s="22" t="inlineStr">
        <is>
          <t>≥ 97%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0.953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«المضخات العاملة»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ضغط التكلفة</t>
        </is>
      </c>
      <c r="C11" s="21" t="inlineStr">
        <is>
          <t>تكلفة التشغيل لكل لتر مباع</t>
        </is>
      </c>
      <c r="D11" s="49" t="inlineStr">
        <is>
          <t>هللة/لتر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0.05</v>
      </c>
      <c r="H11" s="49" t="inlineStr"/>
      <c r="I11" s="22" t="inlineStr">
        <is>
          <t>خفض ≥5% سنوياً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لترات «تكلفة التشغيل لكل لتر مباع» خلال الفترة</t>
        </is>
      </c>
      <c r="Q11" s="74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حماية الأصول</t>
        </is>
      </c>
      <c r="C12" s="21" t="inlineStr">
        <is>
          <t>نسبة الصيانة الوقائية المنفذة في موعدها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0.05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«الصيانة الوقائية المنفذة في موعدها» ÷ الإجمالي المستهدف لنفس البند × 100٪</t>
        </is>
      </c>
      <c r="Q12" s="74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مقارنة بالشهر السابق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0.05</v>
      </c>
      <c r="H13" s="59" t="n">
        <v>0.2</v>
      </c>
      <c r="I13" s="22" t="inlineStr">
        <is>
          <t>≥ 20%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0.163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مقارنة بالشهر السابق» ÷ الإجمالي المستهدف لنفس البند × 100٪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تجربة العميل</t>
        </is>
      </c>
      <c r="C14" s="21" t="inlineStr">
        <is>
          <t>تقييم Google Maps للمحطات</t>
        </is>
      </c>
      <c r="D14" s="49" t="inlineStr">
        <is>
          <t>نجمة/5</t>
        </is>
      </c>
      <c r="E14" s="49" t="inlineStr">
        <is>
          <t>↑</t>
        </is>
      </c>
      <c r="F14" s="15" t="inlineStr">
        <is>
          <t>🔴 رئيسي</t>
        </is>
      </c>
      <c r="G14" s="59" t="n">
        <v>0.07000000000000001</v>
      </c>
      <c r="H14" s="62" t="n">
        <v>4.5</v>
      </c>
      <c r="I14" s="22" t="inlineStr">
        <is>
          <t>≥ 4.5</t>
        </is>
      </c>
      <c r="J14" s="73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متوسط تقييم «تقييم Google Maps للمحطات» على مقياسه المعتمد</t>
        </is>
      </c>
      <c r="Q14" s="74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تجربة العميل</t>
        </is>
      </c>
      <c r="C15" s="21" t="inlineStr">
        <is>
          <t>سرعة تعبئة الوقود</t>
        </is>
      </c>
      <c r="D15" s="49" t="inlineStr">
        <is>
          <t>دقيقة</t>
        </is>
      </c>
      <c r="E15" s="49" t="inlineStr">
        <is>
          <t>↓</t>
        </is>
      </c>
      <c r="F15" s="15" t="inlineStr">
        <is>
          <t>🟠 مهم</t>
        </is>
      </c>
      <c r="G15" s="59" t="n">
        <v>0.05</v>
      </c>
      <c r="H15" s="62" t="n">
        <v>3</v>
      </c>
      <c r="I15" s="22" t="inlineStr">
        <is>
          <t>≤ 3 دقائق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قياس «سرعة تعبئة الوقود» مقابل مستهدفه المعتمد خلال الفترة</t>
        </is>
      </c>
      <c r="Q15" s="74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تجربة العميل</t>
        </is>
      </c>
      <c r="C16" s="21" t="inlineStr">
        <is>
          <t>دقة التعبئة بدون أخطاء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0.05</v>
      </c>
      <c r="H16" s="59" t="n">
        <v>0.99</v>
      </c>
      <c r="I16" s="22" t="inlineStr">
        <is>
          <t>≥ 99%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0.831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«دقة التعبئة بدون أخطاء» ÷ المستهدف × 100٪</t>
        </is>
      </c>
      <c r="Q16" s="74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تجربة العميل</t>
        </is>
      </c>
      <c r="C17" s="21" t="inlineStr">
        <is>
          <t>تطبيق المعيار الشامل في المحطات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🟡 متابعة</t>
        </is>
      </c>
      <c r="G17" s="59" t="n">
        <v>0.02</v>
      </c>
      <c r="H17" s="59" t="n">
        <v>0.8</v>
      </c>
      <c r="I17" s="22" t="inlineStr">
        <is>
          <t>≥ 80%</t>
        </is>
      </c>
      <c r="J17" s="73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0" t="n">
        <v>0.787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«تطبيق المعيار الشامل في المحطات» ÷ المستهدف × 100٪</t>
        </is>
      </c>
      <c r="Q17" s="74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السلامة</t>
        </is>
      </c>
      <c r="C18" s="21" t="inlineStr">
        <is>
          <t>الالتزام بمعايير السلامة داخل المحطة</t>
        </is>
      </c>
      <c r="D18" s="49" t="inlineStr">
        <is>
          <t>%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0.07000000000000001</v>
      </c>
      <c r="H18" s="59" t="n">
        <v>1</v>
      </c>
      <c r="I18" s="22" t="inlineStr">
        <is>
          <t>100%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0.837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74" t="inlineStr">
        <is>
          <t>القيمة المتحقّقة من «الالتزام بمعايير السلامة داخل المحطة»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البيئة</t>
        </is>
      </c>
      <c r="C19" s="21" t="inlineStr">
        <is>
          <t>التشجير داخل المحطة (معيار الوزارة)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0.07000000000000001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0.747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القيمة المتحقّقة من «التشجير داخل المحطة» ÷ المستهدف × 100٪</t>
        </is>
      </c>
      <c r="Q19" s="74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نمو المحفظة</t>
        </is>
      </c>
      <c r="C4" s="21" t="inlineStr">
        <is>
          <t>إجمالي عقود الاستثمار الجديدة (جميع النماذج)</t>
        </is>
      </c>
      <c r="D4" s="49" t="inlineStr">
        <is>
          <t>عقد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5" t="n">
        <v>190</v>
      </c>
      <c r="I4" s="22" t="inlineStr">
        <is>
          <t>190 عقد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165.7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«عقود الاستثمار الجديدة»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نمو المحفظة</t>
        </is>
      </c>
      <c r="C5" s="21" t="inlineStr">
        <is>
          <t>عقود الاستثمار العادي الجديدة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0.05</v>
      </c>
      <c r="H5" s="55" t="n">
        <v>90</v>
      </c>
      <c r="I5" s="22" t="inlineStr">
        <is>
          <t>90 عقد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6" t="n">
        <v>76.3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الاستثمار العادي الجديدة»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نمو المحفظة</t>
        </is>
      </c>
      <c r="C6" s="21" t="inlineStr">
        <is>
          <t>عقود الاستحواذ الجديدة</t>
        </is>
      </c>
      <c r="D6" s="49" t="inlineStr">
        <is>
          <t>عقد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0.05</v>
      </c>
      <c r="H6" s="55" t="n">
        <v>100</v>
      </c>
      <c r="I6" s="22" t="inlineStr">
        <is>
          <t>100 عقد</t>
        </is>
      </c>
      <c r="J6" s="73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6" t="n">
        <v>82.2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إجمالي عدد «عقود الاستحواذ الجديدة» المُسجّل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نمو المحفظة</t>
        </is>
      </c>
      <c r="C7" s="21" t="inlineStr">
        <is>
          <t>المحطات المستحوَذ عليها المشغّلة (تراكمي)</t>
        </is>
      </c>
      <c r="D7" s="49" t="inlineStr">
        <is>
          <t>محطة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5" t="n">
        <v>120</v>
      </c>
      <c r="I7" s="22" t="inlineStr">
        <is>
          <t>120 محطة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6" t="n">
        <v>125.8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إجمالي عدد «المحطات المستحوَذ عليها المشغّلة» المُسجّل خلال الفترة</t>
        </is>
      </c>
      <c r="Q7" s="74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نمو المحفظة</t>
        </is>
      </c>
      <c r="C8" s="21" t="inlineStr">
        <is>
          <t>عقود تأجير الأرض الجديدة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0.05</v>
      </c>
      <c r="H8" s="55" t="n">
        <v>11</v>
      </c>
      <c r="I8" s="22" t="inlineStr">
        <is>
          <t>11 عقد</t>
        </is>
      </c>
      <c r="J8" s="73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6" t="n">
        <v>8.1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«عقود تأجير الأرض الجديدة» المُسجّل خلال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نمو المحفظة</t>
        </is>
      </c>
      <c r="C9" s="21" t="inlineStr">
        <is>
          <t>عقود إيجار المحطة الجديدة</t>
        </is>
      </c>
      <c r="D9" s="49" t="inlineStr">
        <is>
          <t>عقد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0.05</v>
      </c>
      <c r="H9" s="55" t="n">
        <v>12</v>
      </c>
      <c r="I9" s="22" t="inlineStr">
        <is>
          <t>12 عقد</t>
        </is>
      </c>
      <c r="J9" s="73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6" t="n">
        <v>12.2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إجمالي عدد «عقود إيجار المحطة الجديدة» المُسجّل خلال الفترة</t>
        </is>
      </c>
      <c r="Q9" s="74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نمو المحفظة</t>
        </is>
      </c>
      <c r="C10" s="21" t="inlineStr">
        <is>
          <t>عقود تشغيل المحطة الجديدة</t>
        </is>
      </c>
      <c r="D10" s="49" t="inlineStr">
        <is>
          <t>عقد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0.05</v>
      </c>
      <c r="H10" s="55" t="n">
        <v>68</v>
      </c>
      <c r="I10" s="22" t="inlineStr">
        <is>
          <t>68 عقد</t>
        </is>
      </c>
      <c r="J10" s="73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6" t="n">
        <v>49.4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إجمالي عدد «عقود تشغيل المحطة الجديدة» المُسجّل خلال الفترة</t>
        </is>
      </c>
      <c r="Q10" s="74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الربحية وجودة الموقع</t>
        </is>
      </c>
      <c r="C11" s="21" t="inlineStr">
        <is>
          <t>نسبة المواقع المعتمدة ذات العائد المجدي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0.05</v>
      </c>
      <c r="H11" s="59" t="n">
        <v>0.8</v>
      </c>
      <c r="I11" s="22" t="inlineStr">
        <is>
          <t>80%+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0" t="n">
        <v>0.649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«المواقع المعتمدة ذات العائد المجدي» ÷ الإجمالي المستهدف لنفس البند × 100٪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الربحية وجودة الموقع</t>
        </is>
      </c>
      <c r="C12" s="21" t="inlineStr">
        <is>
          <t>متوسط فترة استرداد رأس المال</t>
        </is>
      </c>
      <c r="D12" s="49" t="inlineStr">
        <is>
          <t>سنة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62" t="n">
        <v>5</v>
      </c>
      <c r="I12" s="22" t="inlineStr">
        <is>
          <t>≤ 5 سنوات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 «فترة استرداد رأس المال» ÷ عدد المفردات المقيسة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الربحية وجودة الموقع</t>
        </is>
      </c>
      <c r="C13" s="21" t="inlineStr">
        <is>
          <t>متوسط قيمة عقد الإيجار السنوي (أرض)</t>
        </is>
      </c>
      <c r="D13" s="49" t="inlineStr">
        <is>
          <t>ر.س</t>
        </is>
      </c>
      <c r="E13" s="49" t="inlineStr">
        <is>
          <t>↑</t>
        </is>
      </c>
      <c r="F13" s="15" t="inlineStr">
        <is>
          <t>🔴 رئيسي</t>
        </is>
      </c>
      <c r="G13" s="59" t="n">
        <v>0.05</v>
      </c>
      <c r="H13" s="49" t="inlineStr"/>
      <c r="I13" s="22" t="inlineStr">
        <is>
          <t>يُحدد لاحقاً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66" t="n"/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مجموع قيم «قيمة عقد الإيجار السنوي» ÷ عدد المفردات المقيسة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التوسع الإقليمي</t>
        </is>
      </c>
      <c r="C14" s="21" t="inlineStr">
        <is>
          <t>نسبة العقود التي تغطي المناطق الـ13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🔴 رئيسي</t>
        </is>
      </c>
      <c r="G14" s="59" t="n">
        <v>0.05</v>
      </c>
      <c r="H14" s="59" t="n">
        <v>1</v>
      </c>
      <c r="I14" s="22" t="inlineStr">
        <is>
          <t>100%</t>
        </is>
      </c>
      <c r="J14" s="73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0" t="n">
        <v>1.028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«العقود التي تغطي المناطق الـ13» ÷ الإجمالي المستهدف لنفس البند × 100٪</t>
        </is>
      </c>
      <c r="Q14" s="74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التوسع الإقليمي</t>
        </is>
      </c>
      <c r="C15" s="21" t="inlineStr">
        <is>
          <t>نسبة العقود خارج المدن الرئيسية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0.05</v>
      </c>
      <c r="H15" s="59" t="n">
        <v>0.6</v>
      </c>
      <c r="I15" s="22" t="inlineStr">
        <is>
          <t>&gt; 60%</t>
        </is>
      </c>
      <c r="J15" s="73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0" t="n">
        <v>0.516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«العقود خارج المدن الرئيسية» ÷ الإجمالي المستهدف لنفس البند × 100٪</t>
        </is>
      </c>
      <c r="Q15" s="74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التوسع الإقليمي</t>
        </is>
      </c>
      <c r="C16" s="21" t="inlineStr">
        <is>
          <t>نسبة العقود في الـ12 مدينة الرئيسية</t>
        </is>
      </c>
      <c r="D16" s="49" t="inlineStr">
        <is>
          <t>%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0.05</v>
      </c>
      <c r="H16" s="59" t="n">
        <v>0.4</v>
      </c>
      <c r="I16" s="22" t="inlineStr">
        <is>
          <t>&lt; 40%</t>
        </is>
      </c>
      <c r="J16" s="73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0" t="n">
        <v>0.415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«العقود في الـ12 مدينة الرئيسية» ÷ الإجمالي المستهدف لنفس البند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التوسع الإقليمي</t>
        </is>
      </c>
      <c r="C17" s="21" t="inlineStr">
        <is>
          <t>نسبة العقود على الطرق الإقليمية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🔴 رئيسي</t>
        </is>
      </c>
      <c r="G17" s="59" t="n">
        <v>0.05</v>
      </c>
      <c r="H17" s="59" t="n">
        <v>0.25</v>
      </c>
      <c r="I17" s="22" t="inlineStr">
        <is>
          <t>&gt; 25%</t>
        </is>
      </c>
      <c r="J17" s="73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0" t="n">
        <v>0.236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«العقود على الطرق الإقليمية» ÷ الإجمالي المستهدف لنفس البند × 100٪</t>
        </is>
      </c>
      <c r="Q17" s="74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كفاءة الدورة</t>
        </is>
      </c>
      <c r="C18" s="21" t="inlineStr">
        <is>
          <t>متوسط مدة إغلاق عقد الاستثمار</t>
        </is>
      </c>
      <c r="D18" s="49" t="inlineStr">
        <is>
          <t>أسبوع</t>
        </is>
      </c>
      <c r="E18" s="49" t="inlineStr">
        <is>
          <t>↓</t>
        </is>
      </c>
      <c r="F18" s="15" t="inlineStr">
        <is>
          <t>🔴 رئيسي</t>
        </is>
      </c>
      <c r="G18" s="59" t="n">
        <v>0.05</v>
      </c>
      <c r="H18" s="62" t="n">
        <v>1</v>
      </c>
      <c r="I18" s="22" t="inlineStr">
        <is>
          <t>≤ أسبوع</t>
        </is>
      </c>
      <c r="J18" s="73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«مدة إغلاق عقد الاستثمار» ÷ عدد المفردات المقيسة</t>
        </is>
      </c>
      <c r="Q18" s="74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كفاءة الدورة</t>
        </is>
      </c>
      <c r="C19" s="21" t="inlineStr">
        <is>
          <t>نسبة العقود المتحوّلة لمحطات مشغّلة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0.05</v>
      </c>
      <c r="H19" s="59" t="n">
        <v>0.3</v>
      </c>
      <c r="I19" s="22" t="inlineStr">
        <is>
          <t>≥ 30%</t>
        </is>
      </c>
      <c r="J19" s="73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0" t="n">
        <v>0.308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«العقود المتحوّلة لمحطات مشغّلة» ÷ الإجمالي المستهدف لنفس البند × 100٪</t>
        </is>
      </c>
      <c r="Q19" s="74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كفاءة الدورة</t>
        </is>
      </c>
      <c r="C20" s="21" t="inlineStr">
        <is>
          <t>نسبة تخفيض إيجار المواقع عالية التكاليف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0.3</v>
      </c>
      <c r="I20" s="22" t="inlineStr">
        <is>
          <t>≥ 30%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0.221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74" t="inlineStr">
        <is>
          <t>قيمة/عدد المتحقّق من «تخفيض إيجار المواقع عالية التكاليف» ÷ الإجمالي المستهدف لنفس البند × 100٪</t>
        </is>
      </c>
      <c r="Q20" s="74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الامتثال</t>
        </is>
      </c>
      <c r="C21" s="21" t="inlineStr">
        <is>
          <t>نسبة اكتمال المستندات النظامية قبل التوقيع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🏁 معلم</t>
        </is>
      </c>
      <c r="G21" s="59" t="n">
        <v>0.01</v>
      </c>
      <c r="H21" s="59" t="n">
        <v>1</v>
      </c>
      <c r="I21" s="22" t="inlineStr">
        <is>
          <t>100%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0" t="n">
        <v>0.751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«اكتمال المستندات النظامية قبل التوقيع» ÷ الإجمالي المستهدف لنفس البند × 100٪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الامتثال</t>
        </is>
      </c>
      <c r="C22" s="21" t="inlineStr">
        <is>
          <t>نسبة العقود المؤرشفة إلكترونياً خلال 48 ساعة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0.05</v>
      </c>
      <c r="H22" s="59" t="n">
        <v>0.95</v>
      </c>
      <c r="I22" s="22" t="inlineStr">
        <is>
          <t>95%+</t>
        </is>
      </c>
      <c r="J22" s="73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0" t="n">
        <v>0.736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«العقود المؤرشفة إلكترونياً خلال 48 ساعة» ÷ الإجمالي المستهدف لنفس البند × 100٪</t>
        </is>
      </c>
      <c r="Q22" s="74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جودة التعاقد</t>
        </is>
      </c>
      <c r="C23" s="21" t="inlineStr">
        <is>
          <t>جودة التفاوض مع المستثمرين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🟠 مهم</t>
        </is>
      </c>
      <c r="G23" s="59" t="n">
        <v>0.03</v>
      </c>
      <c r="H23" s="59" t="n">
        <v>0.98</v>
      </c>
      <c r="I23" s="22" t="inlineStr">
        <is>
          <t>98%</t>
        </is>
      </c>
      <c r="J23" s="73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60" t="n">
        <v>1.009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القيمة المتحقّقة من «جودة التفاوض مع المستثمرين» ÷ المستهدف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جودة التعاقد</t>
        </is>
      </c>
      <c r="C24" s="21" t="inlineStr">
        <is>
          <t>سرعة إنجاز إجراءات التعاقد</t>
        </is>
      </c>
      <c r="D24" s="49" t="inlineStr">
        <is>
          <t>أسبوع</t>
        </is>
      </c>
      <c r="E24" s="49" t="inlineStr">
        <is>
          <t>↓</t>
        </is>
      </c>
      <c r="F24" s="15" t="inlineStr">
        <is>
          <t>🟠 مهم</t>
        </is>
      </c>
      <c r="G24" s="59" t="n">
        <v>0.03</v>
      </c>
      <c r="H24" s="62" t="n">
        <v>1</v>
      </c>
      <c r="I24" s="22" t="inlineStr">
        <is>
          <t>≤ أسبوع</t>
        </is>
      </c>
      <c r="J24" s="73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قياس «سرعة إنجاز إجراءات التعاقد» مقابل مستهدفه المعتمد خلال الفترة</t>
        </is>
      </c>
      <c r="Q24" s="74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جودة التعاقد</t>
        </is>
      </c>
      <c r="C25" s="21" t="inlineStr">
        <is>
          <t>مدى رضا المستثمرين وشركاء الاستثمار</t>
        </is>
      </c>
      <c r="D25" s="49" t="inlineStr">
        <is>
          <t>%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0.05</v>
      </c>
      <c r="H25" s="59" t="n">
        <v>0.8</v>
      </c>
      <c r="I25" s="22" t="inlineStr">
        <is>
          <t>80%+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0" t="n">
        <v>0.786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هدف",IF($N25&gt;=0.9,"✅ محقق",IF($N25&gt;=0.75,"🟡 قريب","🔴 تحت الهدف")))</f>
        <v/>
      </c>
      <c r="P25" s="74" t="inlineStr">
        <is>
          <t>القيمة المتحقّقة من «مدى رضا المستثمرين وشركاء الاستثمار» ÷ المستهدف × 100٪</t>
        </is>
      </c>
      <c r="Q25" s="74" t="inlineStr">
        <is>
          <t>استبيان دوري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جودة التعاقد</t>
        </is>
      </c>
      <c r="C26" s="21" t="inlineStr">
        <is>
          <t>نسبة اكتمال أرشفة ملفات العملاء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🏁 معلم</t>
        </is>
      </c>
      <c r="G26" s="59" t="n">
        <v>0.01</v>
      </c>
      <c r="H26" s="59" t="n">
        <v>1</v>
      </c>
      <c r="I26" s="22" t="inlineStr">
        <is>
          <t>100%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60" t="n">
        <v>0.972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قيمة/عدد المتحقّق من «اكتمال أرشفة ملفات العملاء» ÷ الإجمالي المستهدف لنفس البند × 100٪</t>
        </is>
      </c>
      <c r="Q26" s="74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جودة التعاقد</t>
        </is>
      </c>
      <c r="C27" s="21" t="inlineStr">
        <is>
          <t>نسبة إنجاز التقارير الدورية في موعدها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🟡 متابعة</t>
        </is>
      </c>
      <c r="G27" s="59" t="n">
        <v>0.01</v>
      </c>
      <c r="H27" s="59" t="n">
        <v>1</v>
      </c>
      <c r="I27" s="22" t="inlineStr">
        <is>
          <t>100%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0.961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«إنجاز التقارير الدورية في موعدها» ÷ الإجمالي المستهدف لنفس البند × 100٪</t>
        </is>
      </c>
      <c r="Q27" s="74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</t>
        </is>
      </c>
      <c r="C4" s="21" t="inlineStr">
        <is>
          <t>نمو الإيرادات الإيجارية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9" t="n">
        <v>0.08</v>
      </c>
      <c r="I4" s="22" t="inlineStr">
        <is>
          <t>&gt; 8% سنوياً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60" t="n">
        <v>0.068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الإيجارية»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الإدارة</t>
        </is>
      </c>
      <c r="C5" s="21" t="inlineStr">
        <is>
          <t>نسبة الالتزام بالعقود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0" t="n">
        <v>1.03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«الالتزام بالعقود» ÷ الإجمالي المستهدف لنفس البند × 100٪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الإدارة</t>
        </is>
      </c>
      <c r="C6" s="21" t="inlineStr">
        <is>
          <t>نسبة تحصيل الإيجارات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0.95</v>
      </c>
      <c r="I6" s="22" t="inlineStr">
        <is>
          <t>&gt; 95%</t>
        </is>
      </c>
      <c r="J6" s="73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60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«تحصيل الإيجارات»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التأجير</t>
        </is>
      </c>
      <c r="C7" s="21" t="inlineStr">
        <is>
          <t>نسبة الإشغال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0.6</v>
      </c>
      <c r="I7" s="22" t="inlineStr">
        <is>
          <t>≥ 60%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0.611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«الإشغال»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التأجير</t>
        </is>
      </c>
      <c r="C8" s="21" t="inlineStr">
        <is>
          <t>الوحدات المؤجَّرة شهرياً</t>
        </is>
      </c>
      <c r="D8" s="49" t="inlineStr">
        <is>
          <t>وحدة</t>
        </is>
      </c>
      <c r="E8" s="49" t="inlineStr">
        <is>
          <t>↑</t>
        </is>
      </c>
      <c r="F8" s="15" t="inlineStr">
        <is>
          <t>🟠 مهم</t>
        </is>
      </c>
      <c r="G8" s="59" t="n">
        <v>0.05</v>
      </c>
      <c r="H8" s="55" t="n">
        <v>68</v>
      </c>
      <c r="I8" s="22" t="inlineStr">
        <is>
          <t>68 شهرياً</t>
        </is>
      </c>
      <c r="J8" s="73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6" t="n">
        <v>54.8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«الوحدات المؤجَّرة شهرياً» المُسجّل خلال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التأجير</t>
        </is>
      </c>
      <c r="C9" s="21" t="inlineStr">
        <is>
          <t>العملاء المحتملون (LEADS)</t>
        </is>
      </c>
      <c r="D9" s="49" t="inlineStr">
        <is>
          <t>عميل</t>
        </is>
      </c>
      <c r="E9" s="49" t="inlineStr">
        <is>
          <t>↑</t>
        </is>
      </c>
      <c r="F9" s="15" t="inlineStr">
        <is>
          <t>🟠 مهم</t>
        </is>
      </c>
      <c r="G9" s="59" t="n">
        <v>0.05</v>
      </c>
      <c r="H9" s="55" t="n">
        <v>680</v>
      </c>
      <c r="I9" s="22" t="inlineStr">
        <is>
          <t>544–680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6" t="n">
        <v>531.8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إجمالي عدد «العملاء المحتملون» المُسجّل خلال الفترة</t>
        </is>
      </c>
      <c r="Q9" s="74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التأجير</t>
        </is>
      </c>
      <c r="C10" s="21" t="inlineStr">
        <is>
          <t>معدل التحويل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0.2</v>
      </c>
      <c r="I10" s="22" t="inlineStr">
        <is>
          <t>15–25%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0" t="n">
        <v>0.208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حالات «التحويل» خلال الفترة ÷ إجمالي الحالات القابلة للقياس × 100٪</t>
        </is>
      </c>
      <c r="Q10" s="74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التأجير</t>
        </is>
      </c>
      <c r="C11" s="21" t="inlineStr">
        <is>
          <t>زيادة عدد العلامات التجارية</t>
        </is>
      </c>
      <c r="D11" s="49" t="inlineStr">
        <is>
          <t>علامة</t>
        </is>
      </c>
      <c r="E11" s="49" t="inlineStr">
        <is>
          <t>↑</t>
        </is>
      </c>
      <c r="F11" s="15" t="inlineStr">
        <is>
          <t>🟠 مهم</t>
        </is>
      </c>
      <c r="G11" s="59" t="n">
        <v>0.05</v>
      </c>
      <c r="H11" s="55" t="n">
        <v>246</v>
      </c>
      <c r="I11" s="22" t="inlineStr">
        <is>
          <t>246 علامة</t>
        </is>
      </c>
      <c r="J11" s="73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6" t="n">
        <v>202.6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«زيادة عدد العلامات التجارية» المُسجّل خلال الفترة</t>
        </is>
      </c>
      <c r="Q11" s="74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الإبداع والتكامل</t>
        </is>
      </c>
      <c r="C12" s="21" t="inlineStr">
        <is>
          <t>نسبة تأجير ساحة درب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0.05</v>
      </c>
      <c r="H12" s="59" t="n">
        <v>0.8</v>
      </c>
      <c r="I12" s="22" t="inlineStr">
        <is>
          <t>≥ 80%</t>
        </is>
      </c>
      <c r="J12" s="73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60" t="n">
        <v>0.671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«تأجير ساحة درب» ÷ الإجمالي المستهدف لنفس البند × 100٪</t>
        </is>
      </c>
      <c r="Q12" s="74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الإبداع والتكامل</t>
        </is>
      </c>
      <c r="C13" s="21" t="inlineStr">
        <is>
          <t>علامات تجارية جديدة (ساحة درب)</t>
        </is>
      </c>
      <c r="D13" s="49" t="inlineStr">
        <is>
          <t>علامة</t>
        </is>
      </c>
      <c r="E13" s="49" t="inlineStr">
        <is>
          <t>↑</t>
        </is>
      </c>
      <c r="F13" s="15" t="inlineStr">
        <is>
          <t>🟠 مهم</t>
        </is>
      </c>
      <c r="G13" s="59" t="n">
        <v>0.05</v>
      </c>
      <c r="H13" s="55" t="n">
        <v>6</v>
      </c>
      <c r="I13" s="22" t="inlineStr">
        <is>
          <t>6 علامات</t>
        </is>
      </c>
      <c r="J13" s="73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6" t="n">
        <v>5.769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«علامات تجارية جديدة» المُسجّل خلال الفترة</t>
        </is>
      </c>
      <c r="Q13" s="74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الإبداع والتكامل</t>
        </is>
      </c>
      <c r="C14" s="21" t="inlineStr">
        <is>
          <t>الشراكات الاستراتيجية</t>
        </is>
      </c>
      <c r="D14" s="49" t="inlineStr">
        <is>
          <t>شراكة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5" t="n">
        <v>5</v>
      </c>
      <c r="I14" s="22" t="inlineStr">
        <is>
          <t>5 شراكات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6" t="n">
        <v>4.59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«الشراكات الاستراتيجية» المُسجّل خلال الفترة</t>
        </is>
      </c>
      <c r="Q14" s="74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إدارة الأملاك</t>
        </is>
      </c>
      <c r="C15" s="21" t="inlineStr">
        <is>
          <t>نسبة تجديد العقود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0.08</v>
      </c>
      <c r="H15" s="59" t="n">
        <v>1</v>
      </c>
      <c r="I15" s="22" t="inlineStr">
        <is>
          <t>100%</t>
        </is>
      </c>
      <c r="J15" s="73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60" t="n">
        <v>0.792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«تجديد العقود» ÷ الإجمالي المستهدف لنفس البند × 100٪</t>
        </is>
      </c>
      <c r="Q15" s="74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تنسيق المشاريع</t>
        </is>
      </c>
      <c r="C16" s="21" t="inlineStr">
        <is>
          <t>متوسط زمن تسليم الوحدة</t>
        </is>
      </c>
      <c r="D16" s="49" t="inlineStr">
        <is>
          <t>يوم</t>
        </is>
      </c>
      <c r="E16" s="49" t="inlineStr">
        <is>
          <t>↓</t>
        </is>
      </c>
      <c r="F16" s="15" t="inlineStr">
        <is>
          <t>🟠 مهم</t>
        </is>
      </c>
      <c r="G16" s="59" t="n">
        <v>0.05</v>
      </c>
      <c r="H16" s="62" t="n">
        <v>7</v>
      </c>
      <c r="I16" s="22" t="inlineStr">
        <is>
          <t>≤ 7 أيام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مجموع أيام «زمن تسليم الوحدة» ÷ عدد الحالات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تنسيق المشاريع</t>
        </is>
      </c>
      <c r="C17" s="21" t="inlineStr">
        <is>
          <t>نسبة إغلاق الطلبات خلال 3 أسابيع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9" t="n">
        <v>0.9</v>
      </c>
      <c r="I17" s="22" t="inlineStr">
        <is>
          <t>&gt; 90%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0.698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الطلبات خلال 3 أسابيع» ÷ الإجمالي المستهدف لنفس البند × 100٪</t>
        </is>
      </c>
      <c r="Q17" s="74" t="inlineStr">
        <is>
          <t>سجلات الإدارة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الجودة والاستدامة</t>
        </is>
      </c>
      <c r="C18" s="21" t="inlineStr">
        <is>
          <t>استدامة المستأجرين (لم يُنهَ مبكراً)</t>
        </is>
      </c>
      <c r="D18" s="49" t="inlineStr">
        <is>
          <t>%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9" t="n">
        <v>0.8</v>
      </c>
      <c r="I18" s="22" t="inlineStr">
        <is>
          <t>≥ 80%</t>
        </is>
      </c>
      <c r="J18" s="73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0" t="n">
        <v>0.695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«استدامة المستأجرين» ÷ المستهدف × 100٪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الجودة والاستدامة</t>
        </is>
      </c>
      <c r="C19" s="21" t="inlineStr">
        <is>
          <t>معدل رضا المستأجرين (استبيان ربعي)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0.07000000000000001</v>
      </c>
      <c r="H19" s="59" t="n">
        <v>0.9</v>
      </c>
      <c r="I19" s="22" t="inlineStr">
        <is>
          <t>≥ 90%</t>
        </is>
      </c>
      <c r="J19" s="73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0" t="n">
        <v>0.894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74" t="inlineStr">
        <is>
          <t>عدد حالات «رضا المستأجرين» خلال الفترة ÷ إجمالي الحالات القابلة للقياس × 100٪</t>
        </is>
      </c>
      <c r="Q19" s="74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تسليم محطات الشركة</t>
        </is>
      </c>
      <c r="C4" s="21" t="inlineStr">
        <is>
          <t>عدد محطات الشركة المُسلَّمة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20</v>
      </c>
      <c r="I4" s="22" t="inlineStr">
        <is>
          <t>≥ 20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18.8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الشركة المُسلَّمة» المُسجّلة خلال الفترة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تسليم محطات الشركة</t>
        </is>
      </c>
      <c r="C5" s="21" t="inlineStr">
        <is>
          <t>نسبة إنجاز محفظة مشاريع التوسع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0.7</v>
      </c>
      <c r="I5" s="22" t="inlineStr">
        <is>
          <t>≥ 70%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0.676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محفظة مشاريع التوسع»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تسليم محطات الشركة</t>
        </is>
      </c>
      <c r="C6" s="21" t="inlineStr">
        <is>
          <t>نسبة تسليم المحطات في الموعد المخطط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0.8</v>
      </c>
      <c r="I6" s="22" t="inlineStr">
        <is>
          <t>≥ 80%</t>
        </is>
      </c>
      <c r="J6" s="73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0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«تسليم المحطات في الموعد المخطط» ÷ الإجمالي المستهدف لنفس البند × 100٪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تسليم محطات الشركة</t>
        </is>
      </c>
      <c r="C7" s="21" t="inlineStr">
        <is>
          <t>نسبة المشاريع المنفّذة ضمن الميزانية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0.06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«المشاريع المنفّذة ضمن الميزانية» ÷ الإجمالي المستهدف لنفس البند × 100٪</t>
        </is>
      </c>
      <c r="Q7" s="74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الإشراف على الامتياز</t>
        </is>
      </c>
      <c r="C8" s="21" t="inlineStr">
        <is>
          <t>عدد محطات الامتياز المُسلَّمة بالهوية</t>
        </is>
      </c>
      <c r="D8" s="49" t="inlineStr">
        <is>
          <t>محطة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0.08</v>
      </c>
      <c r="H8" s="55" t="n">
        <v>40</v>
      </c>
      <c r="I8" s="22" t="inlineStr">
        <is>
          <t>≥ 40 محطة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6" t="n">
        <v>34.7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«محطات الامتياز المُسلَّمة بالهوية» المُسجّلة خلال الفترة</t>
        </is>
      </c>
      <c r="Q8" s="74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الإشراف على الامتياز</t>
        </is>
      </c>
      <c r="C9" s="21" t="inlineStr">
        <is>
          <t>نسبة تنفيذ زيارات الإشراف المجدولة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0.06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60" t="n">
        <v>0.928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زيارات الإشراف المجدولة» ÷ الإجمالي المستهدف لنفس البند × 100٪</t>
        </is>
      </c>
      <c r="Q9" s="74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الإشراف على الامتياز</t>
        </is>
      </c>
      <c r="C10" s="21" t="inlineStr">
        <is>
          <t>نسبة التزام المطوّرين بالجدول الزمني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0.06</v>
      </c>
      <c r="H10" s="59" t="n">
        <v>0.75</v>
      </c>
      <c r="I10" s="22" t="inlineStr">
        <is>
          <t>≥ 75%</t>
        </is>
      </c>
      <c r="J10" s="73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60" t="n">
        <v>0.652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«التزام المطوّرين بالجدول الزمني» ÷ الإجمالي المستهدف لنفس البند × 100٪</t>
        </is>
      </c>
      <c r="Q10" s="74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الإشراف على الامتياز</t>
        </is>
      </c>
      <c r="C11" s="21" t="inlineStr">
        <is>
          <t>نسبة إغلاق ملاحظات الجودة على المطوّرين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0.06</v>
      </c>
      <c r="H11" s="59" t="n">
        <v>0.9</v>
      </c>
      <c r="I11" s="22" t="inlineStr">
        <is>
          <t>≥ 90%</t>
        </is>
      </c>
      <c r="J11" s="73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0" t="n">
        <v>0.777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«إغلاق ملاحظات الجودة على المطوّرين» ÷ الإجمالي المستهدف لنفس البند × 100٪</t>
        </is>
      </c>
      <c r="Q11" s="74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إجمالي التسليم</t>
        </is>
      </c>
      <c r="C12" s="21" t="inlineStr">
        <is>
          <t>إجمالي المحطات المُسلَّمة بالهوية (شركة + امتياز)</t>
        </is>
      </c>
      <c r="D12" s="49" t="inlineStr">
        <is>
          <t>محطة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5" t="n">
        <v>60</v>
      </c>
      <c r="I12" s="22" t="inlineStr">
        <is>
          <t>≥ 60 محطة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6" t="n">
        <v>61.6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«المحطات المُسلَّمة بالهوية» خلال الفترة</t>
        </is>
      </c>
      <c r="Q12" s="74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الجودة والمقاولون</t>
        </is>
      </c>
      <c r="C13" s="21" t="inlineStr">
        <is>
          <t>نسبة المشاريع الخالية من مخالفات 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«المشاريع الخالية من مخالفات الجودة» ÷ الإجمالي المستهدف لنفس البند × 100٪</t>
        </is>
      </c>
      <c r="Q13" s="74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والمقاولون</t>
        </is>
      </c>
      <c r="C14" s="21" t="inlineStr">
        <is>
          <t>عدد مخالفات المقاولين (سنوي)</t>
        </is>
      </c>
      <c r="D14" s="49" t="inlineStr">
        <is>
          <t>مخالفة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55" t="n">
        <v>10</v>
      </c>
      <c r="I14" s="22" t="inlineStr">
        <is>
          <t>≤ 10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6" t="n">
        <v>10.4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«مخالفات المقاولين» المُسجّلة خلال الفترة</t>
        </is>
      </c>
      <c r="Q14" s="74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الجودة والمقاولون</t>
        </is>
      </c>
      <c r="C15" s="21" t="inlineStr">
        <is>
          <t>نسبة التزام المقاولين بمعايير السلامة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0.08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0.852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«التزام المقاولين بمعايير السلامة» ÷ الإجمالي المستهدف لنفس البند × 100٪</t>
        </is>
      </c>
      <c r="Q15" s="74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الالتزام بالخطة</t>
        </is>
      </c>
      <c r="C16" s="21" t="inlineStr">
        <is>
          <t>نسبة الالتزام بالميزانية المعتمدة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«الالتزام بالميزانية المعتمدة» ÷ الإجمالي المستهدف لنفس البند × 100٪</t>
        </is>
      </c>
      <c r="Q16" s="74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الالتزام بالخطة</t>
        </is>
      </c>
      <c r="C17" s="21" t="inlineStr">
        <is>
          <t>نسبة الالتزام بالجدول الزمني العام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9" t="n">
        <v>1</v>
      </c>
      <c r="I17" s="22" t="inlineStr">
        <is>
          <t>100%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0.798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«الالتزام بالجدول الزمني العام» ÷ الإجمالي المستهدف لنفس البند × 100٪</t>
        </is>
      </c>
      <c r="Q17" s="74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التصاميم وأوامر التغيير</t>
        </is>
      </c>
      <c r="C18" s="21" t="inlineStr">
        <is>
          <t>متوسط مدة إغلاق قائمة الملاحظات النهائية</t>
        </is>
      </c>
      <c r="D18" s="49" t="inlineStr">
        <is>
          <t>يوم</t>
        </is>
      </c>
      <c r="E18" s="49" t="inlineStr">
        <is>
          <t>↓</t>
        </is>
      </c>
      <c r="F18" s="15" t="inlineStr">
        <is>
          <t>🟠 مهم</t>
        </is>
      </c>
      <c r="G18" s="59" t="n">
        <v>0.05</v>
      </c>
      <c r="H18" s="62" t="n">
        <v>30</v>
      </c>
      <c r="I18" s="22" t="inlineStr">
        <is>
          <t>≤ 30 يوم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أيام «مدة إغلاق قائمة الملاحظات النهائية» ÷ عدد الحالات</t>
        </is>
      </c>
      <c r="Q18" s="74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نسبة تلبية طلبات المحطات من الوقود Fill Rate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0.13</v>
      </c>
      <c r="H4" s="59" t="n">
        <v>0.98</v>
      </c>
      <c r="I4" s="22" t="inlineStr">
        <is>
          <t>≥ 98%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60" t="n">
        <v>0.786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العميل والتوفّر</t>
        </is>
      </c>
      <c r="C5" s="21" t="inlineStr">
        <is>
          <t>عدد انقطاعات التوريد المؤثرة شهريًا</t>
        </is>
      </c>
      <c r="D5" s="49" t="inlineStr">
        <is>
          <t>عدد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55" t="n">
        <v>0</v>
      </c>
      <c r="I5" s="22" t="inlineStr">
        <is>
          <t>صفر انقطاع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المخزون</t>
        </is>
      </c>
      <c r="C6" s="21" t="inlineStr">
        <is>
          <t>نسبة تغطية مخزون الوقود بالأيام</t>
        </is>
      </c>
      <c r="D6" s="49" t="inlineStr">
        <is>
          <t>يوم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62" t="n">
        <v>5</v>
      </c>
      <c r="I6" s="22" t="inlineStr">
        <is>
          <t>≥ 5 أيام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4.706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4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المخزون</t>
        </is>
      </c>
      <c r="C7" s="21" t="inlineStr">
        <is>
          <t>نسبة توفر المواد المخزنية والحرجة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0.98</v>
      </c>
      <c r="I7" s="22" t="inlineStr">
        <is>
          <t>≥ 98%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0.766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المخزون</t>
        </is>
      </c>
      <c r="C8" s="21" t="inlineStr">
        <is>
          <t>نسبة المواد الراكدة من المخزون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0.06</v>
      </c>
      <c r="H8" s="59" t="n">
        <v>0.05</v>
      </c>
      <c r="I8" s="22" t="inlineStr">
        <is>
          <t>≤ 5%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0.048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4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المشتريات</t>
        </is>
      </c>
      <c r="C9" s="21" t="inlineStr">
        <is>
          <t>دقة أوامر الشراء ومستنداتها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🟡 متابعة</t>
        </is>
      </c>
      <c r="G9" s="59" t="n">
        <v>0.1</v>
      </c>
      <c r="H9" s="59" t="n">
        <v>0.98</v>
      </c>
      <c r="I9" s="22" t="inlineStr">
        <is>
          <t>≥ 98%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0.905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4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المشتريات</t>
        </is>
      </c>
      <c r="C10" s="21" t="inlineStr">
        <is>
          <t>نسبة إنجاز أوامر الشراء خلال المدة المستهدفة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0.95</v>
      </c>
      <c r="I10" s="22" t="inlineStr">
        <is>
          <t>≥ 95%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4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التوريد والتسليم</t>
        </is>
      </c>
      <c r="C11" s="21" t="inlineStr">
        <is>
          <t>نسبة الالتزام بزمن التسليم والتوريد للمحطات والإدارات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0.751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4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التوريد والتسليم</t>
        </is>
      </c>
      <c r="C12" s="21" t="inlineStr">
        <is>
          <t>نسبة جاهزية الإمداد للمحطات الجديدة وخطط الافتتاح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1</v>
      </c>
      <c r="I12" s="22" t="inlineStr">
        <is>
          <t>100%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60" t="n">
        <v>0.952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4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النقل والأسطول</t>
        </is>
      </c>
      <c r="C13" s="21" t="inlineStr">
        <is>
          <t>نسبة الالتزام بجدول النقل واستخدام الأسطول بكفاءة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0.751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4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الموردون والرضا</t>
        </is>
      </c>
      <c r="C14" s="21" t="inlineStr">
        <is>
          <t>كفاءة إدارة الموردين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0.881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4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الموردون والرضا</t>
        </is>
      </c>
      <c r="C15" s="21" t="inlineStr">
        <is>
          <t>مستوى رضا الإدارات عن خدمات سلاسل الإمداد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60" t="n">
        <v>0.802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4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الجاهزية الفنية للأصول والمعدات (Availability)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0.15</v>
      </c>
      <c r="H4" s="59" t="n">
        <v>0.98</v>
      </c>
      <c r="I4" s="22" t="inlineStr">
        <is>
          <t>≥ 98%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0.848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إجمالي ساعات جاهزية الأصول والمعدات الحرجة ÷ إجمالي ساعات التشغيل المخططة لها × 100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جاهزية الأصول</t>
        </is>
      </c>
      <c r="C5" s="21" t="inlineStr">
        <is>
          <t>نسبة تنفيذ الصيانة الوقائية في موعدها (PM)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0.751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أوامر الصيانة الوقائية المنفذة ضمن الموعد المحدد ÷ إجمالي أوامر الصيانة الوقائية المستحقة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الاستجابة والإصلاح</t>
        </is>
      </c>
      <c r="C6" s="21" t="inlineStr">
        <is>
          <t>نسبة إغلاق بلاغات الصيانة ضمن اتفاقية الخدمة (SLA)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0.744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عدد بلاغات الصيانة المغلقة ضمن الزمن المحدد حسب الأولوية ÷ إجمالي البلاغات المغلقة × 100</t>
        </is>
      </c>
      <c r="Q6" s="74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الاستجابة والإصلاح</t>
        </is>
      </c>
      <c r="C7" s="21" t="inlineStr">
        <is>
          <t>متوسط زمن الاستجابة للبلاغات الطارئة</t>
        </is>
      </c>
      <c r="D7" s="49" t="inlineStr">
        <is>
          <t>دقيقة</t>
        </is>
      </c>
      <c r="E7" s="49" t="inlineStr">
        <is>
          <t>↓</t>
        </is>
      </c>
      <c r="F7" s="15" t="inlineStr">
        <is>
          <t>🟠 مهم</t>
        </is>
      </c>
      <c r="G7" s="59" t="n">
        <v>0.08</v>
      </c>
      <c r="H7" s="62" t="n">
        <v>30</v>
      </c>
      <c r="I7" s="22" t="inlineStr">
        <is>
          <t>≤ 30 دقيقة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الدقائق من تسجيل البلاغ الطارئ حتى بدء المعالجة الفعلية ÷ إجمالي البلاغات الطارئة</t>
        </is>
      </c>
      <c r="Q7" s="74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الاستجابة والإصلاح</t>
        </is>
      </c>
      <c r="C8" s="21" t="inlineStr">
        <is>
          <t>متوسط زمن إصلاح الأعطال (MTTR)</t>
        </is>
      </c>
      <c r="D8" s="49" t="inlineStr">
        <is>
          <t>ساعة</t>
        </is>
      </c>
      <c r="E8" s="49" t="inlineStr">
        <is>
          <t>↓</t>
        </is>
      </c>
      <c r="F8" s="15" t="inlineStr">
        <is>
          <t>🟠 مهم</t>
        </is>
      </c>
      <c r="G8" s="59" t="n">
        <v>0.08</v>
      </c>
      <c r="H8" s="62" t="n">
        <v>4</v>
      </c>
      <c r="I8" s="22" t="inlineStr">
        <is>
          <t>≤ 4 ساعات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ساعات الإصلاح الفعلية للأعطال المغلقة ÷ إجمالي عدد الأعطال المغلقة</t>
        </is>
      </c>
      <c r="Q8" s="74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الاستجابة والإصلاح</t>
        </is>
      </c>
      <c r="C9" s="21" t="inlineStr">
        <is>
          <t>معدل تكرار الأعطال</t>
        </is>
      </c>
      <c r="D9" s="49" t="inlineStr">
        <is>
          <t>%</t>
        </is>
      </c>
      <c r="E9" s="49" t="inlineStr">
        <is>
          <t>↓</t>
        </is>
      </c>
      <c r="F9" s="15" t="inlineStr">
        <is>
          <t>🟠 مهم</t>
        </is>
      </c>
      <c r="G9" s="59" t="n">
        <v>0.1</v>
      </c>
      <c r="H9" s="59" t="n">
        <v>0.05</v>
      </c>
      <c r="I9" s="22" t="inlineStr">
        <is>
          <t>≤ 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0.045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عدد الأعطال المتكررة لنفس الأصل وبنفس السبب ÷ إجمالي عدد الأعطال × 100</t>
        </is>
      </c>
      <c r="Q9" s="74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استمرارية التشغيل</t>
        </is>
      </c>
      <c r="C10" s="21" t="inlineStr">
        <is>
          <t>نسبة استمرارية تشغيل المحطات دون توقف فني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0.15</v>
      </c>
      <c r="H10" s="59" t="n">
        <v>0.99</v>
      </c>
      <c r="I10" s="22" t="inlineStr">
        <is>
          <t>≥ 99%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المحطات دون توقف كلي بسبب عطل فني ضمن مسؤولية الصيانة ÷ إجمالي المحطات العاملة × 100</t>
        </is>
      </c>
      <c r="Q10" s="74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موثوقية الأتمتة</t>
        </is>
      </c>
      <c r="C11" s="21" t="inlineStr">
        <is>
          <t>نسبة التشغيل السليم لأنظمة الأتمتة (Uptime)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0.1</v>
      </c>
      <c r="H11" s="59" t="n">
        <v>0.99</v>
      </c>
      <c r="I11" s="22" t="inlineStr">
        <is>
          <t>≥ 99%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0.715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عدد حالات الأتمتة العاملة والمتصلة بقراءات صحيحة ومحدثة ÷ إجمالي حالات الأتمتة المطلوبة × 100</t>
        </is>
      </c>
      <c r="Q11" s="74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موثوقية الأتمتة</t>
        </is>
      </c>
      <c r="C12" s="21" t="inlineStr">
        <is>
          <t>نسبة استعادة أنظمة الأتمتة ضمن الزمن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0.9419999999999999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عدد أعطال الأتمتة المستعادة ضمن الزمن المعتمد حسب الأولوية ÷ إجمالي أعطال الأتمتة المغلقة × 100</t>
        </is>
      </c>
      <c r="Q12" s="74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كفاءة التكاليف</t>
        </is>
      </c>
      <c r="C13" s="21" t="inlineStr">
        <is>
          <t>كفاءة تكاليف الصيانة (الالتزام بالميزانية)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0.04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0.6919999999999999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(1 − |الفرق بين المصروف الفعلي والميزانية| ÷ الميزانية المعتمدة) × 100</t>
        </is>
      </c>
      <c r="Q13" s="74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0.13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0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0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0.99</v>
      </c>
      <c r="I6" s="22" t="inlineStr">
        <is>
          <t>≥ 99%</t>
        </is>
      </c>
      <c r="J6" s="73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0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4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0.1</v>
      </c>
      <c r="H7" s="59" t="n">
        <v>0.9</v>
      </c>
      <c r="I7" s="22" t="inlineStr">
        <is>
          <t>≥ 90%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مدى إنجاز محفظة مشاريع التحول الرقمي والمشاريع التقنية وفق الخطة الزمنية والأولويات المعتمدة.</t>
        </is>
      </c>
      <c r="Q7" s="74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0.09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0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4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0.1</v>
      </c>
      <c r="H9" s="59" t="n">
        <v>1</v>
      </c>
      <c r="I9" s="22" t="inlineStr">
        <is>
          <t>100%</t>
        </is>
      </c>
      <c r="J9" s="73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0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4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0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4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0.95</v>
      </c>
      <c r="I11" s="22" t="inlineStr">
        <is>
          <t>≥ 95%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4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9" t="n">
        <v>0.98</v>
      </c>
      <c r="I12" s="22" t="inlineStr">
        <is>
          <t>≥ 98%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4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🟡 متابعة</t>
        </is>
      </c>
      <c r="G13" s="59" t="n">
        <v>0.05</v>
      </c>
      <c r="H13" s="59" t="n">
        <v>0.95</v>
      </c>
      <c r="I13" s="22" t="inlineStr">
        <is>
          <t>≥ 95%</t>
        </is>
      </c>
      <c r="J13" s="73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0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4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9" t="n">
        <v>0.95</v>
      </c>
      <c r="I14" s="22" t="inlineStr">
        <is>
          <t>≥ 95%</t>
        </is>
      </c>
      <c r="J14" s="73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0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4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0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4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0.11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0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1</v>
      </c>
      <c r="I7" s="22" t="inlineStr">
        <is>
          <t>100%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0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0.11</v>
      </c>
      <c r="H8" s="59" t="n">
        <v>0.95</v>
      </c>
      <c r="I8" s="22" t="inlineStr">
        <is>
          <t>≥ 95%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0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4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0.08</v>
      </c>
      <c r="H9" s="62" t="n">
        <v>30</v>
      </c>
      <c r="I9" s="22" t="inlineStr">
        <is>
          <t>≤ 30 يوم</t>
        </is>
      </c>
      <c r="J9" s="73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3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4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0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4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0.09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0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4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0.995</v>
      </c>
      <c r="I12" s="22" t="inlineStr">
        <is>
          <t>≥ 99.5%</t>
        </is>
      </c>
      <c r="J12" s="73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0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4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0.06</v>
      </c>
      <c r="H13" s="59" t="n">
        <v>0.1</v>
      </c>
      <c r="I13" s="22" t="inlineStr">
        <is>
          <t>≤ 10%</t>
        </is>
      </c>
      <c r="J13" s="73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0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4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0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0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4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49" t="inlineStr">
        <is>
          <t>عميل</t>
        </is>
      </c>
      <c r="E5" s="49" t="inlineStr">
        <is>
          <t>↑</t>
        </is>
      </c>
      <c r="F5" s="15" t="inlineStr">
        <is>
          <t>🟠 مهم</t>
        </is>
      </c>
      <c r="G5" s="59" t="n">
        <v>0.06</v>
      </c>
      <c r="H5" s="55" t="n">
        <v>200</v>
      </c>
      <c r="I5" s="22" t="inlineStr">
        <is>
          <t>200 عميل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6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«عملاء تجاريون جدد» المُسجّل خلال الفترة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49" t="inlineStr">
        <is>
          <t>متابع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5" t="n">
        <v>380000</v>
      </c>
      <c r="I6" s="22" t="inlineStr">
        <is>
          <t>380ك متابع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6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مجموع «المتابعين» خلال الفترة</t>
        </is>
      </c>
      <c r="Q6" s="74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0.5</v>
      </c>
      <c r="I7" s="22" t="inlineStr">
        <is>
          <t>50%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0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4" t="inlineStr">
        <is>
          <t>عدد حالات «التفاعل» خلال الفترة ÷ إجمالي الحالات القابلة للقياس × 100٪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49" t="inlineStr">
        <is>
          <t>حملة</t>
        </is>
      </c>
      <c r="E8" s="49" t="inlineStr">
        <is>
          <t>↑</t>
        </is>
      </c>
      <c r="F8" s="15" t="inlineStr">
        <is>
          <t>🟠 مهم</t>
        </is>
      </c>
      <c r="G8" s="59" t="n">
        <v>0.06</v>
      </c>
      <c r="H8" s="55" t="n">
        <v>48</v>
      </c>
      <c r="I8" s="22" t="inlineStr">
        <is>
          <t>48 حملة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«حملات تسويقية منجزة» المُسجّل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0.08</v>
      </c>
      <c r="H9" s="59" t="n">
        <v>0.25</v>
      </c>
      <c r="I9" s="22" t="inlineStr">
        <is>
          <t>25%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0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«تحويل الفرص إلى عقود» ÷ المستهدف × 100٪</t>
        </is>
      </c>
      <c r="Q9" s="74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0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«المبيعات لكل حملة» ÷ الإجمالي المستهدف لنفس البند × 100٪</t>
        </is>
      </c>
      <c r="Q10" s="74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0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«التزام الهوية البصرية» ÷ الإجمالي المستهدف لنفس البند × 100٪</t>
        </is>
      </c>
      <c r="Q11" s="74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49" t="inlineStr">
        <is>
          <t>وصول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5" t="n">
        <v>7000000</v>
      </c>
      <c r="I12" s="22" t="inlineStr">
        <is>
          <t>7م وصول</t>
        </is>
      </c>
      <c r="J12" s="73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6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إجمالي عدد «وصول العلاقات العامة» المُسجّل خلال الفترة</t>
        </is>
      </c>
      <c r="Q12" s="74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49" t="inlineStr">
        <is>
          <t>معرض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5" t="n">
        <v>3</v>
      </c>
      <c r="I13" s="22" t="inlineStr">
        <is>
          <t>3 معارض</t>
        </is>
      </c>
      <c r="J13" s="73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6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«المعارض بالسنة» المُسجّلة خلال الفترة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49" t="inlineStr">
        <is>
          <t>اتفاقية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5" t="n">
        <v>3</v>
      </c>
      <c r="I14" s="22" t="inlineStr">
        <is>
          <t>3 اتفاقيات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6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«اتفاقيات استراتيجية» المُسجّل خلال الفترة</t>
        </is>
      </c>
      <c r="Q14" s="74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49" t="inlineStr">
        <is>
          <t>نجمة/5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62" t="n">
        <v>4.7</v>
      </c>
      <c r="I15" s="22" t="inlineStr">
        <is>
          <t>4.7 ⭐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متوسط تقييم «تقييم خرائط قوقل» على مقياسه المعتمد</t>
        </is>
      </c>
      <c r="Q15" s="74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0.3</v>
      </c>
      <c r="I16" s="22" t="inlineStr">
        <is>
          <t>30%</t>
        </is>
      </c>
      <c r="J16" s="73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0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«خفض الشكاوى» خلال الفترة ÷ إجمالي الحالات القابلة للقياس × 100٪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49" t="inlineStr">
        <is>
          <t>وصول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5" t="n">
        <v>1000000</v>
      </c>
      <c r="I17" s="22" t="inlineStr">
        <is>
          <t>1م وصول</t>
        </is>
      </c>
      <c r="J17" s="73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6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«وصول محتوى تطبيق تانكي» المُسجّل خلال الفترة</t>
        </is>
      </c>
      <c r="Q17" s="74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49" t="inlineStr">
        <is>
          <t>مشاركة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5" t="n">
        <v>250</v>
      </c>
      <c r="I18" s="22" t="inlineStr">
        <is>
          <t>250 مشاركة</t>
        </is>
      </c>
      <c r="J18" s="73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6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«مشاركات تطبيق تانكي» المُسجّل خلال الفترة</t>
        </is>
      </c>
      <c r="Q18" s="74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والمحطات'!C8</f>
        <v/>
      </c>
      <c r="D45" s="15">
        <f>'التشغيل والمحطات'!J8</f>
        <v/>
      </c>
      <c r="E45" s="13">
        <f>'التشغيل والمحطات'!K8</f>
        <v/>
      </c>
      <c r="F45" s="15">
        <f>'التشغيل والمحطات'!L8</f>
        <v/>
      </c>
      <c r="G45" s="50">
        <f>'التشغيل والمحطات'!N8</f>
        <v/>
      </c>
      <c r="H45" s="15">
        <f>'التشغيل والمحطات'!O8</f>
        <v/>
      </c>
      <c r="I45" s="24">
        <f>'التشغيل والمحطات'!G8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والمحطات'!C9</f>
        <v/>
      </c>
      <c r="D46" s="15">
        <f>'التشغيل والمحطات'!J9</f>
        <v/>
      </c>
      <c r="E46" s="13">
        <f>'التشغيل والمحطات'!K9</f>
        <v/>
      </c>
      <c r="F46" s="15">
        <f>'التشغيل والمحطات'!L9</f>
        <v/>
      </c>
      <c r="G46" s="50">
        <f>'التشغيل والمحطات'!N9</f>
        <v/>
      </c>
      <c r="H46" s="15">
        <f>'التشغيل والمحطات'!O9</f>
        <v/>
      </c>
      <c r="I46" s="24">
        <f>'التشغيل والمحطات'!G9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والمحطات'!C10</f>
        <v/>
      </c>
      <c r="D47" s="15">
        <f>'التشغيل والمحطات'!J10</f>
        <v/>
      </c>
      <c r="E47" s="13">
        <f>'التشغيل والمحطات'!K10</f>
        <v/>
      </c>
      <c r="F47" s="15">
        <f>'التشغيل والمحطات'!L10</f>
        <v/>
      </c>
      <c r="G47" s="50">
        <f>'التشغيل والمحطات'!N10</f>
        <v/>
      </c>
      <c r="H47" s="15">
        <f>'التشغيل والمحطات'!O10</f>
        <v/>
      </c>
      <c r="I47" s="24">
        <f>'التشغيل والمحطات'!G10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والمحطات'!C11</f>
        <v/>
      </c>
      <c r="D48" s="15">
        <f>'التشغيل والمحطات'!J11</f>
        <v/>
      </c>
      <c r="E48" s="13">
        <f>'التشغيل والمحطات'!K11</f>
        <v/>
      </c>
      <c r="F48" s="15">
        <f>'التشغيل والمحطات'!L11</f>
        <v/>
      </c>
      <c r="G48" s="50">
        <f>'التشغيل والمحطات'!N11</f>
        <v/>
      </c>
      <c r="H48" s="15">
        <f>'التشغيل والمحطات'!O11</f>
        <v/>
      </c>
      <c r="I48" s="24">
        <f>'التشغيل والمحطات'!G11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والمحطات'!C12</f>
        <v/>
      </c>
      <c r="D49" s="15">
        <f>'التشغيل والمحطات'!J12</f>
        <v/>
      </c>
      <c r="E49" s="13">
        <f>'التشغيل والمحطات'!K12</f>
        <v/>
      </c>
      <c r="F49" s="15">
        <f>'التشغيل والمحطات'!L12</f>
        <v/>
      </c>
      <c r="G49" s="50">
        <f>'التشغيل والمحطات'!N12</f>
        <v/>
      </c>
      <c r="H49" s="15">
        <f>'التشغيل والمحطات'!O12</f>
        <v/>
      </c>
      <c r="I49" s="24">
        <f>'التشغيل والمحطات'!G12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والمحطات'!C13</f>
        <v/>
      </c>
      <c r="D50" s="15">
        <f>'التشغيل والمحطات'!J13</f>
        <v/>
      </c>
      <c r="E50" s="13">
        <f>'التشغيل والمحطات'!K13</f>
        <v/>
      </c>
      <c r="F50" s="15">
        <f>'التشغيل والمحطات'!L13</f>
        <v/>
      </c>
      <c r="G50" s="50">
        <f>'التشغيل والمحطات'!N13</f>
        <v/>
      </c>
      <c r="H50" s="15">
        <f>'التشغيل والمحطات'!O13</f>
        <v/>
      </c>
      <c r="I50" s="24">
        <f>'التشغيل والمحطات'!G13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والمحطات'!C14</f>
        <v/>
      </c>
      <c r="D51" s="15">
        <f>'التشغيل والمحطات'!J14</f>
        <v/>
      </c>
      <c r="E51" s="13">
        <f>'التشغيل والمحطات'!K14</f>
        <v/>
      </c>
      <c r="F51" s="15">
        <f>'التشغيل والمحطات'!L14</f>
        <v/>
      </c>
      <c r="G51" s="50">
        <f>'التشغيل والمحطات'!N14</f>
        <v/>
      </c>
      <c r="H51" s="15">
        <f>'التشغيل والمحطات'!O14</f>
        <v/>
      </c>
      <c r="I51" s="24">
        <f>'التشغيل والمحطات'!G14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والمحطات'!C15</f>
        <v/>
      </c>
      <c r="D52" s="15">
        <f>'التشغيل والمحطات'!J15</f>
        <v/>
      </c>
      <c r="E52" s="13">
        <f>'التشغيل والمحطات'!K15</f>
        <v/>
      </c>
      <c r="F52" s="15">
        <f>'التشغيل والمحطات'!L15</f>
        <v/>
      </c>
      <c r="G52" s="50">
        <f>'التشغيل والمحطات'!N15</f>
        <v/>
      </c>
      <c r="H52" s="15">
        <f>'التشغيل والمحطات'!O15</f>
        <v/>
      </c>
      <c r="I52" s="24">
        <f>'التشغيل والمحطات'!G15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والمحطات'!C16</f>
        <v/>
      </c>
      <c r="D53" s="15">
        <f>'التشغيل والمحطات'!J16</f>
        <v/>
      </c>
      <c r="E53" s="13">
        <f>'التشغيل والمحطات'!K16</f>
        <v/>
      </c>
      <c r="F53" s="15">
        <f>'التشغيل والمحطات'!L16</f>
        <v/>
      </c>
      <c r="G53" s="50">
        <f>'التشغيل والمحطات'!N16</f>
        <v/>
      </c>
      <c r="H53" s="15">
        <f>'التشغيل والمحطات'!O16</f>
        <v/>
      </c>
      <c r="I53" s="24">
        <f>'التشغيل والمحطات'!G16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والمحطات'!C17</f>
        <v/>
      </c>
      <c r="D54" s="15">
        <f>'التشغيل والمحطات'!J17</f>
        <v/>
      </c>
      <c r="E54" s="13">
        <f>'التشغيل والمحطات'!K17</f>
        <v/>
      </c>
      <c r="F54" s="15">
        <f>'التشغيل والمحطات'!L17</f>
        <v/>
      </c>
      <c r="G54" s="50">
        <f>'التشغيل والمحطات'!N17</f>
        <v/>
      </c>
      <c r="H54" s="15">
        <f>'التشغيل والمحطات'!O17</f>
        <v/>
      </c>
      <c r="I54" s="24">
        <f>'التشغيل والمحطات'!G17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والمحطات'!C18</f>
        <v/>
      </c>
      <c r="D55" s="15">
        <f>'التشغيل والمحطات'!J18</f>
        <v/>
      </c>
      <c r="E55" s="13">
        <f>'التشغيل والمحطات'!K18</f>
        <v/>
      </c>
      <c r="F55" s="15">
        <f>'التشغيل والمحطات'!L18</f>
        <v/>
      </c>
      <c r="G55" s="50">
        <f>'التشغيل والمحطات'!N18</f>
        <v/>
      </c>
      <c r="H55" s="15">
        <f>'التشغيل والمحطات'!O18</f>
        <v/>
      </c>
      <c r="I55" s="24">
        <f>'التشغيل والمحطات'!G18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والمحطات'!C19</f>
        <v/>
      </c>
      <c r="D56" s="15">
        <f>'التشغيل والمحطات'!J19</f>
        <v/>
      </c>
      <c r="E56" s="13">
        <f>'التشغيل والمحطات'!K19</f>
        <v/>
      </c>
      <c r="F56" s="15">
        <f>'التشغيل والمحطات'!L19</f>
        <v/>
      </c>
      <c r="G56" s="50">
        <f>'التشغيل والمحطات'!N19</f>
        <v/>
      </c>
      <c r="H56" s="15">
        <f>'التشغيل والمحطات'!O19</f>
        <v/>
      </c>
      <c r="I56" s="24">
        <f>'التشغيل والمحطات'!G19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'الاستثمار'!C4</f>
        <v/>
      </c>
      <c r="D57" s="15">
        <f>'الاستثمار'!J4</f>
        <v/>
      </c>
      <c r="E57" s="13">
        <f>'الاستثمار'!K4</f>
        <v/>
      </c>
      <c r="F57" s="15">
        <f>'الاستثمار'!L4</f>
        <v/>
      </c>
      <c r="G57" s="50">
        <f>'الاستثمار'!N4</f>
        <v/>
      </c>
      <c r="H57" s="15">
        <f>'الاستثمار'!O4</f>
        <v/>
      </c>
      <c r="I57" s="24">
        <f>'الاستثمار'!G4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'الاستثمار'!C5</f>
        <v/>
      </c>
      <c r="D58" s="15">
        <f>'الاستثمار'!J5</f>
        <v/>
      </c>
      <c r="E58" s="13">
        <f>'الاستثمار'!K5</f>
        <v/>
      </c>
      <c r="F58" s="15">
        <f>'الاستثمار'!L5</f>
        <v/>
      </c>
      <c r="G58" s="50">
        <f>'الاستثمار'!N5</f>
        <v/>
      </c>
      <c r="H58" s="15">
        <f>'الاستثمار'!O5</f>
        <v/>
      </c>
      <c r="I58" s="24">
        <f>'الاستثمار'!G5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'الاستثمار'!C6</f>
        <v/>
      </c>
      <c r="D59" s="15">
        <f>'الاستثمار'!J6</f>
        <v/>
      </c>
      <c r="E59" s="13">
        <f>'الاستثمار'!K6</f>
        <v/>
      </c>
      <c r="F59" s="15">
        <f>'الاستثمار'!L6</f>
        <v/>
      </c>
      <c r="G59" s="50">
        <f>'الاستثمار'!N6</f>
        <v/>
      </c>
      <c r="H59" s="15">
        <f>'الاستثمار'!O6</f>
        <v/>
      </c>
      <c r="I59" s="24">
        <f>'الاستثمار'!G6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'الاستثمار'!C7</f>
        <v/>
      </c>
      <c r="D60" s="15">
        <f>'الاستثمار'!J7</f>
        <v/>
      </c>
      <c r="E60" s="13">
        <f>'الاستثمار'!K7</f>
        <v/>
      </c>
      <c r="F60" s="15">
        <f>'الاستثمار'!L7</f>
        <v/>
      </c>
      <c r="G60" s="50">
        <f>'الاستثمار'!N7</f>
        <v/>
      </c>
      <c r="H60" s="15">
        <f>'الاستثمار'!O7</f>
        <v/>
      </c>
      <c r="I60" s="24">
        <f>'الاستثمار'!G7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'الاستثمار'!C8</f>
        <v/>
      </c>
      <c r="D61" s="15">
        <f>'الاستثمار'!J8</f>
        <v/>
      </c>
      <c r="E61" s="13">
        <f>'الاستثمار'!K8</f>
        <v/>
      </c>
      <c r="F61" s="15">
        <f>'الاستثمار'!L8</f>
        <v/>
      </c>
      <c r="G61" s="50">
        <f>'الاستثمار'!N8</f>
        <v/>
      </c>
      <c r="H61" s="15">
        <f>'الاستثمار'!O8</f>
        <v/>
      </c>
      <c r="I61" s="24">
        <f>'الاستثمار'!G8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'الاستثمار'!C9</f>
        <v/>
      </c>
      <c r="D62" s="15">
        <f>'الاستثمار'!J9</f>
        <v/>
      </c>
      <c r="E62" s="13">
        <f>'الاستثمار'!K9</f>
        <v/>
      </c>
      <c r="F62" s="15">
        <f>'الاستثمار'!L9</f>
        <v/>
      </c>
      <c r="G62" s="50">
        <f>'الاستثمار'!N9</f>
        <v/>
      </c>
      <c r="H62" s="15">
        <f>'الاستثمار'!O9</f>
        <v/>
      </c>
      <c r="I62" s="24">
        <f>'الاستثمار'!G9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'الاستثمار'!C10</f>
        <v/>
      </c>
      <c r="D63" s="15">
        <f>'الاستثمار'!J10</f>
        <v/>
      </c>
      <c r="E63" s="13">
        <f>'الاستثمار'!K10</f>
        <v/>
      </c>
      <c r="F63" s="15">
        <f>'الاستثمار'!L10</f>
        <v/>
      </c>
      <c r="G63" s="50">
        <f>'الاستثمار'!N10</f>
        <v/>
      </c>
      <c r="H63" s="15">
        <f>'الاستثمار'!O10</f>
        <v/>
      </c>
      <c r="I63" s="24">
        <f>'الاستثمار'!G10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'الاستثمار'!C11</f>
        <v/>
      </c>
      <c r="D64" s="15">
        <f>'الاستثمار'!J11</f>
        <v/>
      </c>
      <c r="E64" s="13">
        <f>'الاستثمار'!K11</f>
        <v/>
      </c>
      <c r="F64" s="15">
        <f>'الاستثمار'!L11</f>
        <v/>
      </c>
      <c r="G64" s="50">
        <f>'الاستثمار'!N11</f>
        <v/>
      </c>
      <c r="H64" s="15">
        <f>'الاستثمار'!O11</f>
        <v/>
      </c>
      <c r="I64" s="24">
        <f>'الاستثمار'!G11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'الاستثمار'!C12</f>
        <v/>
      </c>
      <c r="D65" s="15">
        <f>'الاستثمار'!J12</f>
        <v/>
      </c>
      <c r="E65" s="13">
        <f>'الاستثمار'!K12</f>
        <v/>
      </c>
      <c r="F65" s="15">
        <f>'الاستثمار'!L12</f>
        <v/>
      </c>
      <c r="G65" s="50">
        <f>'الاستثمار'!N12</f>
        <v/>
      </c>
      <c r="H65" s="15">
        <f>'الاستثمار'!O12</f>
        <v/>
      </c>
      <c r="I65" s="24">
        <f>'الاستثمار'!G12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'الاستثمار'!C13</f>
        <v/>
      </c>
      <c r="D66" s="15">
        <f>'الاستثمار'!J13</f>
        <v/>
      </c>
      <c r="E66" s="13">
        <f>'الاستثمار'!K13</f>
        <v/>
      </c>
      <c r="F66" s="15">
        <f>'الاستثمار'!L13</f>
        <v/>
      </c>
      <c r="G66" s="50">
        <f>'الاستثمار'!N13</f>
        <v/>
      </c>
      <c r="H66" s="15">
        <f>'الاستثمار'!O13</f>
        <v/>
      </c>
      <c r="I66" s="24">
        <f>'الاستثمار'!G13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'الاستثمار'!C14</f>
        <v/>
      </c>
      <c r="D67" s="15">
        <f>'الاستثمار'!J14</f>
        <v/>
      </c>
      <c r="E67" s="13">
        <f>'الاستثمار'!K14</f>
        <v/>
      </c>
      <c r="F67" s="15">
        <f>'الاستثمار'!L14</f>
        <v/>
      </c>
      <c r="G67" s="50">
        <f>'الاستثمار'!N14</f>
        <v/>
      </c>
      <c r="H67" s="15">
        <f>'الاستثمار'!O14</f>
        <v/>
      </c>
      <c r="I67" s="24">
        <f>'الاستثمار'!G14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'الاستثمار'!C15</f>
        <v/>
      </c>
      <c r="D68" s="15">
        <f>'الاستثمار'!J15</f>
        <v/>
      </c>
      <c r="E68" s="13">
        <f>'الاستثمار'!K15</f>
        <v/>
      </c>
      <c r="F68" s="15">
        <f>'الاستثمار'!L15</f>
        <v/>
      </c>
      <c r="G68" s="50">
        <f>'الاستثمار'!N15</f>
        <v/>
      </c>
      <c r="H68" s="15">
        <f>'الاستثمار'!O15</f>
        <v/>
      </c>
      <c r="I68" s="24">
        <f>'الاستثمار'!G15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'الاستثمار'!C16</f>
        <v/>
      </c>
      <c r="D69" s="15">
        <f>'الاستثمار'!J16</f>
        <v/>
      </c>
      <c r="E69" s="13">
        <f>'الاستثمار'!K16</f>
        <v/>
      </c>
      <c r="F69" s="15">
        <f>'الاستثمار'!L16</f>
        <v/>
      </c>
      <c r="G69" s="50">
        <f>'الاستثمار'!N16</f>
        <v/>
      </c>
      <c r="H69" s="15">
        <f>'الاستثمار'!O16</f>
        <v/>
      </c>
      <c r="I69" s="24">
        <f>'الاستثمار'!G16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'الاستثمار'!C17</f>
        <v/>
      </c>
      <c r="D70" s="15">
        <f>'الاستثمار'!J17</f>
        <v/>
      </c>
      <c r="E70" s="13">
        <f>'الاستثمار'!K17</f>
        <v/>
      </c>
      <c r="F70" s="15">
        <f>'الاستثمار'!L17</f>
        <v/>
      </c>
      <c r="G70" s="50">
        <f>'الاستثمار'!N17</f>
        <v/>
      </c>
      <c r="H70" s="15">
        <f>'الاستثمار'!O17</f>
        <v/>
      </c>
      <c r="I70" s="24">
        <f>'الاستثمار'!G17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'الاستثمار'!C18</f>
        <v/>
      </c>
      <c r="D71" s="15">
        <f>'الاستثمار'!J18</f>
        <v/>
      </c>
      <c r="E71" s="13">
        <f>'الاستثمار'!K18</f>
        <v/>
      </c>
      <c r="F71" s="15">
        <f>'الاستثمار'!L18</f>
        <v/>
      </c>
      <c r="G71" s="50">
        <f>'الاستثمار'!N18</f>
        <v/>
      </c>
      <c r="H71" s="15">
        <f>'الاستثمار'!O18</f>
        <v/>
      </c>
      <c r="I71" s="24">
        <f>'الاستثمار'!G18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'الاستثمار'!C19</f>
        <v/>
      </c>
      <c r="D72" s="15">
        <f>'الاستثمار'!J19</f>
        <v/>
      </c>
      <c r="E72" s="13">
        <f>'الاستثمار'!K19</f>
        <v/>
      </c>
      <c r="F72" s="15">
        <f>'الاستثمار'!L19</f>
        <v/>
      </c>
      <c r="G72" s="50">
        <f>'الاستثمار'!N19</f>
        <v/>
      </c>
      <c r="H72" s="15">
        <f>'الاستثمار'!O19</f>
        <v/>
      </c>
      <c r="I72" s="24">
        <f>'الاستثمار'!G19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'الاستثمار'!C20</f>
        <v/>
      </c>
      <c r="D73" s="15">
        <f>'الاستثمار'!J20</f>
        <v/>
      </c>
      <c r="E73" s="13">
        <f>'الاستثمار'!K20</f>
        <v/>
      </c>
      <c r="F73" s="15">
        <f>'الاستثمار'!L20</f>
        <v/>
      </c>
      <c r="G73" s="50">
        <f>'الاستثمار'!N20</f>
        <v/>
      </c>
      <c r="H73" s="15">
        <f>'الاستثمار'!O20</f>
        <v/>
      </c>
      <c r="I73" s="24">
        <f>'الاستثمار'!G20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'الاستثمار'!C21</f>
        <v/>
      </c>
      <c r="D74" s="15">
        <f>'الاستثمار'!J21</f>
        <v/>
      </c>
      <c r="E74" s="13">
        <f>'الاستثمار'!K21</f>
        <v/>
      </c>
      <c r="F74" s="15">
        <f>'الاستثمار'!L21</f>
        <v/>
      </c>
      <c r="G74" s="50">
        <f>'الاستثمار'!N21</f>
        <v/>
      </c>
      <c r="H74" s="15">
        <f>'الاستثمار'!O21</f>
        <v/>
      </c>
      <c r="I74" s="24">
        <f>'الاستثمار'!G21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'الاستثمار'!C22</f>
        <v/>
      </c>
      <c r="D75" s="15">
        <f>'الاستثمار'!J22</f>
        <v/>
      </c>
      <c r="E75" s="13">
        <f>'الاستثمار'!K22</f>
        <v/>
      </c>
      <c r="F75" s="15">
        <f>'الاستثمار'!L22</f>
        <v/>
      </c>
      <c r="G75" s="50">
        <f>'الاستثمار'!N22</f>
        <v/>
      </c>
      <c r="H75" s="15">
        <f>'الاستثمار'!O22</f>
        <v/>
      </c>
      <c r="I75" s="24">
        <f>'الاستثمار'!G22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'الاستثمار'!C23</f>
        <v/>
      </c>
      <c r="D76" s="15">
        <f>'الاستثمار'!J23</f>
        <v/>
      </c>
      <c r="E76" s="13">
        <f>'الاستثمار'!K23</f>
        <v/>
      </c>
      <c r="F76" s="15">
        <f>'الاستثمار'!L23</f>
        <v/>
      </c>
      <c r="G76" s="50">
        <f>'الاستثمار'!N23</f>
        <v/>
      </c>
      <c r="H76" s="15">
        <f>'الاستثمار'!O23</f>
        <v/>
      </c>
      <c r="I76" s="24">
        <f>'الاستثمار'!G23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'الاستثمار'!C24</f>
        <v/>
      </c>
      <c r="D77" s="15">
        <f>'الاستثمار'!J24</f>
        <v/>
      </c>
      <c r="E77" s="13">
        <f>'الاستثمار'!K24</f>
        <v/>
      </c>
      <c r="F77" s="15">
        <f>'الاستثمار'!L24</f>
        <v/>
      </c>
      <c r="G77" s="50">
        <f>'الاستثمار'!N24</f>
        <v/>
      </c>
      <c r="H77" s="15">
        <f>'الاستثمار'!O24</f>
        <v/>
      </c>
      <c r="I77" s="24">
        <f>'الاستثمار'!G24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'الاستثمار'!C25</f>
        <v/>
      </c>
      <c r="D78" s="15">
        <f>'الاستثمار'!J25</f>
        <v/>
      </c>
      <c r="E78" s="13">
        <f>'الاستثمار'!K25</f>
        <v/>
      </c>
      <c r="F78" s="15">
        <f>'الاستثمار'!L25</f>
        <v/>
      </c>
      <c r="G78" s="50">
        <f>'الاستثمار'!N25</f>
        <v/>
      </c>
      <c r="H78" s="15">
        <f>'الاستثمار'!O25</f>
        <v/>
      </c>
      <c r="I78" s="24">
        <f>'الاستثمار'!G25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'الاستثمار'!C26</f>
        <v/>
      </c>
      <c r="D79" s="15">
        <f>'الاستثمار'!J26</f>
        <v/>
      </c>
      <c r="E79" s="13">
        <f>'الاستثمار'!K26</f>
        <v/>
      </c>
      <c r="F79" s="15">
        <f>'الاستثمار'!L26</f>
        <v/>
      </c>
      <c r="G79" s="50">
        <f>'الاستثمار'!N26</f>
        <v/>
      </c>
      <c r="H79" s="15">
        <f>'الاستثمار'!O26</f>
        <v/>
      </c>
      <c r="I79" s="24">
        <f>'الاستثمار'!G26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'الاستثمار'!C27</f>
        <v/>
      </c>
      <c r="D80" s="15">
        <f>'الاستثمار'!J27</f>
        <v/>
      </c>
      <c r="E80" s="13">
        <f>'الاستثمار'!K27</f>
        <v/>
      </c>
      <c r="F80" s="15">
        <f>'الاستثمار'!L27</f>
        <v/>
      </c>
      <c r="G80" s="50">
        <f>'الاستثمار'!N27</f>
        <v/>
      </c>
      <c r="H80" s="15">
        <f>'الاستثمار'!O27</f>
        <v/>
      </c>
      <c r="I80" s="24">
        <f>'الاستثمار'!G27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العقار</t>
        </is>
      </c>
      <c r="C81" s="13">
        <f>'العقار'!C4</f>
        <v/>
      </c>
      <c r="D81" s="15">
        <f>'العقار'!J4</f>
        <v/>
      </c>
      <c r="E81" s="13">
        <f>'العقار'!K4</f>
        <v/>
      </c>
      <c r="F81" s="15">
        <f>'العقار'!L4</f>
        <v/>
      </c>
      <c r="G81" s="50">
        <f>'العقار'!N4</f>
        <v/>
      </c>
      <c r="H81" s="15">
        <f>'العقار'!O4</f>
        <v/>
      </c>
      <c r="I81" s="24">
        <f>'العقار'!G4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'العقار'!C5</f>
        <v/>
      </c>
      <c r="D82" s="15">
        <f>'العقار'!J5</f>
        <v/>
      </c>
      <c r="E82" s="13">
        <f>'العقار'!K5</f>
        <v/>
      </c>
      <c r="F82" s="15">
        <f>'العقار'!L5</f>
        <v/>
      </c>
      <c r="G82" s="50">
        <f>'العقار'!N5</f>
        <v/>
      </c>
      <c r="H82" s="15">
        <f>'العقار'!O5</f>
        <v/>
      </c>
      <c r="I82" s="24">
        <f>'العقار'!G5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'العقار'!C6</f>
        <v/>
      </c>
      <c r="D83" s="15">
        <f>'العقار'!J6</f>
        <v/>
      </c>
      <c r="E83" s="13">
        <f>'العقار'!K6</f>
        <v/>
      </c>
      <c r="F83" s="15">
        <f>'العقار'!L6</f>
        <v/>
      </c>
      <c r="G83" s="50">
        <f>'العقار'!N6</f>
        <v/>
      </c>
      <c r="H83" s="15">
        <f>'العقار'!O6</f>
        <v/>
      </c>
      <c r="I83" s="24">
        <f>'العقار'!G6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'العقار'!C7</f>
        <v/>
      </c>
      <c r="D84" s="15">
        <f>'العقار'!J7</f>
        <v/>
      </c>
      <c r="E84" s="13">
        <f>'العقار'!K7</f>
        <v/>
      </c>
      <c r="F84" s="15">
        <f>'العقار'!L7</f>
        <v/>
      </c>
      <c r="G84" s="50">
        <f>'العقار'!N7</f>
        <v/>
      </c>
      <c r="H84" s="15">
        <f>'العقار'!O7</f>
        <v/>
      </c>
      <c r="I84" s="24">
        <f>'العقار'!G7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'العقار'!C8</f>
        <v/>
      </c>
      <c r="D85" s="15">
        <f>'العقار'!J8</f>
        <v/>
      </c>
      <c r="E85" s="13">
        <f>'العقار'!K8</f>
        <v/>
      </c>
      <c r="F85" s="15">
        <f>'العقار'!L8</f>
        <v/>
      </c>
      <c r="G85" s="50">
        <f>'العقار'!N8</f>
        <v/>
      </c>
      <c r="H85" s="15">
        <f>'العقار'!O8</f>
        <v/>
      </c>
      <c r="I85" s="24">
        <f>'العقار'!G8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'العقار'!C9</f>
        <v/>
      </c>
      <c r="D86" s="15">
        <f>'العقار'!J9</f>
        <v/>
      </c>
      <c r="E86" s="13">
        <f>'العقار'!K9</f>
        <v/>
      </c>
      <c r="F86" s="15">
        <f>'العقار'!L9</f>
        <v/>
      </c>
      <c r="G86" s="50">
        <f>'العقار'!N9</f>
        <v/>
      </c>
      <c r="H86" s="15">
        <f>'العقار'!O9</f>
        <v/>
      </c>
      <c r="I86" s="24">
        <f>'العقار'!G9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'العقار'!C10</f>
        <v/>
      </c>
      <c r="D87" s="15">
        <f>'العقار'!J10</f>
        <v/>
      </c>
      <c r="E87" s="13">
        <f>'العقار'!K10</f>
        <v/>
      </c>
      <c r="F87" s="15">
        <f>'العقار'!L10</f>
        <v/>
      </c>
      <c r="G87" s="50">
        <f>'العقار'!N10</f>
        <v/>
      </c>
      <c r="H87" s="15">
        <f>'العقار'!O10</f>
        <v/>
      </c>
      <c r="I87" s="24">
        <f>'العقار'!G10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'العقار'!C11</f>
        <v/>
      </c>
      <c r="D88" s="15">
        <f>'العقار'!J11</f>
        <v/>
      </c>
      <c r="E88" s="13">
        <f>'العقار'!K11</f>
        <v/>
      </c>
      <c r="F88" s="15">
        <f>'العقار'!L11</f>
        <v/>
      </c>
      <c r="G88" s="50">
        <f>'العقار'!N11</f>
        <v/>
      </c>
      <c r="H88" s="15">
        <f>'العقار'!O11</f>
        <v/>
      </c>
      <c r="I88" s="24">
        <f>'العقار'!G11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'العقار'!C12</f>
        <v/>
      </c>
      <c r="D89" s="15">
        <f>'العقار'!J12</f>
        <v/>
      </c>
      <c r="E89" s="13">
        <f>'العقار'!K12</f>
        <v/>
      </c>
      <c r="F89" s="15">
        <f>'العقار'!L12</f>
        <v/>
      </c>
      <c r="G89" s="50">
        <f>'العقار'!N12</f>
        <v/>
      </c>
      <c r="H89" s="15">
        <f>'العقار'!O12</f>
        <v/>
      </c>
      <c r="I89" s="24">
        <f>'العقار'!G12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'العقار'!C13</f>
        <v/>
      </c>
      <c r="D90" s="15">
        <f>'العقار'!J13</f>
        <v/>
      </c>
      <c r="E90" s="13">
        <f>'العقار'!K13</f>
        <v/>
      </c>
      <c r="F90" s="15">
        <f>'العقار'!L13</f>
        <v/>
      </c>
      <c r="G90" s="50">
        <f>'العقار'!N13</f>
        <v/>
      </c>
      <c r="H90" s="15">
        <f>'العقار'!O13</f>
        <v/>
      </c>
      <c r="I90" s="24">
        <f>'العقار'!G13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'العقار'!C14</f>
        <v/>
      </c>
      <c r="D91" s="15">
        <f>'العقار'!J14</f>
        <v/>
      </c>
      <c r="E91" s="13">
        <f>'العقار'!K14</f>
        <v/>
      </c>
      <c r="F91" s="15">
        <f>'العقار'!L14</f>
        <v/>
      </c>
      <c r="G91" s="50">
        <f>'العقار'!N14</f>
        <v/>
      </c>
      <c r="H91" s="15">
        <f>'العقار'!O14</f>
        <v/>
      </c>
      <c r="I91" s="24">
        <f>'العقار'!G14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'العقار'!C15</f>
        <v/>
      </c>
      <c r="D92" s="15">
        <f>'العقار'!J15</f>
        <v/>
      </c>
      <c r="E92" s="13">
        <f>'العقار'!K15</f>
        <v/>
      </c>
      <c r="F92" s="15">
        <f>'العقار'!L15</f>
        <v/>
      </c>
      <c r="G92" s="50">
        <f>'العقار'!N15</f>
        <v/>
      </c>
      <c r="H92" s="15">
        <f>'العقار'!O15</f>
        <v/>
      </c>
      <c r="I92" s="24">
        <f>'العقار'!G15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'العقار'!C16</f>
        <v/>
      </c>
      <c r="D93" s="15">
        <f>'العقار'!J16</f>
        <v/>
      </c>
      <c r="E93" s="13">
        <f>'العقار'!K16</f>
        <v/>
      </c>
      <c r="F93" s="15">
        <f>'العقار'!L16</f>
        <v/>
      </c>
      <c r="G93" s="50">
        <f>'العقار'!N16</f>
        <v/>
      </c>
      <c r="H93" s="15">
        <f>'العقار'!O16</f>
        <v/>
      </c>
      <c r="I93" s="24">
        <f>'العقار'!G16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'العقار'!C17</f>
        <v/>
      </c>
      <c r="D94" s="15">
        <f>'العقار'!J17</f>
        <v/>
      </c>
      <c r="E94" s="13">
        <f>'العقار'!K17</f>
        <v/>
      </c>
      <c r="F94" s="15">
        <f>'العقار'!L17</f>
        <v/>
      </c>
      <c r="G94" s="50">
        <f>'العقار'!N17</f>
        <v/>
      </c>
      <c r="H94" s="15">
        <f>'العقار'!O17</f>
        <v/>
      </c>
      <c r="I94" s="24">
        <f>'العقار'!G17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'العقار'!C18</f>
        <v/>
      </c>
      <c r="D95" s="15">
        <f>'العقار'!J18</f>
        <v/>
      </c>
      <c r="E95" s="13">
        <f>'العقار'!K18</f>
        <v/>
      </c>
      <c r="F95" s="15">
        <f>'العقار'!L18</f>
        <v/>
      </c>
      <c r="G95" s="50">
        <f>'العقار'!N18</f>
        <v/>
      </c>
      <c r="H95" s="15">
        <f>'العقار'!O18</f>
        <v/>
      </c>
      <c r="I95" s="24">
        <f>'العقار'!G18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'العقار'!C19</f>
        <v/>
      </c>
      <c r="D96" s="15">
        <f>'العقار'!J19</f>
        <v/>
      </c>
      <c r="E96" s="13">
        <f>'العقار'!K19</f>
        <v/>
      </c>
      <c r="F96" s="15">
        <f>'العقار'!L19</f>
        <v/>
      </c>
      <c r="G96" s="50">
        <f>'العقار'!N19</f>
        <v/>
      </c>
      <c r="H96" s="15">
        <f>'العقار'!O19</f>
        <v/>
      </c>
      <c r="I96" s="24">
        <f>'العقار'!G19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المشاريع'!C4</f>
        <v/>
      </c>
      <c r="D97" s="15">
        <f>'إدارة المشاريع'!J4</f>
        <v/>
      </c>
      <c r="E97" s="13">
        <f>'إدارة المشاريع'!K4</f>
        <v/>
      </c>
      <c r="F97" s="15">
        <f>'إدارة المشاريع'!L4</f>
        <v/>
      </c>
      <c r="G97" s="50">
        <f>'إدارة المشاريع'!N4</f>
        <v/>
      </c>
      <c r="H97" s="15">
        <f>'إدارة المشاريع'!O4</f>
        <v/>
      </c>
      <c r="I97" s="24">
        <f>'إدارة المشاريع'!G4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المشاريع'!C5</f>
        <v/>
      </c>
      <c r="D98" s="15">
        <f>'إدارة المشاريع'!J5</f>
        <v/>
      </c>
      <c r="E98" s="13">
        <f>'إدارة المشاريع'!K5</f>
        <v/>
      </c>
      <c r="F98" s="15">
        <f>'إدارة المشاريع'!L5</f>
        <v/>
      </c>
      <c r="G98" s="50">
        <f>'إدارة المشاريع'!N5</f>
        <v/>
      </c>
      <c r="H98" s="15">
        <f>'إدارة المشاريع'!O5</f>
        <v/>
      </c>
      <c r="I98" s="24">
        <f>'إدارة المشاريع'!G5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المشاريع'!C6</f>
        <v/>
      </c>
      <c r="D99" s="15">
        <f>'إدارة المشاريع'!J6</f>
        <v/>
      </c>
      <c r="E99" s="13">
        <f>'إدارة المشاريع'!K6</f>
        <v/>
      </c>
      <c r="F99" s="15">
        <f>'إدارة المشاريع'!L6</f>
        <v/>
      </c>
      <c r="G99" s="50">
        <f>'إدارة المشاريع'!N6</f>
        <v/>
      </c>
      <c r="H99" s="15">
        <f>'إدارة المشاريع'!O6</f>
        <v/>
      </c>
      <c r="I99" s="24">
        <f>'إدارة المشاريع'!G6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المشاريع'!C7</f>
        <v/>
      </c>
      <c r="D100" s="15">
        <f>'إدارة المشاريع'!J7</f>
        <v/>
      </c>
      <c r="E100" s="13">
        <f>'إدارة المشاريع'!K7</f>
        <v/>
      </c>
      <c r="F100" s="15">
        <f>'إدارة المشاريع'!L7</f>
        <v/>
      </c>
      <c r="G100" s="50">
        <f>'إدارة المشاريع'!N7</f>
        <v/>
      </c>
      <c r="H100" s="15">
        <f>'إدارة المشاريع'!O7</f>
        <v/>
      </c>
      <c r="I100" s="24">
        <f>'إدارة المشاريع'!G7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المشاريع'!C8</f>
        <v/>
      </c>
      <c r="D101" s="15">
        <f>'إدارة المشاريع'!J8</f>
        <v/>
      </c>
      <c r="E101" s="13">
        <f>'إدارة المشاريع'!K8</f>
        <v/>
      </c>
      <c r="F101" s="15">
        <f>'إدارة المشاريع'!L8</f>
        <v/>
      </c>
      <c r="G101" s="50">
        <f>'إدارة المشاريع'!N8</f>
        <v/>
      </c>
      <c r="H101" s="15">
        <f>'إدارة المشاريع'!O8</f>
        <v/>
      </c>
      <c r="I101" s="24">
        <f>'إدارة المشاريع'!G8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المشاريع'!C9</f>
        <v/>
      </c>
      <c r="D102" s="15">
        <f>'إدارة المشاريع'!J9</f>
        <v/>
      </c>
      <c r="E102" s="13">
        <f>'إدارة المشاريع'!K9</f>
        <v/>
      </c>
      <c r="F102" s="15">
        <f>'إدارة المشاريع'!L9</f>
        <v/>
      </c>
      <c r="G102" s="50">
        <f>'إدارة المشاريع'!N9</f>
        <v/>
      </c>
      <c r="H102" s="15">
        <f>'إدارة المشاريع'!O9</f>
        <v/>
      </c>
      <c r="I102" s="24">
        <f>'إدارة المشاريع'!G9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المشاريع'!C10</f>
        <v/>
      </c>
      <c r="D103" s="15">
        <f>'إدارة المشاريع'!J10</f>
        <v/>
      </c>
      <c r="E103" s="13">
        <f>'إدارة المشاريع'!K10</f>
        <v/>
      </c>
      <c r="F103" s="15">
        <f>'إدارة المشاريع'!L10</f>
        <v/>
      </c>
      <c r="G103" s="50">
        <f>'إدارة المشاريع'!N10</f>
        <v/>
      </c>
      <c r="H103" s="15">
        <f>'إدارة المشاريع'!O10</f>
        <v/>
      </c>
      <c r="I103" s="24">
        <f>'إدارة المشاريع'!G10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المشاريع'!C11</f>
        <v/>
      </c>
      <c r="D104" s="15">
        <f>'إدارة المشاريع'!J11</f>
        <v/>
      </c>
      <c r="E104" s="13">
        <f>'إدارة المشاريع'!K11</f>
        <v/>
      </c>
      <c r="F104" s="15">
        <f>'إدارة المشاريع'!L11</f>
        <v/>
      </c>
      <c r="G104" s="50">
        <f>'إدارة المشاريع'!N11</f>
        <v/>
      </c>
      <c r="H104" s="15">
        <f>'إدارة المشاريع'!O11</f>
        <v/>
      </c>
      <c r="I104" s="24">
        <f>'إدارة المشاريع'!G11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المشاريع'!C12</f>
        <v/>
      </c>
      <c r="D105" s="15">
        <f>'إدارة المشاريع'!J12</f>
        <v/>
      </c>
      <c r="E105" s="13">
        <f>'إدارة المشاريع'!K12</f>
        <v/>
      </c>
      <c r="F105" s="15">
        <f>'إدارة المشاريع'!L12</f>
        <v/>
      </c>
      <c r="G105" s="50">
        <f>'إدارة المشاريع'!N12</f>
        <v/>
      </c>
      <c r="H105" s="15">
        <f>'إدارة المشاريع'!O12</f>
        <v/>
      </c>
      <c r="I105" s="24">
        <f>'إدارة المشاريع'!G12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المشاريع'!C13</f>
        <v/>
      </c>
      <c r="D106" s="15">
        <f>'إدارة المشاريع'!J13</f>
        <v/>
      </c>
      <c r="E106" s="13">
        <f>'إدارة المشاريع'!K13</f>
        <v/>
      </c>
      <c r="F106" s="15">
        <f>'إدارة المشاريع'!L13</f>
        <v/>
      </c>
      <c r="G106" s="50">
        <f>'إدارة المشاريع'!N13</f>
        <v/>
      </c>
      <c r="H106" s="15">
        <f>'إدارة المشاريع'!O13</f>
        <v/>
      </c>
      <c r="I106" s="24">
        <f>'إدارة المشاريع'!G13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المشاريع'!C14</f>
        <v/>
      </c>
      <c r="D107" s="15">
        <f>'إدارة المشاريع'!J14</f>
        <v/>
      </c>
      <c r="E107" s="13">
        <f>'إدارة المشاريع'!K14</f>
        <v/>
      </c>
      <c r="F107" s="15">
        <f>'إدارة المشاريع'!L14</f>
        <v/>
      </c>
      <c r="G107" s="50">
        <f>'إدارة المشاريع'!N14</f>
        <v/>
      </c>
      <c r="H107" s="15">
        <f>'إدارة المشاريع'!O14</f>
        <v/>
      </c>
      <c r="I107" s="24">
        <f>'إدارة المشاريع'!G14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المشاريع'!C15</f>
        <v/>
      </c>
      <c r="D108" s="15">
        <f>'إدارة المشاريع'!J15</f>
        <v/>
      </c>
      <c r="E108" s="13">
        <f>'إدارة المشاريع'!K15</f>
        <v/>
      </c>
      <c r="F108" s="15">
        <f>'إدارة المشاريع'!L15</f>
        <v/>
      </c>
      <c r="G108" s="50">
        <f>'إدارة المشاريع'!N15</f>
        <v/>
      </c>
      <c r="H108" s="15">
        <f>'إدارة المشاريع'!O15</f>
        <v/>
      </c>
      <c r="I108" s="24">
        <f>'إدارة المشاريع'!G15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المشاريع'!C16</f>
        <v/>
      </c>
      <c r="D109" s="15">
        <f>'إدارة المشاريع'!J16</f>
        <v/>
      </c>
      <c r="E109" s="13">
        <f>'إدارة المشاريع'!K16</f>
        <v/>
      </c>
      <c r="F109" s="15">
        <f>'إدارة المشاريع'!L16</f>
        <v/>
      </c>
      <c r="G109" s="50">
        <f>'إدارة المشاريع'!N16</f>
        <v/>
      </c>
      <c r="H109" s="15">
        <f>'إدارة المشاريع'!O16</f>
        <v/>
      </c>
      <c r="I109" s="24">
        <f>'إدارة المشاريع'!G16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المشاريع'!C17</f>
        <v/>
      </c>
      <c r="D110" s="15">
        <f>'إدارة المشاريع'!J17</f>
        <v/>
      </c>
      <c r="E110" s="13">
        <f>'إدارة المشاريع'!K17</f>
        <v/>
      </c>
      <c r="F110" s="15">
        <f>'إدارة المشاريع'!L17</f>
        <v/>
      </c>
      <c r="G110" s="50">
        <f>'إدارة المشاريع'!N17</f>
        <v/>
      </c>
      <c r="H110" s="15">
        <f>'إدارة المشاريع'!O17</f>
        <v/>
      </c>
      <c r="I110" s="24">
        <f>'إدارة المشاريع'!G17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المشاريع'!C18</f>
        <v/>
      </c>
      <c r="D111" s="15">
        <f>'إدارة المشاريع'!J18</f>
        <v/>
      </c>
      <c r="E111" s="13">
        <f>'إدارة المشاريع'!K18</f>
        <v/>
      </c>
      <c r="F111" s="15">
        <f>'إدارة المشاريع'!L18</f>
        <v/>
      </c>
      <c r="G111" s="50">
        <f>'إدارة المشاريع'!N18</f>
        <v/>
      </c>
      <c r="H111" s="15">
        <f>'إدارة المشاريع'!O18</f>
        <v/>
      </c>
      <c r="I111" s="24">
        <f>'إدارة المشاريع'!G18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سلاسل الإمداد</t>
        </is>
      </c>
      <c r="C112" s="13">
        <f>'سلاسل الإمداد'!C4</f>
        <v/>
      </c>
      <c r="D112" s="15">
        <f>'سلاسل الإمداد'!J4</f>
        <v/>
      </c>
      <c r="E112" s="13">
        <f>'سلاسل الإمداد'!K4</f>
        <v/>
      </c>
      <c r="F112" s="15">
        <f>'سلاسل الإمداد'!L4</f>
        <v/>
      </c>
      <c r="G112" s="50">
        <f>'سلاسل الإمداد'!N4</f>
        <v/>
      </c>
      <c r="H112" s="15">
        <f>'سلاسل الإمداد'!O4</f>
        <v/>
      </c>
      <c r="I112" s="24">
        <f>'سلاسل الإمداد'!G4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الإمداد'!C5</f>
        <v/>
      </c>
      <c r="D113" s="15">
        <f>'سلاسل الإمداد'!J5</f>
        <v/>
      </c>
      <c r="E113" s="13">
        <f>'سلاسل الإمداد'!K5</f>
        <v/>
      </c>
      <c r="F113" s="15">
        <f>'سلاسل الإمداد'!L5</f>
        <v/>
      </c>
      <c r="G113" s="50">
        <f>'سلاسل الإمداد'!N5</f>
        <v/>
      </c>
      <c r="H113" s="15">
        <f>'سلاسل الإمداد'!O5</f>
        <v/>
      </c>
      <c r="I113" s="24">
        <f>'سلاسل الإمداد'!G5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الإمداد'!C6</f>
        <v/>
      </c>
      <c r="D114" s="15">
        <f>'سلاسل الإمداد'!J6</f>
        <v/>
      </c>
      <c r="E114" s="13">
        <f>'سلاسل الإمداد'!K6</f>
        <v/>
      </c>
      <c r="F114" s="15">
        <f>'سلاسل الإمداد'!L6</f>
        <v/>
      </c>
      <c r="G114" s="50">
        <f>'سلاسل الإمداد'!N6</f>
        <v/>
      </c>
      <c r="H114" s="15">
        <f>'سلاسل الإمداد'!O6</f>
        <v/>
      </c>
      <c r="I114" s="24">
        <f>'سلاسل الإمداد'!G6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الإمداد'!C7</f>
        <v/>
      </c>
      <c r="D115" s="15">
        <f>'سلاسل الإمداد'!J7</f>
        <v/>
      </c>
      <c r="E115" s="13">
        <f>'سلاسل الإمداد'!K7</f>
        <v/>
      </c>
      <c r="F115" s="15">
        <f>'سلاسل الإمداد'!L7</f>
        <v/>
      </c>
      <c r="G115" s="50">
        <f>'سلاسل الإمداد'!N7</f>
        <v/>
      </c>
      <c r="H115" s="15">
        <f>'سلاسل الإمداد'!O7</f>
        <v/>
      </c>
      <c r="I115" s="24">
        <f>'سلاسل الإمداد'!G7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الإمداد'!C8</f>
        <v/>
      </c>
      <c r="D116" s="15">
        <f>'سلاسل الإمداد'!J8</f>
        <v/>
      </c>
      <c r="E116" s="13">
        <f>'سلاسل الإمداد'!K8</f>
        <v/>
      </c>
      <c r="F116" s="15">
        <f>'سلاسل الإمداد'!L8</f>
        <v/>
      </c>
      <c r="G116" s="50">
        <f>'سلاسل الإمداد'!N8</f>
        <v/>
      </c>
      <c r="H116" s="15">
        <f>'سلاسل الإمداد'!O8</f>
        <v/>
      </c>
      <c r="I116" s="24">
        <f>'سلاسل الإمداد'!G8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الإمداد'!C9</f>
        <v/>
      </c>
      <c r="D117" s="15">
        <f>'سلاسل الإمداد'!J9</f>
        <v/>
      </c>
      <c r="E117" s="13">
        <f>'سلاسل الإمداد'!K9</f>
        <v/>
      </c>
      <c r="F117" s="15">
        <f>'سلاسل الإمداد'!L9</f>
        <v/>
      </c>
      <c r="G117" s="50">
        <f>'سلاسل الإمداد'!N9</f>
        <v/>
      </c>
      <c r="H117" s="15">
        <f>'سلاسل الإمداد'!O9</f>
        <v/>
      </c>
      <c r="I117" s="24">
        <f>'سلاسل الإمداد'!G9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الإمداد'!C10</f>
        <v/>
      </c>
      <c r="D118" s="15">
        <f>'سلاسل الإمداد'!J10</f>
        <v/>
      </c>
      <c r="E118" s="13">
        <f>'سلاسل الإمداد'!K10</f>
        <v/>
      </c>
      <c r="F118" s="15">
        <f>'سلاسل الإمداد'!L10</f>
        <v/>
      </c>
      <c r="G118" s="50">
        <f>'سلاسل الإمداد'!N10</f>
        <v/>
      </c>
      <c r="H118" s="15">
        <f>'سلاسل الإمداد'!O10</f>
        <v/>
      </c>
      <c r="I118" s="24">
        <f>'سلاسل الإمداد'!G10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الإمداد'!C11</f>
        <v/>
      </c>
      <c r="D119" s="15">
        <f>'سلاسل الإمداد'!J11</f>
        <v/>
      </c>
      <c r="E119" s="13">
        <f>'سلاسل الإمداد'!K11</f>
        <v/>
      </c>
      <c r="F119" s="15">
        <f>'سلاسل الإمداد'!L11</f>
        <v/>
      </c>
      <c r="G119" s="50">
        <f>'سلاسل الإمداد'!N11</f>
        <v/>
      </c>
      <c r="H119" s="15">
        <f>'سلاسل الإمداد'!O11</f>
        <v/>
      </c>
      <c r="I119" s="24">
        <f>'سلاسل الإمداد'!G11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الإمداد'!C12</f>
        <v/>
      </c>
      <c r="D120" s="15">
        <f>'سلاسل الإمداد'!J12</f>
        <v/>
      </c>
      <c r="E120" s="13">
        <f>'سلاسل الإمداد'!K12</f>
        <v/>
      </c>
      <c r="F120" s="15">
        <f>'سلاسل الإمداد'!L12</f>
        <v/>
      </c>
      <c r="G120" s="50">
        <f>'سلاسل الإمداد'!N12</f>
        <v/>
      </c>
      <c r="H120" s="15">
        <f>'سلاسل الإمداد'!O12</f>
        <v/>
      </c>
      <c r="I120" s="24">
        <f>'سلاسل الإمداد'!G12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الإمداد'!C13</f>
        <v/>
      </c>
      <c r="D121" s="15">
        <f>'سلاسل الإمداد'!J13</f>
        <v/>
      </c>
      <c r="E121" s="13">
        <f>'سلاسل الإمداد'!K13</f>
        <v/>
      </c>
      <c r="F121" s="15">
        <f>'سلاسل الإمداد'!L13</f>
        <v/>
      </c>
      <c r="G121" s="50">
        <f>'سلاسل الإمداد'!N13</f>
        <v/>
      </c>
      <c r="H121" s="15">
        <f>'سلاسل الإمداد'!O13</f>
        <v/>
      </c>
      <c r="I121" s="24">
        <f>'سلاسل الإمداد'!G13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الإمداد'!C14</f>
        <v/>
      </c>
      <c r="D122" s="15">
        <f>'سلاسل الإمداد'!J14</f>
        <v/>
      </c>
      <c r="E122" s="13">
        <f>'سلاسل الإمداد'!K14</f>
        <v/>
      </c>
      <c r="F122" s="15">
        <f>'سلاسل الإمداد'!L14</f>
        <v/>
      </c>
      <c r="G122" s="50">
        <f>'سلاسل الإمداد'!N14</f>
        <v/>
      </c>
      <c r="H122" s="15">
        <f>'سلاسل الإمداد'!O14</f>
        <v/>
      </c>
      <c r="I122" s="24">
        <f>'سلاسل الإمداد'!G14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الإمداد'!C15</f>
        <v/>
      </c>
      <c r="D123" s="15">
        <f>'سلاسل الإمداد'!J15</f>
        <v/>
      </c>
      <c r="E123" s="13">
        <f>'سلاسل الإمداد'!K15</f>
        <v/>
      </c>
      <c r="F123" s="15">
        <f>'سلاسل الإمداد'!L15</f>
        <v/>
      </c>
      <c r="G123" s="50">
        <f>'سلاسل الإمداد'!N15</f>
        <v/>
      </c>
      <c r="H123" s="15">
        <f>'سلاسل الإمداد'!O15</f>
        <v/>
      </c>
      <c r="I123" s="24">
        <f>'سلاسل الإمداد'!G15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والأتمتة'!C4</f>
        <v/>
      </c>
      <c r="D124" s="15">
        <f>'الصيانة والأتمتة'!J4</f>
        <v/>
      </c>
      <c r="E124" s="13">
        <f>'الصيانة والأتمتة'!K4</f>
        <v/>
      </c>
      <c r="F124" s="15">
        <f>'الصيانة والأتمتة'!L4</f>
        <v/>
      </c>
      <c r="G124" s="50">
        <f>'الصيانة والأتمتة'!N4</f>
        <v/>
      </c>
      <c r="H124" s="15">
        <f>'الصيانة والأتمتة'!O4</f>
        <v/>
      </c>
      <c r="I124" s="24">
        <f>'الصيانة والأتمتة'!G4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والأتمتة'!C5</f>
        <v/>
      </c>
      <c r="D125" s="15">
        <f>'الصيانة والأتمتة'!J5</f>
        <v/>
      </c>
      <c r="E125" s="13">
        <f>'الصيانة والأتمتة'!K5</f>
        <v/>
      </c>
      <c r="F125" s="15">
        <f>'الصيانة والأتمتة'!L5</f>
        <v/>
      </c>
      <c r="G125" s="50">
        <f>'الصيانة والأتمتة'!N5</f>
        <v/>
      </c>
      <c r="H125" s="15">
        <f>'الصيانة والأتمتة'!O5</f>
        <v/>
      </c>
      <c r="I125" s="24">
        <f>'الصيانة والأتمتة'!G5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والأتمتة'!C6</f>
        <v/>
      </c>
      <c r="D126" s="15">
        <f>'الصيانة والأتمتة'!J6</f>
        <v/>
      </c>
      <c r="E126" s="13">
        <f>'الصيانة والأتمتة'!K6</f>
        <v/>
      </c>
      <c r="F126" s="15">
        <f>'الصيانة والأتمتة'!L6</f>
        <v/>
      </c>
      <c r="G126" s="50">
        <f>'الصيانة والأتمتة'!N6</f>
        <v/>
      </c>
      <c r="H126" s="15">
        <f>'الصيانة والأتمتة'!O6</f>
        <v/>
      </c>
      <c r="I126" s="24">
        <f>'الصيانة والأتمتة'!G6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والأتمتة'!C7</f>
        <v/>
      </c>
      <c r="D127" s="15">
        <f>'الصيانة والأتمتة'!J7</f>
        <v/>
      </c>
      <c r="E127" s="13">
        <f>'الصيانة والأتمتة'!K7</f>
        <v/>
      </c>
      <c r="F127" s="15">
        <f>'الصيانة والأتمتة'!L7</f>
        <v/>
      </c>
      <c r="G127" s="50">
        <f>'الصيانة والأتمتة'!N7</f>
        <v/>
      </c>
      <c r="H127" s="15">
        <f>'الصيانة والأتمتة'!O7</f>
        <v/>
      </c>
      <c r="I127" s="24">
        <f>'الصيانة والأتمتة'!G7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والأتمتة'!C8</f>
        <v/>
      </c>
      <c r="D128" s="15">
        <f>'الصيانة والأتمتة'!J8</f>
        <v/>
      </c>
      <c r="E128" s="13">
        <f>'الصيانة والأتمتة'!K8</f>
        <v/>
      </c>
      <c r="F128" s="15">
        <f>'الصيانة والأتمتة'!L8</f>
        <v/>
      </c>
      <c r="G128" s="50">
        <f>'الصيانة والأتمتة'!N8</f>
        <v/>
      </c>
      <c r="H128" s="15">
        <f>'الصيانة والأتمتة'!O8</f>
        <v/>
      </c>
      <c r="I128" s="24">
        <f>'الصيانة والأتمتة'!G8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والأتمتة'!C9</f>
        <v/>
      </c>
      <c r="D129" s="15">
        <f>'الصيانة والأتمتة'!J9</f>
        <v/>
      </c>
      <c r="E129" s="13">
        <f>'الصيانة والأتمتة'!K9</f>
        <v/>
      </c>
      <c r="F129" s="15">
        <f>'الصيانة والأتمتة'!L9</f>
        <v/>
      </c>
      <c r="G129" s="50">
        <f>'الصيانة والأتمتة'!N9</f>
        <v/>
      </c>
      <c r="H129" s="15">
        <f>'الصيانة والأتمتة'!O9</f>
        <v/>
      </c>
      <c r="I129" s="24">
        <f>'الصيانة والأتمتة'!G9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والأتمتة'!C10</f>
        <v/>
      </c>
      <c r="D130" s="15">
        <f>'الصيانة والأتمتة'!J10</f>
        <v/>
      </c>
      <c r="E130" s="13">
        <f>'الصيانة والأتمتة'!K10</f>
        <v/>
      </c>
      <c r="F130" s="15">
        <f>'الصيانة والأتمتة'!L10</f>
        <v/>
      </c>
      <c r="G130" s="50">
        <f>'الصيانة والأتمتة'!N10</f>
        <v/>
      </c>
      <c r="H130" s="15">
        <f>'الصيانة والأتمتة'!O10</f>
        <v/>
      </c>
      <c r="I130" s="24">
        <f>'الصيانة والأتمتة'!G10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والأتمتة'!C11</f>
        <v/>
      </c>
      <c r="D131" s="15">
        <f>'الصيانة والأتمتة'!J11</f>
        <v/>
      </c>
      <c r="E131" s="13">
        <f>'الصيانة والأتمتة'!K11</f>
        <v/>
      </c>
      <c r="F131" s="15">
        <f>'الصيانة والأتمتة'!L11</f>
        <v/>
      </c>
      <c r="G131" s="50">
        <f>'الصيانة والأتمتة'!N11</f>
        <v/>
      </c>
      <c r="H131" s="15">
        <f>'الصيانة والأتمتة'!O11</f>
        <v/>
      </c>
      <c r="I131" s="24">
        <f>'الصيانة والأتمتة'!G11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الصيانة والأتمتة</t>
        </is>
      </c>
      <c r="C132" s="13">
        <f>'الصيانة والأتمتة'!C12</f>
        <v/>
      </c>
      <c r="D132" s="15">
        <f>'الصيانة والأتمتة'!J12</f>
        <v/>
      </c>
      <c r="E132" s="13">
        <f>'الصيانة والأتمتة'!K12</f>
        <v/>
      </c>
      <c r="F132" s="15">
        <f>'الصيانة والأتمتة'!L12</f>
        <v/>
      </c>
      <c r="G132" s="50">
        <f>'الصيانة والأتمتة'!N12</f>
        <v/>
      </c>
      <c r="H132" s="15">
        <f>'الصيانة والأتمتة'!O12</f>
        <v/>
      </c>
      <c r="I132" s="24">
        <f>'الصيانة والأتمتة'!G12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الصيانة والأتمتة</t>
        </is>
      </c>
      <c r="C133" s="13">
        <f>'الصيانة والأتمتة'!C13</f>
        <v/>
      </c>
      <c r="D133" s="15">
        <f>'الصيانة والأتمتة'!J13</f>
        <v/>
      </c>
      <c r="E133" s="13">
        <f>'الصيانة والأتمتة'!K13</f>
        <v/>
      </c>
      <c r="F133" s="15">
        <f>'الصيانة والأتمتة'!L13</f>
        <v/>
      </c>
      <c r="G133" s="50">
        <f>'الصيانة والأتمتة'!N13</f>
        <v/>
      </c>
      <c r="H133" s="15">
        <f>'الصيانة والأتمتة'!O13</f>
        <v/>
      </c>
      <c r="I133" s="24">
        <f>'الصيانة والأتمتة'!G13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الرقمية'!C4</f>
        <v/>
      </c>
      <c r="D134" s="15">
        <f>'التقنية الرقمية'!J4</f>
        <v/>
      </c>
      <c r="E134" s="13">
        <f>'التقنية الرقمية'!K4</f>
        <v/>
      </c>
      <c r="F134" s="15">
        <f>'التقنية الرقمية'!L4</f>
        <v/>
      </c>
      <c r="G134" s="50">
        <f>'التقنية الرقمية'!N4</f>
        <v/>
      </c>
      <c r="H134" s="15">
        <f>'التقنية الرقمية'!O4</f>
        <v/>
      </c>
      <c r="I134" s="24">
        <f>'التقنية الرقمية'!G4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الرقمية'!C5</f>
        <v/>
      </c>
      <c r="D135" s="15">
        <f>'التقنية الرقمية'!J5</f>
        <v/>
      </c>
      <c r="E135" s="13">
        <f>'التقنية الرقمية'!K5</f>
        <v/>
      </c>
      <c r="F135" s="15">
        <f>'التقنية الرقمية'!L5</f>
        <v/>
      </c>
      <c r="G135" s="50">
        <f>'التقنية الرقمية'!N5</f>
        <v/>
      </c>
      <c r="H135" s="15">
        <f>'التقنية الرقمية'!O5</f>
        <v/>
      </c>
      <c r="I135" s="24">
        <f>'التقنية الرقمية'!G5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الرقمية'!C6</f>
        <v/>
      </c>
      <c r="D136" s="15">
        <f>'التقنية الرقمية'!J6</f>
        <v/>
      </c>
      <c r="E136" s="13">
        <f>'التقنية الرقمية'!K6</f>
        <v/>
      </c>
      <c r="F136" s="15">
        <f>'التقنية الرقمية'!L6</f>
        <v/>
      </c>
      <c r="G136" s="50">
        <f>'التقنية الرقمية'!N6</f>
        <v/>
      </c>
      <c r="H136" s="15">
        <f>'التقنية الرقمية'!O6</f>
        <v/>
      </c>
      <c r="I136" s="24">
        <f>'التقنية الرقمية'!G6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الرقمية'!C7</f>
        <v/>
      </c>
      <c r="D137" s="15">
        <f>'التقنية الرقمية'!J7</f>
        <v/>
      </c>
      <c r="E137" s="13">
        <f>'التقنية الرقمية'!K7</f>
        <v/>
      </c>
      <c r="F137" s="15">
        <f>'التقنية الرقمية'!L7</f>
        <v/>
      </c>
      <c r="G137" s="50">
        <f>'التقنية الرقمية'!N7</f>
        <v/>
      </c>
      <c r="H137" s="15">
        <f>'التقنية الرقمية'!O7</f>
        <v/>
      </c>
      <c r="I137" s="24">
        <f>'التقنية الرقمية'!G7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الرقمية'!C8</f>
        <v/>
      </c>
      <c r="D138" s="15">
        <f>'التقنية الرقمية'!J8</f>
        <v/>
      </c>
      <c r="E138" s="13">
        <f>'التقنية الرقمية'!K8</f>
        <v/>
      </c>
      <c r="F138" s="15">
        <f>'التقنية الرقمية'!L8</f>
        <v/>
      </c>
      <c r="G138" s="50">
        <f>'التقنية الرقمية'!N8</f>
        <v/>
      </c>
      <c r="H138" s="15">
        <f>'التقنية الرقمية'!O8</f>
        <v/>
      </c>
      <c r="I138" s="24">
        <f>'التقنية الرقمية'!G8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الرقمية'!C9</f>
        <v/>
      </c>
      <c r="D139" s="15">
        <f>'التقنية الرقمية'!J9</f>
        <v/>
      </c>
      <c r="E139" s="13">
        <f>'التقنية الرقمية'!K9</f>
        <v/>
      </c>
      <c r="F139" s="15">
        <f>'التقنية الرقمية'!L9</f>
        <v/>
      </c>
      <c r="G139" s="50">
        <f>'التقنية الرقمية'!N9</f>
        <v/>
      </c>
      <c r="H139" s="15">
        <f>'التقنية الرقمية'!O9</f>
        <v/>
      </c>
      <c r="I139" s="24">
        <f>'التقنية الرقمية'!G9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الرقمية'!C10</f>
        <v/>
      </c>
      <c r="D140" s="15">
        <f>'التقنية الرقمية'!J10</f>
        <v/>
      </c>
      <c r="E140" s="13">
        <f>'التقنية الرقمية'!K10</f>
        <v/>
      </c>
      <c r="F140" s="15">
        <f>'التقنية الرقمية'!L10</f>
        <v/>
      </c>
      <c r="G140" s="50">
        <f>'التقنية الرقمية'!N10</f>
        <v/>
      </c>
      <c r="H140" s="15">
        <f>'التقنية الرقمية'!O10</f>
        <v/>
      </c>
      <c r="I140" s="24">
        <f>'التقنية الرقمية'!G10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الرقمية'!C11</f>
        <v/>
      </c>
      <c r="D141" s="15">
        <f>'التقنية الرقمية'!J11</f>
        <v/>
      </c>
      <c r="E141" s="13">
        <f>'التقنية الرقمية'!K11</f>
        <v/>
      </c>
      <c r="F141" s="15">
        <f>'التقنية الرقمية'!L11</f>
        <v/>
      </c>
      <c r="G141" s="50">
        <f>'التقنية الرقمية'!N11</f>
        <v/>
      </c>
      <c r="H141" s="15">
        <f>'التقنية الرقمية'!O11</f>
        <v/>
      </c>
      <c r="I141" s="24">
        <f>'التقنية الرقمية'!G11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الرقمية'!C12</f>
        <v/>
      </c>
      <c r="D142" s="15">
        <f>'التقنية الرقمية'!J12</f>
        <v/>
      </c>
      <c r="E142" s="13">
        <f>'التقنية الرقمية'!K12</f>
        <v/>
      </c>
      <c r="F142" s="15">
        <f>'التقنية الرقمية'!L12</f>
        <v/>
      </c>
      <c r="G142" s="50">
        <f>'التقنية الرقمية'!N12</f>
        <v/>
      </c>
      <c r="H142" s="15">
        <f>'التقنية الرقمية'!O12</f>
        <v/>
      </c>
      <c r="I142" s="24">
        <f>'التقنية الرقمية'!G12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التقنية الرقمية</t>
        </is>
      </c>
      <c r="C143" s="13">
        <f>'التقنية الرقمية'!C13</f>
        <v/>
      </c>
      <c r="D143" s="15">
        <f>'التقنية الرقمية'!J13</f>
        <v/>
      </c>
      <c r="E143" s="13">
        <f>'التقنية الرقمية'!K13</f>
        <v/>
      </c>
      <c r="F143" s="15">
        <f>'التقنية الرقمية'!L13</f>
        <v/>
      </c>
      <c r="G143" s="50">
        <f>'التقنية الرقمية'!N13</f>
        <v/>
      </c>
      <c r="H143" s="15">
        <f>'التقنية الرقمية'!O13</f>
        <v/>
      </c>
      <c r="I143" s="24">
        <f>'التقنية الرقمية'!G13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التقنية الرقمية</t>
        </is>
      </c>
      <c r="C144" s="13">
        <f>'التقنية الرقمية'!C14</f>
        <v/>
      </c>
      <c r="D144" s="15">
        <f>'التقنية الرقمية'!J14</f>
        <v/>
      </c>
      <c r="E144" s="13">
        <f>'التقنية الرقمية'!K14</f>
        <v/>
      </c>
      <c r="F144" s="15">
        <f>'التقنية الرقمية'!L14</f>
        <v/>
      </c>
      <c r="G144" s="50">
        <f>'التقنية الرقمية'!N14</f>
        <v/>
      </c>
      <c r="H144" s="15">
        <f>'التقنية الرقمية'!O14</f>
        <v/>
      </c>
      <c r="I144" s="24">
        <f>'التقنية الرقمية'!G14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التقنية الرقمية</t>
        </is>
      </c>
      <c r="C145" s="13">
        <f>'التقنية الرقمية'!C15</f>
        <v/>
      </c>
      <c r="D145" s="15">
        <f>'التقنية الرقمية'!J15</f>
        <v/>
      </c>
      <c r="E145" s="13">
        <f>'التقنية الرقمية'!K15</f>
        <v/>
      </c>
      <c r="F145" s="15">
        <f>'التقنية الرقمية'!L15</f>
        <v/>
      </c>
      <c r="G145" s="50">
        <f>'التقنية الرقمية'!N15</f>
        <v/>
      </c>
      <c r="H145" s="15">
        <f>'التقنية الرقمية'!O15</f>
        <v/>
      </c>
      <c r="I145" s="24">
        <f>'التقنية الرقمية'!G15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البشرية'!C4</f>
        <v/>
      </c>
      <c r="D146" s="15">
        <f>'الموارد البشرية'!J4</f>
        <v/>
      </c>
      <c r="E146" s="13">
        <f>'الموارد البشرية'!K4</f>
        <v/>
      </c>
      <c r="F146" s="15">
        <f>'الموارد البشرية'!L4</f>
        <v/>
      </c>
      <c r="G146" s="50">
        <f>'الموارد البشرية'!N4</f>
        <v/>
      </c>
      <c r="H146" s="15">
        <f>'الموارد البشرية'!O4</f>
        <v/>
      </c>
      <c r="I146" s="24">
        <f>'الموارد البشرية'!G4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البشرية'!C5</f>
        <v/>
      </c>
      <c r="D147" s="15">
        <f>'الموارد البشرية'!J5</f>
        <v/>
      </c>
      <c r="E147" s="13">
        <f>'الموارد البشرية'!K5</f>
        <v/>
      </c>
      <c r="F147" s="15">
        <f>'الموارد البشرية'!L5</f>
        <v/>
      </c>
      <c r="G147" s="50">
        <f>'الموارد البشرية'!N5</f>
        <v/>
      </c>
      <c r="H147" s="15">
        <f>'الموارد البشرية'!O5</f>
        <v/>
      </c>
      <c r="I147" s="24">
        <f>'الموارد البشرية'!G5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البشرية'!C6</f>
        <v/>
      </c>
      <c r="D148" s="15">
        <f>'الموارد البشرية'!J6</f>
        <v/>
      </c>
      <c r="E148" s="13">
        <f>'الموارد البشرية'!K6</f>
        <v/>
      </c>
      <c r="F148" s="15">
        <f>'الموارد البشرية'!L6</f>
        <v/>
      </c>
      <c r="G148" s="50">
        <f>'الموارد البشرية'!N6</f>
        <v/>
      </c>
      <c r="H148" s="15">
        <f>'الموارد البشرية'!O6</f>
        <v/>
      </c>
      <c r="I148" s="24">
        <f>'الموارد البشرية'!G6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البشرية'!C7</f>
        <v/>
      </c>
      <c r="D149" s="15">
        <f>'الموارد البشرية'!J7</f>
        <v/>
      </c>
      <c r="E149" s="13">
        <f>'الموارد البشرية'!K7</f>
        <v/>
      </c>
      <c r="F149" s="15">
        <f>'الموارد البشرية'!L7</f>
        <v/>
      </c>
      <c r="G149" s="50">
        <f>'الموارد البشرية'!N7</f>
        <v/>
      </c>
      <c r="H149" s="15">
        <f>'الموارد البشرية'!O7</f>
        <v/>
      </c>
      <c r="I149" s="24">
        <f>'الموارد البشرية'!G7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البشرية'!C8</f>
        <v/>
      </c>
      <c r="D150" s="15">
        <f>'الموارد البشرية'!J8</f>
        <v/>
      </c>
      <c r="E150" s="13">
        <f>'الموارد البشرية'!K8</f>
        <v/>
      </c>
      <c r="F150" s="15">
        <f>'الموارد البشرية'!L8</f>
        <v/>
      </c>
      <c r="G150" s="50">
        <f>'الموارد البشرية'!N8</f>
        <v/>
      </c>
      <c r="H150" s="15">
        <f>'الموارد البشرية'!O8</f>
        <v/>
      </c>
      <c r="I150" s="24">
        <f>'الموارد البشرية'!G8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البشرية'!C9</f>
        <v/>
      </c>
      <c r="D151" s="15">
        <f>'الموارد البشرية'!J9</f>
        <v/>
      </c>
      <c r="E151" s="13">
        <f>'الموارد البشرية'!K9</f>
        <v/>
      </c>
      <c r="F151" s="15">
        <f>'الموارد البشرية'!L9</f>
        <v/>
      </c>
      <c r="G151" s="50">
        <f>'الموارد البشرية'!N9</f>
        <v/>
      </c>
      <c r="H151" s="15">
        <f>'الموارد البشرية'!O9</f>
        <v/>
      </c>
      <c r="I151" s="24">
        <f>'الموارد البشرية'!G9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البشرية'!C10</f>
        <v/>
      </c>
      <c r="D152" s="15">
        <f>'الموارد البشرية'!J10</f>
        <v/>
      </c>
      <c r="E152" s="13">
        <f>'الموارد البشرية'!K10</f>
        <v/>
      </c>
      <c r="F152" s="15">
        <f>'الموارد البشرية'!L10</f>
        <v/>
      </c>
      <c r="G152" s="50">
        <f>'الموارد البشرية'!N10</f>
        <v/>
      </c>
      <c r="H152" s="15">
        <f>'الموارد البشرية'!O10</f>
        <v/>
      </c>
      <c r="I152" s="24">
        <f>'الموارد البشرية'!G10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البشرية'!C11</f>
        <v/>
      </c>
      <c r="D153" s="15">
        <f>'الموارد البشرية'!J11</f>
        <v/>
      </c>
      <c r="E153" s="13">
        <f>'الموارد البشرية'!K11</f>
        <v/>
      </c>
      <c r="F153" s="15">
        <f>'الموارد البشرية'!L11</f>
        <v/>
      </c>
      <c r="G153" s="50">
        <f>'الموارد البشرية'!N11</f>
        <v/>
      </c>
      <c r="H153" s="15">
        <f>'الموارد البشرية'!O11</f>
        <v/>
      </c>
      <c r="I153" s="24">
        <f>'الموارد البشرية'!G11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البشرية'!C12</f>
        <v/>
      </c>
      <c r="D154" s="15">
        <f>'الموارد البشرية'!J12</f>
        <v/>
      </c>
      <c r="E154" s="13">
        <f>'الموارد البشرية'!K12</f>
        <v/>
      </c>
      <c r="F154" s="15">
        <f>'الموارد البشرية'!L12</f>
        <v/>
      </c>
      <c r="G154" s="50">
        <f>'الموارد البشرية'!N12</f>
        <v/>
      </c>
      <c r="H154" s="15">
        <f>'الموارد البشرية'!O12</f>
        <v/>
      </c>
      <c r="I154" s="24">
        <f>'الموارد البشرية'!G12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البشرية'!C13</f>
        <v/>
      </c>
      <c r="D155" s="15">
        <f>'الموارد البشرية'!J13</f>
        <v/>
      </c>
      <c r="E155" s="13">
        <f>'الموارد البشرية'!K13</f>
        <v/>
      </c>
      <c r="F155" s="15">
        <f>'الموارد البشرية'!L13</f>
        <v/>
      </c>
      <c r="G155" s="50">
        <f>'الموارد البشرية'!N13</f>
        <v/>
      </c>
      <c r="H155" s="15">
        <f>'الموارد البشرية'!O13</f>
        <v/>
      </c>
      <c r="I155" s="24">
        <f>'الموارد البشرية'!G13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البشرية'!C14</f>
        <v/>
      </c>
      <c r="D156" s="15">
        <f>'الموارد البشرية'!J14</f>
        <v/>
      </c>
      <c r="E156" s="13">
        <f>'الموارد البشرية'!K14</f>
        <v/>
      </c>
      <c r="F156" s="15">
        <f>'الموارد البشرية'!L14</f>
        <v/>
      </c>
      <c r="G156" s="50">
        <f>'الموارد البشرية'!N14</f>
        <v/>
      </c>
      <c r="H156" s="15">
        <f>'الموارد البشرية'!O14</f>
        <v/>
      </c>
      <c r="I156" s="24">
        <f>'الموارد البشرية'!G14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البشرية'!C15</f>
        <v/>
      </c>
      <c r="D157" s="15">
        <f>'الموارد البشرية'!J15</f>
        <v/>
      </c>
      <c r="E157" s="13">
        <f>'الموارد البشرية'!K15</f>
        <v/>
      </c>
      <c r="F157" s="15">
        <f>'الموارد البشرية'!L15</f>
        <v/>
      </c>
      <c r="G157" s="50">
        <f>'الموارد البشرية'!N15</f>
        <v/>
      </c>
      <c r="H157" s="15">
        <f>'الموارد البشرية'!O15</f>
        <v/>
      </c>
      <c r="I157" s="24">
        <f>'الموارد البشرية'!G15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'التسويق'!C4</f>
        <v/>
      </c>
      <c r="D158" s="15">
        <f>'التسويق'!J4</f>
        <v/>
      </c>
      <c r="E158" s="13">
        <f>'التسويق'!K4</f>
        <v/>
      </c>
      <c r="F158" s="15">
        <f>'التسويق'!L4</f>
        <v/>
      </c>
      <c r="G158" s="50">
        <f>'التسويق'!N4</f>
        <v/>
      </c>
      <c r="H158" s="15">
        <f>'التسويق'!O4</f>
        <v/>
      </c>
      <c r="I158" s="24">
        <f>'التسويق'!G4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'التسويق'!C5</f>
        <v/>
      </c>
      <c r="D159" s="15">
        <f>'التسويق'!J5</f>
        <v/>
      </c>
      <c r="E159" s="13">
        <f>'التسويق'!K5</f>
        <v/>
      </c>
      <c r="F159" s="15">
        <f>'التسويق'!L5</f>
        <v/>
      </c>
      <c r="G159" s="50">
        <f>'التسويق'!N5</f>
        <v/>
      </c>
      <c r="H159" s="15">
        <f>'التسويق'!O5</f>
        <v/>
      </c>
      <c r="I159" s="24">
        <f>'التسويق'!G5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'التسويق'!C6</f>
        <v/>
      </c>
      <c r="D160" s="15">
        <f>'التسويق'!J6</f>
        <v/>
      </c>
      <c r="E160" s="13">
        <f>'التسويق'!K6</f>
        <v/>
      </c>
      <c r="F160" s="15">
        <f>'التسويق'!L6</f>
        <v/>
      </c>
      <c r="G160" s="50">
        <f>'التسويق'!N6</f>
        <v/>
      </c>
      <c r="H160" s="15">
        <f>'التسويق'!O6</f>
        <v/>
      </c>
      <c r="I160" s="24">
        <f>'التسويق'!G6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'التسويق'!C7</f>
        <v/>
      </c>
      <c r="D161" s="15">
        <f>'التسويق'!J7</f>
        <v/>
      </c>
      <c r="E161" s="13">
        <f>'التسويق'!K7</f>
        <v/>
      </c>
      <c r="F161" s="15">
        <f>'التسويق'!L7</f>
        <v/>
      </c>
      <c r="G161" s="50">
        <f>'التسويق'!N7</f>
        <v/>
      </c>
      <c r="H161" s="15">
        <f>'التسويق'!O7</f>
        <v/>
      </c>
      <c r="I161" s="24">
        <f>'التسويق'!G7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'التسويق'!C8</f>
        <v/>
      </c>
      <c r="D162" s="15">
        <f>'التسويق'!J8</f>
        <v/>
      </c>
      <c r="E162" s="13">
        <f>'التسويق'!K8</f>
        <v/>
      </c>
      <c r="F162" s="15">
        <f>'التسويق'!L8</f>
        <v/>
      </c>
      <c r="G162" s="50">
        <f>'التسويق'!N8</f>
        <v/>
      </c>
      <c r="H162" s="15">
        <f>'التسويق'!O8</f>
        <v/>
      </c>
      <c r="I162" s="24">
        <f>'التسويق'!G8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'التسويق'!C9</f>
        <v/>
      </c>
      <c r="D163" s="15">
        <f>'التسويق'!J9</f>
        <v/>
      </c>
      <c r="E163" s="13">
        <f>'التسويق'!K9</f>
        <v/>
      </c>
      <c r="F163" s="15">
        <f>'التسويق'!L9</f>
        <v/>
      </c>
      <c r="G163" s="50">
        <f>'التسويق'!N9</f>
        <v/>
      </c>
      <c r="H163" s="15">
        <f>'التسويق'!O9</f>
        <v/>
      </c>
      <c r="I163" s="24">
        <f>'التسويق'!G9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'التسويق'!C10</f>
        <v/>
      </c>
      <c r="D164" s="15">
        <f>'التسويق'!J10</f>
        <v/>
      </c>
      <c r="E164" s="13">
        <f>'التسويق'!K10</f>
        <v/>
      </c>
      <c r="F164" s="15">
        <f>'التسويق'!L10</f>
        <v/>
      </c>
      <c r="G164" s="50">
        <f>'التسويق'!N10</f>
        <v/>
      </c>
      <c r="H164" s="15">
        <f>'التسويق'!O10</f>
        <v/>
      </c>
      <c r="I164" s="24">
        <f>'التسويق'!G10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'التسويق'!C11</f>
        <v/>
      </c>
      <c r="D165" s="15">
        <f>'التسويق'!J11</f>
        <v/>
      </c>
      <c r="E165" s="13">
        <f>'التسويق'!K11</f>
        <v/>
      </c>
      <c r="F165" s="15">
        <f>'التسويق'!L11</f>
        <v/>
      </c>
      <c r="G165" s="50">
        <f>'التسويق'!N11</f>
        <v/>
      </c>
      <c r="H165" s="15">
        <f>'التسويق'!O11</f>
        <v/>
      </c>
      <c r="I165" s="24">
        <f>'التسويق'!G11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'التسويق'!C12</f>
        <v/>
      </c>
      <c r="D166" s="15">
        <f>'التسويق'!J12</f>
        <v/>
      </c>
      <c r="E166" s="13">
        <f>'التسويق'!K12</f>
        <v/>
      </c>
      <c r="F166" s="15">
        <f>'التسويق'!L12</f>
        <v/>
      </c>
      <c r="G166" s="50">
        <f>'التسويق'!N12</f>
        <v/>
      </c>
      <c r="H166" s="15">
        <f>'التسويق'!O12</f>
        <v/>
      </c>
      <c r="I166" s="24">
        <f>'التسويق'!G12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'التسويق'!C13</f>
        <v/>
      </c>
      <c r="D167" s="15">
        <f>'التسويق'!J13</f>
        <v/>
      </c>
      <c r="E167" s="13">
        <f>'التسويق'!K13</f>
        <v/>
      </c>
      <c r="F167" s="15">
        <f>'التسويق'!L13</f>
        <v/>
      </c>
      <c r="G167" s="50">
        <f>'التسويق'!N13</f>
        <v/>
      </c>
      <c r="H167" s="15">
        <f>'التسويق'!O13</f>
        <v/>
      </c>
      <c r="I167" s="24">
        <f>'التسويق'!G13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'التسويق'!C14</f>
        <v/>
      </c>
      <c r="D168" s="15">
        <f>'التسويق'!J14</f>
        <v/>
      </c>
      <c r="E168" s="13">
        <f>'التسويق'!K14</f>
        <v/>
      </c>
      <c r="F168" s="15">
        <f>'التسويق'!L14</f>
        <v/>
      </c>
      <c r="G168" s="50">
        <f>'التسويق'!N14</f>
        <v/>
      </c>
      <c r="H168" s="15">
        <f>'التسويق'!O14</f>
        <v/>
      </c>
      <c r="I168" s="24">
        <f>'التسويق'!G14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'التسويق'!C15</f>
        <v/>
      </c>
      <c r="D169" s="15">
        <f>'التسويق'!J15</f>
        <v/>
      </c>
      <c r="E169" s="13">
        <f>'التسويق'!K15</f>
        <v/>
      </c>
      <c r="F169" s="15">
        <f>'التسويق'!L15</f>
        <v/>
      </c>
      <c r="G169" s="50">
        <f>'التسويق'!N15</f>
        <v/>
      </c>
      <c r="H169" s="15">
        <f>'التسويق'!O15</f>
        <v/>
      </c>
      <c r="I169" s="24">
        <f>'التسويق'!G15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'التسويق'!C16</f>
        <v/>
      </c>
      <c r="D170" s="15">
        <f>'التسويق'!J16</f>
        <v/>
      </c>
      <c r="E170" s="13">
        <f>'التسويق'!K16</f>
        <v/>
      </c>
      <c r="F170" s="15">
        <f>'التسويق'!L16</f>
        <v/>
      </c>
      <c r="G170" s="50">
        <f>'التسويق'!N16</f>
        <v/>
      </c>
      <c r="H170" s="15">
        <f>'التسويق'!O16</f>
        <v/>
      </c>
      <c r="I170" s="24">
        <f>'التسويق'!G16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'التسويق'!C17</f>
        <v/>
      </c>
      <c r="D171" s="15">
        <f>'التسويق'!J17</f>
        <v/>
      </c>
      <c r="E171" s="13">
        <f>'التسويق'!K17</f>
        <v/>
      </c>
      <c r="F171" s="15">
        <f>'التسويق'!L17</f>
        <v/>
      </c>
      <c r="G171" s="50">
        <f>'التسويق'!N17</f>
        <v/>
      </c>
      <c r="H171" s="15">
        <f>'التسويق'!O17</f>
        <v/>
      </c>
      <c r="I171" s="24">
        <f>'التسويق'!G17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'التسويق'!C18</f>
        <v/>
      </c>
      <c r="D172" s="15">
        <f>'التسويق'!J18</f>
        <v/>
      </c>
      <c r="E172" s="13">
        <f>'التسويق'!K18</f>
        <v/>
      </c>
      <c r="F172" s="15">
        <f>'التسويق'!L18</f>
        <v/>
      </c>
      <c r="G172" s="50">
        <f>'التسويق'!N18</f>
        <v/>
      </c>
      <c r="H172" s="15">
        <f>'التسويق'!O18</f>
        <v/>
      </c>
      <c r="I172" s="24">
        <f>'التسويق'!G18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'الجودة'!C4</f>
        <v/>
      </c>
      <c r="D173" s="15">
        <f>'الجودة'!J4</f>
        <v/>
      </c>
      <c r="E173" s="13">
        <f>'الجودة'!K4</f>
        <v/>
      </c>
      <c r="F173" s="15">
        <f>'الجودة'!L4</f>
        <v/>
      </c>
      <c r="G173" s="50">
        <f>'الجودة'!N4</f>
        <v/>
      </c>
      <c r="H173" s="15">
        <f>'الجودة'!O4</f>
        <v/>
      </c>
      <c r="I173" s="24">
        <f>'الجودة'!G4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'الجودة'!C5</f>
        <v/>
      </c>
      <c r="D174" s="15">
        <f>'الجودة'!J5</f>
        <v/>
      </c>
      <c r="E174" s="13">
        <f>'الجودة'!K5</f>
        <v/>
      </c>
      <c r="F174" s="15">
        <f>'الجودة'!L5</f>
        <v/>
      </c>
      <c r="G174" s="50">
        <f>'الجودة'!N5</f>
        <v/>
      </c>
      <c r="H174" s="15">
        <f>'الجودة'!O5</f>
        <v/>
      </c>
      <c r="I174" s="24">
        <f>'الجودة'!G5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'الجودة'!C6</f>
        <v/>
      </c>
      <c r="D175" s="15">
        <f>'الجودة'!J6</f>
        <v/>
      </c>
      <c r="E175" s="13">
        <f>'الجودة'!K6</f>
        <v/>
      </c>
      <c r="F175" s="15">
        <f>'الجودة'!L6</f>
        <v/>
      </c>
      <c r="G175" s="50">
        <f>'الجودة'!N6</f>
        <v/>
      </c>
      <c r="H175" s="15">
        <f>'الجودة'!O6</f>
        <v/>
      </c>
      <c r="I175" s="24">
        <f>'الجودة'!G6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'الجودة'!C7</f>
        <v/>
      </c>
      <c r="D176" s="15">
        <f>'الجودة'!J7</f>
        <v/>
      </c>
      <c r="E176" s="13">
        <f>'الجودة'!K7</f>
        <v/>
      </c>
      <c r="F176" s="15">
        <f>'الجودة'!L7</f>
        <v/>
      </c>
      <c r="G176" s="50">
        <f>'الجودة'!N7</f>
        <v/>
      </c>
      <c r="H176" s="15">
        <f>'الجودة'!O7</f>
        <v/>
      </c>
      <c r="I176" s="24">
        <f>'الجودة'!G7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'الجودة'!C8</f>
        <v/>
      </c>
      <c r="D177" s="15">
        <f>'الجودة'!J8</f>
        <v/>
      </c>
      <c r="E177" s="13">
        <f>'الجودة'!K8</f>
        <v/>
      </c>
      <c r="F177" s="15">
        <f>'الجودة'!L8</f>
        <v/>
      </c>
      <c r="G177" s="50">
        <f>'الجودة'!N8</f>
        <v/>
      </c>
      <c r="H177" s="15">
        <f>'الجودة'!O8</f>
        <v/>
      </c>
      <c r="I177" s="24">
        <f>'الجودة'!G8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'الجودة'!C9</f>
        <v/>
      </c>
      <c r="D178" s="15">
        <f>'الجودة'!J9</f>
        <v/>
      </c>
      <c r="E178" s="13">
        <f>'الجودة'!K9</f>
        <v/>
      </c>
      <c r="F178" s="15">
        <f>'الجودة'!L9</f>
        <v/>
      </c>
      <c r="G178" s="50">
        <f>'الجودة'!N9</f>
        <v/>
      </c>
      <c r="H178" s="15">
        <f>'الجودة'!O9</f>
        <v/>
      </c>
      <c r="I178" s="24">
        <f>'الجودة'!G9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'الجودة'!C10</f>
        <v/>
      </c>
      <c r="D179" s="15">
        <f>'الجودة'!J10</f>
        <v/>
      </c>
      <c r="E179" s="13">
        <f>'الجودة'!K10</f>
        <v/>
      </c>
      <c r="F179" s="15">
        <f>'الجودة'!L10</f>
        <v/>
      </c>
      <c r="G179" s="50">
        <f>'الجودة'!N10</f>
        <v/>
      </c>
      <c r="H179" s="15">
        <f>'الجودة'!O10</f>
        <v/>
      </c>
      <c r="I179" s="24">
        <f>'الجودة'!G10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'الجودة'!C11</f>
        <v/>
      </c>
      <c r="D180" s="15">
        <f>'الجودة'!J11</f>
        <v/>
      </c>
      <c r="E180" s="13">
        <f>'الجودة'!K11</f>
        <v/>
      </c>
      <c r="F180" s="15">
        <f>'الجودة'!L11</f>
        <v/>
      </c>
      <c r="G180" s="50">
        <f>'الجودة'!N11</f>
        <v/>
      </c>
      <c r="H180" s="15">
        <f>'الجودة'!O11</f>
        <v/>
      </c>
      <c r="I180" s="24">
        <f>'الجودة'!G11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'الجودة'!C12</f>
        <v/>
      </c>
      <c r="D181" s="15">
        <f>'الجودة'!J12</f>
        <v/>
      </c>
      <c r="E181" s="13">
        <f>'الجودة'!K12</f>
        <v/>
      </c>
      <c r="F181" s="15">
        <f>'الجودة'!L12</f>
        <v/>
      </c>
      <c r="G181" s="50">
        <f>'الجودة'!N12</f>
        <v/>
      </c>
      <c r="H181" s="15">
        <f>'الجودة'!O12</f>
        <v/>
      </c>
      <c r="I181" s="24">
        <f>'الجودة'!G12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'الجودة'!C13</f>
        <v/>
      </c>
      <c r="D182" s="15">
        <f>'الجودة'!J13</f>
        <v/>
      </c>
      <c r="E182" s="13">
        <f>'الجودة'!K13</f>
        <v/>
      </c>
      <c r="F182" s="15">
        <f>'الجودة'!L13</f>
        <v/>
      </c>
      <c r="G182" s="50">
        <f>'الجودة'!N13</f>
        <v/>
      </c>
      <c r="H182" s="15">
        <f>'الجودة'!O13</f>
        <v/>
      </c>
      <c r="I182" s="24">
        <f>'الجودة'!G13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'الجودة'!C14</f>
        <v/>
      </c>
      <c r="D183" s="15">
        <f>'الجودة'!J14</f>
        <v/>
      </c>
      <c r="E183" s="13">
        <f>'الجودة'!K14</f>
        <v/>
      </c>
      <c r="F183" s="15">
        <f>'الجودة'!L14</f>
        <v/>
      </c>
      <c r="G183" s="50">
        <f>'الجودة'!N14</f>
        <v/>
      </c>
      <c r="H183" s="15">
        <f>'الجودة'!O14</f>
        <v/>
      </c>
      <c r="I183" s="24">
        <f>'الجودة'!G14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'الجودة'!C15</f>
        <v/>
      </c>
      <c r="D184" s="15">
        <f>'الجودة'!J15</f>
        <v/>
      </c>
      <c r="E184" s="13">
        <f>'الجودة'!K15</f>
        <v/>
      </c>
      <c r="F184" s="15">
        <f>'الجودة'!L15</f>
        <v/>
      </c>
      <c r="G184" s="50">
        <f>'الجودة'!N15</f>
        <v/>
      </c>
      <c r="H184" s="15">
        <f>'الجودة'!O15</f>
        <v/>
      </c>
      <c r="I184" s="24">
        <f>'الجودة'!G15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'الجودة'!C16</f>
        <v/>
      </c>
      <c r="D185" s="15">
        <f>'الجودة'!J16</f>
        <v/>
      </c>
      <c r="E185" s="13">
        <f>'الجودة'!K16</f>
        <v/>
      </c>
      <c r="F185" s="15">
        <f>'الجودة'!L16</f>
        <v/>
      </c>
      <c r="G185" s="50">
        <f>'الجودة'!N16</f>
        <v/>
      </c>
      <c r="H185" s="15">
        <f>'الجودة'!O16</f>
        <v/>
      </c>
      <c r="I185" s="24">
        <f>'الجودة'!G16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'الجودة'!C17</f>
        <v/>
      </c>
      <c r="D186" s="15">
        <f>'الجودة'!J17</f>
        <v/>
      </c>
      <c r="E186" s="13">
        <f>'الجودة'!K17</f>
        <v/>
      </c>
      <c r="F186" s="15">
        <f>'الجودة'!L17</f>
        <v/>
      </c>
      <c r="G186" s="50">
        <f>'الجودة'!N17</f>
        <v/>
      </c>
      <c r="H186" s="15">
        <f>'الجودة'!O17</f>
        <v/>
      </c>
      <c r="I186" s="24">
        <f>'الجودة'!G17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القانونية'!C4</f>
        <v/>
      </c>
      <c r="D187" s="15">
        <f>'الإدارة القانونية'!J4</f>
        <v/>
      </c>
      <c r="E187" s="13">
        <f>'الإدارة القانونية'!K4</f>
        <v/>
      </c>
      <c r="F187" s="15">
        <f>'الإدارة القانونية'!L4</f>
        <v/>
      </c>
      <c r="G187" s="50">
        <f>'الإدارة القانونية'!N4</f>
        <v/>
      </c>
      <c r="H187" s="15">
        <f>'الإدارة القانونية'!O4</f>
        <v/>
      </c>
      <c r="I187" s="24">
        <f>'الإدارة القانونية'!G4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القانونية'!C5</f>
        <v/>
      </c>
      <c r="D188" s="15">
        <f>'الإدارة القانونية'!J5</f>
        <v/>
      </c>
      <c r="E188" s="13">
        <f>'الإدارة القانونية'!K5</f>
        <v/>
      </c>
      <c r="F188" s="15">
        <f>'الإدارة القانونية'!L5</f>
        <v/>
      </c>
      <c r="G188" s="50">
        <f>'الإدارة القانونية'!N5</f>
        <v/>
      </c>
      <c r="H188" s="15">
        <f>'الإدارة القانونية'!O5</f>
        <v/>
      </c>
      <c r="I188" s="24">
        <f>'الإدارة القانونية'!G5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القانونية'!C6</f>
        <v/>
      </c>
      <c r="D189" s="15">
        <f>'الإدارة القانونية'!J6</f>
        <v/>
      </c>
      <c r="E189" s="13">
        <f>'الإدارة القانونية'!K6</f>
        <v/>
      </c>
      <c r="F189" s="15">
        <f>'الإدارة القانونية'!L6</f>
        <v/>
      </c>
      <c r="G189" s="50">
        <f>'الإدارة القانونية'!N6</f>
        <v/>
      </c>
      <c r="H189" s="15">
        <f>'الإدارة القانونية'!O6</f>
        <v/>
      </c>
      <c r="I189" s="24">
        <f>'الإدارة القانونية'!G6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القانونية'!C7</f>
        <v/>
      </c>
      <c r="D190" s="15">
        <f>'الإدارة القانونية'!J7</f>
        <v/>
      </c>
      <c r="E190" s="13">
        <f>'الإدارة القانونية'!K7</f>
        <v/>
      </c>
      <c r="F190" s="15">
        <f>'الإدارة القانونية'!L7</f>
        <v/>
      </c>
      <c r="G190" s="50">
        <f>'الإدارة القانونية'!N7</f>
        <v/>
      </c>
      <c r="H190" s="15">
        <f>'الإدارة القانونية'!O7</f>
        <v/>
      </c>
      <c r="I190" s="24">
        <f>'الإدارة القانونية'!G7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القانونية'!C8</f>
        <v/>
      </c>
      <c r="D191" s="15">
        <f>'الإدارة القانونية'!J8</f>
        <v/>
      </c>
      <c r="E191" s="13">
        <f>'الإدارة القانونية'!K8</f>
        <v/>
      </c>
      <c r="F191" s="15">
        <f>'الإدارة القانونية'!L8</f>
        <v/>
      </c>
      <c r="G191" s="50">
        <f>'الإدارة القانونية'!N8</f>
        <v/>
      </c>
      <c r="H191" s="15">
        <f>'الإدارة القانونية'!O8</f>
        <v/>
      </c>
      <c r="I191" s="24">
        <f>'الإدارة القانونية'!G8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القانونية'!C9</f>
        <v/>
      </c>
      <c r="D192" s="15">
        <f>'الإدارة القانونية'!J9</f>
        <v/>
      </c>
      <c r="E192" s="13">
        <f>'الإدارة القانونية'!K9</f>
        <v/>
      </c>
      <c r="F192" s="15">
        <f>'الإدارة القانونية'!L9</f>
        <v/>
      </c>
      <c r="G192" s="50">
        <f>'الإدارة القانونية'!N9</f>
        <v/>
      </c>
      <c r="H192" s="15">
        <f>'الإدارة القانونية'!O9</f>
        <v/>
      </c>
      <c r="I192" s="24">
        <f>'الإدارة القانونية'!G9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القانونية'!C10</f>
        <v/>
      </c>
      <c r="D193" s="15">
        <f>'الإدارة القانونية'!J10</f>
        <v/>
      </c>
      <c r="E193" s="13">
        <f>'الإدارة القانونية'!K10</f>
        <v/>
      </c>
      <c r="F193" s="15">
        <f>'الإدارة القانونية'!L10</f>
        <v/>
      </c>
      <c r="G193" s="50">
        <f>'الإدارة القانونية'!N10</f>
        <v/>
      </c>
      <c r="H193" s="15">
        <f>'الإدارة القانونية'!O10</f>
        <v/>
      </c>
      <c r="I193" s="24">
        <f>'الإدارة القانونية'!G10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القانونية'!C11</f>
        <v/>
      </c>
      <c r="D194" s="15">
        <f>'الإدارة القانونية'!J11</f>
        <v/>
      </c>
      <c r="E194" s="13">
        <f>'الإدارة القانونية'!K11</f>
        <v/>
      </c>
      <c r="F194" s="15">
        <f>'الإدارة القانونية'!L11</f>
        <v/>
      </c>
      <c r="G194" s="50">
        <f>'الإدارة القانونية'!N11</f>
        <v/>
      </c>
      <c r="H194" s="15">
        <f>'الإدارة القانونية'!O11</f>
        <v/>
      </c>
      <c r="I194" s="24">
        <f>'الإدارة القانونية'!G11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القانونية'!C12</f>
        <v/>
      </c>
      <c r="D195" s="15">
        <f>'الإدارة القانونية'!J12</f>
        <v/>
      </c>
      <c r="E195" s="13">
        <f>'الإدارة القانونية'!K12</f>
        <v/>
      </c>
      <c r="F195" s="15">
        <f>'الإدارة القانونية'!L12</f>
        <v/>
      </c>
      <c r="G195" s="50">
        <f>'الإدارة القانونية'!N12</f>
        <v/>
      </c>
      <c r="H195" s="15">
        <f>'الإدارة القانونية'!O12</f>
        <v/>
      </c>
      <c r="I195" s="24">
        <f>'الإدارة القانونية'!G12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القانونية'!C13</f>
        <v/>
      </c>
      <c r="D196" s="15">
        <f>'الإدارة القانونية'!J13</f>
        <v/>
      </c>
      <c r="E196" s="13">
        <f>'الإدارة القانونية'!K13</f>
        <v/>
      </c>
      <c r="F196" s="15">
        <f>'الإدارة القانونية'!L13</f>
        <v/>
      </c>
      <c r="G196" s="50">
        <f>'الإدارة القانونية'!N13</f>
        <v/>
      </c>
      <c r="H196" s="15">
        <f>'الإدارة القانونية'!O13</f>
        <v/>
      </c>
      <c r="I196" s="24">
        <f>'الإدارة القانونية'!G13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القانونية'!C14</f>
        <v/>
      </c>
      <c r="D197" s="15">
        <f>'الإدارة القانونية'!J14</f>
        <v/>
      </c>
      <c r="E197" s="13">
        <f>'الإدارة القانونية'!K14</f>
        <v/>
      </c>
      <c r="F197" s="15">
        <f>'الإدارة القانونية'!L14</f>
        <v/>
      </c>
      <c r="G197" s="50">
        <f>'الإدارة القانونية'!N14</f>
        <v/>
      </c>
      <c r="H197" s="15">
        <f>'الإدارة القانونية'!O14</f>
        <v/>
      </c>
      <c r="I197" s="24">
        <f>'الإدارة القانونية'!G14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القانونية'!C15</f>
        <v/>
      </c>
      <c r="D198" s="15">
        <f>'الإدارة القانونية'!J15</f>
        <v/>
      </c>
      <c r="E198" s="13">
        <f>'الإدارة القانونية'!K15</f>
        <v/>
      </c>
      <c r="F198" s="15">
        <f>'الإدارة القانونية'!L15</f>
        <v/>
      </c>
      <c r="G198" s="50">
        <f>'الإدارة القانونية'!N15</f>
        <v/>
      </c>
      <c r="H198" s="15">
        <f>'الإدارة القانونية'!O15</f>
        <v/>
      </c>
      <c r="I198" s="24">
        <f>'الإدارة القانونية'!G15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القانونية'!C16</f>
        <v/>
      </c>
      <c r="D199" s="15">
        <f>'الإدارة القانونية'!J16</f>
        <v/>
      </c>
      <c r="E199" s="13">
        <f>'الإدارة القانونية'!K16</f>
        <v/>
      </c>
      <c r="F199" s="15">
        <f>'الإدارة القانونية'!L16</f>
        <v/>
      </c>
      <c r="G199" s="50">
        <f>'الإدارة القانونية'!N16</f>
        <v/>
      </c>
      <c r="H199" s="15">
        <f>'الإدارة القانونية'!O16</f>
        <v/>
      </c>
      <c r="I199" s="24">
        <f>'الإدارة القانونية'!G16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المالية'!C4</f>
        <v/>
      </c>
      <c r="D200" s="15">
        <f>'الإدارة المالية'!J4</f>
        <v/>
      </c>
      <c r="E200" s="13">
        <f>'الإدارة المالية'!K4</f>
        <v/>
      </c>
      <c r="F200" s="15">
        <f>'الإدارة المالية'!L4</f>
        <v/>
      </c>
      <c r="G200" s="50">
        <f>'الإدارة المالية'!N4</f>
        <v/>
      </c>
      <c r="H200" s="15">
        <f>'الإدارة المالية'!O4</f>
        <v/>
      </c>
      <c r="I200" s="24">
        <f>'الإدارة المالية'!G4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المالية'!C5</f>
        <v/>
      </c>
      <c r="D201" s="15">
        <f>'الإدارة المالية'!J5</f>
        <v/>
      </c>
      <c r="E201" s="13">
        <f>'الإدارة المالية'!K5</f>
        <v/>
      </c>
      <c r="F201" s="15">
        <f>'الإدارة المالية'!L5</f>
        <v/>
      </c>
      <c r="G201" s="50">
        <f>'الإدارة المالية'!N5</f>
        <v/>
      </c>
      <c r="H201" s="15">
        <f>'الإدارة المالية'!O5</f>
        <v/>
      </c>
      <c r="I201" s="24">
        <f>'الإدارة المالية'!G5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المالية'!C6</f>
        <v/>
      </c>
      <c r="D202" s="15">
        <f>'الإدارة المالية'!J6</f>
        <v/>
      </c>
      <c r="E202" s="13">
        <f>'الإدارة المالية'!K6</f>
        <v/>
      </c>
      <c r="F202" s="15">
        <f>'الإدارة المالية'!L6</f>
        <v/>
      </c>
      <c r="G202" s="50">
        <f>'الإدارة المالية'!N6</f>
        <v/>
      </c>
      <c r="H202" s="15">
        <f>'الإدارة المالية'!O6</f>
        <v/>
      </c>
      <c r="I202" s="24">
        <f>'الإدارة المالية'!G6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المالية'!C7</f>
        <v/>
      </c>
      <c r="D203" s="15">
        <f>'الإدارة المالية'!J7</f>
        <v/>
      </c>
      <c r="E203" s="13">
        <f>'الإدارة المالية'!K7</f>
        <v/>
      </c>
      <c r="F203" s="15">
        <f>'الإدارة المالية'!L7</f>
        <v/>
      </c>
      <c r="G203" s="50">
        <f>'الإدارة المالية'!N7</f>
        <v/>
      </c>
      <c r="H203" s="15">
        <f>'الإدارة المالية'!O7</f>
        <v/>
      </c>
      <c r="I203" s="24">
        <f>'الإدارة المالية'!G7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المالية'!C8</f>
        <v/>
      </c>
      <c r="D204" s="15">
        <f>'الإدارة المالية'!J8</f>
        <v/>
      </c>
      <c r="E204" s="13">
        <f>'الإدارة المالية'!K8</f>
        <v/>
      </c>
      <c r="F204" s="15">
        <f>'الإدارة المالية'!L8</f>
        <v/>
      </c>
      <c r="G204" s="50">
        <f>'الإدارة المالية'!N8</f>
        <v/>
      </c>
      <c r="H204" s="15">
        <f>'الإدارة المالية'!O8</f>
        <v/>
      </c>
      <c r="I204" s="24">
        <f>'الإدارة المالية'!G8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المالية'!C9</f>
        <v/>
      </c>
      <c r="D205" s="15">
        <f>'الإدارة المالية'!J9</f>
        <v/>
      </c>
      <c r="E205" s="13">
        <f>'الإدارة المالية'!K9</f>
        <v/>
      </c>
      <c r="F205" s="15">
        <f>'الإدارة المالية'!L9</f>
        <v/>
      </c>
      <c r="G205" s="50">
        <f>'الإدارة المالية'!N9</f>
        <v/>
      </c>
      <c r="H205" s="15">
        <f>'الإدارة المالية'!O9</f>
        <v/>
      </c>
      <c r="I205" s="24">
        <f>'الإدارة المالية'!G9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المالية'!C10</f>
        <v/>
      </c>
      <c r="D206" s="15">
        <f>'الإدارة المالية'!J10</f>
        <v/>
      </c>
      <c r="E206" s="13">
        <f>'الإدارة المالية'!K10</f>
        <v/>
      </c>
      <c r="F206" s="15">
        <f>'الإدارة المالية'!L10</f>
        <v/>
      </c>
      <c r="G206" s="50">
        <f>'الإدارة المالية'!N10</f>
        <v/>
      </c>
      <c r="H206" s="15">
        <f>'الإدارة المالية'!O10</f>
        <v/>
      </c>
      <c r="I206" s="24">
        <f>'الإدارة المالية'!G10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المالية'!C11</f>
        <v/>
      </c>
      <c r="D207" s="15">
        <f>'الإدارة المالية'!J11</f>
        <v/>
      </c>
      <c r="E207" s="13">
        <f>'الإدارة المالية'!K11</f>
        <v/>
      </c>
      <c r="F207" s="15">
        <f>'الإدارة المالية'!L11</f>
        <v/>
      </c>
      <c r="G207" s="50">
        <f>'الإدارة المالية'!N11</f>
        <v/>
      </c>
      <c r="H207" s="15">
        <f>'الإدارة المالية'!O11</f>
        <v/>
      </c>
      <c r="I207" s="24">
        <f>'الإدارة المالية'!G11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المالية'!C12</f>
        <v/>
      </c>
      <c r="D208" s="15">
        <f>'الإدارة المالية'!J12</f>
        <v/>
      </c>
      <c r="E208" s="13">
        <f>'الإدارة المالية'!K12</f>
        <v/>
      </c>
      <c r="F208" s="15">
        <f>'الإدارة المالية'!L12</f>
        <v/>
      </c>
      <c r="G208" s="50">
        <f>'الإدارة المالية'!N12</f>
        <v/>
      </c>
      <c r="H208" s="15">
        <f>'الإدارة المالية'!O12</f>
        <v/>
      </c>
      <c r="I208" s="24">
        <f>'الإدارة المالية'!G12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المالية'!C13</f>
        <v/>
      </c>
      <c r="D209" s="15">
        <f>'الإدارة المالية'!J13</f>
        <v/>
      </c>
      <c r="E209" s="13">
        <f>'الإدارة المالية'!K13</f>
        <v/>
      </c>
      <c r="F209" s="15">
        <f>'الإدارة المالية'!L13</f>
        <v/>
      </c>
      <c r="G209" s="50">
        <f>'الإدارة المالية'!N13</f>
        <v/>
      </c>
      <c r="H209" s="15">
        <f>'الإدارة المالية'!O13</f>
        <v/>
      </c>
      <c r="I209" s="24">
        <f>'الإدارة المالية'!G13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المالية'!C14</f>
        <v/>
      </c>
      <c r="D210" s="15">
        <f>'الإدارة المالية'!J14</f>
        <v/>
      </c>
      <c r="E210" s="13">
        <f>'الإدارة المالية'!K14</f>
        <v/>
      </c>
      <c r="F210" s="15">
        <f>'الإدارة المالية'!L14</f>
        <v/>
      </c>
      <c r="G210" s="50">
        <f>'الإدارة المالية'!N14</f>
        <v/>
      </c>
      <c r="H210" s="15">
        <f>'الإدارة المالية'!O14</f>
        <v/>
      </c>
      <c r="I210" s="24">
        <f>'الإدارة المالية'!G14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المالية'!C15</f>
        <v/>
      </c>
      <c r="D211" s="15">
        <f>'الإدارة المالية'!J15</f>
        <v/>
      </c>
      <c r="E211" s="13">
        <f>'الإدارة المالية'!K15</f>
        <v/>
      </c>
      <c r="F211" s="15">
        <f>'الإدارة المالية'!L15</f>
        <v/>
      </c>
      <c r="G211" s="50">
        <f>'الإدارة المالية'!N15</f>
        <v/>
      </c>
      <c r="H211" s="15">
        <f>'الإدارة المالية'!O15</f>
        <v/>
      </c>
      <c r="I211" s="24">
        <f>'الإدارة المالية'!G15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المالية'!C16</f>
        <v/>
      </c>
      <c r="D212" s="15">
        <f>'الإدارة المالية'!J16</f>
        <v/>
      </c>
      <c r="E212" s="13">
        <f>'الإدارة المالية'!K16</f>
        <v/>
      </c>
      <c r="F212" s="15">
        <f>'الإدارة المالية'!L16</f>
        <v/>
      </c>
      <c r="G212" s="50">
        <f>'الإدارة المالية'!N16</f>
        <v/>
      </c>
      <c r="H212" s="15">
        <f>'الإدارة المالية'!O16</f>
        <v/>
      </c>
      <c r="I212" s="24">
        <f>'الإدارة المالية'!G16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المالية'!C17</f>
        <v/>
      </c>
      <c r="D213" s="15">
        <f>'الإدارة المالية'!J17</f>
        <v/>
      </c>
      <c r="E213" s="13">
        <f>'الإدارة المالية'!K17</f>
        <v/>
      </c>
      <c r="F213" s="15">
        <f>'الإدارة المالية'!L17</f>
        <v/>
      </c>
      <c r="G213" s="50">
        <f>'الإدارة المالية'!N17</f>
        <v/>
      </c>
      <c r="H213" s="15">
        <f>'الإدارة المالية'!O17</f>
        <v/>
      </c>
      <c r="I213" s="24">
        <f>'الإدارة المالية'!G17</f>
        <v/>
      </c>
      <c r="J213" s="15">
        <f>IF($G213="",0,$G213*$I213)</f>
        <v/>
      </c>
      <c r="K213" s="15">
        <f>IF($G213="",0,$I213)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المالية'!C18</f>
        <v/>
      </c>
      <c r="D214" s="15">
        <f>'الإدارة المالية'!J18</f>
        <v/>
      </c>
      <c r="E214" s="13">
        <f>'الإدارة المالية'!K18</f>
        <v/>
      </c>
      <c r="F214" s="15">
        <f>'الإدارة المالية'!L18</f>
        <v/>
      </c>
      <c r="G214" s="50">
        <f>'الإدارة المالية'!N18</f>
        <v/>
      </c>
      <c r="H214" s="15">
        <f>'الإدارة المالية'!O18</f>
        <v/>
      </c>
      <c r="I214" s="24">
        <f>'الإدارة المالية'!G18</f>
        <v/>
      </c>
      <c r="J214" s="15">
        <f>IF($G214="",0,$G214*$I214)</f>
        <v/>
      </c>
      <c r="K214" s="15">
        <f>IF($G214="",0,$I214)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المالية'!C19</f>
        <v/>
      </c>
      <c r="D215" s="15">
        <f>'الإدارة المالية'!J19</f>
        <v/>
      </c>
      <c r="E215" s="13">
        <f>'الإدارة المالية'!K19</f>
        <v/>
      </c>
      <c r="F215" s="15">
        <f>'الإدارة المالية'!L19</f>
        <v/>
      </c>
      <c r="G215" s="50">
        <f>'الإدارة المالية'!N19</f>
        <v/>
      </c>
      <c r="H215" s="15">
        <f>'الإدارة المالية'!O19</f>
        <v/>
      </c>
      <c r="I215" s="24">
        <f>'الإدارة المالية'!G19</f>
        <v/>
      </c>
      <c r="J215" s="15">
        <f>IF($G215="",0,$G215*$I215)</f>
        <v/>
      </c>
      <c r="K215" s="15">
        <f>IF($G215="",0,$I215)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المالية'!C20</f>
        <v/>
      </c>
      <c r="D216" s="15">
        <f>'الإدارة المالية'!J20</f>
        <v/>
      </c>
      <c r="E216" s="13">
        <f>'الإدارة المالية'!K20</f>
        <v/>
      </c>
      <c r="F216" s="15">
        <f>'الإدارة المالية'!L20</f>
        <v/>
      </c>
      <c r="G216" s="50">
        <f>'الإدارة المالية'!N20</f>
        <v/>
      </c>
      <c r="H216" s="15">
        <f>'الإدارة المالية'!O20</f>
        <v/>
      </c>
      <c r="I216" s="24">
        <f>'الإدارة المالية'!G20</f>
        <v/>
      </c>
      <c r="J216" s="15">
        <f>IF($G216="",0,$G216*$I216)</f>
        <v/>
      </c>
      <c r="K216" s="15">
        <f>IF($G216="",0,$I216)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المالية'!C21</f>
        <v/>
      </c>
      <c r="D217" s="15">
        <f>'الإدارة المالية'!J21</f>
        <v/>
      </c>
      <c r="E217" s="13">
        <f>'الإدارة المالية'!K21</f>
        <v/>
      </c>
      <c r="F217" s="15">
        <f>'الإدارة المالية'!L21</f>
        <v/>
      </c>
      <c r="G217" s="50">
        <f>'الإدارة المالية'!N21</f>
        <v/>
      </c>
      <c r="H217" s="15">
        <f>'الإدارة المالية'!O21</f>
        <v/>
      </c>
      <c r="I217" s="24">
        <f>'الإدارة المالية'!G21</f>
        <v/>
      </c>
      <c r="J217" s="15">
        <f>IF($G217="",0,$G217*$I217)</f>
        <v/>
      </c>
      <c r="K217" s="15">
        <f>IF($G217="",0,$I217)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المالية'!C22</f>
        <v/>
      </c>
      <c r="D218" s="15">
        <f>'الإدارة المالية'!J22</f>
        <v/>
      </c>
      <c r="E218" s="13">
        <f>'الإدارة المالية'!K22</f>
        <v/>
      </c>
      <c r="F218" s="15">
        <f>'الإدارة المالية'!L22</f>
        <v/>
      </c>
      <c r="G218" s="50">
        <f>'الإدارة المالية'!N22</f>
        <v/>
      </c>
      <c r="H218" s="15">
        <f>'الإدارة المالية'!O22</f>
        <v/>
      </c>
      <c r="I218" s="24">
        <f>'الإدارة المالية'!G22</f>
        <v/>
      </c>
      <c r="J218" s="15">
        <f>IF($G218="",0,$G218*$I218)</f>
        <v/>
      </c>
      <c r="K218" s="15">
        <f>IF($G218="",0,$I218)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المالية'!C23</f>
        <v/>
      </c>
      <c r="D219" s="15">
        <f>'الإدارة المالية'!J23</f>
        <v/>
      </c>
      <c r="E219" s="13">
        <f>'الإدارة المالية'!K23</f>
        <v/>
      </c>
      <c r="F219" s="15">
        <f>'الإدارة المالية'!L23</f>
        <v/>
      </c>
      <c r="G219" s="50">
        <f>'الإدارة المالية'!N23</f>
        <v/>
      </c>
      <c r="H219" s="15">
        <f>'الإدارة المالية'!O23</f>
        <v/>
      </c>
      <c r="I219" s="24">
        <f>'الإدارة المالية'!G23</f>
        <v/>
      </c>
      <c r="J219" s="15">
        <f>IF($G219="",0,$G219*$I219)</f>
        <v/>
      </c>
      <c r="K219" s="15">
        <f>IF($G219="",0,$I219)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المالية'!C24</f>
        <v/>
      </c>
      <c r="D220" s="15">
        <f>'الإدارة المالية'!J24</f>
        <v/>
      </c>
      <c r="E220" s="13">
        <f>'الإدارة المالية'!K24</f>
        <v/>
      </c>
      <c r="F220" s="15">
        <f>'الإدارة المالية'!L24</f>
        <v/>
      </c>
      <c r="G220" s="50">
        <f>'الإدارة المالية'!N24</f>
        <v/>
      </c>
      <c r="H220" s="15">
        <f>'الإدارة المالية'!O24</f>
        <v/>
      </c>
      <c r="I220" s="24">
        <f>'الإدارة المالية'!G24</f>
        <v/>
      </c>
      <c r="J220" s="15">
        <f>IF($G220="",0,$G220*$I220)</f>
        <v/>
      </c>
      <c r="K220" s="15">
        <f>IF($G220="",0,$I220)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المالية'!C25</f>
        <v/>
      </c>
      <c r="D221" s="15">
        <f>'الإدارة المالية'!J25</f>
        <v/>
      </c>
      <c r="E221" s="13">
        <f>'الإدارة المالية'!K25</f>
        <v/>
      </c>
      <c r="F221" s="15">
        <f>'الإدارة المالية'!L25</f>
        <v/>
      </c>
      <c r="G221" s="50">
        <f>'الإدارة المالية'!N25</f>
        <v/>
      </c>
      <c r="H221" s="15">
        <f>'الإدارة المالية'!O25</f>
        <v/>
      </c>
      <c r="I221" s="24">
        <f>'الإدارة المالية'!G25</f>
        <v/>
      </c>
      <c r="J221" s="15">
        <f>IF($G221="",0,$G221*$I221)</f>
        <v/>
      </c>
      <c r="K221" s="15">
        <f>IF($G221="",0,$I221)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المالية'!C26</f>
        <v/>
      </c>
      <c r="D222" s="15">
        <f>'الإدارة المالية'!J26</f>
        <v/>
      </c>
      <c r="E222" s="13">
        <f>'الإدارة المالية'!K26</f>
        <v/>
      </c>
      <c r="F222" s="15">
        <f>'الإدارة المالية'!L26</f>
        <v/>
      </c>
      <c r="G222" s="50">
        <f>'الإدارة المالية'!N26</f>
        <v/>
      </c>
      <c r="H222" s="15">
        <f>'الإدارة المالية'!O26</f>
        <v/>
      </c>
      <c r="I222" s="24">
        <f>'الإدارة المالية'!G26</f>
        <v/>
      </c>
      <c r="J222" s="15">
        <f>IF($G222="",0,$G222*$I222)</f>
        <v/>
      </c>
      <c r="K222" s="15">
        <f>IF($G222="",0,$I222)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المالية'!C27</f>
        <v/>
      </c>
      <c r="D223" s="15">
        <f>'الإدارة المالية'!J27</f>
        <v/>
      </c>
      <c r="E223" s="13">
        <f>'الإدارة المالية'!K27</f>
        <v/>
      </c>
      <c r="F223" s="15">
        <f>'الإدارة المالية'!L27</f>
        <v/>
      </c>
      <c r="G223" s="50">
        <f>'الإدارة المالية'!N27</f>
        <v/>
      </c>
      <c r="H223" s="15">
        <f>'الإدارة المالية'!O27</f>
        <v/>
      </c>
      <c r="I223" s="24">
        <f>'الإدارة المالية'!G27</f>
        <v/>
      </c>
      <c r="J223" s="15">
        <f>IF($G223="",0,$G223*$I223)</f>
        <v/>
      </c>
      <c r="K223" s="15">
        <f>IF($G223="",0,$I223)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2026-07-28T08:58:19Z</dcterms:created>
  <dcterms:modified xmlns:dcterms="http://purl.org/dc/terms/" xmlns:xsi="http://www.w3.org/2001/XMLSchema-instance" xsi:type="dcterms:W3CDTF">2026-07-28T08:58:22Z</dcterms:modified>
</cp:coreProperties>
</file>