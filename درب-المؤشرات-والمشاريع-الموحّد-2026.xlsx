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الاستراتيجية والمستهدفات" sheetId="2" state="visible" r:id="rId2"/>
    <sheet xmlns:r="http://schemas.openxmlformats.org/officeDocument/2006/relationships" name="الخريطة الاستراتيجية" sheetId="3" state="visible" r:id="rId3"/>
    <sheet xmlns:r="http://schemas.openxmlformats.org/officeDocument/2006/relationships" name="اللوحة الموجزة" sheetId="4" state="visible" r:id="rId4"/>
    <sheet xmlns:r="http://schemas.openxmlformats.org/officeDocument/2006/relationships" name="تحليل الانحراف" sheetId="5" state="visible" r:id="rId5"/>
    <sheet xmlns:r="http://schemas.openxmlformats.org/officeDocument/2006/relationships" name="التتبّع الشهري" sheetId="6" state="visible" r:id="rId6"/>
    <sheet xmlns:r="http://schemas.openxmlformats.org/officeDocument/2006/relationships" name="سجل المخاطر" sheetId="7" state="visible" r:id="rId7"/>
    <sheet xmlns:r="http://schemas.openxmlformats.org/officeDocument/2006/relationships" name="ESG والاستدامة" sheetId="8" state="visible" r:id="rId8"/>
    <sheet xmlns:r="http://schemas.openxmlformats.org/officeDocument/2006/relationships" name="مراجعة وحوكمة المؤشرات" sheetId="9" state="visible" r:id="rId9"/>
    <sheet xmlns:r="http://schemas.openxmlformats.org/officeDocument/2006/relationships" name="بطاقة تعريف المؤشرات" sheetId="10" state="visible" r:id="rId10"/>
    <sheet xmlns:r="http://schemas.openxmlformats.org/officeDocument/2006/relationships" name="بيانات الباوربي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تقنية الرقمية" sheetId="19" state="visible" r:id="rId19"/>
    <sheet xmlns:r="http://schemas.openxmlformats.org/officeDocument/2006/relationships" name="الموارد البشرية" sheetId="20" state="visible" r:id="rId20"/>
    <sheet xmlns:r="http://schemas.openxmlformats.org/officeDocument/2006/relationships" name="التسويق" sheetId="21" state="visible" r:id="rId21"/>
    <sheet xmlns:r="http://schemas.openxmlformats.org/officeDocument/2006/relationships" name="الجودة" sheetId="22" state="visible" r:id="rId22"/>
    <sheet xmlns:r="http://schemas.openxmlformats.org/officeDocument/2006/relationships" name="الإدارة القانونية" sheetId="23" state="visible" r:id="rId23"/>
    <sheet xmlns:r="http://schemas.openxmlformats.org/officeDocument/2006/relationships" name="الإدارة المالية" sheetId="24" state="visible" r:id="rId24"/>
    <sheet xmlns:r="http://schemas.openxmlformats.org/officeDocument/2006/relationships" name="سجل المشاريع" sheetId="25" state="visible" r:id="rId25"/>
    <sheet xmlns:r="http://schemas.openxmlformats.org/officeDocument/2006/relationships" name="قاعدة المؤشرات" sheetId="26" state="hidden" r:id="rId26"/>
  </sheets>
  <definedNames>
    <definedName name="_xlnm._FilterDatabase" localSheetId="4" hidden="1">'تحليل الانحراف'!$A$2:$M$148</definedName>
    <definedName name="_xlnm._FilterDatabase" localSheetId="5" hidden="1">'التتبّع الشهري'!$A$3:$X$210</definedName>
    <definedName name="_xlnm._FilterDatabase" localSheetId="6" hidden="1">'سجل المخاطر'!$A$2:$K$14</definedName>
    <definedName name="_xlnm._FilterDatabase" localSheetId="7" hidden="1">'ESG والاستدامة'!$A$2:$J$16</definedName>
    <definedName name="_xlnm._FilterDatabase" localSheetId="9" hidden="1">'بطاقة تعريف المؤشرات'!$A$2:$N$209</definedName>
    <definedName name="_xlnm._FilterDatabase" localSheetId="10" hidden="1">'بيانات الباوربي'!$A$1:$AC$208</definedName>
    <definedName name="_xlnm._FilterDatabase" localSheetId="11" hidden="1">'الإدارة التنفيذية'!$A$3:$P$13</definedName>
    <definedName name="_xlnm._FilterDatabase" localSheetId="12" hidden="1">'الامتياز التجاري'!$A$3:$P$33</definedName>
    <definedName name="_xlnm._FilterDatabase" localSheetId="13" hidden="1">'التشغيل والمحطات'!$A$3:$P$19</definedName>
    <definedName name="_xlnm._FilterDatabase" localSheetId="14" hidden="1">'الاستثمار'!$A$3:$P$27</definedName>
    <definedName name="_xlnm._FilterDatabase" localSheetId="15" hidden="1">'العقار'!$A$3:$P$19</definedName>
    <definedName name="_xlnm._FilterDatabase" localSheetId="16" hidden="1">'إدارة المشاريع'!$A$3:$P$18</definedName>
    <definedName name="_xlnm._FilterDatabase" localSheetId="17" hidden="1">'سلاسل الإمداد'!$A$3:$P$12</definedName>
    <definedName name="_xlnm._FilterDatabase" localSheetId="18" hidden="1">'التقنية الرقمية'!$A$3:$P$12</definedName>
    <definedName name="_xlnm._FilterDatabase" localSheetId="19" hidden="1">'الموارد البشرية'!$A$3:$P$20</definedName>
    <definedName name="_xlnm._FilterDatabase" localSheetId="20" hidden="1">'التسويق'!$A$3:$P$18</definedName>
    <definedName name="_xlnm._FilterDatabase" localSheetId="21" hidden="1">'الجودة'!$A$3:$P$17</definedName>
    <definedName name="_xlnm._FilterDatabase" localSheetId="22" hidden="1">'الإدارة القانونية'!$A$3:$P$11</definedName>
    <definedName name="_xlnm._FilterDatabase" localSheetId="23" hidden="1">'الإدارة المالية'!$A$3:$P$27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ر.س&quot;"/>
    <numFmt numFmtId="165" formatCode="0.0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BDBDBD"/>
      <sz val="8"/>
    </font>
    <font>
      <name val="Tajawal"/>
      <color rgb="002EAD6B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2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2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14" fillId="2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right" vertical="center" wrapText="1"/>
    </xf>
    <xf numFmtId="0" fontId="25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right" vertical="center" wrapText="1"/>
    </xf>
    <xf numFmtId="0" fontId="29" fillId="0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4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287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4287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46" customHeight="1"/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المؤشرات'!$G$2:$G$208,'قاعدة المؤشرات'!$D$2:$D$208,"النمو"),"—")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المؤشرات'!$G$2:$G$208,'قاعدة المؤشرات'!$D$2:$D$208,"الابتكار"),"—")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المؤشرات'!$G$2:$G$208,'قاعدة المؤشرات'!$D$2:$D$208,"الاستدامة"),"—")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نسبة إنجاز محفظة مشاريع التحول الرقمي</t>
        </is>
      </c>
      <c r="E12" s="7" t="n"/>
      <c r="F12" s="12" t="n">
        <v>0.06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 ht="46" customHeight="1"/>
    <row r="2" ht="26" customHeight="1">
      <c r="B2" s="17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18" t="inlineStr"/>
      <c r="B5" s="19" t="inlineStr">
        <is>
          <t>النمو</t>
        </is>
      </c>
      <c r="C5" s="20" t="inlineStr">
        <is>
          <t>التوسع في المواقع وزيادة الوصول وتنمية الإيراد.</t>
        </is>
      </c>
      <c r="D5" s="21" t="inlineStr"/>
    </row>
    <row r="6" ht="24" customHeight="1">
      <c r="A6" s="22" t="inlineStr"/>
      <c r="B6" s="23" t="inlineStr">
        <is>
          <t>التوسع في المواقع</t>
        </is>
      </c>
      <c r="C6" s="24" t="inlineStr">
        <is>
          <t>افتتاح وتشغيل محطات جديدة.</t>
        </is>
      </c>
      <c r="D6" s="25" t="inlineStr">
        <is>
          <t>التشغيل 85 · الامتياز 150 محطة</t>
        </is>
      </c>
    </row>
    <row r="7" ht="24" customHeight="1">
      <c r="A7" s="22" t="inlineStr"/>
      <c r="B7" s="23" t="inlineStr">
        <is>
          <t>الامتياز والعقود</t>
        </is>
      </c>
      <c r="C7" s="24" t="inlineStr">
        <is>
          <t>تنمية الإيراد عبر الامتياز والاستثمار.</t>
        </is>
      </c>
      <c r="D7" s="25" t="inlineStr">
        <is>
          <t>الامتياز 167 · الاستثمار 190 عقد</t>
        </is>
      </c>
    </row>
    <row r="8" ht="24" customHeight="1">
      <c r="A8" s="22" t="inlineStr"/>
      <c r="B8" s="23" t="inlineStr">
        <is>
          <t>زيادة وصول العملاء</t>
        </is>
      </c>
      <c r="C8" s="24" t="inlineStr">
        <is>
          <t>رفع المبيعات والتغطية الجغرافية.</t>
        </is>
      </c>
      <c r="D8" s="25" t="inlineStr">
        <is>
          <t>718.8M لتر · 13 منطقة · 59 مدينة</t>
        </is>
      </c>
    </row>
    <row r="9" ht="24" customHeight="1">
      <c r="A9" s="18" t="inlineStr"/>
      <c r="B9" s="19" t="inlineStr">
        <is>
          <t>الابتكار</t>
        </is>
      </c>
      <c r="C9" s="20" t="inlineStr">
        <is>
          <t>مشاريع جديدة وتحول تقني وهوية وتانكي.</t>
        </is>
      </c>
      <c r="D9" s="21" t="inlineStr"/>
    </row>
    <row r="10" ht="24" customHeight="1">
      <c r="A10" s="22" t="inlineStr"/>
      <c r="B10" s="23" t="inlineStr">
        <is>
          <t>التحول التقني</t>
        </is>
      </c>
      <c r="C10" s="24" t="inlineStr">
        <is>
          <t>أتمتة 164 محطة · D365 · جاهزية الأنظمة.</t>
        </is>
      </c>
      <c r="D10" s="25" t="inlineStr">
        <is>
          <t>أتمتة 90% · جاهزية 99%</t>
        </is>
      </c>
    </row>
    <row r="11" ht="24" customHeight="1">
      <c r="A11" s="22" t="inlineStr"/>
      <c r="B11" s="23" t="inlineStr">
        <is>
          <t>ساحات درب وتانكي</t>
        </is>
      </c>
      <c r="C11" s="24" t="inlineStr">
        <is>
          <t>تشغيل ساحات درب ونمو تطبيق تانكي (التسويق).</t>
        </is>
      </c>
      <c r="D11" s="25" t="inlineStr">
        <is>
          <t>تأجير ساحة ≥80% · تانكي تصاعدي</t>
        </is>
      </c>
    </row>
    <row r="12" ht="24" customHeight="1">
      <c r="A12" s="18" t="inlineStr"/>
      <c r="B12" s="19" t="inlineStr">
        <is>
          <t>الاستدامة</t>
        </is>
      </c>
      <c r="C12" s="20" t="inlineStr">
        <is>
          <t>جودة التشغيل وتجربة العميل والموظفين.</t>
        </is>
      </c>
      <c r="D12" s="21" t="inlineStr"/>
    </row>
    <row r="13" ht="24" customHeight="1">
      <c r="A13" s="22" t="inlineStr"/>
      <c r="B13" s="23" t="inlineStr">
        <is>
          <t>تجربة العميل وجودة التشغيل</t>
        </is>
      </c>
      <c r="C13" s="24" t="inlineStr">
        <is>
          <t>رضا وأمن سيبراني وجاهزية.</t>
        </is>
      </c>
      <c r="D13" s="25" t="inlineStr">
        <is>
          <t>CSAT 90% · جاهزية 99%</t>
        </is>
      </c>
    </row>
    <row r="14" ht="24" customHeight="1">
      <c r="A14" s="22" t="inlineStr"/>
      <c r="B14" s="23" t="inlineStr">
        <is>
          <t>منظومة التأجير</t>
        </is>
      </c>
      <c r="C14" s="24" t="inlineStr">
        <is>
          <t>الإشغال والتحصيل واستدامة المستأجرين.</t>
        </is>
      </c>
      <c r="D14" s="25" t="inlineStr">
        <is>
          <t>إشغال ≥60% · 246 علامة</t>
        </is>
      </c>
    </row>
    <row r="15" ht="24" customHeight="1">
      <c r="A15" s="22" t="inlineStr"/>
      <c r="B15" s="23" t="inlineStr">
        <is>
          <t>الاستثمار في الموظفين</t>
        </is>
      </c>
      <c r="C15" s="24" t="inlineStr">
        <is>
          <t>التوطين والتدريب والاستبقاء.</t>
        </is>
      </c>
      <c r="D15" s="25" t="inlineStr">
        <is>
          <t>6 دورات · استبقاء 90% · سعودة</t>
        </is>
      </c>
    </row>
    <row r="17">
      <c r="B17" s="2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4" t="inlineStr">
        <is>
          <t>التوسع في المواقع</t>
        </is>
      </c>
      <c r="C19" s="27" t="inlineStr">
        <is>
          <t>النمو</t>
        </is>
      </c>
      <c r="D19" s="28">
        <f>COUNTIF('قاعدة المؤشرات'!$E$2:$E$208,"التوسع في المواقع")</f>
        <v/>
      </c>
      <c r="E19" s="10">
        <f>IFERROR(AVERAGEIFS('قاعدة المؤشرات'!$G$2:$G$208,'قاعدة المؤشرات'!$E$2:$E$208,"التوسع في المواقع"),"—")</f>
        <v/>
      </c>
    </row>
    <row r="20">
      <c r="B20" s="24" t="inlineStr">
        <is>
          <t>الامتياز التجاري</t>
        </is>
      </c>
      <c r="C20" s="27" t="inlineStr">
        <is>
          <t>النمو</t>
        </is>
      </c>
      <c r="D20" s="28">
        <f>COUNTIF('قاعدة المؤشرات'!$E$2:$E$208,"الامتياز التجاري")</f>
        <v/>
      </c>
      <c r="E20" s="10">
        <f>IFERROR(AVERAGEIFS('قاعدة المؤشرات'!$G$2:$G$208,'قاعدة المؤشرات'!$E$2:$E$208,"الامتياز التجاري"),"—")</f>
        <v/>
      </c>
    </row>
    <row r="21">
      <c r="B21" s="24" t="inlineStr">
        <is>
          <t>زيادة وصول العملاء</t>
        </is>
      </c>
      <c r="C21" s="27" t="inlineStr">
        <is>
          <t>النمو</t>
        </is>
      </c>
      <c r="D21" s="28">
        <f>COUNTIF('قاعدة المؤشرات'!$E$2:$E$208,"زيادة وصول العملاء")</f>
        <v/>
      </c>
      <c r="E21" s="10">
        <f>IFERROR(AVERAGEIFS('قاعدة المؤشرات'!$G$2:$G$208,'قاعدة المؤشرات'!$E$2:$E$208,"زيادة وصول العملاء"),"—")</f>
        <v/>
      </c>
    </row>
    <row r="22">
      <c r="B22" s="24" t="inlineStr">
        <is>
          <t>إطلاق مشاريع جديدة</t>
        </is>
      </c>
      <c r="C22" s="27" t="inlineStr">
        <is>
          <t>الابتكار</t>
        </is>
      </c>
      <c r="D22" s="28">
        <f>COUNTIF('قاعدة المؤشرات'!$E$2:$E$208,"إطلاق مشاريع جديدة")</f>
        <v/>
      </c>
      <c r="E22" s="10">
        <f>IFERROR(AVERAGEIFS('قاعدة المؤشرات'!$G$2:$G$208,'قاعدة المؤشرات'!$E$2:$E$208,"إطلاق مشاريع جديدة"),"—")</f>
        <v/>
      </c>
    </row>
    <row r="23">
      <c r="B23" s="24" t="inlineStr">
        <is>
          <t>تطوير التصاميم والهوية</t>
        </is>
      </c>
      <c r="C23" s="27" t="inlineStr">
        <is>
          <t>الابتكار</t>
        </is>
      </c>
      <c r="D23" s="28">
        <f>COUNTIF('قاعدة المؤشرات'!$E$2:$E$208,"تطوير التصاميم والهوية")</f>
        <v/>
      </c>
      <c r="E23" s="10">
        <f>IFERROR(AVERAGEIFS('قاعدة المؤشرات'!$G$2:$G$208,'قاعدة المؤشرات'!$E$2:$E$208,"تطوير التصاميم والهوية"),"—")</f>
        <v/>
      </c>
    </row>
    <row r="24">
      <c r="B24" s="24" t="inlineStr">
        <is>
          <t>التحول التقني</t>
        </is>
      </c>
      <c r="C24" s="27" t="inlineStr">
        <is>
          <t>الابتكار</t>
        </is>
      </c>
      <c r="D24" s="28">
        <f>COUNTIF('قاعدة المؤشرات'!$E$2:$E$208,"التحول التقني")</f>
        <v/>
      </c>
      <c r="E24" s="10">
        <f>IFERROR(AVERAGEIFS('قاعدة المؤشرات'!$G$2:$G$208,'قاعدة المؤشرات'!$E$2:$E$208,"التحول التقني"),"—")</f>
        <v/>
      </c>
    </row>
    <row r="25">
      <c r="B25" s="24" t="inlineStr">
        <is>
          <t>ساحات درب</t>
        </is>
      </c>
      <c r="C25" s="27" t="inlineStr">
        <is>
          <t>الابتكار</t>
        </is>
      </c>
      <c r="D25" s="28">
        <f>COUNTIF('قاعدة المؤشرات'!$E$2:$E$208,"ساحات درب")</f>
        <v/>
      </c>
      <c r="E25" s="10">
        <f>IFERROR(AVERAGEIFS('قاعدة المؤشرات'!$G$2:$G$208,'قاعدة المؤشرات'!$E$2:$E$208,"ساحات درب"),"—")</f>
        <v/>
      </c>
    </row>
    <row r="26">
      <c r="B26" s="24" t="inlineStr">
        <is>
          <t>تطبيق «تانكي»</t>
        </is>
      </c>
      <c r="C26" s="27" t="inlineStr">
        <is>
          <t>الابتكار</t>
        </is>
      </c>
      <c r="D26" s="28">
        <f>COUNTIF('قاعدة المؤشرات'!$E$2:$E$208,"تطبيق «تانكي»")</f>
        <v/>
      </c>
      <c r="E26" s="10">
        <f>IFERROR(AVERAGEIFS('قاعدة المؤشرات'!$G$2:$G$208,'قاعدة المؤشرات'!$E$2:$E$208,"تطبيق «تانكي»"),"—")</f>
        <v/>
      </c>
    </row>
    <row r="27">
      <c r="B27" s="24" t="inlineStr">
        <is>
          <t>تعزيز تجربة العملاء</t>
        </is>
      </c>
      <c r="C27" s="27" t="inlineStr">
        <is>
          <t>الاستدامة</t>
        </is>
      </c>
      <c r="D27" s="28">
        <f>COUNTIF('قاعدة المؤشرات'!$E$2:$E$208,"تعزيز تجربة العملاء")</f>
        <v/>
      </c>
      <c r="E27" s="10">
        <f>IFERROR(AVERAGEIFS('قاعدة المؤشرات'!$G$2:$G$208,'قاعدة المؤشرات'!$E$2:$E$208,"تعزيز تجربة العملاء"),"—")</f>
        <v/>
      </c>
    </row>
    <row r="28">
      <c r="B28" s="24" t="inlineStr">
        <is>
          <t>جودة التشغيل</t>
        </is>
      </c>
      <c r="C28" s="27" t="inlineStr">
        <is>
          <t>الاستدامة</t>
        </is>
      </c>
      <c r="D28" s="28">
        <f>COUNTIF('قاعدة المؤشرات'!$E$2:$E$208,"جودة التشغيل")</f>
        <v/>
      </c>
      <c r="E28" s="10">
        <f>IFERROR(AVERAGEIFS('قاعدة المؤشرات'!$G$2:$G$208,'قاعدة المؤشرات'!$E$2:$E$208,"جودة التشغيل"),"—")</f>
        <v/>
      </c>
    </row>
    <row r="29">
      <c r="B29" s="24" t="inlineStr">
        <is>
          <t>منظومة التأجير</t>
        </is>
      </c>
      <c r="C29" s="27" t="inlineStr">
        <is>
          <t>الاستدامة</t>
        </is>
      </c>
      <c r="D29" s="28">
        <f>COUNTIF('قاعدة المؤشرات'!$E$2:$E$208,"منظومة التأجير")</f>
        <v/>
      </c>
      <c r="E29" s="10">
        <f>IFERROR(AVERAGEIFS('قاعدة المؤشرات'!$G$2:$G$208,'قاعدة المؤشرات'!$E$2:$E$208,"منظومة التأجير"),"—")</f>
        <v/>
      </c>
    </row>
    <row r="30">
      <c r="B30" s="24" t="inlineStr">
        <is>
          <t>الاستثمار في الموظفين</t>
        </is>
      </c>
      <c r="C30" s="27" t="inlineStr">
        <is>
          <t>الاستدامة</t>
        </is>
      </c>
      <c r="D30" s="28">
        <f>COUNTIF('قاعدة المؤشرات'!$E$2:$E$208,"الاستثمار في الموظفين")</f>
        <v/>
      </c>
      <c r="E30" s="10">
        <f>IFERROR(AVERAGEIFS('قاعدة المؤشرات'!$G$2:$G$208,'قاعدة المؤشرات'!$E$2:$E$208,"الاستثمار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29" t="inlineStr">
        <is>
          <t>الخريطة الاستراتيجية — علاقات السبب والأثر (Balanced Scorecard) · الأداء حي</t>
        </is>
      </c>
    </row>
    <row r="4">
      <c r="B4" s="30" t="inlineStr">
        <is>
          <t>⬆ المنظور المالي — القيمة للمساهمين</t>
        </is>
      </c>
    </row>
    <row r="5">
      <c r="B5" s="31" t="inlineStr">
        <is>
          <t>النمو · الربحية · التدفّق النقدي والتحصيل</t>
        </is>
      </c>
    </row>
    <row r="6">
      <c r="B6" s="32">
        <f>IFERROR(AVERAGEIFS('قاعدة المؤشرات'!$G$2:$G$208,'قاعدة المؤشرات'!$F$2:$F$208,"مالي"),"—")</f>
        <v/>
      </c>
    </row>
    <row r="7">
      <c r="C7" s="33" t="inlineStr">
        <is>
          <t>⬆</t>
        </is>
      </c>
      <c r="E7" s="33" t="inlineStr">
        <is>
          <t>⬆</t>
        </is>
      </c>
      <c r="G7" s="33" t="inlineStr">
        <is>
          <t>⬆</t>
        </is>
      </c>
      <c r="I7" s="33" t="inlineStr">
        <is>
          <t>⬆</t>
        </is>
      </c>
      <c r="K7" s="33" t="inlineStr">
        <is>
          <t>⬆</t>
        </is>
      </c>
    </row>
    <row r="8">
      <c r="B8" s="30" t="inlineStr">
        <is>
          <t>المنظور — العملاء</t>
        </is>
      </c>
    </row>
    <row r="9">
      <c r="B9" s="34" t="inlineStr">
        <is>
          <t>زيادة وصول العملاء</t>
        </is>
      </c>
      <c r="E9" s="34" t="inlineStr">
        <is>
          <t>تعزيز تجربة العملاء</t>
        </is>
      </c>
      <c r="H9" s="34" t="inlineStr">
        <is>
          <t>تطبيق تانكي والولاء</t>
        </is>
      </c>
    </row>
    <row r="10">
      <c r="B10" s="35">
        <f>IFERROR(AVERAGEIFS('قاعدة المؤشرات'!$G$2:$G$208,'قاعدة المؤشرات'!$E$2:$E$208,"زيادة وصول العملاء"),"—")</f>
        <v/>
      </c>
      <c r="E10" s="35">
        <f>IFERROR(AVERAGEIFS('قاعدة المؤشرات'!$G$2:$G$208,'قاعدة المؤشرات'!$E$2:$E$208,"تعزيز تجربة العملاء"),"—")</f>
        <v/>
      </c>
      <c r="H10" s="35">
        <f>IFERROR(AVERAGEIFS('قاعدة المؤشرات'!$G$2:$G$208,'قاعدة المؤشرات'!$E$2:$E$208,"تطبيق «تانكي»"),"—")</f>
        <v/>
      </c>
    </row>
    <row r="11">
      <c r="C11" s="33" t="inlineStr">
        <is>
          <t>⬆</t>
        </is>
      </c>
      <c r="E11" s="33" t="inlineStr">
        <is>
          <t>⬆</t>
        </is>
      </c>
      <c r="G11" s="33" t="inlineStr">
        <is>
          <t>⬆</t>
        </is>
      </c>
      <c r="I11" s="33" t="inlineStr">
        <is>
          <t>⬆</t>
        </is>
      </c>
      <c r="K11" s="33" t="inlineStr">
        <is>
          <t>⬆</t>
        </is>
      </c>
    </row>
    <row r="12">
      <c r="B12" s="30" t="inlineStr">
        <is>
          <t>المنظور — العمليات الداخلية</t>
        </is>
      </c>
    </row>
    <row r="13">
      <c r="B13" s="36" t="inlineStr">
        <is>
          <t>التوسع في المواقع</t>
        </is>
      </c>
      <c r="D13" s="36" t="inlineStr">
        <is>
          <t>الامتياز التجاري</t>
        </is>
      </c>
      <c r="F13" s="36" t="inlineStr">
        <is>
          <t>منظومة التأجير</t>
        </is>
      </c>
      <c r="H13" s="36" t="inlineStr">
        <is>
          <t>ساحات درب</t>
        </is>
      </c>
      <c r="J13" s="36" t="inlineStr">
        <is>
          <t>جودة التشغيل</t>
        </is>
      </c>
    </row>
    <row r="14">
      <c r="B14" s="37">
        <f>IFERROR(AVERAGEIFS('قاعدة المؤشرات'!$G$2:$G$208,'قاعدة المؤشرات'!$E$2:$E$208,"التوسع في المواقع"),"—")</f>
        <v/>
      </c>
      <c r="D14" s="37">
        <f>IFERROR(AVERAGEIFS('قاعدة المؤشرات'!$G$2:$G$208,'قاعدة المؤشرات'!$E$2:$E$208,"الامتياز التجاري"),"—")</f>
        <v/>
      </c>
      <c r="F14" s="37">
        <f>IFERROR(AVERAGEIFS('قاعدة المؤشرات'!$G$2:$G$208,'قاعدة المؤشرات'!$E$2:$E$208,"منظومة التأجير"),"—")</f>
        <v/>
      </c>
      <c r="H14" s="37">
        <f>IFERROR(AVERAGEIFS('قاعدة المؤشرات'!$G$2:$G$208,'قاعدة المؤشرات'!$E$2:$E$208,"ساحات درب"),"—")</f>
        <v/>
      </c>
      <c r="J14" s="37">
        <f>IFERROR(AVERAGEIFS('قاعدة المؤشرات'!$G$2:$G$208,'قاعدة المؤشرات'!$E$2:$E$208,"جودة التشغيل"),"—")</f>
        <v/>
      </c>
    </row>
    <row r="15">
      <c r="C15" s="33" t="inlineStr">
        <is>
          <t>⬆</t>
        </is>
      </c>
      <c r="E15" s="33" t="inlineStr">
        <is>
          <t>⬆</t>
        </is>
      </c>
      <c r="G15" s="33" t="inlineStr">
        <is>
          <t>⬆</t>
        </is>
      </c>
      <c r="I15" s="33" t="inlineStr">
        <is>
          <t>⬆</t>
        </is>
      </c>
      <c r="K15" s="33" t="inlineStr">
        <is>
          <t>⬆</t>
        </is>
      </c>
    </row>
    <row r="16">
      <c r="B16" s="30" t="inlineStr">
        <is>
          <t>المنظور — التعلّم والنمو (الأساس الممكِّن)</t>
        </is>
      </c>
    </row>
    <row r="17">
      <c r="B17" s="38" t="inlineStr">
        <is>
          <t>الاستثمار في الموظفين</t>
        </is>
      </c>
      <c r="D17" s="38" t="inlineStr">
        <is>
          <t>التحول التقني</t>
        </is>
      </c>
      <c r="F17" s="38" t="inlineStr">
        <is>
          <t>إطلاق مشاريع جديدة</t>
        </is>
      </c>
      <c r="H17" s="38" t="inlineStr">
        <is>
          <t>التصاميم والهوية</t>
        </is>
      </c>
    </row>
    <row r="18">
      <c r="B18" s="39">
        <f>IFERROR(AVERAGEIFS('قاعدة المؤشرات'!$G$2:$G$208,'قاعدة المؤشرات'!$E$2:$E$208,"الاستثمار في الموظفين"),"—")</f>
        <v/>
      </c>
      <c r="D18" s="39">
        <f>IFERROR(AVERAGEIFS('قاعدة المؤشرات'!$G$2:$G$208,'قاعدة المؤشرات'!$E$2:$E$208,"التحول التقني"),"—")</f>
        <v/>
      </c>
      <c r="F18" s="39">
        <f>IFERROR(AVERAGEIFS('قاعدة المؤشرات'!$G$2:$G$208,'قاعدة المؤشرات'!$E$2:$E$208,"إطلاق مشاريع جديدة"),"—")</f>
        <v/>
      </c>
      <c r="H18" s="39">
        <f>IFERROR(AVERAGEIFS('قاعدة المؤشرات'!$G$2:$G$208,'قاعدة المؤشرات'!$E$2:$E$208,"تطوير التصاميم والهوية"),"—")</f>
        <v/>
      </c>
    </row>
    <row r="19">
      <c r="B19" s="40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41" t="inlineStr">
        <is>
          <t>اللوحة الموجزة — إنجاز موزون (وزن المؤشر × وزن الإدارة) · سقف 100%</t>
        </is>
      </c>
    </row>
    <row r="4">
      <c r="B4" s="42" t="inlineStr">
        <is>
          <t>الإنجاز العام (موزون)</t>
        </is>
      </c>
      <c r="C4" s="43" t="inlineStr">
        <is>
          <t>✅ محقق</t>
        </is>
      </c>
      <c r="D4" s="43" t="inlineStr">
        <is>
          <t>🟡 قريب</t>
        </is>
      </c>
      <c r="E4" s="43" t="inlineStr">
        <is>
          <t>🔴 تحت الهدف</t>
        </is>
      </c>
    </row>
    <row r="5">
      <c r="B5" s="4">
        <f>IFERROR(SUMPRODUCT(I9:I21,H9:H21)/SUMPRODUCT(I9:I21,J9:J21),0)</f>
        <v/>
      </c>
      <c r="C5" s="5">
        <f>COUNTIFS('قاعدة المؤشرات'!$H$2:$H$208,"✅ محقق",'قاعدة المؤشرات'!$B$2:$B$208,"&lt;&gt;الإدارة التنفيذية")</f>
        <v/>
      </c>
      <c r="D5" s="5">
        <f>COUNTIFS('قاعدة المؤشرات'!$H$2:$H$208,"🟡 قريب",'قاعدة المؤشرات'!$B$2:$B$208,"&lt;&gt;الإدارة التنفيذية")</f>
        <v/>
      </c>
      <c r="E5" s="5">
        <f>COUNTIFS('قاعدة المؤشرات'!$H$2:$H$208,"🔴 تحت الهدف",'قاعدة المؤشرات'!$B$2:$B$208,"&lt;&gt;الإدارة التنفيذية")</f>
        <v/>
      </c>
    </row>
    <row r="7">
      <c r="B7" s="26" t="inlineStr">
        <is>
          <t>الأداء حسب الإدارة (موزون)</t>
        </is>
      </c>
      <c r="C7" s="7" t="n"/>
      <c r="D7" s="26" t="inlineStr">
        <is>
          <t>حسب الركيزة</t>
        </is>
      </c>
      <c r="E7" s="7" t="n"/>
    </row>
    <row r="8">
      <c r="B8" s="43" t="inlineStr">
        <is>
          <t>الإدارة</t>
        </is>
      </c>
      <c r="C8" s="43" t="inlineStr">
        <is>
          <t>الأداء</t>
        </is>
      </c>
      <c r="D8" s="43" t="inlineStr">
        <is>
          <t>الركيزة</t>
        </is>
      </c>
      <c r="E8" s="43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المؤشرات'!$B$2:$B$208,"الإدارة التنفيذية",'قاعدة المؤشرات'!$J$2:$J$208)/SUMIF('قاعدة المؤشرات'!$B$2:$B$208,"الإدارة التنفيذية",'قاعدة المؤشرات'!$K$2:$K$208),"—")</f>
        <v/>
      </c>
      <c r="D9" s="9" t="inlineStr">
        <is>
          <t>النمو</t>
        </is>
      </c>
      <c r="E9" s="10">
        <f>IFERROR(AVERAGEIFS('قاعدة المؤشرات'!$G$2:$G$208,'قاعدة المؤشرات'!$D$2:$D$208,"النمو"),"—")</f>
        <v/>
      </c>
      <c r="H9" s="15">
        <f>IFERROR(SUMIF('قاعدة المؤشرات'!$B$2:$B$208,"الإدارة التنفيذية",'قاعدة المؤشرات'!$J$2:$J$208)/SUMIF('قاعدة المؤشرات'!$B$2:$B$208,"الإدارة التنفيذية",'قاعدة المؤشرات'!$K$2:$K$208),0)</f>
        <v/>
      </c>
      <c r="I9" s="15" t="n">
        <v>0</v>
      </c>
      <c r="J9" s="15">
        <f>IF(SUMIF('قاعدة المؤشرات'!$B$2:$B$208,"الإدارة التنفيذية",'قاعدة المؤشرات'!$K$2:$K$208)=0,0,1)</f>
        <v/>
      </c>
    </row>
    <row r="10">
      <c r="B10" s="9" t="inlineStr">
        <is>
          <t>الامتياز التجاري</t>
        </is>
      </c>
      <c r="C10" s="10">
        <f>IFERROR(SUMIF('قاعدة المؤشرات'!$B$2:$B$208,"الامتياز التجاري",'قاعدة المؤشرات'!$J$2:$J$208)/SUMIF('قاعدة المؤشرات'!$B$2:$B$208,"الامتياز التجاري",'قاعدة المؤشرات'!$K$2:$K$208),"—")</f>
        <v/>
      </c>
      <c r="D10" s="9" t="inlineStr">
        <is>
          <t>الابتكار</t>
        </is>
      </c>
      <c r="E10" s="10">
        <f>IFERROR(AVERAGEIFS('قاعدة المؤشرات'!$G$2:$G$208,'قاعدة المؤشرات'!$D$2:$D$208,"الابتكار"),"—")</f>
        <v/>
      </c>
      <c r="H10" s="15">
        <f>IFERROR(SUMIF('قاعدة المؤشرات'!$B$2:$B$208,"الامتياز التجاري",'قاعدة المؤشرات'!$J$2:$J$208)/SUMIF('قاعدة المؤشرات'!$B$2:$B$208,"الامتياز التجاري",'قاعدة المؤشرات'!$K$2:$K$208),0)</f>
        <v/>
      </c>
      <c r="I10" s="15" t="n">
        <v>0.15</v>
      </c>
      <c r="J10" s="15">
        <f>IF(SUMIF('قاعدة المؤشرات'!$B$2:$B$208,"الامتياز التجاري",'قاعدة المؤشرات'!$K$2:$K$208)=0,0,1)</f>
        <v/>
      </c>
    </row>
    <row r="11">
      <c r="B11" s="9" t="inlineStr">
        <is>
          <t>التشغيل والمحطات</t>
        </is>
      </c>
      <c r="C11" s="10">
        <f>IFERROR(SUMIF('قاعدة المؤشرات'!$B$2:$B$208,"التشغيل والمحطات",'قاعدة المؤشرات'!$J$2:$J$208)/SUMIF('قاعدة المؤشرات'!$B$2:$B$208,"التشغيل والمحطات",'قاعدة المؤشرات'!$K$2:$K$208),"—")</f>
        <v/>
      </c>
      <c r="D11" s="9" t="inlineStr">
        <is>
          <t>الاستدامة</t>
        </is>
      </c>
      <c r="E11" s="10">
        <f>IFERROR(AVERAGEIFS('قاعدة المؤشرات'!$G$2:$G$208,'قاعدة المؤشرات'!$D$2:$D$208,"الاستدامة"),"—")</f>
        <v/>
      </c>
      <c r="H11" s="15">
        <f>IFERROR(SUMIF('قاعدة المؤشرات'!$B$2:$B$208,"التشغيل والمحطات",'قاعدة المؤشرات'!$J$2:$J$208)/SUMIF('قاعدة المؤشرات'!$B$2:$B$208,"التشغيل والمحطات",'قاعدة المؤشرات'!$K$2:$K$208),0)</f>
        <v/>
      </c>
      <c r="I11" s="15" t="n">
        <v>0.13</v>
      </c>
      <c r="J11" s="15">
        <f>IF(SUMIF('قاعدة المؤشرات'!$B$2:$B$208,"التشغيل والمحطات",'قاعدة المؤشرات'!$K$2:$K$208)=0,0,1)</f>
        <v/>
      </c>
    </row>
    <row r="12">
      <c r="B12" s="9" t="inlineStr">
        <is>
          <t>الاستثمار</t>
        </is>
      </c>
      <c r="C12" s="10">
        <f>IFERROR(SUMIF('قاعدة المؤشرات'!$B$2:$B$208,"الاستثمار",'قاعدة المؤشرات'!$J$2:$J$208)/SUMIF('قاعدة المؤشرات'!$B$2:$B$208,"الاستثمار",'قاعدة المؤشرات'!$K$2:$K$208),"—")</f>
        <v/>
      </c>
      <c r="H12" s="15">
        <f>IFERROR(SUMIF('قاعدة المؤشرات'!$B$2:$B$208,"الاستثمار",'قاعدة المؤشرات'!$J$2:$J$208)/SUMIF('قاعدة المؤشرات'!$B$2:$B$208,"الاستثمار",'قاعدة المؤشرات'!$K$2:$K$208),0)</f>
        <v/>
      </c>
      <c r="I12" s="15" t="n">
        <v>0.11</v>
      </c>
      <c r="J12" s="15">
        <f>IF(SUMIF('قاعدة المؤشرات'!$B$2:$B$208,"الاستثمار",'قاعدة المؤشرات'!$K$2:$K$208)=0,0,1)</f>
        <v/>
      </c>
    </row>
    <row r="13">
      <c r="B13" s="9" t="inlineStr">
        <is>
          <t>العقار</t>
        </is>
      </c>
      <c r="C13" s="10">
        <f>IFERROR(SUMIF('قاعدة المؤشرات'!$B$2:$B$208,"العقار",'قاعدة المؤشرات'!$J$2:$J$208)/SUMIF('قاعدة المؤشرات'!$B$2:$B$208,"العقار",'قاعدة المؤشرات'!$K$2:$K$208),"—")</f>
        <v/>
      </c>
      <c r="D13" s="42" t="inlineStr">
        <is>
          <t>حسب منظور BSC</t>
        </is>
      </c>
      <c r="E13" s="7" t="n"/>
      <c r="H13" s="15">
        <f>IFERROR(SUMIF('قاعدة المؤشرات'!$B$2:$B$208,"العقار",'قاعدة المؤشرات'!$J$2:$J$208)/SUMIF('قاعدة المؤشرات'!$B$2:$B$208,"العقار",'قاعدة المؤشرات'!$K$2:$K$208),0)</f>
        <v/>
      </c>
      <c r="I13" s="15" t="n">
        <v>0.1</v>
      </c>
      <c r="J13" s="15">
        <f>IF(SUMIF('قاعدة المؤشرات'!$B$2:$B$208,"العقار",'قاعدة المؤشرات'!$K$2:$K$208)=0,0,1)</f>
        <v/>
      </c>
    </row>
    <row r="14">
      <c r="B14" s="9" t="inlineStr">
        <is>
          <t>إدارة المشاريع</t>
        </is>
      </c>
      <c r="C14" s="10">
        <f>IFERROR(SUMIF('قاعدة المؤشرات'!$B$2:$B$208,"إدارة المشاريع",'قاعدة المؤشرات'!$J$2:$J$208)/SUMIF('قاعدة المؤشرات'!$B$2:$B$208,"إدارة المشاريع",'قاعدة المؤشرات'!$K$2:$K$208),"—")</f>
        <v/>
      </c>
      <c r="D14" s="9" t="inlineStr">
        <is>
          <t>مالي</t>
        </is>
      </c>
      <c r="E14" s="10">
        <f>IFERROR(AVERAGEIFS('قاعدة المؤشرات'!$G$2:$G$208,'قاعدة المؤشرات'!$F$2:$F$208,"مالي"),"—")</f>
        <v/>
      </c>
      <c r="H14" s="15">
        <f>IFERROR(SUMIF('قاعدة المؤشرات'!$B$2:$B$208,"إدارة المشاريع",'قاعدة المؤشرات'!$J$2:$J$208)/SUMIF('قاعدة المؤشرات'!$B$2:$B$208,"إدارة المشاريع",'قاعدة المؤشرات'!$K$2:$K$208),0)</f>
        <v/>
      </c>
      <c r="I14" s="15" t="n">
        <v>0.09</v>
      </c>
      <c r="J14" s="15">
        <f>IF(SUMIF('قاعدة المؤشرات'!$B$2:$B$208,"إدارة المشاريع",'قاعدة المؤشرات'!$K$2:$K$208)=0,0,1)</f>
        <v/>
      </c>
    </row>
    <row r="15">
      <c r="B15" s="9" t="inlineStr">
        <is>
          <t>سلاسل الإمداد</t>
        </is>
      </c>
      <c r="C15" s="10">
        <f>IFERROR(SUMIF('قاعدة المؤشرات'!$B$2:$B$208,"سلاسل الإمداد",'قاعدة المؤشرات'!$J$2:$J$208)/SUMIF('قاعدة المؤشرات'!$B$2:$B$208,"سلاسل الإمداد",'قاعدة المؤشرات'!$K$2:$K$208),"—")</f>
        <v/>
      </c>
      <c r="D15" s="9" t="inlineStr">
        <is>
          <t>العملاء</t>
        </is>
      </c>
      <c r="E15" s="10">
        <f>IFERROR(AVERAGEIFS('قاعدة المؤشرات'!$G$2:$G$208,'قاعدة المؤشرات'!$F$2:$F$208,"العملاء"),"—")</f>
        <v/>
      </c>
      <c r="H15" s="15">
        <f>IFERROR(SUMIF('قاعدة المؤشرات'!$B$2:$B$208,"سلاسل الإمداد",'قاعدة المؤشرات'!$J$2:$J$208)/SUMIF('قاعدة المؤشرات'!$B$2:$B$208,"سلاسل الإمداد",'قاعدة المؤشرات'!$K$2:$K$208),0)</f>
        <v/>
      </c>
      <c r="I15" s="15" t="n">
        <v>0.1</v>
      </c>
      <c r="J15" s="15">
        <f>IF(SUMIF('قاعدة المؤشرات'!$B$2:$B$208,"سلاسل الإمداد",'قاعدة المؤشرات'!$K$2:$K$208)=0,0,1)</f>
        <v/>
      </c>
    </row>
    <row r="16">
      <c r="B16" s="9" t="inlineStr">
        <is>
          <t>التقنية الرقمية</t>
        </is>
      </c>
      <c r="C16" s="10">
        <f>IFERROR(SUMIF('قاعدة المؤشرات'!$B$2:$B$208,"التقنية الرقمية",'قاعدة المؤشرات'!$J$2:$J$208)/SUMIF('قاعدة المؤشرات'!$B$2:$B$208,"التقنية الرقمية",'قاعدة المؤشرات'!$K$2:$K$208),"—")</f>
        <v/>
      </c>
      <c r="D16" s="9" t="inlineStr">
        <is>
          <t>العمليات الداخلية</t>
        </is>
      </c>
      <c r="E16" s="10">
        <f>IFERROR(AVERAGEIFS('قاعدة المؤشرات'!$G$2:$G$208,'قاعدة المؤشرات'!$F$2:$F$208,"العمليات الداخلية"),"—")</f>
        <v/>
      </c>
      <c r="H16" s="15">
        <f>IFERROR(SUMIF('قاعدة المؤشرات'!$B$2:$B$208,"التقنية الرقمية",'قاعدة المؤشرات'!$J$2:$J$208)/SUMIF('قاعدة المؤشرات'!$B$2:$B$208,"التقنية الرقمية",'قاعدة المؤشرات'!$K$2:$K$208),0)</f>
        <v/>
      </c>
      <c r="I16" s="15" t="n">
        <v>0.05</v>
      </c>
      <c r="J16" s="15">
        <f>IF(SUMIF('قاعدة المؤشرات'!$B$2:$B$208,"التقنية الرقمية",'قاعدة المؤشرات'!$K$2:$K$208)=0,0,1)</f>
        <v/>
      </c>
    </row>
    <row r="17">
      <c r="B17" s="9" t="inlineStr">
        <is>
          <t>الموارد البشرية</t>
        </is>
      </c>
      <c r="C17" s="10">
        <f>IFERROR(SUMIF('قاعدة المؤشرات'!$B$2:$B$208,"الموارد البشرية",'قاعدة المؤشرات'!$J$2:$J$208)/SUMIF('قاعدة المؤشرات'!$B$2:$B$208,"الموارد البشرية",'قاعدة المؤشرات'!$K$2:$K$208),"—")</f>
        <v/>
      </c>
      <c r="D17" s="9" t="inlineStr">
        <is>
          <t>التعلّم والنمو</t>
        </is>
      </c>
      <c r="E17" s="10">
        <f>IFERROR(AVERAGEIFS('قاعدة المؤشرات'!$G$2:$G$208,'قاعدة المؤشرات'!$F$2:$F$208,"التعلّم والنمو"),"—")</f>
        <v/>
      </c>
      <c r="H17" s="15">
        <f>IFERROR(SUMIF('قاعدة المؤشرات'!$B$2:$B$208,"الموارد البشرية",'قاعدة المؤشرات'!$J$2:$J$208)/SUMIF('قاعدة المؤشرات'!$B$2:$B$208,"الموارد البشرية",'قاعدة المؤشرات'!$K$2:$K$208),0)</f>
        <v/>
      </c>
      <c r="I17" s="15" t="n">
        <v>0.05</v>
      </c>
      <c r="J17" s="15">
        <f>IF(SUMIF('قاعدة المؤشرات'!$B$2:$B$208,"الموارد البشرية",'قاعدة المؤشرات'!$K$2:$K$208)=0,0,1)</f>
        <v/>
      </c>
    </row>
    <row r="18">
      <c r="B18" s="9" t="inlineStr">
        <is>
          <t>التسويق</t>
        </is>
      </c>
      <c r="C18" s="10">
        <f>IFERROR(SUMIF('قاعدة المؤشرات'!$B$2:$B$208,"التسويق",'قاعدة المؤشرات'!$J$2:$J$208)/SUMIF('قاعدة المؤشرات'!$B$2:$B$208,"التسويق",'قاعدة المؤشرات'!$K$2:$K$208),"—")</f>
        <v/>
      </c>
      <c r="H18" s="15">
        <f>IFERROR(SUMIF('قاعدة المؤشرات'!$B$2:$B$208,"التسويق",'قاعدة المؤشرات'!$J$2:$J$208)/SUMIF('قاعدة المؤشرات'!$B$2:$B$208,"التسويق",'قاعدة المؤشرات'!$K$2:$K$208),0)</f>
        <v/>
      </c>
      <c r="I18" s="15" t="n">
        <v>0.05</v>
      </c>
      <c r="J18" s="15">
        <f>IF(SUMIF('قاعدة المؤشرات'!$B$2:$B$208,"التسويق",'قاعدة المؤشرات'!$K$2:$K$208)=0,0,1)</f>
        <v/>
      </c>
    </row>
    <row r="19">
      <c r="B19" s="9" t="inlineStr">
        <is>
          <t>الجودة</t>
        </is>
      </c>
      <c r="C19" s="10">
        <f>IFERROR(SUMIF('قاعدة المؤشرات'!$B$2:$B$208,"الجودة",'قاعدة المؤشرات'!$J$2:$J$208)/SUMIF('قاعدة المؤشرات'!$B$2:$B$208,"الجودة",'قاعدة المؤشرات'!$K$2:$K$208),"—")</f>
        <v/>
      </c>
      <c r="H19" s="15">
        <f>IFERROR(SUMIF('قاعدة المؤشرات'!$B$2:$B$208,"الجودة",'قاعدة المؤشرات'!$J$2:$J$208)/SUMIF('قاعدة المؤشرات'!$B$2:$B$208,"الجودة",'قاعدة المؤشرات'!$K$2:$K$208),0)</f>
        <v/>
      </c>
      <c r="I19" s="15" t="n">
        <v>0.05</v>
      </c>
      <c r="J19" s="15">
        <f>IF(SUMIF('قاعدة المؤشرات'!$B$2:$B$208,"الجودة",'قاعدة المؤشرات'!$K$2:$K$208)=0,0,1)</f>
        <v/>
      </c>
    </row>
    <row r="20">
      <c r="B20" s="9" t="inlineStr">
        <is>
          <t>الإدارة القانونية</t>
        </is>
      </c>
      <c r="C20" s="10">
        <f>IFERROR(SUMIF('قاعدة المؤشرات'!$B$2:$B$208,"الإدارة القانونية",'قاعدة المؤشرات'!$J$2:$J$208)/SUMIF('قاعدة المؤشرات'!$B$2:$B$208,"الإدارة القانونية",'قاعدة المؤشرات'!$K$2:$K$208),"—")</f>
        <v/>
      </c>
      <c r="H20" s="15">
        <f>IFERROR(SUMIF('قاعدة المؤشرات'!$B$2:$B$208,"الإدارة القانونية",'قاعدة المؤشرات'!$J$2:$J$208)/SUMIF('قاعدة المؤشرات'!$B$2:$B$208,"الإدارة القانونية",'قاعدة المؤشرات'!$K$2:$K$208),0)</f>
        <v/>
      </c>
      <c r="I20" s="15" t="n">
        <v>0.04</v>
      </c>
      <c r="J20" s="15">
        <f>IF(SUMIF('قاعدة المؤشرات'!$B$2:$B$208,"الإدارة القانونية",'قاعدة المؤشرات'!$K$2:$K$208)=0,0,1)</f>
        <v/>
      </c>
    </row>
    <row r="21">
      <c r="B21" s="9" t="inlineStr">
        <is>
          <t>الإدارة المالية</t>
        </is>
      </c>
      <c r="C21" s="10">
        <f>IFERROR(SUMIF('قاعدة المؤشرات'!$B$2:$B$208,"الإدارة المالية",'قاعدة المؤشرات'!$J$2:$J$208)/SUMIF('قاعدة المؤشرات'!$B$2:$B$208,"الإدارة المالية",'قاعدة المؤشرات'!$K$2:$K$208),"—")</f>
        <v/>
      </c>
      <c r="H21" s="15">
        <f>IFERROR(SUMIF('قاعدة المؤشرات'!$B$2:$B$208,"الإدارة المالية",'قاعدة المؤشرات'!$J$2:$J$208)/SUMIF('قاعدة المؤشرات'!$B$2:$B$208,"الإدارة المالية",'قاعدة المؤشرات'!$K$2:$K$208),0)</f>
        <v/>
      </c>
      <c r="I21" s="15" t="n">
        <v>0.08</v>
      </c>
      <c r="J21" s="15">
        <f>IF(SUMIF('قاعدة المؤشرات'!$B$2:$B$208,"الإدارة المالية",'قاعدة المؤشرات'!$K$2:$K$208)=0,0,1)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8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4" t="inlineStr">
        <is>
          <t>تحليل الانحراف — المؤشرات دون المستهدف مع السبب والإجراء (تقرير الاستثناءات)</t>
        </is>
      </c>
    </row>
    <row r="2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المُحقَّق</t>
        </is>
      </c>
      <c r="E2" s="45" t="inlineStr">
        <is>
          <t>المستهدف</t>
        </is>
      </c>
      <c r="F2" s="45" t="inlineStr">
        <is>
          <t>نسبة التحقيق</t>
        </is>
      </c>
      <c r="G2" s="45" t="inlineStr">
        <is>
          <t>الفجوة</t>
        </is>
      </c>
      <c r="H2" s="45" t="inlineStr">
        <is>
          <t>التنبؤ</t>
        </is>
      </c>
      <c r="I2" s="45" t="inlineStr">
        <is>
          <t>الحالة</t>
        </is>
      </c>
      <c r="J2" s="45" t="inlineStr">
        <is>
          <t>السبب</t>
        </is>
      </c>
      <c r="K2" s="45" t="inlineStr">
        <is>
          <t>الإجراء التصحيحي</t>
        </is>
      </c>
      <c r="L2" s="45" t="inlineStr">
        <is>
          <t>المالك</t>
        </is>
      </c>
      <c r="M2" s="45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4" t="inlineStr">
        <is>
          <t>معدل التفاعل (Engagement)</t>
        </is>
      </c>
      <c r="D3" s="46" t="n">
        <v>0</v>
      </c>
      <c r="E3" s="46" t="n">
        <v>0.5</v>
      </c>
      <c r="F3" s="47" t="n">
        <v>0</v>
      </c>
      <c r="G3" s="12" t="n">
        <v>1</v>
      </c>
      <c r="H3" s="46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48" t="n"/>
    </row>
    <row r="4">
      <c r="A4" s="15" t="n">
        <v>2</v>
      </c>
      <c r="B4" s="13" t="inlineStr">
        <is>
          <t>التسويق</t>
        </is>
      </c>
      <c r="C4" s="24" t="inlineStr">
        <is>
          <t>عدد المعارض بالسنة</t>
        </is>
      </c>
      <c r="D4" s="46" t="n">
        <v>0</v>
      </c>
      <c r="E4" s="46" t="n">
        <v>3</v>
      </c>
      <c r="F4" s="47" t="n">
        <v>0</v>
      </c>
      <c r="G4" s="12" t="n">
        <v>1</v>
      </c>
      <c r="H4" s="46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48" t="n"/>
    </row>
    <row r="5">
      <c r="A5" s="15" t="n">
        <v>3</v>
      </c>
      <c r="B5" s="13" t="inlineStr">
        <is>
          <t>التسويق</t>
        </is>
      </c>
      <c r="C5" s="24" t="inlineStr">
        <is>
          <t>اتفاقيات استراتيجية</t>
        </is>
      </c>
      <c r="D5" s="46" t="n">
        <v>0</v>
      </c>
      <c r="E5" s="46" t="n">
        <v>3</v>
      </c>
      <c r="F5" s="47" t="n">
        <v>0</v>
      </c>
      <c r="G5" s="12" t="n">
        <v>1</v>
      </c>
      <c r="H5" s="46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48" t="n"/>
    </row>
    <row r="6">
      <c r="A6" s="15" t="n">
        <v>4</v>
      </c>
      <c r="B6" s="13" t="inlineStr">
        <is>
          <t>التسويق</t>
        </is>
      </c>
      <c r="C6" s="24" t="inlineStr">
        <is>
          <t>عملاء تجاريون جدد</t>
        </is>
      </c>
      <c r="D6" s="46" t="n">
        <v>1</v>
      </c>
      <c r="E6" s="46" t="n">
        <v>200</v>
      </c>
      <c r="F6" s="47" t="n">
        <v>0.005</v>
      </c>
      <c r="G6" s="12" t="n">
        <v>0.995</v>
      </c>
      <c r="H6" s="46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48" t="n"/>
    </row>
    <row r="7">
      <c r="A7" s="15" t="n">
        <v>5</v>
      </c>
      <c r="B7" s="13" t="inlineStr">
        <is>
          <t>التقنية الرقمية</t>
        </is>
      </c>
      <c r="C7" s="24" t="inlineStr">
        <is>
          <t>نسبة إنجاز محفظة مشاريع التحول الرقمي</t>
        </is>
      </c>
      <c r="D7" s="46" t="n">
        <v>0.06</v>
      </c>
      <c r="E7" s="46" t="n">
        <v>1</v>
      </c>
      <c r="F7" s="47" t="n">
        <v>0.06</v>
      </c>
      <c r="G7" s="12" t="n">
        <v>0.9399999999999999</v>
      </c>
      <c r="H7" s="46" t="n">
        <v>0.06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التقنية</t>
        </is>
      </c>
      <c r="M7" s="48" t="n"/>
    </row>
    <row r="8">
      <c r="A8" s="15" t="n">
        <v>6</v>
      </c>
      <c r="B8" s="13" t="inlineStr">
        <is>
          <t>التسويق</t>
        </is>
      </c>
      <c r="C8" s="24" t="inlineStr">
        <is>
          <t>الوصول الكلي (Total Reach)</t>
        </is>
      </c>
      <c r="D8" s="46" t="n">
        <v>5000000</v>
      </c>
      <c r="E8" s="46" t="n">
        <v>50000000</v>
      </c>
      <c r="F8" s="47" t="n">
        <v>0.1</v>
      </c>
      <c r="G8" s="12" t="n">
        <v>0.9</v>
      </c>
      <c r="H8" s="46" t="n">
        <v>5000000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48" t="n"/>
    </row>
    <row r="9">
      <c r="A9" s="15" t="n">
        <v>7</v>
      </c>
      <c r="B9" s="13" t="inlineStr">
        <is>
          <t>التسويق</t>
        </is>
      </c>
      <c r="C9" s="24" t="inlineStr">
        <is>
          <t>نسبة التزام الهوية البصرية</t>
        </is>
      </c>
      <c r="D9" s="46" t="n">
        <v>0.1</v>
      </c>
      <c r="E9" s="46" t="n">
        <v>1</v>
      </c>
      <c r="F9" s="47" t="n">
        <v>0.1</v>
      </c>
      <c r="G9" s="12" t="n">
        <v>0.9</v>
      </c>
      <c r="H9" s="46" t="n">
        <v>0.1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48" t="n"/>
    </row>
    <row r="10">
      <c r="A10" s="15" t="n">
        <v>8</v>
      </c>
      <c r="B10" s="13" t="inlineStr">
        <is>
          <t>التسويق</t>
        </is>
      </c>
      <c r="C10" s="24" t="inlineStr">
        <is>
          <t>نسبة المبيعات لكل حملة</t>
        </is>
      </c>
      <c r="D10" s="46" t="n">
        <v>0.16</v>
      </c>
      <c r="E10" s="46" t="n">
        <v>1</v>
      </c>
      <c r="F10" s="47" t="n">
        <v>0.16</v>
      </c>
      <c r="G10" s="12" t="n">
        <v>0.84</v>
      </c>
      <c r="H10" s="46" t="n">
        <v>0.16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48" t="n"/>
    </row>
    <row r="11">
      <c r="A11" s="15" t="n">
        <v>9</v>
      </c>
      <c r="B11" s="13" t="inlineStr">
        <is>
          <t>التقنية الرقمية</t>
        </is>
      </c>
      <c r="C11" s="24" t="inlineStr">
        <is>
          <t>نسبة التكامل الرقمي (ERP/واثق/الولاء)</t>
        </is>
      </c>
      <c r="D11" s="46" t="n">
        <v>0.2</v>
      </c>
      <c r="E11" s="46" t="n">
        <v>1</v>
      </c>
      <c r="F11" s="47" t="n">
        <v>0.2</v>
      </c>
      <c r="G11" s="12" t="n">
        <v>0.8</v>
      </c>
      <c r="H11" s="46" t="n">
        <v>0.2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التقنية</t>
        </is>
      </c>
      <c r="M11" s="48" t="n"/>
    </row>
    <row r="12">
      <c r="A12" s="15" t="n">
        <v>10</v>
      </c>
      <c r="B12" s="13" t="inlineStr">
        <is>
          <t>التسويق</t>
        </is>
      </c>
      <c r="C12" s="24" t="inlineStr">
        <is>
          <t>وصول العلاقات العامة (PR)</t>
        </is>
      </c>
      <c r="D12" s="46" t="n">
        <v>1500000</v>
      </c>
      <c r="E12" s="46" t="n">
        <v>7000000</v>
      </c>
      <c r="F12" s="47" t="n">
        <v>0.2142857142857143</v>
      </c>
      <c r="G12" s="12" t="n">
        <v>0.7857142857142857</v>
      </c>
      <c r="H12" s="46" t="n">
        <v>1500000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48" t="n"/>
    </row>
    <row r="13">
      <c r="A13" s="15" t="n">
        <v>11</v>
      </c>
      <c r="B13" s="13" t="inlineStr">
        <is>
          <t>التسويق</t>
        </is>
      </c>
      <c r="C13" s="24" t="inlineStr">
        <is>
          <t>حملات تسويقية منجزة</t>
        </is>
      </c>
      <c r="D13" s="46" t="n">
        <v>11</v>
      </c>
      <c r="E13" s="46" t="n">
        <v>48</v>
      </c>
      <c r="F13" s="47" t="n">
        <v>0.2291666666666667</v>
      </c>
      <c r="G13" s="12" t="n">
        <v>0.7708333333333334</v>
      </c>
      <c r="H13" s="46" t="n">
        <v>22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48" t="n"/>
    </row>
    <row r="14">
      <c r="A14" s="15" t="n">
        <v>12</v>
      </c>
      <c r="B14" s="13" t="inlineStr">
        <is>
          <t>التقنية الرقمية</t>
        </is>
      </c>
      <c r="C14" s="24" t="inlineStr">
        <is>
          <t>نسبة الامتثال للأمن السيبراني</t>
        </is>
      </c>
      <c r="D14" s="46" t="n">
        <v>0.3</v>
      </c>
      <c r="E14" s="46" t="n">
        <v>1</v>
      </c>
      <c r="F14" s="47" t="n">
        <v>0.3</v>
      </c>
      <c r="G14" s="12" t="n">
        <v>0.7</v>
      </c>
      <c r="H14" s="46" t="n">
        <v>0.3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التقنية</t>
        </is>
      </c>
      <c r="M14" s="48" t="n"/>
    </row>
    <row r="15">
      <c r="A15" s="15" t="n">
        <v>13</v>
      </c>
      <c r="B15" s="13" t="inlineStr">
        <is>
          <t>التقنية الرقمية</t>
        </is>
      </c>
      <c r="C15" s="24" t="inlineStr">
        <is>
          <t>نسبة تفعيل الأنظمة الأساسية بالمحطات</t>
        </is>
      </c>
      <c r="D15" s="46" t="n">
        <v>0.33</v>
      </c>
      <c r="E15" s="46" t="n">
        <v>1</v>
      </c>
      <c r="F15" s="47" t="n">
        <v>0.33</v>
      </c>
      <c r="G15" s="12" t="n">
        <v>0.6699999999999999</v>
      </c>
      <c r="H15" s="46" t="n">
        <v>0.33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التقنية</t>
        </is>
      </c>
      <c r="M15" s="48" t="n"/>
    </row>
    <row r="16">
      <c r="A16" s="15" t="n">
        <v>14</v>
      </c>
      <c r="B16" s="13" t="inlineStr">
        <is>
          <t>التسويق</t>
        </is>
      </c>
      <c r="C16" s="24" t="inlineStr">
        <is>
          <t>إجمالي المتابعين (كل المنصات)</t>
        </is>
      </c>
      <c r="D16" s="46" t="n">
        <v>253000</v>
      </c>
      <c r="E16" s="46" t="n">
        <v>380000</v>
      </c>
      <c r="F16" s="47" t="n">
        <v>0.6657894736842105</v>
      </c>
      <c r="G16" s="12" t="n">
        <v>0.3342105263157895</v>
      </c>
      <c r="H16" s="46" t="n">
        <v>253000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48" t="n"/>
    </row>
    <row r="17">
      <c r="A17" s="15" t="n">
        <v>15</v>
      </c>
      <c r="B17" s="13" t="inlineStr">
        <is>
          <t>التسويق</t>
        </is>
      </c>
      <c r="C17" s="24" t="inlineStr">
        <is>
          <t>تحويل الفرص إلى عقود</t>
        </is>
      </c>
      <c r="D17" s="46" t="n">
        <v>0.17</v>
      </c>
      <c r="E17" s="46" t="n">
        <v>0.25</v>
      </c>
      <c r="F17" s="47" t="n">
        <v>0.68</v>
      </c>
      <c r="G17" s="12" t="n">
        <v>0.32</v>
      </c>
      <c r="H17" s="46" t="n">
        <v>0.17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48" t="n"/>
    </row>
    <row r="18">
      <c r="A18" s="15" t="n">
        <v>16</v>
      </c>
      <c r="B18" s="13" t="inlineStr">
        <is>
          <t>التسويق</t>
        </is>
      </c>
      <c r="C18" s="24" t="inlineStr">
        <is>
          <t>معدل خفض الشكاوى</t>
        </is>
      </c>
      <c r="D18" s="46" t="n">
        <v>0.21</v>
      </c>
      <c r="E18" s="46" t="n">
        <v>0.3</v>
      </c>
      <c r="F18" s="47" t="n">
        <v>0.7</v>
      </c>
      <c r="G18" s="12" t="n">
        <v>0.3</v>
      </c>
      <c r="H18" s="46" t="n">
        <v>0.21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التسويق</t>
        </is>
      </c>
      <c r="M18" s="48" t="n"/>
    </row>
    <row r="19">
      <c r="A19" s="15" t="n">
        <v>17</v>
      </c>
      <c r="B19" s="13" t="inlineStr">
        <is>
          <t>التسويق</t>
        </is>
      </c>
      <c r="C19" s="24" t="inlineStr">
        <is>
          <t>مشاركات تطبيق تانكي</t>
        </is>
      </c>
      <c r="D19" s="46" t="n">
        <v>180.7</v>
      </c>
      <c r="E19" s="46" t="n">
        <v>250</v>
      </c>
      <c r="F19" s="47" t="n">
        <v>0.7228</v>
      </c>
      <c r="G19" s="12" t="n">
        <v>0.2772</v>
      </c>
      <c r="H19" s="46" t="n">
        <v>361.4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التسويق</t>
        </is>
      </c>
      <c r="M19" s="48" t="n"/>
    </row>
    <row r="20">
      <c r="A20" s="15" t="n">
        <v>18</v>
      </c>
      <c r="B20" s="13" t="inlineStr">
        <is>
          <t>الموارد البشرية</t>
        </is>
      </c>
      <c r="C20" s="24" t="inlineStr">
        <is>
          <t>الارتقاء بآليات اختيار المرشحين</t>
        </is>
      </c>
      <c r="D20" s="46" t="n">
        <v>0.723</v>
      </c>
      <c r="E20" s="46" t="n">
        <v>1</v>
      </c>
      <c r="F20" s="47" t="n">
        <v>0.723</v>
      </c>
      <c r="G20" s="12" t="n">
        <v>0.277</v>
      </c>
      <c r="H20" s="46" t="n">
        <v>0.723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الموارد البشرية</t>
        </is>
      </c>
      <c r="M20" s="48" t="n"/>
    </row>
    <row r="21">
      <c r="A21" s="15" t="n">
        <v>19</v>
      </c>
      <c r="B21" s="13" t="inlineStr">
        <is>
          <t>الاستثمار</t>
        </is>
      </c>
      <c r="C21" s="24" t="inlineStr">
        <is>
          <t>عقود تشغيل المحطة الجديدة</t>
        </is>
      </c>
      <c r="D21" s="46" t="n">
        <v>49.4</v>
      </c>
      <c r="E21" s="46" t="n">
        <v>68</v>
      </c>
      <c r="F21" s="47" t="n">
        <v>0.7264705882352941</v>
      </c>
      <c r="G21" s="12" t="n">
        <v>0.2735294117647059</v>
      </c>
      <c r="H21" s="46" t="n">
        <v>98.8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الاستثمار</t>
        </is>
      </c>
      <c r="M21" s="48" t="n"/>
    </row>
    <row r="22">
      <c r="A22" s="15" t="n">
        <v>20</v>
      </c>
      <c r="B22" s="13" t="inlineStr">
        <is>
          <t>الإدارة القانونية</t>
        </is>
      </c>
      <c r="C22" s="24" t="inlineStr">
        <is>
          <t>نسبة الاستشارات المُنجزة ضمن المدة المستهدفة (SLA)</t>
        </is>
      </c>
      <c r="D22" s="46" t="n">
        <v>0.659</v>
      </c>
      <c r="E22" s="46" t="n">
        <v>0.9</v>
      </c>
      <c r="F22" s="47" t="n">
        <v>0.7322222222222222</v>
      </c>
      <c r="G22" s="12" t="n">
        <v>0.2677777777777778</v>
      </c>
      <c r="H22" s="46" t="n">
        <v>0.659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المدير القانوني</t>
        </is>
      </c>
      <c r="M22" s="48" t="n"/>
    </row>
    <row r="23">
      <c r="A23" s="15" t="n">
        <v>21</v>
      </c>
      <c r="B23" s="13" t="inlineStr">
        <is>
          <t>الامتياز التجاري</t>
        </is>
      </c>
      <c r="C23" s="24" t="inlineStr">
        <is>
          <t>عدد محطات الامتياز المشغّلة (تراكمي)</t>
        </is>
      </c>
      <c r="D23" s="46" t="n">
        <v>110</v>
      </c>
      <c r="E23" s="46" t="n">
        <v>150</v>
      </c>
      <c r="F23" s="47" t="n">
        <v>0.7333333333333333</v>
      </c>
      <c r="G23" s="12" t="n">
        <v>0.2666666666666667</v>
      </c>
      <c r="H23" s="46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48" t="n"/>
    </row>
    <row r="24">
      <c r="A24" s="15" t="n">
        <v>22</v>
      </c>
      <c r="B24" s="13" t="inlineStr">
        <is>
          <t>الإدارة المالية</t>
        </is>
      </c>
      <c r="C24" s="24" t="inlineStr">
        <is>
          <t>نسبة التحصيل العام (الشركة)</t>
        </is>
      </c>
      <c r="D24" s="46" t="n">
        <v>0.699</v>
      </c>
      <c r="E24" s="46" t="n">
        <v>0.95</v>
      </c>
      <c r="F24" s="47" t="n">
        <v>0.7357894736842105</v>
      </c>
      <c r="G24" s="12" t="n">
        <v>0.2642105263157895</v>
      </c>
      <c r="H24" s="46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48" t="n"/>
    </row>
    <row r="25">
      <c r="A25" s="15" t="n">
        <v>23</v>
      </c>
      <c r="B25" s="13" t="inlineStr">
        <is>
          <t>الاستثمار</t>
        </is>
      </c>
      <c r="C25" s="24" t="inlineStr">
        <is>
          <t>عقود تأجير الأرض الجديدة</t>
        </is>
      </c>
      <c r="D25" s="46" t="n">
        <v>8.1</v>
      </c>
      <c r="E25" s="46" t="n">
        <v>11</v>
      </c>
      <c r="F25" s="47" t="n">
        <v>0.7363636363636363</v>
      </c>
      <c r="G25" s="12" t="n">
        <v>0.2636363636363637</v>
      </c>
      <c r="H25" s="46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48" t="n"/>
    </row>
    <row r="26">
      <c r="A26" s="15" t="n">
        <v>24</v>
      </c>
      <c r="B26" s="13" t="inlineStr">
        <is>
          <t>الاستثمار</t>
        </is>
      </c>
      <c r="C26" s="24" t="inlineStr">
        <is>
          <t>نسبة تخفيض إيجار المواقع عالية التكاليف</t>
        </is>
      </c>
      <c r="D26" s="46" t="n">
        <v>0.221</v>
      </c>
      <c r="E26" s="46" t="n">
        <v>0.3</v>
      </c>
      <c r="F26" s="47" t="n">
        <v>0.7366666666666667</v>
      </c>
      <c r="G26" s="12" t="n">
        <v>0.2633333333333333</v>
      </c>
      <c r="H26" s="46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48" t="n"/>
    </row>
    <row r="27">
      <c r="A27" s="15" t="n">
        <v>25</v>
      </c>
      <c r="B27" s="13" t="inlineStr">
        <is>
          <t>الامتياز التجاري</t>
        </is>
      </c>
      <c r="C27" s="24" t="inlineStr">
        <is>
          <t>متوسط تقييم المحطات على خرائط قوقل</t>
        </is>
      </c>
      <c r="D27" s="46" t="n">
        <v>3.474</v>
      </c>
      <c r="E27" s="46" t="n">
        <v>4.7</v>
      </c>
      <c r="F27" s="47" t="n">
        <v>0.7391489361702128</v>
      </c>
      <c r="G27" s="12" t="n">
        <v>0.2608510638297872</v>
      </c>
      <c r="H27" s="46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48" t="n"/>
    </row>
    <row r="28">
      <c r="A28" s="15" t="n">
        <v>26</v>
      </c>
      <c r="B28" s="13" t="inlineStr">
        <is>
          <t>الإدارة المالية</t>
        </is>
      </c>
      <c r="C28" s="24" t="inlineStr">
        <is>
          <t>العائد على حقوق الملكية (ROE)</t>
        </is>
      </c>
      <c r="D28" s="46" t="n">
        <v>0.074</v>
      </c>
      <c r="E28" s="46" t="n">
        <v>0.1</v>
      </c>
      <c r="F28" s="47" t="n">
        <v>0.7399999999999999</v>
      </c>
      <c r="G28" s="12" t="n">
        <v>0.2600000000000001</v>
      </c>
      <c r="H28" s="46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48" t="n"/>
    </row>
    <row r="29">
      <c r="A29" s="15" t="n">
        <v>27</v>
      </c>
      <c r="B29" s="13" t="inlineStr">
        <is>
          <t>التقنية الرقمية</t>
        </is>
      </c>
      <c r="C29" s="24" t="inlineStr">
        <is>
          <t>نسبة الالتزام بنطاق العمل</t>
        </is>
      </c>
      <c r="D29" s="46" t="n">
        <v>0.703</v>
      </c>
      <c r="E29" s="46" t="n">
        <v>0.95</v>
      </c>
      <c r="F29" s="47" t="n">
        <v>0.74</v>
      </c>
      <c r="G29" s="12" t="n">
        <v>0.26</v>
      </c>
      <c r="H29" s="46" t="n">
        <v>0.703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التقنية</t>
        </is>
      </c>
      <c r="M29" s="48" t="n"/>
    </row>
    <row r="30">
      <c r="A30" s="15" t="n">
        <v>28</v>
      </c>
      <c r="B30" s="13" t="inlineStr">
        <is>
          <t>الموارد البشرية</t>
        </is>
      </c>
      <c r="C30" s="24" t="inlineStr">
        <is>
          <t>ترسيخ القيم والثقافة المؤسسية</t>
        </is>
      </c>
      <c r="D30" s="46" t="n">
        <v>0.742</v>
      </c>
      <c r="E30" s="46" t="n">
        <v>1</v>
      </c>
      <c r="F30" s="47" t="n">
        <v>0.742</v>
      </c>
      <c r="G30" s="12" t="n">
        <v>0.258</v>
      </c>
      <c r="H30" s="46" t="n">
        <v>0.742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الموارد البشرية</t>
        </is>
      </c>
      <c r="M30" s="48" t="n"/>
    </row>
    <row r="31">
      <c r="A31" s="15" t="n">
        <v>29</v>
      </c>
      <c r="B31" s="13" t="inlineStr">
        <is>
          <t>التشغيل والمحطات</t>
        </is>
      </c>
      <c r="C31" s="24" t="inlineStr">
        <is>
          <t>التشجير داخل المحطة (معيار الوزارة)</t>
        </is>
      </c>
      <c r="D31" s="46" t="n">
        <v>0.747</v>
      </c>
      <c r="E31" s="46" t="n">
        <v>1</v>
      </c>
      <c r="F31" s="47" t="n">
        <v>0.747</v>
      </c>
      <c r="G31" s="12" t="n">
        <v>0.253</v>
      </c>
      <c r="H31" s="46" t="n">
        <v>0.747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التشغيل</t>
        </is>
      </c>
      <c r="M31" s="48" t="n"/>
    </row>
    <row r="32">
      <c r="A32" s="15" t="n">
        <v>30</v>
      </c>
      <c r="B32" s="13" t="inlineStr">
        <is>
          <t>الامتياز التجاري</t>
        </is>
      </c>
      <c r="C32" s="24" t="inlineStr">
        <is>
          <t>نسبة أتمتة محطات الامتياز</t>
        </is>
      </c>
      <c r="D32" s="46" t="n">
        <v>0.674</v>
      </c>
      <c r="E32" s="46" t="n">
        <v>0.9</v>
      </c>
      <c r="F32" s="47" t="n">
        <v>0.7488888888888889</v>
      </c>
      <c r="G32" s="12" t="n">
        <v>0.2511111111111111</v>
      </c>
      <c r="H32" s="46" t="n">
        <v>0.674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الامتياز</t>
        </is>
      </c>
      <c r="M32" s="48" t="n"/>
    </row>
    <row r="33">
      <c r="A33" s="15" t="n">
        <v>31</v>
      </c>
      <c r="B33" s="13" t="inlineStr">
        <is>
          <t>الإدارة التنفيذية</t>
        </is>
      </c>
      <c r="C33" s="24" t="inlineStr">
        <is>
          <t>الالتزام بمعايير وزارة الطاقة (تغطية 13 منطقة)</t>
        </is>
      </c>
      <c r="D33" s="46" t="n">
        <v>0.749</v>
      </c>
      <c r="E33" s="46" t="n">
        <v>1</v>
      </c>
      <c r="F33" s="47" t="n">
        <v>0.749</v>
      </c>
      <c r="G33" s="12" t="n">
        <v>0.251</v>
      </c>
      <c r="H33" s="46" t="n">
        <v>0.749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الرئيس التنفيذي</t>
        </is>
      </c>
      <c r="M33" s="48" t="n"/>
    </row>
    <row r="34">
      <c r="A34" s="15" t="n">
        <v>32</v>
      </c>
      <c r="B34" s="13" t="inlineStr">
        <is>
          <t>الإدارة التنفيذية</t>
        </is>
      </c>
      <c r="C34" s="24" t="inlineStr">
        <is>
          <t>مؤشر رضا الموظفين العام (eNPS)</t>
        </is>
      </c>
      <c r="D34" s="46" t="n">
        <v>22.5</v>
      </c>
      <c r="E34" s="46" t="n">
        <v>30</v>
      </c>
      <c r="F34" s="47" t="n">
        <v>0.75</v>
      </c>
      <c r="G34" s="12" t="n">
        <v>0.25</v>
      </c>
      <c r="H34" s="46" t="n">
        <v>22.5</v>
      </c>
      <c r="I34" s="15" t="inlineStr">
        <is>
          <t>🟡 قريب</t>
        </is>
      </c>
      <c r="J34" s="11" t="inlineStr">
        <is>
          <t>فجوة محدودة — متابعة.</t>
        </is>
      </c>
      <c r="K34" s="11" t="inlineStr">
        <is>
          <t>متابعة أسبوعية لإغلاق الفجوة.</t>
        </is>
      </c>
      <c r="L34" s="15" t="inlineStr">
        <is>
          <t>الرئيس التنفيذي</t>
        </is>
      </c>
      <c r="M34" s="48" t="n"/>
    </row>
    <row r="35">
      <c r="A35" s="15" t="n">
        <v>33</v>
      </c>
      <c r="B35" s="13" t="inlineStr">
        <is>
          <t>الاستثمار</t>
        </is>
      </c>
      <c r="C35" s="24" t="inlineStr">
        <is>
          <t>نسبة اكتمال المستندات النظامية قبل التوقيع</t>
        </is>
      </c>
      <c r="D35" s="46" t="n">
        <v>0.751</v>
      </c>
      <c r="E35" s="46" t="n">
        <v>1</v>
      </c>
      <c r="F35" s="47" t="n">
        <v>0.751</v>
      </c>
      <c r="G35" s="12" t="n">
        <v>0.249</v>
      </c>
      <c r="H35" s="46" t="n">
        <v>0.751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الاستثمار</t>
        </is>
      </c>
      <c r="M35" s="48" t="n"/>
    </row>
    <row r="36">
      <c r="A36" s="15" t="n">
        <v>34</v>
      </c>
      <c r="B36" s="13" t="inlineStr">
        <is>
          <t>الموارد البشرية</t>
        </is>
      </c>
      <c r="C36" s="24" t="inlineStr">
        <is>
          <t>عدد الدورات الإدارية المنعقدة</t>
        </is>
      </c>
      <c r="D36" s="46" t="n">
        <v>4.53</v>
      </c>
      <c r="E36" s="46" t="n">
        <v>6</v>
      </c>
      <c r="F36" s="47" t="n">
        <v>0.755</v>
      </c>
      <c r="G36" s="12" t="n">
        <v>0.245</v>
      </c>
      <c r="H36" s="46" t="n">
        <v>9.06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48" t="n"/>
    </row>
    <row r="37">
      <c r="A37" s="15" t="n">
        <v>35</v>
      </c>
      <c r="B37" s="13" t="inlineStr">
        <is>
          <t>الإدارة المالية</t>
        </is>
      </c>
      <c r="C37" s="24" t="inlineStr">
        <is>
          <t>دقة تسوية أرامكو</t>
        </is>
      </c>
      <c r="D37" s="46" t="n">
        <v>0.76</v>
      </c>
      <c r="E37" s="46" t="n">
        <v>1</v>
      </c>
      <c r="F37" s="47" t="n">
        <v>0.76</v>
      </c>
      <c r="G37" s="12" t="n">
        <v>0.24</v>
      </c>
      <c r="H37" s="46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48" t="n"/>
    </row>
    <row r="38">
      <c r="A38" s="15" t="n">
        <v>36</v>
      </c>
      <c r="B38" s="13" t="inlineStr">
        <is>
          <t>الجودة</t>
        </is>
      </c>
      <c r="C38" s="24" t="inlineStr">
        <is>
          <t>نسبة فعالية الإجراءات التصحيحية</t>
        </is>
      </c>
      <c r="D38" s="46" t="n">
        <v>0.648</v>
      </c>
      <c r="E38" s="46" t="n">
        <v>0.85</v>
      </c>
      <c r="F38" s="47" t="n">
        <v>0.7623529411764707</v>
      </c>
      <c r="G38" s="12" t="n">
        <v>0.2376470588235293</v>
      </c>
      <c r="H38" s="46" t="n">
        <v>0.648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48" t="n"/>
    </row>
    <row r="39">
      <c r="A39" s="15" t="n">
        <v>37</v>
      </c>
      <c r="B39" s="13" t="inlineStr">
        <is>
          <t>الجودة</t>
        </is>
      </c>
      <c r="C39" s="24" t="inlineStr">
        <is>
          <t>نسبة إغلاق الملاحظات في الوقت المحدد</t>
        </is>
      </c>
      <c r="D39" s="46" t="n">
        <v>0.6870000000000001</v>
      </c>
      <c r="E39" s="46" t="n">
        <v>0.9</v>
      </c>
      <c r="F39" s="47" t="n">
        <v>0.7633333333333334</v>
      </c>
      <c r="G39" s="12" t="n">
        <v>0.2366666666666666</v>
      </c>
      <c r="H39" s="46" t="n">
        <v>0.6870000000000001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48" t="n"/>
    </row>
    <row r="40">
      <c r="A40" s="15" t="n">
        <v>38</v>
      </c>
      <c r="B40" s="13" t="inlineStr">
        <is>
          <t>الجودة</t>
        </is>
      </c>
      <c r="C40" s="24" t="inlineStr">
        <is>
          <t>نسبة تنفيذ خطة التفتيش والتدقيق</t>
        </is>
      </c>
      <c r="D40" s="46" t="n">
        <v>0.728</v>
      </c>
      <c r="E40" s="46" t="n">
        <v>0.95</v>
      </c>
      <c r="F40" s="47" t="n">
        <v>0.7663157894736842</v>
      </c>
      <c r="G40" s="12" t="n">
        <v>0.2336842105263158</v>
      </c>
      <c r="H40" s="46" t="n">
        <v>0.728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48" t="n"/>
    </row>
    <row r="41">
      <c r="A41" s="15" t="n">
        <v>39</v>
      </c>
      <c r="B41" s="13" t="inlineStr">
        <is>
          <t>الإدارة المالية</t>
        </is>
      </c>
      <c r="C41" s="24" t="inlineStr">
        <is>
          <t>سداد الموردين في الموعد</t>
        </is>
      </c>
      <c r="D41" s="46" t="n">
        <v>0.754</v>
      </c>
      <c r="E41" s="46" t="n">
        <v>0.98</v>
      </c>
      <c r="F41" s="47" t="n">
        <v>0.7693877551020408</v>
      </c>
      <c r="G41" s="12" t="n">
        <v>0.2306122448979592</v>
      </c>
      <c r="H41" s="46" t="n">
        <v>0.754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48" t="n"/>
    </row>
    <row r="42">
      <c r="A42" s="15" t="n">
        <v>40</v>
      </c>
      <c r="B42" s="13" t="inlineStr">
        <is>
          <t>إدارة المشاريع</t>
        </is>
      </c>
      <c r="C42" s="24" t="inlineStr">
        <is>
          <t>نسبة المشاريع الخالية من مخالفات الجودة</t>
        </is>
      </c>
      <c r="D42" s="46" t="n">
        <v>0.697</v>
      </c>
      <c r="E42" s="46" t="n">
        <v>0.9</v>
      </c>
      <c r="F42" s="47" t="n">
        <v>0.7744444444444444</v>
      </c>
      <c r="G42" s="12" t="n">
        <v>0.2255555555555556</v>
      </c>
      <c r="H42" s="46" t="n">
        <v>0.697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إدارة المشاريع</t>
        </is>
      </c>
      <c r="M42" s="48" t="n"/>
    </row>
    <row r="43">
      <c r="A43" s="15" t="n">
        <v>41</v>
      </c>
      <c r="B43" s="13" t="inlineStr">
        <is>
          <t>الاستثمار</t>
        </is>
      </c>
      <c r="C43" s="24" t="inlineStr">
        <is>
          <t>نسبة العقود المؤرشفة إلكترونياً خلال 48 ساعة</t>
        </is>
      </c>
      <c r="D43" s="46" t="n">
        <v>0.736</v>
      </c>
      <c r="E43" s="46" t="n">
        <v>0.95</v>
      </c>
      <c r="F43" s="47" t="n">
        <v>0.7747368421052632</v>
      </c>
      <c r="G43" s="12" t="n">
        <v>0.2252631578947368</v>
      </c>
      <c r="H43" s="46" t="n">
        <v>0.736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الاستثمار</t>
        </is>
      </c>
      <c r="M43" s="48" t="n"/>
    </row>
    <row r="44">
      <c r="A44" s="15" t="n">
        <v>42</v>
      </c>
      <c r="B44" s="13" t="inlineStr">
        <is>
          <t>الإدارة المالية</t>
        </is>
      </c>
      <c r="C44" s="24" t="inlineStr">
        <is>
          <t>هامش EBITDA</t>
        </is>
      </c>
      <c r="D44" s="46" t="n">
        <v>0.062</v>
      </c>
      <c r="E44" s="46" t="n">
        <v>0.08</v>
      </c>
      <c r="F44" s="47" t="n">
        <v>0.775</v>
      </c>
      <c r="G44" s="12" t="n">
        <v>0.225</v>
      </c>
      <c r="H44" s="46" t="n">
        <v>0.062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48" t="n"/>
    </row>
    <row r="45">
      <c r="A45" s="15" t="n">
        <v>43</v>
      </c>
      <c r="B45" s="13" t="inlineStr">
        <is>
          <t>العقار</t>
        </is>
      </c>
      <c r="C45" s="24" t="inlineStr">
        <is>
          <t>نسبة إغلاق الطلبات خلال 3 أسابيع</t>
        </is>
      </c>
      <c r="D45" s="46" t="n">
        <v>0.698</v>
      </c>
      <c r="E45" s="46" t="n">
        <v>0.9</v>
      </c>
      <c r="F45" s="47" t="n">
        <v>0.7755555555555554</v>
      </c>
      <c r="G45" s="12" t="n">
        <v>0.2244444444444446</v>
      </c>
      <c r="H45" s="46" t="n">
        <v>0.698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العقار</t>
        </is>
      </c>
      <c r="M45" s="48" t="n"/>
    </row>
    <row r="46">
      <c r="A46" s="15" t="n">
        <v>44</v>
      </c>
      <c r="B46" s="13" t="inlineStr">
        <is>
          <t>الإدارة المالية</t>
        </is>
      </c>
      <c r="C46" s="24" t="inlineStr">
        <is>
          <t>دقة مطابقة المخزون</t>
        </is>
      </c>
      <c r="D46" s="46" t="n">
        <v>0.776</v>
      </c>
      <c r="E46" s="46" t="n">
        <v>0.995</v>
      </c>
      <c r="F46" s="47" t="n">
        <v>0.7798994974874373</v>
      </c>
      <c r="G46" s="12" t="n">
        <v>0.2201005025125627</v>
      </c>
      <c r="H46" s="46" t="n">
        <v>0.776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المدير المالي</t>
        </is>
      </c>
      <c r="M46" s="48" t="n"/>
    </row>
    <row r="47">
      <c r="A47" s="15" t="n">
        <v>45</v>
      </c>
      <c r="B47" s="13" t="inlineStr">
        <is>
          <t>الإدارة المالية</t>
        </is>
      </c>
      <c r="C47" s="24" t="inlineStr">
        <is>
          <t>معدل تجديد عقود الإيجار</t>
        </is>
      </c>
      <c r="D47" s="46" t="n">
        <v>0.702</v>
      </c>
      <c r="E47" s="46" t="n">
        <v>0.9</v>
      </c>
      <c r="F47" s="47" t="n">
        <v>0.7799999999999999</v>
      </c>
      <c r="G47" s="12" t="n">
        <v>0.2200000000000001</v>
      </c>
      <c r="H47" s="46" t="n">
        <v>0.702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المدير المالي</t>
        </is>
      </c>
      <c r="M47" s="48" t="n"/>
    </row>
    <row r="48">
      <c r="A48" s="15" t="n">
        <v>46</v>
      </c>
      <c r="B48" s="13" t="inlineStr">
        <is>
          <t>العقار</t>
        </is>
      </c>
      <c r="C48" s="24" t="inlineStr">
        <is>
          <t>العملاء المحتملون (LEADS)</t>
        </is>
      </c>
      <c r="D48" s="46" t="n">
        <v>531.8</v>
      </c>
      <c r="E48" s="46" t="n">
        <v>680</v>
      </c>
      <c r="F48" s="47" t="n">
        <v>0.7820588235294117</v>
      </c>
      <c r="G48" s="12" t="n">
        <v>0.2179411764705883</v>
      </c>
      <c r="H48" s="46" t="n">
        <v>531.8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العقار</t>
        </is>
      </c>
      <c r="M48" s="48" t="n"/>
    </row>
    <row r="49">
      <c r="A49" s="15" t="n">
        <v>47</v>
      </c>
      <c r="B49" s="13" t="inlineStr">
        <is>
          <t>الامتياز التجاري</t>
        </is>
      </c>
      <c r="C49" s="24" t="inlineStr">
        <is>
          <t>نسبة الشركاء الملتزمين بمواعيد السداد</t>
        </is>
      </c>
      <c r="D49" s="46" t="n">
        <v>0.705</v>
      </c>
      <c r="E49" s="46" t="n">
        <v>0.9</v>
      </c>
      <c r="F49" s="47" t="n">
        <v>0.7833333333333332</v>
      </c>
      <c r="G49" s="12" t="n">
        <v>0.2166666666666668</v>
      </c>
      <c r="H49" s="46" t="n">
        <v>0.705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الامتياز</t>
        </is>
      </c>
      <c r="M49" s="48" t="n"/>
    </row>
    <row r="50">
      <c r="A50" s="15" t="n">
        <v>48</v>
      </c>
      <c r="B50" s="13" t="inlineStr">
        <is>
          <t>سلاسل الإمداد</t>
        </is>
      </c>
      <c r="C50" s="24" t="inlineStr">
        <is>
          <t>نسبة إصدار أوامر الشراء خلال ≤ 5 أيام عمل</t>
        </is>
      </c>
      <c r="D50" s="46" t="n">
        <v>0.745</v>
      </c>
      <c r="E50" s="46" t="n">
        <v>0.95</v>
      </c>
      <c r="F50" s="47" t="n">
        <v>0.7842105263157895</v>
      </c>
      <c r="G50" s="12" t="n">
        <v>0.2157894736842105</v>
      </c>
      <c r="H50" s="46" t="n">
        <v>0.745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سلاسل الإمداد</t>
        </is>
      </c>
      <c r="M50" s="48" t="n"/>
    </row>
    <row r="51">
      <c r="A51" s="15" t="n">
        <v>49</v>
      </c>
      <c r="B51" s="13" t="inlineStr">
        <is>
          <t>العقار</t>
        </is>
      </c>
      <c r="C51" s="24" t="inlineStr">
        <is>
          <t>نسبة تجديد العقود</t>
        </is>
      </c>
      <c r="D51" s="46" t="n">
        <v>0.792</v>
      </c>
      <c r="E51" s="46" t="n">
        <v>1</v>
      </c>
      <c r="F51" s="47" t="n">
        <v>0.792</v>
      </c>
      <c r="G51" s="12" t="n">
        <v>0.208</v>
      </c>
      <c r="H51" s="46" t="n">
        <v>0.792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العقار</t>
        </is>
      </c>
      <c r="M51" s="48" t="n"/>
    </row>
    <row r="52">
      <c r="A52" s="15" t="n">
        <v>50</v>
      </c>
      <c r="B52" s="13" t="inlineStr">
        <is>
          <t>التقنية الرقمية</t>
        </is>
      </c>
      <c r="C52" s="24" t="inlineStr">
        <is>
          <t>نسبة الالتزام بميزانية المشاريع</t>
        </is>
      </c>
      <c r="D52" s="46" t="n">
        <v>0.753</v>
      </c>
      <c r="E52" s="46" t="n">
        <v>0.95</v>
      </c>
      <c r="F52" s="47" t="n">
        <v>0.7926315789473685</v>
      </c>
      <c r="G52" s="12" t="n">
        <v>0.2073684210526315</v>
      </c>
      <c r="H52" s="46" t="n">
        <v>0.753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التقنية</t>
        </is>
      </c>
      <c r="M52" s="48" t="n"/>
    </row>
    <row r="53">
      <c r="A53" s="15" t="n">
        <v>51</v>
      </c>
      <c r="B53" s="13" t="inlineStr">
        <is>
          <t>الإدارة القانونية</t>
        </is>
      </c>
      <c r="C53" s="24" t="inlineStr">
        <is>
          <t>مستوى رضا الإدارات عن الدعم القانوني</t>
        </is>
      </c>
      <c r="D53" s="46" t="n">
        <v>0.674</v>
      </c>
      <c r="E53" s="46" t="n">
        <v>0.85</v>
      </c>
      <c r="F53" s="47" t="n">
        <v>0.7929411764705883</v>
      </c>
      <c r="G53" s="12" t="n">
        <v>0.2070588235294117</v>
      </c>
      <c r="H53" s="46" t="n">
        <v>0.674</v>
      </c>
      <c r="I53" s="15" t="inlineStr">
        <is>
          <t>🟡 قريب</t>
        </is>
      </c>
      <c r="J53" s="11" t="inlineStr">
        <is>
          <t>فجوة محدودة — متابعة.</t>
        </is>
      </c>
      <c r="K53" s="11" t="inlineStr">
        <is>
          <t>متابعة أسبوعية لإغلاق الفجوة.</t>
        </is>
      </c>
      <c r="L53" s="15" t="inlineStr">
        <is>
          <t>المدير القانوني</t>
        </is>
      </c>
      <c r="M53" s="48" t="n"/>
    </row>
    <row r="54">
      <c r="A54" s="15" t="n">
        <v>52</v>
      </c>
      <c r="B54" s="13" t="inlineStr">
        <is>
          <t>الإدارة القانونية</t>
        </is>
      </c>
      <c r="C54" s="24" t="inlineStr">
        <is>
          <t>نسبة تقديم المذكرات والردود في المواعيد النظامية</t>
        </is>
      </c>
      <c r="D54" s="46" t="n">
        <v>0.797</v>
      </c>
      <c r="E54" s="46" t="n">
        <v>1</v>
      </c>
      <c r="F54" s="47" t="n">
        <v>0.797</v>
      </c>
      <c r="G54" s="12" t="n">
        <v>0.203</v>
      </c>
      <c r="H54" s="46" t="n">
        <v>0.797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المدير القانوني</t>
        </is>
      </c>
      <c r="M54" s="48" t="n"/>
    </row>
    <row r="55">
      <c r="A55" s="15" t="n">
        <v>53</v>
      </c>
      <c r="B55" s="13" t="inlineStr">
        <is>
          <t>التشغيل والمحطات</t>
        </is>
      </c>
      <c r="C55" s="24" t="inlineStr">
        <is>
          <t>نسبة الصيانة الوقائية المنفذة في موعدها</t>
        </is>
      </c>
      <c r="D55" s="46" t="n">
        <v>0.758</v>
      </c>
      <c r="E55" s="46" t="n">
        <v>0.95</v>
      </c>
      <c r="F55" s="47" t="n">
        <v>0.7978947368421053</v>
      </c>
      <c r="G55" s="12" t="n">
        <v>0.2021052631578947</v>
      </c>
      <c r="H55" s="46" t="n">
        <v>0.758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التشغيل</t>
        </is>
      </c>
      <c r="M55" s="48" t="n"/>
    </row>
    <row r="56">
      <c r="A56" s="15" t="n">
        <v>54</v>
      </c>
      <c r="B56" s="13" t="inlineStr">
        <is>
          <t>إدارة المشاريع</t>
        </is>
      </c>
      <c r="C56" s="24" t="inlineStr">
        <is>
          <t>نسبة الالتزام بالجدول الزمني العام</t>
        </is>
      </c>
      <c r="D56" s="46" t="n">
        <v>0.798</v>
      </c>
      <c r="E56" s="46" t="n">
        <v>1</v>
      </c>
      <c r="F56" s="47" t="n">
        <v>0.798</v>
      </c>
      <c r="G56" s="12" t="n">
        <v>0.202</v>
      </c>
      <c r="H56" s="46" t="n">
        <v>0.798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إدارة المشاريع</t>
        </is>
      </c>
      <c r="M56" s="48" t="n"/>
    </row>
    <row r="57">
      <c r="A57" s="15" t="n">
        <v>55</v>
      </c>
      <c r="B57" s="13" t="inlineStr">
        <is>
          <t>الامتياز التجاري</t>
        </is>
      </c>
      <c r="C57" s="24" t="inlineStr">
        <is>
          <t>نسبة التزام المحطات بالهوية المؤسسية</t>
        </is>
      </c>
      <c r="D57" s="46" t="n">
        <v>0.44</v>
      </c>
      <c r="E57" s="46" t="n">
        <v>0.55</v>
      </c>
      <c r="F57" s="47" t="n">
        <v>0.7999999999999999</v>
      </c>
      <c r="G57" s="12" t="n">
        <v>0.2000000000000001</v>
      </c>
      <c r="H57" s="46" t="n">
        <v>0.44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الامتياز</t>
        </is>
      </c>
      <c r="M57" s="48" t="n"/>
    </row>
    <row r="58">
      <c r="A58" s="15" t="n">
        <v>56</v>
      </c>
      <c r="B58" s="13" t="inlineStr">
        <is>
          <t>الإدارة المالية</t>
        </is>
      </c>
      <c r="C58" s="24" t="inlineStr">
        <is>
          <t>هامش صافي الربح</t>
        </is>
      </c>
      <c r="D58" s="46" t="n">
        <v>0.008</v>
      </c>
      <c r="E58" s="46" t="n">
        <v>0.01</v>
      </c>
      <c r="F58" s="47" t="n">
        <v>0.8</v>
      </c>
      <c r="G58" s="12" t="n">
        <v>0.2</v>
      </c>
      <c r="H58" s="46" t="n">
        <v>0.008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المالي</t>
        </is>
      </c>
      <c r="M58" s="48" t="n"/>
    </row>
    <row r="59">
      <c r="A59" s="15" t="n">
        <v>57</v>
      </c>
      <c r="B59" s="13" t="inlineStr">
        <is>
          <t>الامتياز التجاري</t>
        </is>
      </c>
      <c r="C59" s="24" t="inlineStr">
        <is>
          <t>إجمالي مبيعات وقود محطات الامتياز</t>
        </is>
      </c>
      <c r="D59" s="46" t="n">
        <v>576630340</v>
      </c>
      <c r="E59" s="46" t="n">
        <v>718838077</v>
      </c>
      <c r="F59" s="47" t="n">
        <v>0.8021699996840874</v>
      </c>
      <c r="G59" s="12" t="n">
        <v>0.1978300003159126</v>
      </c>
      <c r="H59" s="46" t="n">
        <v>1153260680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الامتياز</t>
        </is>
      </c>
      <c r="M59" s="48" t="n"/>
    </row>
    <row r="60">
      <c r="A60" s="15" t="n">
        <v>58</v>
      </c>
      <c r="B60" s="13" t="inlineStr">
        <is>
          <t>الموارد البشرية</t>
        </is>
      </c>
      <c r="C60" s="24" t="inlineStr">
        <is>
          <t>نسبة الموظفين المشمولين بخطة تطوير</t>
        </is>
      </c>
      <c r="D60" s="46" t="n">
        <v>0.644</v>
      </c>
      <c r="E60" s="46" t="n">
        <v>0.8</v>
      </c>
      <c r="F60" s="47" t="n">
        <v>0.8049999999999999</v>
      </c>
      <c r="G60" s="12" t="n">
        <v>0.1950000000000001</v>
      </c>
      <c r="H60" s="46" t="n">
        <v>0.644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الموارد البشرية</t>
        </is>
      </c>
      <c r="M60" s="48" t="n"/>
    </row>
    <row r="61">
      <c r="A61" s="15" t="n">
        <v>59</v>
      </c>
      <c r="B61" s="13" t="inlineStr">
        <is>
          <t>العقار</t>
        </is>
      </c>
      <c r="C61" s="24" t="inlineStr">
        <is>
          <t>الوحدات المؤجَّرة شهرياً</t>
        </is>
      </c>
      <c r="D61" s="46" t="n">
        <v>54.8</v>
      </c>
      <c r="E61" s="46" t="n">
        <v>68</v>
      </c>
      <c r="F61" s="47" t="n">
        <v>0.8058823529411764</v>
      </c>
      <c r="G61" s="12" t="n">
        <v>0.1941176470588236</v>
      </c>
      <c r="H61" s="46" t="n">
        <v>54.8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العقار</t>
        </is>
      </c>
      <c r="M61" s="48" t="n"/>
    </row>
    <row r="62">
      <c r="A62" s="15" t="n">
        <v>60</v>
      </c>
      <c r="B62" s="13" t="inlineStr">
        <is>
          <t>الموارد البشرية</t>
        </is>
      </c>
      <c r="C62" s="24" t="inlineStr">
        <is>
          <t>نسبة إنجاز تقييمات الأداء في موعدها</t>
        </is>
      </c>
      <c r="D62" s="46" t="n">
        <v>0.8080000000000001</v>
      </c>
      <c r="E62" s="46" t="n">
        <v>1</v>
      </c>
      <c r="F62" s="47" t="n">
        <v>0.8080000000000001</v>
      </c>
      <c r="G62" s="12" t="n">
        <v>0.1919999999999999</v>
      </c>
      <c r="H62" s="46" t="n">
        <v>0.8080000000000001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الموارد البشرية</t>
        </is>
      </c>
      <c r="M62" s="48" t="n"/>
    </row>
    <row r="63">
      <c r="A63" s="15" t="n">
        <v>61</v>
      </c>
      <c r="B63" s="13" t="inlineStr">
        <is>
          <t>الجودة</t>
        </is>
      </c>
      <c r="C63" s="24" t="inlineStr">
        <is>
          <t>نسبة مطابقة جودة الوقود</t>
        </is>
      </c>
      <c r="D63" s="46" t="n">
        <v>0.804</v>
      </c>
      <c r="E63" s="46" t="n">
        <v>0.995</v>
      </c>
      <c r="F63" s="47" t="n">
        <v>0.8080402010050252</v>
      </c>
      <c r="G63" s="12" t="n">
        <v>0.1919597989949748</v>
      </c>
      <c r="H63" s="46" t="n">
        <v>0.804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الجودة</t>
        </is>
      </c>
      <c r="M63" s="48" t="n"/>
    </row>
    <row r="64">
      <c r="A64" s="15" t="n">
        <v>62</v>
      </c>
      <c r="B64" s="13" t="inlineStr">
        <is>
          <t>الامتياز التجاري</t>
        </is>
      </c>
      <c r="C64" s="24" t="inlineStr">
        <is>
          <t>نسبة زيادة عدد أصحاب الامتياز</t>
        </is>
      </c>
      <c r="D64" s="46" t="n">
        <v>0.8100000000000001</v>
      </c>
      <c r="E64" s="46" t="n">
        <v>1</v>
      </c>
      <c r="F64" s="47" t="n">
        <v>0.8100000000000001</v>
      </c>
      <c r="G64" s="12" t="n">
        <v>0.1899999999999999</v>
      </c>
      <c r="H64" s="46" t="n">
        <v>0.8100000000000001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الامتياز</t>
        </is>
      </c>
      <c r="M64" s="48" t="n"/>
    </row>
    <row r="65">
      <c r="A65" s="15" t="n">
        <v>63</v>
      </c>
      <c r="B65" s="13" t="inlineStr">
        <is>
          <t>الاستثمار</t>
        </is>
      </c>
      <c r="C65" s="24" t="inlineStr">
        <is>
          <t>نسبة المواقع المعتمدة ذات العائد المجدي</t>
        </is>
      </c>
      <c r="D65" s="46" t="n">
        <v>0.649</v>
      </c>
      <c r="E65" s="46" t="n">
        <v>0.8</v>
      </c>
      <c r="F65" s="47" t="n">
        <v>0.81125</v>
      </c>
      <c r="G65" s="12" t="n">
        <v>0.18875</v>
      </c>
      <c r="H65" s="46" t="n">
        <v>0.649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الاستثمار</t>
        </is>
      </c>
      <c r="M65" s="48" t="n"/>
    </row>
    <row r="66">
      <c r="A66" s="15" t="n">
        <v>64</v>
      </c>
      <c r="B66" s="13" t="inlineStr">
        <is>
          <t>الاستثمار</t>
        </is>
      </c>
      <c r="C66" s="24" t="inlineStr">
        <is>
          <t>عقود الاستحواذ الجديدة</t>
        </is>
      </c>
      <c r="D66" s="46" t="n">
        <v>82.2</v>
      </c>
      <c r="E66" s="46" t="n">
        <v>100</v>
      </c>
      <c r="F66" s="47" t="n">
        <v>0.8220000000000001</v>
      </c>
      <c r="G66" s="12" t="n">
        <v>0.1779999999999999</v>
      </c>
      <c r="H66" s="46" t="n">
        <v>164.4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الاستثمار</t>
        </is>
      </c>
      <c r="M66" s="48" t="n"/>
    </row>
    <row r="67">
      <c r="A67" s="15" t="n">
        <v>65</v>
      </c>
      <c r="B67" s="13" t="inlineStr">
        <is>
          <t>العقار</t>
        </is>
      </c>
      <c r="C67" s="24" t="inlineStr">
        <is>
          <t>زيادة عدد العلامات التجارية</t>
        </is>
      </c>
      <c r="D67" s="46" t="n">
        <v>202.6</v>
      </c>
      <c r="E67" s="46" t="n">
        <v>246</v>
      </c>
      <c r="F67" s="47" t="n">
        <v>0.8235772357723578</v>
      </c>
      <c r="G67" s="12" t="n">
        <v>0.1764227642276422</v>
      </c>
      <c r="H67" s="46" t="n">
        <v>202.6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العقار</t>
        </is>
      </c>
      <c r="M67" s="48" t="n"/>
    </row>
    <row r="68">
      <c r="A68" s="15" t="n">
        <v>66</v>
      </c>
      <c r="B68" s="13" t="inlineStr">
        <is>
          <t>الإدارة القانونية</t>
        </is>
      </c>
      <c r="C68" s="24" t="inlineStr">
        <is>
          <t>نسبة القضايا المُغلقة لصالح الشركة</t>
        </is>
      </c>
      <c r="D68" s="46" t="n">
        <v>0.664</v>
      </c>
      <c r="E68" s="46" t="n">
        <v>0.8</v>
      </c>
      <c r="F68" s="47" t="n">
        <v>0.83</v>
      </c>
      <c r="G68" s="12" t="n">
        <v>0.17</v>
      </c>
      <c r="H68" s="46" t="n">
        <v>0.664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المدير القانوني</t>
        </is>
      </c>
      <c r="M68" s="48" t="n"/>
    </row>
    <row r="69">
      <c r="A69" s="15" t="n">
        <v>67</v>
      </c>
      <c r="B69" s="13" t="inlineStr">
        <is>
          <t>التشغيل والمحطات</t>
        </is>
      </c>
      <c r="C69" s="24" t="inlineStr">
        <is>
          <t>الالتزام بمعايير السلامة داخل المحطة</t>
        </is>
      </c>
      <c r="D69" s="46" t="n">
        <v>0.837</v>
      </c>
      <c r="E69" s="46" t="n">
        <v>1</v>
      </c>
      <c r="F69" s="47" t="n">
        <v>0.837</v>
      </c>
      <c r="G69" s="12" t="n">
        <v>0.163</v>
      </c>
      <c r="H69" s="46" t="n">
        <v>0.837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التشغيل</t>
        </is>
      </c>
      <c r="M69" s="48" t="n"/>
    </row>
    <row r="70">
      <c r="A70" s="15" t="n">
        <v>68</v>
      </c>
      <c r="B70" s="13" t="inlineStr">
        <is>
          <t>الجودة</t>
        </is>
      </c>
      <c r="C70" s="24" t="inlineStr">
        <is>
          <t>نسبة جاهزية نظام إدارة الجودة QMS</t>
        </is>
      </c>
      <c r="D70" s="46" t="n">
        <v>0.754</v>
      </c>
      <c r="E70" s="46" t="n">
        <v>0.9</v>
      </c>
      <c r="F70" s="47" t="n">
        <v>0.8377777777777777</v>
      </c>
      <c r="G70" s="12" t="n">
        <v>0.1622222222222223</v>
      </c>
      <c r="H70" s="46" t="n">
        <v>0.754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الجودة</t>
        </is>
      </c>
      <c r="M70" s="48" t="n"/>
    </row>
    <row r="71">
      <c r="A71" s="15" t="n">
        <v>69</v>
      </c>
      <c r="B71" s="13" t="inlineStr">
        <is>
          <t>العقار</t>
        </is>
      </c>
      <c r="C71" s="24" t="inlineStr">
        <is>
          <t>نسبة تأجير ساحة درب</t>
        </is>
      </c>
      <c r="D71" s="46" t="n">
        <v>0.671</v>
      </c>
      <c r="E71" s="46" t="n">
        <v>0.8</v>
      </c>
      <c r="F71" s="47" t="n">
        <v>0.83875</v>
      </c>
      <c r="G71" s="12" t="n">
        <v>0.16125</v>
      </c>
      <c r="H71" s="46" t="n">
        <v>0.671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العقار</t>
        </is>
      </c>
      <c r="M71" s="48" t="n"/>
    </row>
    <row r="72">
      <c r="A72" s="15" t="n">
        <v>70</v>
      </c>
      <c r="B72" s="13" t="inlineStr">
        <is>
          <t>الموارد البشرية</t>
        </is>
      </c>
      <c r="C72" s="24" t="inlineStr">
        <is>
          <t>ترسيخ الأنظمة الإدارية</t>
        </is>
      </c>
      <c r="D72" s="46" t="n">
        <v>0.671</v>
      </c>
      <c r="E72" s="46" t="n">
        <v>0.8</v>
      </c>
      <c r="F72" s="47" t="n">
        <v>0.83875</v>
      </c>
      <c r="G72" s="12" t="n">
        <v>0.16125</v>
      </c>
      <c r="H72" s="46" t="n">
        <v>0.671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الموارد البشرية</t>
        </is>
      </c>
      <c r="M72" s="48" t="n"/>
    </row>
    <row r="73">
      <c r="A73" s="15" t="n">
        <v>71</v>
      </c>
      <c r="B73" s="13" t="inlineStr">
        <is>
          <t>التشغيل والمحطات</t>
        </is>
      </c>
      <c r="C73" s="24" t="inlineStr">
        <is>
          <t>نسبة جاهزية المحطة الشاملة (Uptime)</t>
        </is>
      </c>
      <c r="D73" s="46" t="n">
        <v>0.831</v>
      </c>
      <c r="E73" s="46" t="n">
        <v>0.99</v>
      </c>
      <c r="F73" s="47" t="n">
        <v>0.8393939393939394</v>
      </c>
      <c r="G73" s="12" t="n">
        <v>0.1606060606060606</v>
      </c>
      <c r="H73" s="46" t="n">
        <v>0.831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التشغيل</t>
        </is>
      </c>
      <c r="M73" s="48" t="n"/>
    </row>
    <row r="74">
      <c r="A74" s="15" t="n">
        <v>72</v>
      </c>
      <c r="B74" s="13" t="inlineStr">
        <is>
          <t>التشغيل والمحطات</t>
        </is>
      </c>
      <c r="C74" s="24" t="inlineStr">
        <is>
          <t>دقة التعبئة بدون أخطاء</t>
        </is>
      </c>
      <c r="D74" s="46" t="n">
        <v>0.831</v>
      </c>
      <c r="E74" s="46" t="n">
        <v>0.99</v>
      </c>
      <c r="F74" s="47" t="n">
        <v>0.8393939393939394</v>
      </c>
      <c r="G74" s="12" t="n">
        <v>0.1606060606060606</v>
      </c>
      <c r="H74" s="46" t="n">
        <v>0.831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التشغيل</t>
        </is>
      </c>
      <c r="M74" s="48" t="n"/>
    </row>
    <row r="75">
      <c r="A75" s="15" t="n">
        <v>73</v>
      </c>
      <c r="B75" s="13" t="inlineStr">
        <is>
          <t>الموارد البشرية</t>
        </is>
      </c>
      <c r="C75" s="24" t="inlineStr">
        <is>
          <t>نسبة أتمتة عمليات الموارد البشرية</t>
        </is>
      </c>
      <c r="D75" s="46" t="n">
        <v>0.84</v>
      </c>
      <c r="E75" s="46" t="n">
        <v>1</v>
      </c>
      <c r="F75" s="47" t="n">
        <v>0.84</v>
      </c>
      <c r="G75" s="12" t="n">
        <v>0.16</v>
      </c>
      <c r="H75" s="46" t="n">
        <v>0.84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الموارد البشرية</t>
        </is>
      </c>
      <c r="M75" s="48" t="n"/>
    </row>
    <row r="76">
      <c r="A76" s="15" t="n">
        <v>74</v>
      </c>
      <c r="B76" s="13" t="inlineStr">
        <is>
          <t>الموارد البشرية</t>
        </is>
      </c>
      <c r="C76" s="24" t="inlineStr">
        <is>
          <t>متوسط ساعات التدريب لكل موظف</t>
        </is>
      </c>
      <c r="D76" s="46" t="n">
        <v>33.6</v>
      </c>
      <c r="E76" s="46" t="n">
        <v>40</v>
      </c>
      <c r="F76" s="47" t="n">
        <v>0.8400000000000001</v>
      </c>
      <c r="G76" s="12" t="n">
        <v>0.1599999999999999</v>
      </c>
      <c r="H76" s="46" t="n">
        <v>67.2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الموارد البشرية</t>
        </is>
      </c>
      <c r="M76" s="48" t="n"/>
    </row>
    <row r="77">
      <c r="A77" s="15" t="n">
        <v>75</v>
      </c>
      <c r="B77" s="13" t="inlineStr">
        <is>
          <t>الجودة</t>
        </is>
      </c>
      <c r="C77" s="24" t="inlineStr">
        <is>
          <t>نسبة انخفاض الشكاوى المتكررة ذات العلاقة بالجودة</t>
        </is>
      </c>
      <c r="D77" s="46" t="n">
        <v>0.126</v>
      </c>
      <c r="E77" s="46" t="n">
        <v>0.15</v>
      </c>
      <c r="F77" s="47" t="n">
        <v>0.8400000000000001</v>
      </c>
      <c r="G77" s="12" t="n">
        <v>0.1599999999999999</v>
      </c>
      <c r="H77" s="46" t="n">
        <v>0.126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الجودة</t>
        </is>
      </c>
      <c r="M77" s="48" t="n"/>
    </row>
    <row r="78">
      <c r="A78" s="15" t="n">
        <v>76</v>
      </c>
      <c r="B78" s="13" t="inlineStr">
        <is>
          <t>الإدارة المالية</t>
        </is>
      </c>
      <c r="C78" s="24" t="inlineStr">
        <is>
          <t>نمو الإيرادات السنوي</t>
        </is>
      </c>
      <c r="D78" s="46" t="n">
        <v>0.169</v>
      </c>
      <c r="E78" s="46" t="n">
        <v>0.2</v>
      </c>
      <c r="F78" s="47" t="n">
        <v>0.845</v>
      </c>
      <c r="G78" s="12" t="n">
        <v>0.155</v>
      </c>
      <c r="H78" s="46" t="n">
        <v>0.169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المدير المالي</t>
        </is>
      </c>
      <c r="M78" s="48" t="n"/>
    </row>
    <row r="79">
      <c r="A79" s="15" t="n">
        <v>77</v>
      </c>
      <c r="B79" s="13" t="inlineStr">
        <is>
          <t>العقار</t>
        </is>
      </c>
      <c r="C79" s="24" t="inlineStr">
        <is>
          <t>نسبة تحصيل الإيجارات</t>
        </is>
      </c>
      <c r="D79" s="46" t="n">
        <v>0.805</v>
      </c>
      <c r="E79" s="46" t="n">
        <v>0.95</v>
      </c>
      <c r="F79" s="47" t="n">
        <v>0.8473684210526317</v>
      </c>
      <c r="G79" s="12" t="n">
        <v>0.1526315789473683</v>
      </c>
      <c r="H79" s="46" t="n">
        <v>0.805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العقار</t>
        </is>
      </c>
      <c r="M79" s="48" t="n"/>
    </row>
    <row r="80">
      <c r="A80" s="15" t="n">
        <v>78</v>
      </c>
      <c r="B80" s="13" t="inlineStr">
        <is>
          <t>الاستثمار</t>
        </is>
      </c>
      <c r="C80" s="24" t="inlineStr">
        <is>
          <t>عقود الاستثمار العادي الجديدة</t>
        </is>
      </c>
      <c r="D80" s="46" t="n">
        <v>76.3</v>
      </c>
      <c r="E80" s="46" t="n">
        <v>90</v>
      </c>
      <c r="F80" s="47" t="n">
        <v>0.8477777777777777</v>
      </c>
      <c r="G80" s="12" t="n">
        <v>0.1522222222222223</v>
      </c>
      <c r="H80" s="46" t="n">
        <v>152.6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الاستثمار</t>
        </is>
      </c>
      <c r="M80" s="48" t="n"/>
    </row>
    <row r="81">
      <c r="A81" s="15" t="n">
        <v>79</v>
      </c>
      <c r="B81" s="13" t="inlineStr">
        <is>
          <t>الإدارة التنفيذية</t>
        </is>
      </c>
      <c r="C81" s="24" t="inlineStr">
        <is>
          <t>نسبة تحقيق المستهدفات الاستراتيجية العامة</t>
        </is>
      </c>
      <c r="D81" s="46" t="n">
        <v>0.85</v>
      </c>
      <c r="E81" s="46" t="n">
        <v>1</v>
      </c>
      <c r="F81" s="47" t="n">
        <v>0.85</v>
      </c>
      <c r="G81" s="12" t="n">
        <v>0.15</v>
      </c>
      <c r="H81" s="46" t="n">
        <v>0.85</v>
      </c>
      <c r="I81" s="15" t="inlineStr">
        <is>
          <t>🟡 قريب</t>
        </is>
      </c>
      <c r="J81" s="11" t="inlineStr">
        <is>
          <t>فجوة محدودة — متابعة.</t>
        </is>
      </c>
      <c r="K81" s="11" t="inlineStr">
        <is>
          <t>متابعة أسبوعية لإغلاق الفجوة.</t>
        </is>
      </c>
      <c r="L81" s="15" t="inlineStr">
        <is>
          <t>الرئيس التنفيذي</t>
        </is>
      </c>
      <c r="M81" s="48" t="n"/>
    </row>
    <row r="82">
      <c r="A82" s="15" t="n">
        <v>80</v>
      </c>
      <c r="B82" s="13" t="inlineStr">
        <is>
          <t>العقار</t>
        </is>
      </c>
      <c r="C82" s="24" t="inlineStr">
        <is>
          <t>نمو الإيرادات الإيجارية</t>
        </is>
      </c>
      <c r="D82" s="46" t="n">
        <v>0.068</v>
      </c>
      <c r="E82" s="46" t="n">
        <v>0.08</v>
      </c>
      <c r="F82" s="47" t="n">
        <v>0.8500000000000001</v>
      </c>
      <c r="G82" s="12" t="n">
        <v>0.1499999999999999</v>
      </c>
      <c r="H82" s="46" t="n">
        <v>0.068</v>
      </c>
      <c r="I82" s="15" t="inlineStr">
        <is>
          <t>🟡 قريب</t>
        </is>
      </c>
      <c r="J82" s="11" t="inlineStr">
        <is>
          <t>فجوة محدودة — متابعة.</t>
        </is>
      </c>
      <c r="K82" s="11" t="inlineStr">
        <is>
          <t>متابعة أسبوعية لإغلاق الفجوة.</t>
        </is>
      </c>
      <c r="L82" s="15" t="inlineStr">
        <is>
          <t>مدير العقار</t>
        </is>
      </c>
      <c r="M82" s="48" t="n"/>
    </row>
    <row r="83">
      <c r="A83" s="15" t="n">
        <v>81</v>
      </c>
      <c r="B83" s="13" t="inlineStr">
        <is>
          <t>التسويق</t>
        </is>
      </c>
      <c r="C83" s="24" t="inlineStr">
        <is>
          <t>تقييم خرائط قوقل</t>
        </is>
      </c>
      <c r="D83" s="46" t="n">
        <v>4</v>
      </c>
      <c r="E83" s="46" t="n">
        <v>4.7</v>
      </c>
      <c r="F83" s="47" t="n">
        <v>0.851063829787234</v>
      </c>
      <c r="G83" s="12" t="n">
        <v>0.148936170212766</v>
      </c>
      <c r="H83" s="46" t="n">
        <v>4</v>
      </c>
      <c r="I83" s="15" t="inlineStr">
        <is>
          <t>🟡 قريب</t>
        </is>
      </c>
      <c r="J83" s="11" t="inlineStr">
        <is>
          <t>فجوة محدودة — متابعة.</t>
        </is>
      </c>
      <c r="K83" s="11" t="inlineStr">
        <is>
          <t>متابعة أسبوعية لإغلاق الفجوة.</t>
        </is>
      </c>
      <c r="L83" s="15" t="inlineStr">
        <is>
          <t>مدير التسويق</t>
        </is>
      </c>
      <c r="M83" s="48" t="n"/>
    </row>
    <row r="84">
      <c r="A84" s="15" t="n">
        <v>82</v>
      </c>
      <c r="B84" s="13" t="inlineStr">
        <is>
          <t>الإدارة المالية</t>
        </is>
      </c>
      <c r="C84" s="24" t="inlineStr">
        <is>
          <t>أيام الإقفال الشهري</t>
        </is>
      </c>
      <c r="D84" s="46" t="n">
        <v>7.044</v>
      </c>
      <c r="E84" s="46" t="n">
        <v>6</v>
      </c>
      <c r="F84" s="47" t="n">
        <v>0.8517887563884157</v>
      </c>
      <c r="G84" s="12" t="n">
        <v>0.1482112436115843</v>
      </c>
      <c r="H84" s="46" t="n">
        <v>7.044</v>
      </c>
      <c r="I84" s="15" t="inlineStr">
        <is>
          <t>🟡 قريب</t>
        </is>
      </c>
      <c r="J84" s="11" t="inlineStr">
        <is>
          <t>فجوة محدودة — متابعة.</t>
        </is>
      </c>
      <c r="K84" s="11" t="inlineStr">
        <is>
          <t>متابعة أسبوعية لإغلاق الفجوة.</t>
        </is>
      </c>
      <c r="L84" s="15" t="inlineStr">
        <is>
          <t>المدير المالي</t>
        </is>
      </c>
      <c r="M84" s="48" t="n"/>
    </row>
    <row r="85">
      <c r="A85" s="15" t="n">
        <v>83</v>
      </c>
      <c r="B85" s="13" t="inlineStr">
        <is>
          <t>الإدارة المالية</t>
        </is>
      </c>
      <c r="C85" s="24" t="inlineStr">
        <is>
          <t>النسبة الجارية (Current Ratio)</t>
        </is>
      </c>
      <c r="D85" s="46" t="n">
        <v>0.852</v>
      </c>
      <c r="E85" s="46" t="n">
        <v>1</v>
      </c>
      <c r="F85" s="47" t="n">
        <v>0.852</v>
      </c>
      <c r="G85" s="12" t="n">
        <v>0.148</v>
      </c>
      <c r="H85" s="46" t="n">
        <v>0.852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المدير المالي</t>
        </is>
      </c>
      <c r="M85" s="48" t="n"/>
    </row>
    <row r="86">
      <c r="A86" s="15" t="n">
        <v>84</v>
      </c>
      <c r="B86" s="13" t="inlineStr">
        <is>
          <t>الجودة</t>
        </is>
      </c>
      <c r="C86" s="24" t="inlineStr">
        <is>
          <t>عدد مبادرات التحسين المؤثرة</t>
        </is>
      </c>
      <c r="D86" s="46" t="n">
        <v>6.827</v>
      </c>
      <c r="E86" s="46" t="n">
        <v>8</v>
      </c>
      <c r="F86" s="47" t="n">
        <v>0.853375</v>
      </c>
      <c r="G86" s="12" t="n">
        <v>0.146625</v>
      </c>
      <c r="H86" s="46" t="n">
        <v>13.654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الجودة</t>
        </is>
      </c>
      <c r="M86" s="48" t="n"/>
    </row>
    <row r="87">
      <c r="A87" s="15" t="n">
        <v>85</v>
      </c>
      <c r="B87" s="13" t="inlineStr">
        <is>
          <t>الامتياز التجاري</t>
        </is>
      </c>
      <c r="C87" s="24" t="inlineStr">
        <is>
          <t>نسبة التحصيل المالي من شركاء الامتياز</t>
        </is>
      </c>
      <c r="D87" s="46" t="n">
        <v>0.8120000000000001</v>
      </c>
      <c r="E87" s="46" t="n">
        <v>0.95</v>
      </c>
      <c r="F87" s="47" t="n">
        <v>0.8547368421052632</v>
      </c>
      <c r="G87" s="12" t="n">
        <v>0.1452631578947368</v>
      </c>
      <c r="H87" s="46" t="n">
        <v>0.8120000000000001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الامتياز</t>
        </is>
      </c>
      <c r="M87" s="48" t="n"/>
    </row>
    <row r="88">
      <c r="A88" s="15" t="n">
        <v>86</v>
      </c>
      <c r="B88" s="13" t="inlineStr">
        <is>
          <t>الموارد البشرية</t>
        </is>
      </c>
      <c r="C88" s="24" t="inlineStr">
        <is>
          <t>نسبة شغل الشواغر خلال 30 يوم</t>
        </is>
      </c>
      <c r="D88" s="46" t="n">
        <v>0.73</v>
      </c>
      <c r="E88" s="46" t="n">
        <v>0.85</v>
      </c>
      <c r="F88" s="47" t="n">
        <v>0.8588235294117647</v>
      </c>
      <c r="G88" s="12" t="n">
        <v>0.1411764705882353</v>
      </c>
      <c r="H88" s="46" t="n">
        <v>0.73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الموارد البشرية</t>
        </is>
      </c>
      <c r="M88" s="48" t="n"/>
    </row>
    <row r="89">
      <c r="A89" s="15" t="n">
        <v>87</v>
      </c>
      <c r="B89" s="13" t="inlineStr">
        <is>
          <t>الاستثمار</t>
        </is>
      </c>
      <c r="C89" s="24" t="inlineStr">
        <is>
          <t>نسبة العقود خارج المدن الرئيسية</t>
        </is>
      </c>
      <c r="D89" s="46" t="n">
        <v>0.516</v>
      </c>
      <c r="E89" s="46" t="n">
        <v>0.6</v>
      </c>
      <c r="F89" s="47" t="n">
        <v>0.8600000000000001</v>
      </c>
      <c r="G89" s="12" t="n">
        <v>0.1399999999999999</v>
      </c>
      <c r="H89" s="46" t="n">
        <v>0.516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الاستثمار</t>
        </is>
      </c>
      <c r="M89" s="48" t="n"/>
    </row>
    <row r="90">
      <c r="A90" s="15" t="n">
        <v>88</v>
      </c>
      <c r="B90" s="13" t="inlineStr">
        <is>
          <t>إدارة المشاريع</t>
        </is>
      </c>
      <c r="C90" s="24" t="inlineStr">
        <is>
          <t>نسبة إغلاق ملاحظات الجودة على المطوّرين</t>
        </is>
      </c>
      <c r="D90" s="46" t="n">
        <v>0.777</v>
      </c>
      <c r="E90" s="46" t="n">
        <v>0.9</v>
      </c>
      <c r="F90" s="47" t="n">
        <v>0.8633333333333333</v>
      </c>
      <c r="G90" s="12" t="n">
        <v>0.1366666666666667</v>
      </c>
      <c r="H90" s="46" t="n">
        <v>0.777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إدارة المشاريع</t>
        </is>
      </c>
      <c r="M90" s="48" t="n"/>
    </row>
    <row r="91">
      <c r="A91" s="15" t="n">
        <v>89</v>
      </c>
      <c r="B91" s="13" t="inlineStr">
        <is>
          <t>سلاسل الإمداد</t>
        </is>
      </c>
      <c r="C91" s="24" t="inlineStr">
        <is>
          <t>نسبة التزام جدول النقل (On-Time)</t>
        </is>
      </c>
      <c r="D91" s="46" t="n">
        <v>0.822</v>
      </c>
      <c r="E91" s="46" t="n">
        <v>0.95</v>
      </c>
      <c r="F91" s="47" t="n">
        <v>0.8652631578947368</v>
      </c>
      <c r="G91" s="12" t="n">
        <v>0.1347368421052632</v>
      </c>
      <c r="H91" s="46" t="n">
        <v>0.822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سلاسل الإمداد</t>
        </is>
      </c>
      <c r="M91" s="48" t="n"/>
    </row>
    <row r="92">
      <c r="A92" s="15" t="n">
        <v>90</v>
      </c>
      <c r="B92" s="13" t="inlineStr">
        <is>
          <t>إدارة المشاريع</t>
        </is>
      </c>
      <c r="C92" s="24" t="inlineStr">
        <is>
          <t>عدد محطات الامتياز المُسلَّمة بالهوية</t>
        </is>
      </c>
      <c r="D92" s="46" t="n">
        <v>34.7</v>
      </c>
      <c r="E92" s="46" t="n">
        <v>40</v>
      </c>
      <c r="F92" s="47" t="n">
        <v>0.8675</v>
      </c>
      <c r="G92" s="12" t="n">
        <v>0.1325</v>
      </c>
      <c r="H92" s="46" t="n">
        <v>69.40000000000001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إدارة المشاريع</t>
        </is>
      </c>
      <c r="M92" s="48" t="n"/>
    </row>
    <row r="93">
      <c r="A93" s="15" t="n">
        <v>91</v>
      </c>
      <c r="B93" s="13" t="inlineStr">
        <is>
          <t>العقار</t>
        </is>
      </c>
      <c r="C93" s="24" t="inlineStr">
        <is>
          <t>استدامة المستأجرين (لم يُنهَ مبكراً)</t>
        </is>
      </c>
      <c r="D93" s="46" t="n">
        <v>0.695</v>
      </c>
      <c r="E93" s="46" t="n">
        <v>0.8</v>
      </c>
      <c r="F93" s="47" t="n">
        <v>0.8687499999999999</v>
      </c>
      <c r="G93" s="12" t="n">
        <v>0.1312500000000001</v>
      </c>
      <c r="H93" s="46" t="n">
        <v>0.695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العقار</t>
        </is>
      </c>
      <c r="M93" s="48" t="n"/>
    </row>
    <row r="94">
      <c r="A94" s="15" t="n">
        <v>92</v>
      </c>
      <c r="B94" s="13" t="inlineStr">
        <is>
          <t>الامتياز التجاري</t>
        </is>
      </c>
      <c r="C94" s="24" t="inlineStr">
        <is>
          <t>رفع هامش الربحية للامتياز</t>
        </is>
      </c>
      <c r="D94" s="46" t="n">
        <v>1.564</v>
      </c>
      <c r="E94" s="46" t="n">
        <v>1.8</v>
      </c>
      <c r="F94" s="47" t="n">
        <v>0.8688888888888889</v>
      </c>
      <c r="G94" s="12" t="n">
        <v>0.1311111111111111</v>
      </c>
      <c r="H94" s="46" t="n">
        <v>1.564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الامتياز</t>
        </is>
      </c>
      <c r="M94" s="48" t="n"/>
    </row>
    <row r="95">
      <c r="A95" s="15" t="n">
        <v>93</v>
      </c>
      <c r="B95" s="13" t="inlineStr">
        <is>
          <t>إدارة المشاريع</t>
        </is>
      </c>
      <c r="C95" s="24" t="inlineStr">
        <is>
          <t>نسبة التزام المطوّرين بالجدول الزمني</t>
        </is>
      </c>
      <c r="D95" s="46" t="n">
        <v>0.652</v>
      </c>
      <c r="E95" s="46" t="n">
        <v>0.75</v>
      </c>
      <c r="F95" s="47" t="n">
        <v>0.8693333333333334</v>
      </c>
      <c r="G95" s="12" t="n">
        <v>0.1306666666666666</v>
      </c>
      <c r="H95" s="46" t="n">
        <v>0.652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إدارة المشاريع</t>
        </is>
      </c>
      <c r="M95" s="48" t="n"/>
    </row>
    <row r="96">
      <c r="A96" s="15" t="n">
        <v>94</v>
      </c>
      <c r="B96" s="13" t="inlineStr">
        <is>
          <t>سلاسل الإمداد</t>
        </is>
      </c>
      <c r="C96" s="24" t="inlineStr">
        <is>
          <t>نسبة المواد التالفة من المخزون</t>
        </is>
      </c>
      <c r="D96" s="46" t="n">
        <v>0.023</v>
      </c>
      <c r="E96" s="46" t="n">
        <v>0.02</v>
      </c>
      <c r="F96" s="47" t="n">
        <v>0.8695652173913044</v>
      </c>
      <c r="G96" s="12" t="n">
        <v>0.1304347826086956</v>
      </c>
      <c r="H96" s="46" t="n">
        <v>0.023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سلاسل الإمداد</t>
        </is>
      </c>
      <c r="M96" s="48" t="n"/>
    </row>
    <row r="97">
      <c r="A97" s="15" t="n">
        <v>95</v>
      </c>
      <c r="B97" s="13" t="inlineStr">
        <is>
          <t>الاستثمار</t>
        </is>
      </c>
      <c r="C97" s="24" t="inlineStr">
        <is>
          <t>إجمالي عقود الاستثمار الجديدة (جميع النماذج)</t>
        </is>
      </c>
      <c r="D97" s="46" t="n">
        <v>165.7</v>
      </c>
      <c r="E97" s="46" t="n">
        <v>190</v>
      </c>
      <c r="F97" s="47" t="n">
        <v>0.8721052631578947</v>
      </c>
      <c r="G97" s="12" t="n">
        <v>0.1278947368421053</v>
      </c>
      <c r="H97" s="46" t="n">
        <v>331.4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الاستثمار</t>
        </is>
      </c>
      <c r="M97" s="48" t="n"/>
    </row>
    <row r="98">
      <c r="A98" s="15" t="n">
        <v>96</v>
      </c>
      <c r="B98" s="13" t="inlineStr">
        <is>
          <t>الامتياز التجاري</t>
        </is>
      </c>
      <c r="C98" s="24" t="inlineStr">
        <is>
          <t>نسبة المحطات التي حققت مستهدف المبيعات</t>
        </is>
      </c>
      <c r="D98" s="46" t="n">
        <v>0.788</v>
      </c>
      <c r="E98" s="46" t="n">
        <v>0.9</v>
      </c>
      <c r="F98" s="47" t="n">
        <v>0.8755555555555555</v>
      </c>
      <c r="G98" s="12" t="n">
        <v>0.1244444444444445</v>
      </c>
      <c r="H98" s="46" t="n">
        <v>0.788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الامتياز</t>
        </is>
      </c>
      <c r="M98" s="48" t="n"/>
    </row>
    <row r="99">
      <c r="A99" s="15" t="n">
        <v>97</v>
      </c>
      <c r="B99" s="13" t="inlineStr">
        <is>
          <t>العقار</t>
        </is>
      </c>
      <c r="C99" s="24" t="inlineStr">
        <is>
          <t>متوسط زمن تسليم الوحدة</t>
        </is>
      </c>
      <c r="D99" s="46" t="n">
        <v>7.983</v>
      </c>
      <c r="E99" s="46" t="n">
        <v>7</v>
      </c>
      <c r="F99" s="47" t="n">
        <v>0.8768633345859953</v>
      </c>
      <c r="G99" s="12" t="n">
        <v>0.1231366654140047</v>
      </c>
      <c r="H99" s="46" t="n">
        <v>7.983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العقار</t>
        </is>
      </c>
      <c r="M99" s="48" t="n"/>
    </row>
    <row r="100">
      <c r="A100" s="15" t="n">
        <v>98</v>
      </c>
      <c r="B100" s="13" t="inlineStr">
        <is>
          <t>الإدارة التنفيذية</t>
        </is>
      </c>
      <c r="C100" s="24" t="inlineStr">
        <is>
          <t>إجمالي المحطات المشغّلة — الشركة (تراكمي)</t>
        </is>
      </c>
      <c r="D100" s="46" t="n">
        <v>206.1</v>
      </c>
      <c r="E100" s="46" t="n">
        <v>235</v>
      </c>
      <c r="F100" s="47" t="n">
        <v>0.8770212765957447</v>
      </c>
      <c r="G100" s="12" t="n">
        <v>0.1229787234042553</v>
      </c>
      <c r="H100" s="46" t="n">
        <v>206.1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الرئيس التنفيذي</t>
        </is>
      </c>
      <c r="M100" s="48" t="n"/>
    </row>
    <row r="101">
      <c r="A101" s="15" t="n">
        <v>99</v>
      </c>
      <c r="B101" s="13" t="inlineStr">
        <is>
          <t>الجودة</t>
        </is>
      </c>
      <c r="C101" s="24" t="inlineStr">
        <is>
          <t>نسبة تكرار الملاحظات</t>
        </is>
      </c>
      <c r="D101" s="46" t="n">
        <v>0.114</v>
      </c>
      <c r="E101" s="46" t="n">
        <v>0.1</v>
      </c>
      <c r="F101" s="47" t="n">
        <v>0.8771929824561404</v>
      </c>
      <c r="G101" s="12" t="n">
        <v>0.1228070175438596</v>
      </c>
      <c r="H101" s="46" t="n">
        <v>0.114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الجودة</t>
        </is>
      </c>
      <c r="M101" s="48" t="n"/>
    </row>
    <row r="102">
      <c r="A102" s="15" t="n">
        <v>100</v>
      </c>
      <c r="B102" s="13" t="inlineStr">
        <is>
          <t>الموارد البشرية</t>
        </is>
      </c>
      <c r="C102" s="24" t="inlineStr">
        <is>
          <t>معدل استبقاء الموظفين (Retention)</t>
        </is>
      </c>
      <c r="D102" s="46" t="n">
        <v>0.795</v>
      </c>
      <c r="E102" s="46" t="n">
        <v>0.9</v>
      </c>
      <c r="F102" s="47" t="n">
        <v>0.8833333333333333</v>
      </c>
      <c r="G102" s="12" t="n">
        <v>0.1166666666666667</v>
      </c>
      <c r="H102" s="46" t="n">
        <v>0.795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الموارد البشرية</t>
        </is>
      </c>
      <c r="M102" s="48" t="n"/>
    </row>
    <row r="103">
      <c r="A103" s="15" t="n">
        <v>101</v>
      </c>
      <c r="B103" s="13" t="inlineStr">
        <is>
          <t>التشغيل والمحطات</t>
        </is>
      </c>
      <c r="C103" s="24" t="inlineStr">
        <is>
          <t>سرعة تعبئة الوقود</t>
        </is>
      </c>
      <c r="D103" s="46" t="n">
        <v>3.352</v>
      </c>
      <c r="E103" s="46" t="n">
        <v>3</v>
      </c>
      <c r="F103" s="47" t="n">
        <v>0.8949880668257757</v>
      </c>
      <c r="G103" s="12" t="n">
        <v>0.1050119331742243</v>
      </c>
      <c r="H103" s="46" t="n">
        <v>3.352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التشغيل</t>
        </is>
      </c>
      <c r="M103" s="48" t="n"/>
    </row>
    <row r="104">
      <c r="A104" s="15" t="n">
        <v>102</v>
      </c>
      <c r="B104" s="13" t="inlineStr">
        <is>
          <t>إدارة المشاريع</t>
        </is>
      </c>
      <c r="C104" s="24" t="inlineStr">
        <is>
          <t>نسبة التزام المقاولين بمعايير السلامة</t>
        </is>
      </c>
      <c r="D104" s="46" t="n">
        <v>0.852</v>
      </c>
      <c r="E104" s="46" t="n">
        <v>0.95</v>
      </c>
      <c r="F104" s="47" t="n">
        <v>0.8968421052631579</v>
      </c>
      <c r="G104" s="12" t="n">
        <v>0.1031578947368421</v>
      </c>
      <c r="H104" s="46" t="n">
        <v>0.852</v>
      </c>
      <c r="I104" s="15" t="inlineStr">
        <is>
          <t>🔴 تحت الهدف</t>
        </is>
      </c>
      <c r="J104" s="11" t="inlineStr">
        <is>
          <t>انحراف جوهري — أولوية عاجلة.</t>
        </is>
      </c>
      <c r="K104" s="11" t="inlineStr">
        <is>
          <t>إجراء تصحيحي خلال 30 يوماً.</t>
        </is>
      </c>
      <c r="L104" s="15" t="inlineStr">
        <is>
          <t>مدير إدارة المشاريع</t>
        </is>
      </c>
      <c r="M104" s="48" t="n"/>
    </row>
    <row r="105">
      <c r="A105" s="15" t="n">
        <v>103</v>
      </c>
      <c r="B105" s="13" t="inlineStr">
        <is>
          <t>التشغيل والمحطات</t>
        </is>
      </c>
      <c r="C105" s="24" t="inlineStr">
        <is>
          <t>تقييم Google Maps للمحطات</t>
        </is>
      </c>
      <c r="D105" s="46" t="n">
        <v>4.048</v>
      </c>
      <c r="E105" s="46" t="n">
        <v>4.5</v>
      </c>
      <c r="F105" s="47" t="n">
        <v>0.8995555555555556</v>
      </c>
      <c r="G105" s="12" t="n">
        <v>0.1004444444444444</v>
      </c>
      <c r="H105" s="46" t="n">
        <v>4.048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48" t="n"/>
    </row>
    <row r="106">
      <c r="A106" s="15" t="n">
        <v>104</v>
      </c>
      <c r="B106" s="13" t="inlineStr">
        <is>
          <t>الموارد البشرية</t>
        </is>
      </c>
      <c r="C106" s="24" t="inlineStr">
        <is>
          <t>معدل دوران الموظفين (Turnover)</t>
        </is>
      </c>
      <c r="D106" s="46" t="n">
        <v>0.111</v>
      </c>
      <c r="E106" s="46" t="n">
        <v>0.1</v>
      </c>
      <c r="F106" s="47" t="n">
        <v>0.9009009009009009</v>
      </c>
      <c r="G106" s="12" t="n">
        <v>0.09909909909909909</v>
      </c>
      <c r="H106" s="46" t="n">
        <v>0.111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الموارد البشرية</t>
        </is>
      </c>
      <c r="M106" s="48" t="n"/>
    </row>
    <row r="107">
      <c r="A107" s="15" t="n">
        <v>105</v>
      </c>
      <c r="B107" s="13" t="inlineStr">
        <is>
          <t>الإدارة المالية</t>
        </is>
      </c>
      <c r="C107" s="24" t="inlineStr">
        <is>
          <t>نسبة التدفق النقدي التشغيلي</t>
        </is>
      </c>
      <c r="D107" s="46" t="n">
        <v>0.902</v>
      </c>
      <c r="E107" s="46" t="n">
        <v>1</v>
      </c>
      <c r="F107" s="47" t="n">
        <v>0.902</v>
      </c>
      <c r="G107" s="12" t="n">
        <v>0.09799999999999998</v>
      </c>
      <c r="H107" s="46" t="n">
        <v>0.902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المدير المالي</t>
        </is>
      </c>
      <c r="M107" s="48" t="n"/>
    </row>
    <row r="108">
      <c r="A108" s="15" t="n">
        <v>106</v>
      </c>
      <c r="B108" s="13" t="inlineStr">
        <is>
          <t>الإدارة التنفيذية</t>
        </is>
      </c>
      <c r="C108" s="24" t="inlineStr">
        <is>
          <t>نسبة إنجاز مشاريع الخارطة التنفيذية</t>
        </is>
      </c>
      <c r="D108" s="46" t="n">
        <v>0.906</v>
      </c>
      <c r="E108" s="46" t="n">
        <v>1</v>
      </c>
      <c r="F108" s="47" t="n">
        <v>0.906</v>
      </c>
      <c r="G108" s="12" t="n">
        <v>0.09399999999999997</v>
      </c>
      <c r="H108" s="46" t="n">
        <v>0.906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الرئيس التنفيذي</t>
        </is>
      </c>
      <c r="M108" s="48" t="n"/>
    </row>
    <row r="109">
      <c r="A109" s="15" t="n">
        <v>107</v>
      </c>
      <c r="B109" s="13" t="inlineStr">
        <is>
          <t>التقنية الرقمية</t>
        </is>
      </c>
      <c r="C109" s="24" t="inlineStr">
        <is>
          <t>متوسط جاهزية أنظمة المركز الرئيسي (Uptime)</t>
        </is>
      </c>
      <c r="D109" s="46" t="n">
        <v>0.9</v>
      </c>
      <c r="E109" s="46" t="n">
        <v>0.99</v>
      </c>
      <c r="F109" s="47" t="n">
        <v>0.9090909090909092</v>
      </c>
      <c r="G109" s="12" t="n">
        <v>0.09090909090909083</v>
      </c>
      <c r="H109" s="46" t="n">
        <v>0.9</v>
      </c>
      <c r="I109" s="15" t="inlineStr">
        <is>
          <t>🔴 تحت الهدف</t>
        </is>
      </c>
      <c r="J109" s="11" t="inlineStr">
        <is>
          <t>انحراف جوهري — أولوية عاجلة.</t>
        </is>
      </c>
      <c r="K109" s="11" t="inlineStr">
        <is>
          <t>إجراء تصحيحي خلال 30 يوماً.</t>
        </is>
      </c>
      <c r="L109" s="15" t="inlineStr">
        <is>
          <t>مدير التقنية</t>
        </is>
      </c>
      <c r="M109" s="48" t="n"/>
    </row>
    <row r="110">
      <c r="A110" s="15" t="n">
        <v>108</v>
      </c>
      <c r="B110" s="13" t="inlineStr">
        <is>
          <t>إدارة المشاريع</t>
        </is>
      </c>
      <c r="C110" s="24" t="inlineStr">
        <is>
          <t>نسبة المشاريع المنفّذة ضمن الميزانية</t>
        </is>
      </c>
      <c r="D110" s="46" t="n">
        <v>0.774</v>
      </c>
      <c r="E110" s="46" t="n">
        <v>0.85</v>
      </c>
      <c r="F110" s="47" t="n">
        <v>0.9105882352941177</v>
      </c>
      <c r="G110" s="12" t="n">
        <v>0.0894117647058823</v>
      </c>
      <c r="H110" s="46" t="n">
        <v>0.774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إدارة المشاريع</t>
        </is>
      </c>
      <c r="M110" s="48" t="n"/>
    </row>
    <row r="111">
      <c r="A111" s="15" t="n">
        <v>109</v>
      </c>
      <c r="B111" s="13" t="inlineStr">
        <is>
          <t>الامتياز التجاري</t>
        </is>
      </c>
      <c r="C111" s="24" t="inlineStr">
        <is>
          <t>نسبة المحطات المستوفية لمعايير السلامة</t>
        </is>
      </c>
      <c r="D111" s="46" t="n">
        <v>0.911</v>
      </c>
      <c r="E111" s="46" t="n">
        <v>1</v>
      </c>
      <c r="F111" s="47" t="n">
        <v>0.911</v>
      </c>
      <c r="G111" s="12" t="n">
        <v>0.08899999999999997</v>
      </c>
      <c r="H111" s="46" t="n">
        <v>0.911</v>
      </c>
      <c r="I111" s="15" t="inlineStr">
        <is>
          <t>🔴 تحت الهدف</t>
        </is>
      </c>
      <c r="J111" s="11" t="inlineStr">
        <is>
          <t>انحراف جوهري — أولوية عاجلة.</t>
        </is>
      </c>
      <c r="K111" s="11" t="inlineStr">
        <is>
          <t>إجراء تصحيحي خلال 30 يوماً.</t>
        </is>
      </c>
      <c r="L111" s="15" t="inlineStr">
        <is>
          <t>مدير الامتياز</t>
        </is>
      </c>
      <c r="M111" s="48" t="n"/>
    </row>
    <row r="112">
      <c r="A112" s="15" t="n">
        <v>110</v>
      </c>
      <c r="B112" s="13" t="inlineStr">
        <is>
          <t>الامتياز التجاري</t>
        </is>
      </c>
      <c r="C112" s="24" t="inlineStr">
        <is>
          <t>متوسط وقت معالجة البلاغات التشغيلية</t>
        </is>
      </c>
      <c r="D112" s="46" t="n">
        <v>26.2</v>
      </c>
      <c r="E112" s="46" t="n">
        <v>24</v>
      </c>
      <c r="F112" s="47" t="n">
        <v>0.916030534351145</v>
      </c>
      <c r="G112" s="12" t="n">
        <v>0.08396946564885499</v>
      </c>
      <c r="H112" s="46" t="n">
        <v>26.2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الامتياز</t>
        </is>
      </c>
      <c r="M112" s="48" t="n"/>
    </row>
    <row r="113">
      <c r="A113" s="15" t="n">
        <v>111</v>
      </c>
      <c r="B113" s="13" t="inlineStr">
        <is>
          <t>العقار</t>
        </is>
      </c>
      <c r="C113" s="24" t="inlineStr">
        <is>
          <t>الشراكات الاستراتيجية</t>
        </is>
      </c>
      <c r="D113" s="46" t="n">
        <v>4.59</v>
      </c>
      <c r="E113" s="46" t="n">
        <v>5</v>
      </c>
      <c r="F113" s="47" t="n">
        <v>0.9179999999999999</v>
      </c>
      <c r="G113" s="12" t="n">
        <v>0.08200000000000007</v>
      </c>
      <c r="H113" s="46" t="n">
        <v>9.18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العقار</t>
        </is>
      </c>
      <c r="M113" s="48" t="n"/>
    </row>
    <row r="114">
      <c r="A114" s="15" t="n">
        <v>112</v>
      </c>
      <c r="B114" s="13" t="inlineStr">
        <is>
          <t>التقنية الرقمية</t>
        </is>
      </c>
      <c r="C114" s="24" t="inlineStr">
        <is>
          <t>معدل تسليم المشاريع في الموعد المحدد</t>
        </is>
      </c>
      <c r="D114" s="46" t="n">
        <v>0.83</v>
      </c>
      <c r="E114" s="46" t="n">
        <v>0.9</v>
      </c>
      <c r="F114" s="47" t="n">
        <v>0.9222222222222222</v>
      </c>
      <c r="G114" s="12" t="n">
        <v>0.07777777777777783</v>
      </c>
      <c r="H114" s="46" t="n">
        <v>0.83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التقنية</t>
        </is>
      </c>
      <c r="M114" s="48" t="n"/>
    </row>
    <row r="115">
      <c r="A115" s="15" t="n">
        <v>113</v>
      </c>
      <c r="B115" s="13" t="inlineStr">
        <is>
          <t>التشغيل والمحطات</t>
        </is>
      </c>
      <c r="C115" s="24" t="inlineStr">
        <is>
          <t>عدد المحطات المشغّلة (تراكمي)</t>
        </is>
      </c>
      <c r="D115" s="46" t="n">
        <v>78.5</v>
      </c>
      <c r="E115" s="46" t="n">
        <v>85</v>
      </c>
      <c r="F115" s="47" t="n">
        <v>0.9235294117647059</v>
      </c>
      <c r="G115" s="12" t="n">
        <v>0.07647058823529407</v>
      </c>
      <c r="H115" s="46" t="n">
        <v>78.5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التشغيل</t>
        </is>
      </c>
      <c r="M115" s="48" t="n"/>
    </row>
    <row r="116">
      <c r="A116" s="15" t="n">
        <v>114</v>
      </c>
      <c r="B116" s="13" t="inlineStr">
        <is>
          <t>الامتياز التجاري</t>
        </is>
      </c>
      <c r="C116" s="24" t="inlineStr">
        <is>
          <t>نسبة إغلاق ملاحظات الجودة الميدانية</t>
        </is>
      </c>
      <c r="D116" s="46" t="n">
        <v>0.879</v>
      </c>
      <c r="E116" s="46" t="n">
        <v>0.95</v>
      </c>
      <c r="F116" s="47" t="n">
        <v>0.9252631578947369</v>
      </c>
      <c r="G116" s="12" t="n">
        <v>0.0747368421052631</v>
      </c>
      <c r="H116" s="46" t="n">
        <v>0.879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الامتياز</t>
        </is>
      </c>
      <c r="M116" s="48" t="n"/>
    </row>
    <row r="117">
      <c r="A117" s="15" t="n">
        <v>115</v>
      </c>
      <c r="B117" s="13" t="inlineStr">
        <is>
          <t>إدارة المشاريع</t>
        </is>
      </c>
      <c r="C117" s="24" t="inlineStr">
        <is>
          <t>متوسط مدة إغلاق قائمة الملاحظات النهائية</t>
        </is>
      </c>
      <c r="D117" s="46" t="n">
        <v>32.4</v>
      </c>
      <c r="E117" s="46" t="n">
        <v>30</v>
      </c>
      <c r="F117" s="47" t="n">
        <v>0.9259259259259259</v>
      </c>
      <c r="G117" s="12" t="n">
        <v>0.07407407407407407</v>
      </c>
      <c r="H117" s="46" t="n">
        <v>32.4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إدارة المشاريع</t>
        </is>
      </c>
      <c r="M117" s="48" t="n"/>
    </row>
    <row r="118">
      <c r="A118" s="15" t="n">
        <v>116</v>
      </c>
      <c r="B118" s="13" t="inlineStr">
        <is>
          <t>الجودة</t>
        </is>
      </c>
      <c r="C118" s="24" t="inlineStr">
        <is>
          <t>نسبة المحطات الحرجة</t>
        </is>
      </c>
      <c r="D118" s="46" t="n">
        <v>0.054</v>
      </c>
      <c r="E118" s="46" t="n">
        <v>0.05</v>
      </c>
      <c r="F118" s="47" t="n">
        <v>0.925925925925926</v>
      </c>
      <c r="G118" s="12" t="n">
        <v>0.07407407407407396</v>
      </c>
      <c r="H118" s="46" t="n">
        <v>0.054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الجودة</t>
        </is>
      </c>
      <c r="M118" s="48" t="n"/>
    </row>
    <row r="119">
      <c r="A119" s="15" t="n">
        <v>117</v>
      </c>
      <c r="B119" s="13" t="inlineStr">
        <is>
          <t>الموارد البشرية</t>
        </is>
      </c>
      <c r="C119" s="24" t="inlineStr">
        <is>
          <t>اكتمال الأوصاف الوظيفية (+KPI)</t>
        </is>
      </c>
      <c r="D119" s="46" t="n">
        <v>0.926</v>
      </c>
      <c r="E119" s="46" t="n">
        <v>1</v>
      </c>
      <c r="F119" s="47" t="n">
        <v>0.926</v>
      </c>
      <c r="G119" s="12" t="n">
        <v>0.07399999999999995</v>
      </c>
      <c r="H119" s="46" t="n">
        <v>0.926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الموارد البشرية</t>
        </is>
      </c>
      <c r="M119" s="48" t="n"/>
    </row>
    <row r="120">
      <c r="A120" s="15" t="n">
        <v>118</v>
      </c>
      <c r="B120" s="13" t="inlineStr">
        <is>
          <t>الامتياز التجاري</t>
        </is>
      </c>
      <c r="C120" s="24" t="inlineStr">
        <is>
          <t>متوسط درجة تقييم جودة المحطة (قائمة التحقق)</t>
        </is>
      </c>
      <c r="D120" s="46" t="n">
        <v>78.8</v>
      </c>
      <c r="E120" s="46" t="n">
        <v>85</v>
      </c>
      <c r="F120" s="47" t="n">
        <v>0.9270588235294117</v>
      </c>
      <c r="G120" s="12" t="n">
        <v>0.07294117647058829</v>
      </c>
      <c r="H120" s="46" t="n">
        <v>78.8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الامتياز</t>
        </is>
      </c>
      <c r="M120" s="48" t="n"/>
    </row>
    <row r="121">
      <c r="A121" s="15" t="n">
        <v>119</v>
      </c>
      <c r="B121" s="13" t="inlineStr">
        <is>
          <t>الإدارة المالية</t>
        </is>
      </c>
      <c r="C121" s="24" t="inlineStr">
        <is>
          <t>نسبة تحصيل الامتياز</t>
        </is>
      </c>
      <c r="D121" s="46" t="n">
        <v>0.91</v>
      </c>
      <c r="E121" s="46" t="n">
        <v>0.98</v>
      </c>
      <c r="F121" s="47" t="n">
        <v>0.9285714285714286</v>
      </c>
      <c r="G121" s="12" t="n">
        <v>0.0714285714285714</v>
      </c>
      <c r="H121" s="46" t="n">
        <v>0.91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المدير المالي</t>
        </is>
      </c>
      <c r="M121" s="48" t="n"/>
    </row>
    <row r="122">
      <c r="A122" s="15" t="n">
        <v>120</v>
      </c>
      <c r="B122" s="13" t="inlineStr">
        <is>
          <t>إدارة المشاريع</t>
        </is>
      </c>
      <c r="C122" s="24" t="inlineStr">
        <is>
          <t>عدد محطات الشركة المُسلَّمة</t>
        </is>
      </c>
      <c r="D122" s="46" t="n">
        <v>18.8</v>
      </c>
      <c r="E122" s="46" t="n">
        <v>20</v>
      </c>
      <c r="F122" s="47" t="n">
        <v>0.9400000000000001</v>
      </c>
      <c r="G122" s="12" t="n">
        <v>0.05999999999999994</v>
      </c>
      <c r="H122" s="46" t="n">
        <v>37.6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إدارة المشاريع</t>
        </is>
      </c>
      <c r="M122" s="48" t="n"/>
    </row>
    <row r="123">
      <c r="A123" s="15" t="n">
        <v>121</v>
      </c>
      <c r="B123" s="13" t="inlineStr">
        <is>
          <t>الاستثمار</t>
        </is>
      </c>
      <c r="C123" s="24" t="inlineStr">
        <is>
          <t>سرعة إنجاز إجراءات التعاقد</t>
        </is>
      </c>
      <c r="D123" s="46" t="n">
        <v>1.061</v>
      </c>
      <c r="E123" s="46" t="n">
        <v>1</v>
      </c>
      <c r="F123" s="47" t="n">
        <v>0.942507068803016</v>
      </c>
      <c r="G123" s="12" t="n">
        <v>0.05749293119698395</v>
      </c>
      <c r="H123" s="46" t="n">
        <v>1.061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الاستثمار</t>
        </is>
      </c>
      <c r="M123" s="48" t="n"/>
    </row>
    <row r="124">
      <c r="A124" s="15" t="n">
        <v>122</v>
      </c>
      <c r="B124" s="13" t="inlineStr">
        <is>
          <t>الاستثمار</t>
        </is>
      </c>
      <c r="C124" s="24" t="inlineStr">
        <is>
          <t>نسبة العقود على الطرق الإقليمية</t>
        </is>
      </c>
      <c r="D124" s="46" t="n">
        <v>0.236</v>
      </c>
      <c r="E124" s="46" t="n">
        <v>0.25</v>
      </c>
      <c r="F124" s="47" t="n">
        <v>0.944</v>
      </c>
      <c r="G124" s="12" t="n">
        <v>0.05600000000000005</v>
      </c>
      <c r="H124" s="46" t="n">
        <v>0.236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الاستثمار</t>
        </is>
      </c>
      <c r="M124" s="48" t="n"/>
    </row>
    <row r="125">
      <c r="A125" s="15" t="n">
        <v>123</v>
      </c>
      <c r="B125" s="13" t="inlineStr">
        <is>
          <t>التسويق</t>
        </is>
      </c>
      <c r="C125" s="24" t="inlineStr">
        <is>
          <t>وصول محتوى تطبيق تانكي</t>
        </is>
      </c>
      <c r="D125" s="46" t="n">
        <v>946380</v>
      </c>
      <c r="E125" s="46" t="n">
        <v>1000000</v>
      </c>
      <c r="F125" s="47" t="n">
        <v>0.94638</v>
      </c>
      <c r="G125" s="12" t="n">
        <v>0.05362</v>
      </c>
      <c r="H125" s="46" t="n">
        <v>946380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التسويق</t>
        </is>
      </c>
      <c r="M125" s="48" t="n"/>
    </row>
    <row r="126">
      <c r="A126" s="15" t="n">
        <v>124</v>
      </c>
      <c r="B126" s="13" t="inlineStr">
        <is>
          <t>الامتياز التجاري</t>
        </is>
      </c>
      <c r="C126" s="24" t="inlineStr">
        <is>
          <t>نسبة استدامة أصحاب الامتياز (Retention)</t>
        </is>
      </c>
      <c r="D126" s="46" t="n">
        <v>0.853</v>
      </c>
      <c r="E126" s="46" t="n">
        <v>0.9</v>
      </c>
      <c r="F126" s="47" t="n">
        <v>0.9477777777777777</v>
      </c>
      <c r="G126" s="12" t="n">
        <v>0.05222222222222228</v>
      </c>
      <c r="H126" s="46" t="n">
        <v>0.853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48" t="n"/>
    </row>
    <row r="127">
      <c r="A127" s="15" t="n">
        <v>125</v>
      </c>
      <c r="B127" s="13" t="inlineStr">
        <is>
          <t>الإدارة المالية</t>
        </is>
      </c>
      <c r="C127" s="24" t="inlineStr">
        <is>
          <t>أيام تحصيل رسوم الامتياز</t>
        </is>
      </c>
      <c r="D127" s="46" t="n">
        <v>15.8</v>
      </c>
      <c r="E127" s="46" t="n">
        <v>15</v>
      </c>
      <c r="F127" s="47" t="n">
        <v>0.9493670886075949</v>
      </c>
      <c r="G127" s="12" t="n">
        <v>0.05063291139240511</v>
      </c>
      <c r="H127" s="46" t="n">
        <v>15.8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المدير المالي</t>
        </is>
      </c>
      <c r="M127" s="48" t="n"/>
    </row>
    <row r="128">
      <c r="A128" s="15" t="n">
        <v>126</v>
      </c>
      <c r="B128" s="13" t="inlineStr">
        <is>
          <t>الامتياز التجاري</t>
        </is>
      </c>
      <c r="C128" s="24" t="inlineStr">
        <is>
          <t>عدد عقود الامتياز الجديدة الموقّعة</t>
        </is>
      </c>
      <c r="D128" s="46" t="n">
        <v>159.2</v>
      </c>
      <c r="E128" s="46" t="n">
        <v>167</v>
      </c>
      <c r="F128" s="47" t="n">
        <v>0.9532934131736527</v>
      </c>
      <c r="G128" s="12" t="n">
        <v>0.04670658682634732</v>
      </c>
      <c r="H128" s="46" t="n">
        <v>318.4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الامتياز</t>
        </is>
      </c>
      <c r="M128" s="48" t="n"/>
    </row>
    <row r="129">
      <c r="A129" s="15" t="n">
        <v>127</v>
      </c>
      <c r="B129" s="13" t="inlineStr">
        <is>
          <t>إدارة المشاريع</t>
        </is>
      </c>
      <c r="C129" s="24" t="inlineStr">
        <is>
          <t>نسبة الالتزام بالميزانية المعتمدة</t>
        </is>
      </c>
      <c r="D129" s="46" t="n">
        <v>0.96</v>
      </c>
      <c r="E129" s="46" t="n">
        <v>1</v>
      </c>
      <c r="F129" s="47" t="n">
        <v>0.96</v>
      </c>
      <c r="G129" s="12" t="n">
        <v>0.04000000000000004</v>
      </c>
      <c r="H129" s="46" t="n">
        <v>0.96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إدارة المشاريع</t>
        </is>
      </c>
      <c r="M129" s="48" t="n"/>
    </row>
    <row r="130">
      <c r="A130" s="15" t="n">
        <v>128</v>
      </c>
      <c r="B130" s="13" t="inlineStr">
        <is>
          <t>الاستثمار</t>
        </is>
      </c>
      <c r="C130" s="24" t="inlineStr">
        <is>
          <t>نسبة إنجاز التقارير الدورية في موعدها</t>
        </is>
      </c>
      <c r="D130" s="46" t="n">
        <v>0.961</v>
      </c>
      <c r="E130" s="46" t="n">
        <v>1</v>
      </c>
      <c r="F130" s="47" t="n">
        <v>0.961</v>
      </c>
      <c r="G130" s="12" t="n">
        <v>0.03900000000000003</v>
      </c>
      <c r="H130" s="46" t="n">
        <v>0.961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الاستثمار</t>
        </is>
      </c>
      <c r="M130" s="48" t="n"/>
    </row>
    <row r="131">
      <c r="A131" s="15" t="n">
        <v>129</v>
      </c>
      <c r="B131" s="13" t="inlineStr">
        <is>
          <t>العقار</t>
        </is>
      </c>
      <c r="C131" s="24" t="inlineStr">
        <is>
          <t>علامات تجارية جديدة (ساحة درب)</t>
        </is>
      </c>
      <c r="D131" s="46" t="n">
        <v>5.769</v>
      </c>
      <c r="E131" s="46" t="n">
        <v>6</v>
      </c>
      <c r="F131" s="47" t="n">
        <v>0.9615</v>
      </c>
      <c r="G131" s="12" t="n">
        <v>0.03849999999999998</v>
      </c>
      <c r="H131" s="46" t="n">
        <v>11.538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العقار</t>
        </is>
      </c>
      <c r="M131" s="48" t="n"/>
    </row>
    <row r="132">
      <c r="A132" s="15" t="n">
        <v>130</v>
      </c>
      <c r="B132" s="13" t="inlineStr">
        <is>
          <t>إدارة المشاريع</t>
        </is>
      </c>
      <c r="C132" s="24" t="inlineStr">
        <is>
          <t>عدد مخالفات المقاولين (سنوي)</t>
        </is>
      </c>
      <c r="D132" s="46" t="n">
        <v>10.4</v>
      </c>
      <c r="E132" s="46" t="n">
        <v>10</v>
      </c>
      <c r="F132" s="47" t="n">
        <v>0.9615384615384615</v>
      </c>
      <c r="G132" s="12" t="n">
        <v>0.03846153846153855</v>
      </c>
      <c r="H132" s="46" t="n">
        <v>20.8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إدارة المشاريع</t>
        </is>
      </c>
      <c r="M132" s="48" t="n"/>
    </row>
    <row r="133">
      <c r="A133" s="15" t="n">
        <v>131</v>
      </c>
      <c r="B133" s="13" t="inlineStr">
        <is>
          <t>الاستثمار</t>
        </is>
      </c>
      <c r="C133" s="24" t="inlineStr">
        <is>
          <t>نسبة العقود في الـ12 مدينة الرئيسية</t>
        </is>
      </c>
      <c r="D133" s="46" t="n">
        <v>0.415</v>
      </c>
      <c r="E133" s="46" t="n">
        <v>0.4</v>
      </c>
      <c r="F133" s="47" t="n">
        <v>0.9638554216867471</v>
      </c>
      <c r="G133" s="12" t="n">
        <v>0.03614457831325291</v>
      </c>
      <c r="H133" s="46" t="n">
        <v>0.415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الاستثمار</t>
        </is>
      </c>
      <c r="M133" s="48" t="n"/>
    </row>
    <row r="134">
      <c r="A134" s="15" t="n">
        <v>132</v>
      </c>
      <c r="B134" s="13" t="inlineStr">
        <is>
          <t>إدارة المشاريع</t>
        </is>
      </c>
      <c r="C134" s="24" t="inlineStr">
        <is>
          <t>نسبة إنجاز محفظة مشاريع التوسع</t>
        </is>
      </c>
      <c r="D134" s="46" t="n">
        <v>0.676</v>
      </c>
      <c r="E134" s="46" t="n">
        <v>0.7</v>
      </c>
      <c r="F134" s="47" t="n">
        <v>0.9657142857142859</v>
      </c>
      <c r="G134" s="12" t="n">
        <v>0.03428571428571414</v>
      </c>
      <c r="H134" s="46" t="n">
        <v>0.676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إدارة المشاريع</t>
        </is>
      </c>
      <c r="M134" s="48" t="n"/>
    </row>
    <row r="135">
      <c r="A135" s="15" t="n">
        <v>133</v>
      </c>
      <c r="B135" s="13" t="inlineStr">
        <is>
          <t>الموارد البشرية</t>
        </is>
      </c>
      <c r="C135" s="24" t="inlineStr">
        <is>
          <t>نسبة توثيق أنظمة العمل</t>
        </is>
      </c>
      <c r="D135" s="46" t="n">
        <v>0.775</v>
      </c>
      <c r="E135" s="46" t="n">
        <v>0.8</v>
      </c>
      <c r="F135" s="47" t="n">
        <v>0.96875</v>
      </c>
      <c r="G135" s="12" t="n">
        <v>0.03125</v>
      </c>
      <c r="H135" s="46" t="n">
        <v>0.775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الموارد البشرية</t>
        </is>
      </c>
      <c r="M135" s="48" t="n"/>
    </row>
    <row r="136">
      <c r="A136" s="15" t="n">
        <v>134</v>
      </c>
      <c r="B136" s="13" t="inlineStr">
        <is>
          <t>الامتياز التجاري</t>
        </is>
      </c>
      <c r="C136" s="24" t="inlineStr">
        <is>
          <t>نسبة حل الشكاوى خلال المدة المحددة</t>
        </is>
      </c>
      <c r="D136" s="46" t="n">
        <v>0.922</v>
      </c>
      <c r="E136" s="46" t="n">
        <v>0.95</v>
      </c>
      <c r="F136" s="47" t="n">
        <v>0.9705263157894738</v>
      </c>
      <c r="G136" s="12" t="n">
        <v>0.02947368421052621</v>
      </c>
      <c r="H136" s="46" t="n">
        <v>0.922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الامتياز</t>
        </is>
      </c>
      <c r="M136" s="48" t="n"/>
    </row>
    <row r="137">
      <c r="A137" s="15" t="n">
        <v>135</v>
      </c>
      <c r="B137" s="13" t="inlineStr">
        <is>
          <t>الإدارة التنفيذية</t>
        </is>
      </c>
      <c r="C137" s="24" t="inlineStr">
        <is>
          <t>إجمالي العقود الجديدة — الشركة</t>
        </is>
      </c>
      <c r="D137" s="46" t="n">
        <v>346.6</v>
      </c>
      <c r="E137" s="46" t="n">
        <v>357</v>
      </c>
      <c r="F137" s="47" t="n">
        <v>0.9708683473389357</v>
      </c>
      <c r="G137" s="12" t="n">
        <v>0.02913165266106432</v>
      </c>
      <c r="H137" s="46" t="n">
        <v>693.2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الرئيس التنفيذي</t>
        </is>
      </c>
      <c r="M137" s="48" t="n"/>
    </row>
    <row r="138">
      <c r="A138" s="15" t="n">
        <v>136</v>
      </c>
      <c r="B138" s="13" t="inlineStr">
        <is>
          <t>الاستثمار</t>
        </is>
      </c>
      <c r="C138" s="24" t="inlineStr">
        <is>
          <t>نسبة اكتمال أرشفة ملفات العملاء</t>
        </is>
      </c>
      <c r="D138" s="46" t="n">
        <v>0.972</v>
      </c>
      <c r="E138" s="46" t="n">
        <v>1</v>
      </c>
      <c r="F138" s="47" t="n">
        <v>0.972</v>
      </c>
      <c r="G138" s="12" t="n">
        <v>0.02800000000000002</v>
      </c>
      <c r="H138" s="46" t="n">
        <v>0.972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الاستثمار</t>
        </is>
      </c>
      <c r="M138" s="48" t="n"/>
    </row>
    <row r="139">
      <c r="A139" s="15" t="n">
        <v>137</v>
      </c>
      <c r="B139" s="13" t="inlineStr">
        <is>
          <t>الإدارة القانونية</t>
        </is>
      </c>
      <c r="C139" s="24" t="inlineStr">
        <is>
          <t>نسبة العقود الخالية من الملاحظات والمخاطر القانونية</t>
        </is>
      </c>
      <c r="D139" s="46" t="n">
        <v>0.924</v>
      </c>
      <c r="E139" s="46" t="n">
        <v>0.95</v>
      </c>
      <c r="F139" s="47" t="n">
        <v>0.9726315789473685</v>
      </c>
      <c r="G139" s="12" t="n">
        <v>0.02736842105263149</v>
      </c>
      <c r="H139" s="46" t="n">
        <v>0.924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المدير القانوني</t>
        </is>
      </c>
      <c r="M139" s="48" t="n"/>
    </row>
    <row r="140">
      <c r="A140" s="15" t="n">
        <v>138</v>
      </c>
      <c r="B140" s="13" t="inlineStr">
        <is>
          <t>الإدارة المالية</t>
        </is>
      </c>
      <c r="C140" s="24" t="inlineStr">
        <is>
          <t>اكتمال مطابقة حسابات الموردين</t>
        </is>
      </c>
      <c r="D140" s="46" t="n">
        <v>0.926</v>
      </c>
      <c r="E140" s="46" t="n">
        <v>0.95</v>
      </c>
      <c r="F140" s="47" t="n">
        <v>0.9747368421052632</v>
      </c>
      <c r="G140" s="12" t="n">
        <v>0.02526315789473677</v>
      </c>
      <c r="H140" s="46" t="n">
        <v>0.926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المدير المالي</t>
        </is>
      </c>
      <c r="M140" s="48" t="n"/>
    </row>
    <row r="141">
      <c r="A141" s="15" t="n">
        <v>139</v>
      </c>
      <c r="B141" s="13" t="inlineStr">
        <is>
          <t>التشغيل والمحطات</t>
        </is>
      </c>
      <c r="C141" s="24" t="inlineStr">
        <is>
          <t>نسبة المضخات العاملة</t>
        </is>
      </c>
      <c r="D141" s="46" t="n">
        <v>0.953</v>
      </c>
      <c r="E141" s="46" t="n">
        <v>0.97</v>
      </c>
      <c r="F141" s="47" t="n">
        <v>0.9824742268041237</v>
      </c>
      <c r="G141" s="12" t="n">
        <v>0.01752577319587634</v>
      </c>
      <c r="H141" s="46" t="n">
        <v>0.953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التشغيل</t>
        </is>
      </c>
      <c r="M141" s="48" t="n"/>
    </row>
    <row r="142">
      <c r="A142" s="15" t="n">
        <v>140</v>
      </c>
      <c r="B142" s="13" t="inlineStr">
        <is>
          <t>سلاسل الإمداد</t>
        </is>
      </c>
      <c r="C142" s="24" t="inlineStr">
        <is>
          <t>نسبة توفّر المواد المخزنية (تسليم ≤ 3 أيام)</t>
        </is>
      </c>
      <c r="D142" s="46" t="n">
        <v>0.983</v>
      </c>
      <c r="E142" s="46" t="n">
        <v>1</v>
      </c>
      <c r="F142" s="47" t="n">
        <v>0.983</v>
      </c>
      <c r="G142" s="12" t="n">
        <v>0.01700000000000002</v>
      </c>
      <c r="H142" s="46" t="n">
        <v>0.983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سلاسل الإمداد</t>
        </is>
      </c>
      <c r="M142" s="48" t="n"/>
    </row>
    <row r="143">
      <c r="A143" s="15" t="n">
        <v>141</v>
      </c>
      <c r="B143" s="13" t="inlineStr">
        <is>
          <t>التشغيل والمحطات</t>
        </is>
      </c>
      <c r="C143" s="24" t="inlineStr">
        <is>
          <t>تطبيق المعيار الشامل في المحطات</t>
        </is>
      </c>
      <c r="D143" s="46" t="n">
        <v>0.787</v>
      </c>
      <c r="E143" s="46" t="n">
        <v>0.8</v>
      </c>
      <c r="F143" s="47" t="n">
        <v>0.98375</v>
      </c>
      <c r="G143" s="12" t="n">
        <v>0.01624999999999999</v>
      </c>
      <c r="H143" s="46" t="n">
        <v>0.787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التشغيل</t>
        </is>
      </c>
      <c r="M143" s="48" t="n"/>
    </row>
    <row r="144">
      <c r="A144" s="15" t="n">
        <v>142</v>
      </c>
      <c r="B144" s="13" t="inlineStr">
        <is>
          <t>الموارد البشرية</t>
        </is>
      </c>
      <c r="C144" s="24" t="inlineStr">
        <is>
          <t>اعتماد الهيكل التنظيمي</t>
        </is>
      </c>
      <c r="D144" s="46" t="n">
        <v>0.984</v>
      </c>
      <c r="E144" s="46" t="n">
        <v>1</v>
      </c>
      <c r="F144" s="47" t="n">
        <v>0.984</v>
      </c>
      <c r="G144" s="12" t="n">
        <v>0.01600000000000001</v>
      </c>
      <c r="H144" s="46" t="n">
        <v>0.984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الموارد البشرية</t>
        </is>
      </c>
      <c r="M144" s="48" t="n"/>
    </row>
    <row r="145">
      <c r="A145" s="15" t="n">
        <v>143</v>
      </c>
      <c r="B145" s="13" t="inlineStr">
        <is>
          <t>سلاسل الإمداد</t>
        </is>
      </c>
      <c r="C145" s="24" t="inlineStr">
        <is>
          <t>نسبة استيفاء طلبات المحطات (Fill Rate)</t>
        </is>
      </c>
      <c r="D145" s="46" t="n">
        <v>0.967</v>
      </c>
      <c r="E145" s="46" t="n">
        <v>0.98</v>
      </c>
      <c r="F145" s="47" t="n">
        <v>0.986734693877551</v>
      </c>
      <c r="G145" s="12" t="n">
        <v>0.01326530612244903</v>
      </c>
      <c r="H145" s="46" t="n">
        <v>0.967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سلاسل الإمداد</t>
        </is>
      </c>
      <c r="M145" s="48" t="n"/>
    </row>
    <row r="146">
      <c r="A146" s="15" t="n">
        <v>144</v>
      </c>
      <c r="B146" s="13" t="inlineStr">
        <is>
          <t>الإدارة المالية</t>
        </is>
      </c>
      <c r="C146" s="24" t="inlineStr">
        <is>
          <t>انحراف الموازنة</t>
        </is>
      </c>
      <c r="D146" s="46" t="n">
        <v>0.101</v>
      </c>
      <c r="E146" s="46" t="n">
        <v>0.1</v>
      </c>
      <c r="F146" s="47" t="n">
        <v>0.9900990099009901</v>
      </c>
      <c r="G146" s="12" t="n">
        <v>0.00990099009900991</v>
      </c>
      <c r="H146" s="46" t="n">
        <v>0.101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المدير المالي</t>
        </is>
      </c>
      <c r="M146" s="48" t="n"/>
    </row>
    <row r="147">
      <c r="A147" s="15" t="n">
        <v>145</v>
      </c>
      <c r="B147" s="13" t="inlineStr">
        <is>
          <t>الجودة</t>
        </is>
      </c>
      <c r="C147" s="24" t="inlineStr">
        <is>
          <t>نسبة اكتمال وتحديث الإجراءات المعتمدة</t>
        </is>
      </c>
      <c r="D147" s="46" t="n">
        <v>0.944</v>
      </c>
      <c r="E147" s="46" t="n">
        <v>0.95</v>
      </c>
      <c r="F147" s="47" t="n">
        <v>0.9936842105263158</v>
      </c>
      <c r="G147" s="12" t="n">
        <v>0.006315789473684164</v>
      </c>
      <c r="H147" s="46" t="n">
        <v>0.944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الجودة</t>
        </is>
      </c>
      <c r="M147" s="48" t="n"/>
    </row>
    <row r="148">
      <c r="A148" s="15" t="n">
        <v>146</v>
      </c>
      <c r="B148" s="13" t="inlineStr">
        <is>
          <t>الامتياز التجاري</t>
        </is>
      </c>
      <c r="C148" s="24" t="inlineStr">
        <is>
          <t>نسبة تطبيق المعيار الشامل داخل المحطات</t>
        </is>
      </c>
      <c r="D148" s="46" t="n">
        <v>0.299</v>
      </c>
      <c r="E148" s="46" t="n">
        <v>0.3</v>
      </c>
      <c r="F148" s="47" t="n">
        <v>0.9966666666666667</v>
      </c>
      <c r="G148" s="12" t="n">
        <v>0.003333333333333299</v>
      </c>
      <c r="H148" s="46" t="n">
        <v>0.299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48" t="n"/>
    </row>
  </sheetData>
  <autoFilter ref="A2:M148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4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49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0" t="inlineStr">
        <is>
          <t>#</t>
        </is>
      </c>
      <c r="B3" s="50" t="inlineStr">
        <is>
          <t>الإدارة</t>
        </is>
      </c>
      <c r="C3" s="50" t="inlineStr">
        <is>
          <t>المؤشر</t>
        </is>
      </c>
      <c r="D3" s="50" t="inlineStr">
        <is>
          <t>الدورية</t>
        </is>
      </c>
      <c r="E3" s="50" t="inlineStr">
        <is>
          <t>التجميع</t>
        </is>
      </c>
      <c r="F3" s="50" t="inlineStr">
        <is>
          <t>القطبية</t>
        </is>
      </c>
      <c r="G3" s="50" t="inlineStr">
        <is>
          <t>المستهدف</t>
        </is>
      </c>
      <c r="H3" s="50" t="inlineStr">
        <is>
          <t>يناير</t>
        </is>
      </c>
      <c r="I3" s="50" t="inlineStr">
        <is>
          <t>فبراير</t>
        </is>
      </c>
      <c r="J3" s="50" t="inlineStr">
        <is>
          <t>مارس</t>
        </is>
      </c>
      <c r="K3" s="50" t="inlineStr">
        <is>
          <t>أبريل</t>
        </is>
      </c>
      <c r="L3" s="50" t="inlineStr">
        <is>
          <t>مايو</t>
        </is>
      </c>
      <c r="M3" s="50" t="inlineStr">
        <is>
          <t>يونيو</t>
        </is>
      </c>
      <c r="N3" s="50" t="inlineStr">
        <is>
          <t>يوليو</t>
        </is>
      </c>
      <c r="O3" s="50" t="inlineStr">
        <is>
          <t>أغسطس</t>
        </is>
      </c>
      <c r="P3" s="50" t="inlineStr">
        <is>
          <t>سبتمبر</t>
        </is>
      </c>
      <c r="Q3" s="50" t="inlineStr">
        <is>
          <t>أكتوبر</t>
        </is>
      </c>
      <c r="R3" s="50" t="inlineStr">
        <is>
          <t>نوفمبر</t>
        </is>
      </c>
      <c r="S3" s="50" t="inlineStr">
        <is>
          <t>ديسمبر</t>
        </is>
      </c>
      <c r="T3" s="50" t="inlineStr">
        <is>
          <t>المُحقَّق (تراكمي)</t>
        </is>
      </c>
      <c r="U3" s="50" t="inlineStr">
        <is>
          <t>نسبة التحقيق</t>
        </is>
      </c>
      <c r="V3" s="50" t="inlineStr">
        <is>
          <t>الحالة</t>
        </is>
      </c>
      <c r="W3" s="50" t="inlineStr">
        <is>
          <t>المتوقّع حتى الآن</t>
        </is>
      </c>
      <c r="X3" s="50" t="inlineStr">
        <is>
          <t>الوتيرة</t>
        </is>
      </c>
    </row>
    <row r="4" ht="22" customHeight="1">
      <c r="A4" s="51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6" t="inlineStr">
        <is>
          <t>↑</t>
        </is>
      </c>
      <c r="G4" s="52" t="n">
        <v>235</v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4">
        <f>IFERROR(LOOKUP(2,1/($H4:$S4&lt;&gt;""),$H4:$S4),"")</f>
        <v/>
      </c>
      <c r="U4" s="47">
        <f>IF($G4="","",IF($T4="","",MIN(1,IF($G4=0,IF($T4&lt;=0,1,0),IF($F4="↓",IFERROR($G4/$T4,0),IFERROR($T4/$G4,0))))))</f>
        <v/>
      </c>
      <c r="V4" s="51">
        <f>IF($U4="","⏳ بانتظار هدف",IF($U4&gt;=1.0,"✅ محقق",IF($U4&gt;=0.85,"🟡 قريب","🔴 تحت الهدف")))</f>
        <v/>
      </c>
      <c r="W4" s="55">
        <f>IF($G4="","",$G4)</f>
        <v/>
      </c>
      <c r="X4" s="51">
        <f>IF($U4="","—",IF($U4&gt;=0.85,"🟢 على المسار","🟠 متأخّر"))</f>
        <v/>
      </c>
    </row>
    <row r="5" ht="22" customHeight="1">
      <c r="A5" s="51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6" t="inlineStr">
        <is>
          <t>↑</t>
        </is>
      </c>
      <c r="G5" s="52" t="n">
        <v>357</v>
      </c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4">
        <f>IF(COUNT($H5:$S5)=0,"",SUM($H5:$S5))</f>
        <v/>
      </c>
      <c r="U5" s="47">
        <f>IF($G5="","",IF($T5="","",MIN(1,IF($G5=0,IF($T5&lt;=0,1,0),IF($F5="↓",IFERROR($G5/$T5,0),IFERROR($T5/$G5,0))))))</f>
        <v/>
      </c>
      <c r="V5" s="51">
        <f>IF($U5="","⏳ بانتظار هدف",IF($U5&gt;=1.0,"✅ محقق",IF($U5&gt;=0.85,"🟡 قريب","🔴 تحت الهدف")))</f>
        <v/>
      </c>
      <c r="W5" s="55">
        <f>IF($G5="","",$G5*COUNT($H5:$S5)/12)</f>
        <v/>
      </c>
      <c r="X5" s="51">
        <f>IF($U5="","—",IF($U5&gt;=COUNT($H5:$S5)/12,"🟢 على المسار","🟠 متأخّر"))</f>
        <v/>
      </c>
    </row>
    <row r="6" ht="22" customHeight="1">
      <c r="A6" s="51" t="n">
        <v>3</v>
      </c>
      <c r="B6" s="13" t="inlineStr">
        <is>
          <t>الإدارة التنفيذية</t>
        </is>
      </c>
      <c r="C6" s="11" t="inlineStr">
        <is>
          <t>إجمالي إيرادات الشركة السنوية</t>
        </is>
      </c>
      <c r="D6" s="15" t="inlineStr">
        <is>
          <t>شهري</t>
        </is>
      </c>
      <c r="E6" s="15" t="inlineStr">
        <is>
          <t>تراكمي</t>
        </is>
      </c>
      <c r="F6" s="46" t="inlineStr">
        <is>
          <t>↑</t>
        </is>
      </c>
      <c r="G6" s="4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7">
        <f>IF(COUNT($H6:$S6)=0,"",SUM($H6:$S6))</f>
        <v/>
      </c>
      <c r="U6" s="47">
        <f>IF($G6="","",IF($T6="","",MIN(1,IF($G6=0,IF($T6&lt;=0,1,0),IF($F6="↓",IFERROR($G6/$T6,0),IFERROR($T6/$G6,0))))))</f>
        <v/>
      </c>
      <c r="V6" s="51">
        <f>IF($U6="","⏳ بانتظار هدف",IF($U6&gt;=1.0,"✅ محقق",IF($U6&gt;=0.85,"🟡 قريب","🔴 تحت الهدف")))</f>
        <v/>
      </c>
      <c r="W6" s="58">
        <f>IF($G6="","",$G6*COUNT($H6:$S6)/12)</f>
        <v/>
      </c>
      <c r="X6" s="51">
        <f>IF($U6="","—",IF($U6&gt;=COUNT($H6:$S6)/12,"🟢 على المسار","🟠 متأخّر"))</f>
        <v/>
      </c>
    </row>
    <row r="7" ht="22" customHeight="1">
      <c r="A7" s="51" t="n">
        <v>4</v>
      </c>
      <c r="B7" s="13" t="inlineStr">
        <is>
          <t>الإدارة التنفيذية</t>
        </is>
      </c>
      <c r="C7" s="11" t="inlineStr">
        <is>
          <t>نسبة نمو إيرادات الشركة (سنوي)</t>
        </is>
      </c>
      <c r="D7" s="15" t="inlineStr">
        <is>
          <t>شهري</t>
        </is>
      </c>
      <c r="E7" s="15" t="inlineStr">
        <is>
          <t>معدل</t>
        </is>
      </c>
      <c r="F7" s="46" t="inlineStr">
        <is>
          <t>↑</t>
        </is>
      </c>
      <c r="G7" s="46" t="n"/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  <c r="T7" s="47">
        <f>IF(COUNT($H7:$S7)=0,"",SUM($H7:$S7)/COUNT($H7:$S7))</f>
        <v/>
      </c>
      <c r="U7" s="47">
        <f>IF($G7="","",IF($T7="","",MIN(1,IF($G7=0,IF($T7&lt;=0,1,0),IF($F7="↓",IFERROR($G7/$T7,0),IFERROR($T7/$G7,0))))))</f>
        <v/>
      </c>
      <c r="V7" s="51">
        <f>IF($U7="","⏳ بانتظار هدف",IF($U7&gt;=1.0,"✅ محقق",IF($U7&gt;=0.85,"🟡 قريب","🔴 تحت الهدف")))</f>
        <v/>
      </c>
      <c r="W7" s="60">
        <f>IF($G7="","",$G7)</f>
        <v/>
      </c>
      <c r="X7" s="51">
        <f>IF($U7="","—",IF($U7&gt;=0.85,"🟢 على المسار","🟠 متأخّر"))</f>
        <v/>
      </c>
    </row>
    <row r="8" ht="22" customHeight="1">
      <c r="A8" s="51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46" t="inlineStr">
        <is>
          <t>↑</t>
        </is>
      </c>
      <c r="G8" s="61" t="n">
        <v>1</v>
      </c>
      <c r="H8" s="59" t="n"/>
      <c r="I8" s="59" t="n"/>
      <c r="J8" s="59" t="n"/>
      <c r="K8" s="59" t="n"/>
      <c r="L8" s="59" t="n"/>
      <c r="M8" s="59" t="n"/>
      <c r="N8" s="59" t="n"/>
      <c r="O8" s="59" t="n"/>
      <c r="P8" s="59" t="n"/>
      <c r="Q8" s="59" t="n"/>
      <c r="R8" s="59" t="n"/>
      <c r="S8" s="59" t="n"/>
      <c r="T8" s="47">
        <f>IFERROR(LOOKUP(2,1/($H8:$S8&lt;&gt;""),$H8:$S8),"")</f>
        <v/>
      </c>
      <c r="U8" s="47">
        <f>IF($G8="","",IF($T8="","",MIN(1,IF($G8=0,IF($T8&lt;=0,1,0),IF($F8="↓",IFERROR($G8/$T8,0),IFERROR($T8/$G8,0))))))</f>
        <v/>
      </c>
      <c r="V8" s="51">
        <f>IF($U8="","⏳ بانتظار هدف",IF($U8&gt;=1.0,"✅ محقق",IF($U8&gt;=0.85,"🟡 قريب","🔴 تحت الهدف")))</f>
        <v/>
      </c>
      <c r="W8" s="60">
        <f>IF($G8="","",$G8)</f>
        <v/>
      </c>
      <c r="X8" s="51">
        <f>IF($U8="","—",IF($U8&gt;=0.85,"🟢 على المسار","🟠 متأخّر"))</f>
        <v/>
      </c>
    </row>
    <row r="9" ht="22" customHeight="1">
      <c r="A9" s="51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46" t="inlineStr">
        <is>
          <t>↑</t>
        </is>
      </c>
      <c r="G9" s="61" t="n">
        <v>0.9</v>
      </c>
      <c r="H9" s="59" t="n"/>
      <c r="I9" s="59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  <c r="T9" s="47">
        <f>IFERROR(LOOKUP(2,1/($H9:$S9&lt;&gt;""),$H9:$S9),"")</f>
        <v/>
      </c>
      <c r="U9" s="47">
        <f>IF($G9="","",IF($T9="","",MIN(1,IF($G9=0,IF($T9&lt;=0,1,0),IF($F9="↓",IFERROR($G9/$T9,0),IFERROR($T9/$G9,0))))))</f>
        <v/>
      </c>
      <c r="V9" s="51">
        <f>IF($U9="","⏳ بانتظار هدف",IF($U9&gt;=1.0,"✅ محقق",IF($U9&gt;=0.85,"🟡 قريب","🔴 تحت الهدف")))</f>
        <v/>
      </c>
      <c r="W9" s="60">
        <f>IF($G9="","",$G9)</f>
        <v/>
      </c>
      <c r="X9" s="51">
        <f>IF($U9="","—",IF($U9&gt;=0.85,"🟢 على المسار","🟠 متأخّر"))</f>
        <v/>
      </c>
    </row>
    <row r="10" ht="22" customHeight="1">
      <c r="A10" s="51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46" t="inlineStr">
        <is>
          <t>↑</t>
        </is>
      </c>
      <c r="G10" s="61" t="n">
        <v>0.9</v>
      </c>
      <c r="H10" s="59" t="n"/>
      <c r="I10" s="59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  <c r="T10" s="47">
        <f>IF(COUNT($H10:$S10)=0,"",SUM($H10:$S10)/COUNT($H10:$S10))</f>
        <v/>
      </c>
      <c r="U10" s="47">
        <f>IF($G10="","",IF($T10="","",MIN(1,IF($G10=0,IF($T10&lt;=0,1,0),IF($F10="↓",IFERROR($G10/$T10,0),IFERROR($T10/$G10,0))))))</f>
        <v/>
      </c>
      <c r="V10" s="51">
        <f>IF($U10="","⏳ بانتظار هدف",IF($U10&gt;=0.9,"✅ محقق",IF($U10&gt;=0.75,"🟡 قريب","🔴 تحت الهدف")))</f>
        <v/>
      </c>
      <c r="W10" s="60">
        <f>IF($G10="","",$G10)</f>
        <v/>
      </c>
      <c r="X10" s="51">
        <f>IF($U10="","—",IF($U10&gt;=0.75,"🟢 على المسار","🟠 متأخّر"))</f>
        <v/>
      </c>
    </row>
    <row r="11" ht="22" customHeight="1">
      <c r="A11" s="51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46" t="inlineStr">
        <is>
          <t>↑</t>
        </is>
      </c>
      <c r="G11" s="62" t="n">
        <v>30</v>
      </c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4">
        <f>IF(COUNT($H11:$S11)=0,"",SUM($H11:$S11)/COUNT($H11:$S11))</f>
        <v/>
      </c>
      <c r="U11" s="47">
        <f>IF($G11="","",IF($T11="","",MIN(1,IF($G11=0,IF($T11&lt;=0,1,0),IF($F11="↓",IFERROR($G11/$T11,0),IFERROR($T11/$G11,0))))))</f>
        <v/>
      </c>
      <c r="V11" s="51">
        <f>IF($U11="","⏳ بانتظار هدف",IF($U11&gt;=0.9,"✅ محقق",IF($U11&gt;=0.75,"🟡 قريب","🔴 تحت الهدف")))</f>
        <v/>
      </c>
      <c r="W11" s="65">
        <f>IF($G11="","",$G11)</f>
        <v/>
      </c>
      <c r="X11" s="51">
        <f>IF($U11="","—",IF($U11&gt;=0.75,"🟢 على المسار","🟠 متأخّر"))</f>
        <v/>
      </c>
    </row>
    <row r="12" ht="22" customHeight="1">
      <c r="A12" s="51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46" t="inlineStr">
        <is>
          <t>↑</t>
        </is>
      </c>
      <c r="G12" s="61" t="n">
        <v>1</v>
      </c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47">
        <f>IF(COUNT($H12:$S12)=0,"",SUM($H12:$S12)/COUNT($H12:$S12))</f>
        <v/>
      </c>
      <c r="U12" s="47">
        <f>IF($G12="","",IF($T12="","",MIN(1,IF($G12=0,IF($T12&lt;=0,1,0),IF($F12="↓",IFERROR($G12/$T12,0),IFERROR($T12/$G12,0))))))</f>
        <v/>
      </c>
      <c r="V12" s="51">
        <f>IF($U12="","⏳ بانتظار هدف",IF($U12&gt;=1.0,"✅ محقق",IF($U12&gt;=0.85,"🟡 قريب","🔴 تحت الهدف")))</f>
        <v/>
      </c>
      <c r="W12" s="60">
        <f>IF($G12="","",$G12)</f>
        <v/>
      </c>
      <c r="X12" s="51">
        <f>IF($U12="","—",IF($U12&gt;=0.85,"🟢 على المسار","🟠 متأخّر"))</f>
        <v/>
      </c>
    </row>
    <row r="13" ht="22" customHeight="1">
      <c r="A13" s="51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6" t="inlineStr">
        <is>
          <t>↑</t>
        </is>
      </c>
      <c r="G13" s="61" t="n">
        <v>1</v>
      </c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  <c r="T13" s="47">
        <f>IFERROR(LOOKUP(2,1/($H13:$S13&lt;&gt;""),$H13:$S13),"")</f>
        <v/>
      </c>
      <c r="U13" s="47">
        <f>IF($G13="","",IF($T13="","",MIN(1,IF($G13=0,IF($T13&lt;=0,1,0),IF($F13="↓",IFERROR($G13/$T13,0),IFERROR($T13/$G13,0))))))</f>
        <v/>
      </c>
      <c r="V13" s="51">
        <f>IF($U13="","⏳ بانتظار هدف",IF($U13&gt;=1.0,"✅ محقق",IF($U13&gt;=0.85,"🟡 قريب","🔴 تحت الهدف")))</f>
        <v/>
      </c>
      <c r="W13" s="60">
        <f>IF($G13="","",$G13)</f>
        <v/>
      </c>
      <c r="X13" s="51">
        <f>IF($U13="","—",IF($U13&gt;=0.85,"🟢 على المسار","🟠 متأخّر"))</f>
        <v/>
      </c>
    </row>
    <row r="14" ht="22" customHeight="1">
      <c r="A14" s="51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6" t="inlineStr">
        <is>
          <t>↑</t>
        </is>
      </c>
      <c r="G14" s="52" t="n">
        <v>150</v>
      </c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4">
        <f>IFERROR(LOOKUP(2,1/($H14:$S14&lt;&gt;""),$H14:$S14),"")</f>
        <v/>
      </c>
      <c r="U14" s="47">
        <f>IF($G14="","",IF($T14="","",MIN(1,IF($G14=0,IF($T14&lt;=0,1,0),IF($F14="↓",IFERROR($G14/$T14,0),IFERROR($T14/$G14,0))))))</f>
        <v/>
      </c>
      <c r="V14" s="51">
        <f>IF($U14="","⏳ بانتظار هدف",IF($U14&gt;=1.0,"✅ محقق",IF($U14&gt;=0.85,"🟡 قريب","🔴 تحت الهدف")))</f>
        <v/>
      </c>
      <c r="W14" s="55">
        <f>IF($G14="","",$G14)</f>
        <v/>
      </c>
      <c r="X14" s="51">
        <f>IF($U14="","—",IF($U14&gt;=0.85,"🟢 على المسار","🟠 متأخّر"))</f>
        <v/>
      </c>
    </row>
    <row r="15" ht="22" customHeight="1">
      <c r="A15" s="51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6" t="inlineStr">
        <is>
          <t>↑</t>
        </is>
      </c>
      <c r="G15" s="52" t="n">
        <v>167</v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4">
        <f>IF(COUNT($H15:$S15)=0,"",SUM($H15:$S15))</f>
        <v/>
      </c>
      <c r="U15" s="47">
        <f>IF($G15="","",IF($T15="","",MIN(1,IF($G15=0,IF($T15&lt;=0,1,0),IF($F15="↓",IFERROR($G15/$T15,0),IFERROR($T15/$G15,0))))))</f>
        <v/>
      </c>
      <c r="V15" s="51">
        <f>IF($U15="","⏳ بانتظار هدف",IF($U15&gt;=1.0,"✅ محقق",IF($U15&gt;=0.85,"🟡 قريب","🔴 تحت الهدف")))</f>
        <v/>
      </c>
      <c r="W15" s="55">
        <f>IF($G15="","",$G15*COUNT($H15:$S15)/12)</f>
        <v/>
      </c>
      <c r="X15" s="51">
        <f>IF($U15="","—",IF($U15&gt;=COUNT($H15:$S15)/12,"🟢 على المسار","🟠 متأخّر"))</f>
        <v/>
      </c>
    </row>
    <row r="16" ht="22" customHeight="1">
      <c r="A16" s="51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6" t="inlineStr">
        <is>
          <t>↑</t>
        </is>
      </c>
      <c r="G16" s="52" t="n">
        <v>718838077</v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4">
        <f>IF(COUNT($H16:$S16)=0,"",SUM($H16:$S16))</f>
        <v/>
      </c>
      <c r="U16" s="47">
        <f>IF($G16="","",IF($T16="","",MIN(1,IF($G16=0,IF($T16&lt;=0,1,0),IF($F16="↓",IFERROR($G16/$T16,0),IFERROR($T16/$G16,0))))))</f>
        <v/>
      </c>
      <c r="V16" s="51">
        <f>IF($U16="","⏳ بانتظار هدف",IF($U16&gt;=1.0,"✅ محقق",IF($U16&gt;=0.85,"🟡 قريب","🔴 تحت الهدف")))</f>
        <v/>
      </c>
      <c r="W16" s="55">
        <f>IF($G16="","",$G16*COUNT($H16:$S16)/12)</f>
        <v/>
      </c>
      <c r="X16" s="51">
        <f>IF($U16="","—",IF($U16&gt;=COUNT($H16:$S16)/12,"🟢 على المسار","🟠 متأخّر"))</f>
        <v/>
      </c>
    </row>
    <row r="17" ht="22" customHeight="1">
      <c r="A17" s="51" t="n">
        <v>14</v>
      </c>
      <c r="B17" s="13" t="inlineStr">
        <is>
          <t>الامتياز التجاري</t>
        </is>
      </c>
      <c r="C17" s="11" t="inlineStr">
        <is>
          <t>نسبة المحطات التي حققت مستهدف المبيعات</t>
        </is>
      </c>
      <c r="D17" s="15" t="inlineStr">
        <is>
          <t>شهري</t>
        </is>
      </c>
      <c r="E17" s="15" t="inlineStr">
        <is>
          <t>معدل</t>
        </is>
      </c>
      <c r="F17" s="46" t="inlineStr">
        <is>
          <t>↑</t>
        </is>
      </c>
      <c r="G17" s="61" t="n">
        <v>0.9</v>
      </c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47">
        <f>IF(COUNT($H17:$S17)=0,"",SUM($H17:$S17)/COUNT($H17:$S17))</f>
        <v/>
      </c>
      <c r="U17" s="47">
        <f>IF($G17="","",IF($T17="","",MIN(1,IF($G17=0,IF($T17&lt;=0,1,0),IF($F17="↓",IFERROR($G17/$T17,0),IFERROR($T17/$G17,0))))))</f>
        <v/>
      </c>
      <c r="V17" s="51">
        <f>IF($U17="","⏳ بانتظار هدف",IF($U17&gt;=1.0,"✅ محقق",IF($U17&gt;=0.85,"🟡 قريب","🔴 تحت الهدف")))</f>
        <v/>
      </c>
      <c r="W17" s="60">
        <f>IF($G17="","",$G17)</f>
        <v/>
      </c>
      <c r="X17" s="51">
        <f>IF($U17="","—",IF($U17&gt;=0.85,"🟢 على المسار","🟠 متأخّر"))</f>
        <v/>
      </c>
    </row>
    <row r="18" ht="22" customHeight="1">
      <c r="A18" s="51" t="n">
        <v>15</v>
      </c>
      <c r="B18" s="13" t="inlineStr">
        <is>
          <t>الامتياز التجاري</t>
        </is>
      </c>
      <c r="C18" s="11" t="inlineStr">
        <is>
          <t>متوسط مبيعات المحطة الواحدة شهرياً</t>
        </is>
      </c>
      <c r="D18" s="15" t="inlineStr">
        <is>
          <t>شهري</t>
        </is>
      </c>
      <c r="E18" s="15" t="inlineStr">
        <is>
          <t>معدل</t>
        </is>
      </c>
      <c r="F18" s="46" t="inlineStr">
        <is>
          <t>↑</t>
        </is>
      </c>
      <c r="G18" s="46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4">
        <f>IF(COUNT($H18:$S18)=0,"",SUM($H18:$S18)/COUNT($H18:$S18))</f>
        <v/>
      </c>
      <c r="U18" s="47">
        <f>IF($G18="","",IF($T18="","",MIN(1,IF($G18=0,IF($T18&lt;=0,1,0),IF($F18="↓",IFERROR($G18/$T18,0),IFERROR($T18/$G18,0))))))</f>
        <v/>
      </c>
      <c r="V18" s="51">
        <f>IF($U18="","⏳ بانتظار هدف",IF($U18&gt;=1.0,"✅ محقق",IF($U18&gt;=0.85,"🟡 قريب","🔴 تحت الهدف")))</f>
        <v/>
      </c>
      <c r="W18" s="55">
        <f>IF($G18="","",$G18)</f>
        <v/>
      </c>
      <c r="X18" s="51">
        <f>IF($U18="","—",IF($U18&gt;=0.85,"🟢 على المسار","🟠 متأخّر"))</f>
        <v/>
      </c>
    </row>
    <row r="19" ht="22" customHeight="1">
      <c r="A19" s="51" t="n">
        <v>16</v>
      </c>
      <c r="B19" s="13" t="inlineStr">
        <is>
          <t>الامتياز التجاري</t>
        </is>
      </c>
      <c r="C19" s="11" t="inlineStr">
        <is>
          <t>نسبة تأجير وحدات الامتياز</t>
        </is>
      </c>
      <c r="D19" s="15" t="inlineStr">
        <is>
          <t>شهري</t>
        </is>
      </c>
      <c r="E19" s="15" t="inlineStr">
        <is>
          <t>معدل</t>
        </is>
      </c>
      <c r="F19" s="46" t="inlineStr">
        <is>
          <t>↑</t>
        </is>
      </c>
      <c r="G19" s="61" t="n">
        <v>0.7</v>
      </c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47">
        <f>IF(COUNT($H19:$S19)=0,"",SUM($H19:$S19)/COUNT($H19:$S19))</f>
        <v/>
      </c>
      <c r="U19" s="47">
        <f>IF($G19="","",IF($T19="","",MIN(1,IF($G19=0,IF($T19&lt;=0,1,0),IF($F19="↓",IFERROR($G19/$T19,0),IFERROR($T19/$G19,0))))))</f>
        <v/>
      </c>
      <c r="V19" s="51">
        <f>IF($U19="","⏳ بانتظار هدف",IF($U19&gt;=1.0,"✅ محقق",IF($U19&gt;=0.85,"🟡 قريب","🔴 تحت الهدف")))</f>
        <v/>
      </c>
      <c r="W19" s="60">
        <f>IF($G19="","",$G19)</f>
        <v/>
      </c>
      <c r="X19" s="51">
        <f>IF($U19="","—",IF($U19&gt;=0.85,"🟢 على المسار","🟠 متأخّر"))</f>
        <v/>
      </c>
    </row>
    <row r="20" ht="22" customHeight="1">
      <c r="A20" s="51" t="n">
        <v>17</v>
      </c>
      <c r="B20" s="13" t="inlineStr">
        <is>
          <t>الامتياز التجاري</t>
        </is>
      </c>
      <c r="C20" s="11" t="inlineStr">
        <is>
          <t>إجمالي إيرادات إدارة الامتياز</t>
        </is>
      </c>
      <c r="D20" s="15" t="inlineStr">
        <is>
          <t>شهري</t>
        </is>
      </c>
      <c r="E20" s="15" t="inlineStr">
        <is>
          <t>تراكمي</t>
        </is>
      </c>
      <c r="F20" s="46" t="inlineStr">
        <is>
          <t>↑</t>
        </is>
      </c>
      <c r="G20" s="46" t="n"/>
      <c r="H20" s="56" t="n"/>
      <c r="I20" s="56" t="n"/>
      <c r="J20" s="56" t="n"/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7">
        <f>IF(COUNT($H20:$S20)=0,"",SUM($H20:$S20))</f>
        <v/>
      </c>
      <c r="U20" s="47">
        <f>IF($G20="","",IF($T20="","",MIN(1,IF($G20=0,IF($T20&lt;=0,1,0),IF($F20="↓",IFERROR($G20/$T20,0),IFERROR($T20/$G20,0))))))</f>
        <v/>
      </c>
      <c r="V20" s="51">
        <f>IF($U20="","⏳ بانتظار هدف",IF($U20&gt;=1.0,"✅ محقق",IF($U20&gt;=0.85,"🟡 قريب","🔴 تحت الهدف")))</f>
        <v/>
      </c>
      <c r="W20" s="58">
        <f>IF($G20="","",$G20*COUNT($H20:$S20)/12)</f>
        <v/>
      </c>
      <c r="X20" s="51">
        <f>IF($U20="","—",IF($U20&gt;=COUNT($H20:$S20)/12,"🟢 على المسار","🟠 متأخّر"))</f>
        <v/>
      </c>
    </row>
    <row r="21" ht="22" customHeight="1">
      <c r="A21" s="51" t="n">
        <v>18</v>
      </c>
      <c r="B21" s="13" t="inlineStr">
        <is>
          <t>الامتياز التجاري</t>
        </is>
      </c>
      <c r="C21" s="11" t="inlineStr">
        <is>
          <t>رفع هامش الربحية للامتياز</t>
        </is>
      </c>
      <c r="D21" s="15" t="inlineStr">
        <is>
          <t>شهري</t>
        </is>
      </c>
      <c r="E21" s="15" t="inlineStr">
        <is>
          <t>معدل</t>
        </is>
      </c>
      <c r="F21" s="46" t="inlineStr">
        <is>
          <t>↑</t>
        </is>
      </c>
      <c r="G21" s="62" t="n">
        <v>1.8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47">
        <f>IF($G21="","",IF($T21="","",MIN(1,IF($G21=0,IF($T21&lt;=0,1,0),IF($F21="↓",IFERROR($G21/$T21,0),IFERROR($T21/$G21,0))))))</f>
        <v/>
      </c>
      <c r="V21" s="51">
        <f>IF($U21="","⏳ بانتظار هدف",IF($U21&gt;=1.0,"✅ محقق",IF($U21&gt;=0.85,"🟡 قريب","🔴 تحت الهدف")))</f>
        <v/>
      </c>
      <c r="W21" s="65">
        <f>IF($G21="","",$G21)</f>
        <v/>
      </c>
      <c r="X21" s="51">
        <f>IF($U21="","—",IF($U21&gt;=0.85,"🟢 على المسار","🟠 متأخّر"))</f>
        <v/>
      </c>
    </row>
    <row r="22" ht="22" customHeight="1">
      <c r="A22" s="51" t="n">
        <v>19</v>
      </c>
      <c r="B22" s="13" t="inlineStr">
        <is>
          <t>الامتياز التجاري</t>
        </is>
      </c>
      <c r="C22" s="11" t="inlineStr">
        <is>
          <t>نسبة التحصيل المالي من شركاء الامتياز</t>
        </is>
      </c>
      <c r="D22" s="15" t="inlineStr">
        <is>
          <t>شهري</t>
        </is>
      </c>
      <c r="E22" s="15" t="inlineStr">
        <is>
          <t>معدل</t>
        </is>
      </c>
      <c r="F22" s="46" t="inlineStr">
        <is>
          <t>↑</t>
        </is>
      </c>
      <c r="G22" s="61" t="n">
        <v>0.95</v>
      </c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47">
        <f>IF(COUNT($H22:$S22)=0,"",SUM($H22:$S22)/COUNT($H22:$S22))</f>
        <v/>
      </c>
      <c r="U22" s="47">
        <f>IF($G22="","",IF($T22="","",MIN(1,IF($G22=0,IF($T22&lt;=0,1,0),IF($F22="↓",IFERROR($G22/$T22,0),IFERROR($T22/$G22,0))))))</f>
        <v/>
      </c>
      <c r="V22" s="51">
        <f>IF($U22="","⏳ بانتظار هدف",IF($U22&gt;=1.0,"✅ محقق",IF($U22&gt;=0.85,"🟡 قريب","🔴 تحت الهدف")))</f>
        <v/>
      </c>
      <c r="W22" s="60">
        <f>IF($G22="","",$G22)</f>
        <v/>
      </c>
      <c r="X22" s="51">
        <f>IF($U22="","—",IF($U22&gt;=0.85,"🟢 على المسار","🟠 متأخّر"))</f>
        <v/>
      </c>
    </row>
    <row r="23" ht="22" customHeight="1">
      <c r="A23" s="51" t="n">
        <v>20</v>
      </c>
      <c r="B23" s="13" t="inlineStr">
        <is>
          <t>الامتياز التجاري</t>
        </is>
      </c>
      <c r="C23" s="11" t="inlineStr">
        <is>
          <t>متوسط أيام تحصيل شركاء الامتياز (DSO)</t>
        </is>
      </c>
      <c r="D23" s="15" t="inlineStr">
        <is>
          <t>شهري</t>
        </is>
      </c>
      <c r="E23" s="15" t="inlineStr">
        <is>
          <t>معدل</t>
        </is>
      </c>
      <c r="F23" s="46" t="inlineStr">
        <is>
          <t>↓</t>
        </is>
      </c>
      <c r="G23" s="62" t="n">
        <v>30</v>
      </c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4">
        <f>IF(COUNT($H23:$S23)=0,"",SUM($H23:$S23)/COUNT($H23:$S23))</f>
        <v/>
      </c>
      <c r="U23" s="47">
        <f>IF($G23="","",IF($T23="","",MIN(1,IF($G23=0,IF($T23&lt;=0,1,0),IF($F23="↓",IFERROR($G23/$T23,0),IFERROR($T23/$G23,0))))))</f>
        <v/>
      </c>
      <c r="V23" s="51">
        <f>IF($U23="","⏳ بانتظار هدف",IF($U23&gt;=1.0,"✅ محقق",IF($U23&gt;=0.85,"🟡 قريب","🔴 تحت الهدف")))</f>
        <v/>
      </c>
      <c r="W23" s="65">
        <f>IF($G23="","",$G23)</f>
        <v/>
      </c>
      <c r="X23" s="51">
        <f>IF($U23="","—",IF($U23&gt;=0.85,"🟢 على المسار","🟠 متأخّر"))</f>
        <v/>
      </c>
    </row>
    <row r="24" ht="22" customHeight="1">
      <c r="A24" s="51" t="n">
        <v>21</v>
      </c>
      <c r="B24" s="13" t="inlineStr">
        <is>
          <t>الامتياز التجاري</t>
        </is>
      </c>
      <c r="C24" s="11" t="inlineStr">
        <is>
          <t>إجمالي المستحقات المتأخرة (+30 يوم)</t>
        </is>
      </c>
      <c r="D24" s="15" t="inlineStr">
        <is>
          <t>شهري</t>
        </is>
      </c>
      <c r="E24" s="15" t="inlineStr">
        <is>
          <t>لقطة</t>
        </is>
      </c>
      <c r="F24" s="46" t="inlineStr">
        <is>
          <t>↓</t>
        </is>
      </c>
      <c r="G24" s="46" t="n"/>
      <c r="H24" s="56" t="n"/>
      <c r="I24" s="56" t="n"/>
      <c r="J24" s="56" t="n"/>
      <c r="K24" s="56" t="n"/>
      <c r="L24" s="56" t="n"/>
      <c r="M24" s="56" t="n"/>
      <c r="N24" s="56" t="n"/>
      <c r="O24" s="56" t="n"/>
      <c r="P24" s="56" t="n"/>
      <c r="Q24" s="56" t="n"/>
      <c r="R24" s="56" t="n"/>
      <c r="S24" s="56" t="n"/>
      <c r="T24" s="57">
        <f>IFERROR(LOOKUP(2,1/($H24:$S24&lt;&gt;""),$H24:$S24),"")</f>
        <v/>
      </c>
      <c r="U24" s="47">
        <f>IF($G24="","",IF($T24="","",MIN(1,IF($G24=0,IF($T24&lt;=0,1,0),IF($F24="↓",IFERROR($G24/$T24,0),IFERROR($T24/$G24,0))))))</f>
        <v/>
      </c>
      <c r="V24" s="51">
        <f>IF($U24="","⏳ بانتظار هدف",IF($U24&gt;=1.0,"✅ محقق",IF($U24&gt;=0.85,"🟡 قريب","🔴 تحت الهدف")))</f>
        <v/>
      </c>
      <c r="W24" s="58">
        <f>IF($G24="","",$G24)</f>
        <v/>
      </c>
      <c r="X24" s="51">
        <f>IF($U24="","—",IF($U24&gt;=0.85,"🟢 على المسار","🟠 متأخّر"))</f>
        <v/>
      </c>
    </row>
    <row r="25" ht="22" customHeight="1">
      <c r="A25" s="51" t="n">
        <v>22</v>
      </c>
      <c r="B25" s="13" t="inlineStr">
        <is>
          <t>الامتياز التجاري</t>
        </is>
      </c>
      <c r="C25" s="11" t="inlineStr">
        <is>
          <t>نسبة الشركاء الملتزمين بمواعيد السداد</t>
        </is>
      </c>
      <c r="D25" s="15" t="inlineStr">
        <is>
          <t>شهري</t>
        </is>
      </c>
      <c r="E25" s="15" t="inlineStr">
        <is>
          <t>معدل</t>
        </is>
      </c>
      <c r="F25" s="46" t="inlineStr">
        <is>
          <t>↑</t>
        </is>
      </c>
      <c r="G25" s="61" t="n">
        <v>0.9</v>
      </c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47">
        <f>IF(COUNT($H25:$S25)=0,"",SUM($H25:$S25)/COUNT($H25:$S25))</f>
        <v/>
      </c>
      <c r="U25" s="47">
        <f>IF($G25="","",IF($T25="","",MIN(1,IF($G25=0,IF($T25&lt;=0,1,0),IF($F25="↓",IFERROR($G25/$T25,0),IFERROR($T25/$G25,0))))))</f>
        <v/>
      </c>
      <c r="V25" s="51">
        <f>IF($U25="","⏳ بانتظار هدف",IF($U25&gt;=1.0,"✅ محقق",IF($U25&gt;=0.85,"🟡 قريب","🔴 تحت الهدف")))</f>
        <v/>
      </c>
      <c r="W25" s="60">
        <f>IF($G25="","",$G25)</f>
        <v/>
      </c>
      <c r="X25" s="51">
        <f>IF($U25="","—",IF($U25&gt;=0.85,"🟢 على المسار","🟠 متأخّر"))</f>
        <v/>
      </c>
    </row>
    <row r="26" ht="22" customHeight="1">
      <c r="A26" s="51" t="n">
        <v>23</v>
      </c>
      <c r="B26" s="13" t="inlineStr">
        <is>
          <t>الامتياز التجاري</t>
        </is>
      </c>
      <c r="C26" s="11" t="inlineStr">
        <is>
          <t>معدل دوران رأس المال (أيام الدورة)</t>
        </is>
      </c>
      <c r="D26" s="15" t="inlineStr">
        <is>
          <t>شهري</t>
        </is>
      </c>
      <c r="E26" s="15" t="inlineStr">
        <is>
          <t>معدل</t>
        </is>
      </c>
      <c r="F26" s="46" t="inlineStr">
        <is>
          <t>↓</t>
        </is>
      </c>
      <c r="G26" s="62" t="n">
        <v>5</v>
      </c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4">
        <f>IF(COUNT($H26:$S26)=0,"",SUM($H26:$S26)/COUNT($H26:$S26))</f>
        <v/>
      </c>
      <c r="U26" s="47">
        <f>IF($G26="","",IF($T26="","",MIN(1,IF($G26=0,IF($T26&lt;=0,1,0),IF($F26="↓",IFERROR($G26/$T26,0),IFERROR($T26/$G26,0))))))</f>
        <v/>
      </c>
      <c r="V26" s="51">
        <f>IF($U26="","⏳ بانتظار هدف",IF($U26&gt;=1.0,"✅ محقق",IF($U26&gt;=0.85,"🟡 قريب","🔴 تحت الهدف")))</f>
        <v/>
      </c>
      <c r="W26" s="65">
        <f>IF($G26="","",$G26)</f>
        <v/>
      </c>
      <c r="X26" s="51">
        <f>IF($U26="","—",IF($U26&gt;=0.85,"🟢 على المسار","🟠 متأخّر"))</f>
        <v/>
      </c>
    </row>
    <row r="27" ht="22" customHeight="1">
      <c r="A27" s="51" t="n">
        <v>24</v>
      </c>
      <c r="B27" s="13" t="inlineStr">
        <is>
          <t>الامتياز التجاري</t>
        </is>
      </c>
      <c r="C27" s="11" t="inlineStr">
        <is>
          <t>نسبة جاهزية محطات الامتياز (صفر انقطاع)</t>
        </is>
      </c>
      <c r="D27" s="15" t="inlineStr">
        <is>
          <t>شهري</t>
        </is>
      </c>
      <c r="E27" s="15" t="inlineStr">
        <is>
          <t>معدل</t>
        </is>
      </c>
      <c r="F27" s="46" t="inlineStr">
        <is>
          <t>↑</t>
        </is>
      </c>
      <c r="G27" s="61" t="n">
        <v>0.99</v>
      </c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47">
        <f>IF(COUNT($H27:$S27)=0,"",SUM($H27:$S27)/COUNT($H27:$S27))</f>
        <v/>
      </c>
      <c r="U27" s="47">
        <f>IF($G27="","",IF($T27="","",MIN(1,IF($G27=0,IF($T27&lt;=0,1,0),IF($F27="↓",IFERROR($G27/$T27,0),IFERROR($T27/$G27,0))))))</f>
        <v/>
      </c>
      <c r="V27" s="51">
        <f>IF($U27="","⏳ بانتظار هدف",IF($U27&gt;=1.0,"✅ محقق",IF($U27&gt;=0.97,"🟡 قريب","🔴 تحت الهدف")))</f>
        <v/>
      </c>
      <c r="W27" s="60">
        <f>IF($G27="","",$G27)</f>
        <v/>
      </c>
      <c r="X27" s="51">
        <f>IF($U27="","—",IF($U27&gt;=0.97,"🟢 على المسار","🟠 متأخّر"))</f>
        <v/>
      </c>
    </row>
    <row r="28" ht="22" customHeight="1">
      <c r="A28" s="51" t="n">
        <v>25</v>
      </c>
      <c r="B28" s="13" t="inlineStr">
        <is>
          <t>الامتياز التجاري</t>
        </is>
      </c>
      <c r="C28" s="11" t="inlineStr">
        <is>
          <t>عدد حالات انقطاع الوقود الموثّقة</t>
        </is>
      </c>
      <c r="D28" s="15" t="inlineStr">
        <is>
          <t>شهري</t>
        </is>
      </c>
      <c r="E28" s="15" t="inlineStr">
        <is>
          <t>تراكمي</t>
        </is>
      </c>
      <c r="F28" s="46" t="inlineStr">
        <is>
          <t>↓</t>
        </is>
      </c>
      <c r="G28" s="52" t="n">
        <v>0</v>
      </c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4">
        <f>IF(COUNT($H28:$S28)=0,"",SUM($H28:$S28))</f>
        <v/>
      </c>
      <c r="U28" s="47">
        <f>IF($G28="","",IF($T28="","",MIN(1,IF($G28=0,IF($T28&lt;=0,1,0),IF($F28="↓",IFERROR($G28/$T28,0),IFERROR($T28/$G28,0))))))</f>
        <v/>
      </c>
      <c r="V28" s="51">
        <f>IF($U28="","⏳ بانتظار هدف",IF($U28&gt;=1.0,"✅ محقق",IF($U28&gt;=0.85,"🟡 قريب","🔴 تحت الهدف")))</f>
        <v/>
      </c>
      <c r="W28" s="55">
        <f>IF($G28="","",$G28*COUNT($H28:$S28)/12)</f>
        <v/>
      </c>
      <c r="X28" s="51">
        <f>IF($U28="","—",IF($U28&gt;=COUNT($H28:$S28)/12,"🟢 على المسار","🟠 متأخّر"))</f>
        <v/>
      </c>
    </row>
    <row r="29" ht="22" customHeight="1">
      <c r="A29" s="51" t="n">
        <v>26</v>
      </c>
      <c r="B29" s="13" t="inlineStr">
        <is>
          <t>الامتياز التجاري</t>
        </is>
      </c>
      <c r="C29" s="11" t="inlineStr">
        <is>
          <t>نسبة إغلاق ملاحظات الجودة الميدانية</t>
        </is>
      </c>
      <c r="D29" s="15" t="inlineStr">
        <is>
          <t>شهري</t>
        </is>
      </c>
      <c r="E29" s="15" t="inlineStr">
        <is>
          <t>معدل</t>
        </is>
      </c>
      <c r="F29" s="46" t="inlineStr">
        <is>
          <t>↑</t>
        </is>
      </c>
      <c r="G29" s="61" t="n">
        <v>0.95</v>
      </c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47">
        <f>IF(COUNT($H29:$S29)=0,"",SUM($H29:$S29)/COUNT($H29:$S29))</f>
        <v/>
      </c>
      <c r="U29" s="47">
        <f>IF($G29="","",IF($T29="","",MIN(1,IF($G29=0,IF($T29&lt;=0,1,0),IF($F29="↓",IFERROR($G29/$T29,0),IFERROR($T29/$G29,0))))))</f>
        <v/>
      </c>
      <c r="V29" s="51">
        <f>IF($U29="","⏳ بانتظار هدف",IF($U29&gt;=1.0,"✅ محقق",IF($U29&gt;=0.85,"🟡 قريب","🔴 تحت الهدف")))</f>
        <v/>
      </c>
      <c r="W29" s="60">
        <f>IF($G29="","",$G29)</f>
        <v/>
      </c>
      <c r="X29" s="51">
        <f>IF($U29="","—",IF($U29&gt;=0.85,"🟢 على المسار","🟠 متأخّر"))</f>
        <v/>
      </c>
    </row>
    <row r="30" ht="22" customHeight="1">
      <c r="A30" s="51" t="n">
        <v>27</v>
      </c>
      <c r="B30" s="13" t="inlineStr">
        <is>
          <t>الامتياز التجاري</t>
        </is>
      </c>
      <c r="C30" s="11" t="inlineStr">
        <is>
          <t>متوسط درجة تقييم جودة المحطة (قائمة التحقق)</t>
        </is>
      </c>
      <c r="D30" s="15" t="inlineStr">
        <is>
          <t>شهري</t>
        </is>
      </c>
      <c r="E30" s="15" t="inlineStr">
        <is>
          <t>معدل</t>
        </is>
      </c>
      <c r="F30" s="46" t="inlineStr">
        <is>
          <t>↑</t>
        </is>
      </c>
      <c r="G30" s="62" t="n">
        <v>85</v>
      </c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4">
        <f>IF(COUNT($H30:$S30)=0,"",SUM($H30:$S30)/COUNT($H30:$S30))</f>
        <v/>
      </c>
      <c r="U30" s="47">
        <f>IF($G30="","",IF($T30="","",MIN(1,IF($G30=0,IF($T30&lt;=0,1,0),IF($F30="↓",IFERROR($G30/$T30,0),IFERROR($T30/$G30,0))))))</f>
        <v/>
      </c>
      <c r="V30" s="51">
        <f>IF($U30="","⏳ بانتظار هدف",IF($U30&gt;=1.0,"✅ محقق",IF($U30&gt;=0.85,"🟡 قريب","🔴 تحت الهدف")))</f>
        <v/>
      </c>
      <c r="W30" s="65">
        <f>IF($G30="","",$G30)</f>
        <v/>
      </c>
      <c r="X30" s="51">
        <f>IF($U30="","—",IF($U30&gt;=0.85,"🟢 على المسار","🟠 متأخّر"))</f>
        <v/>
      </c>
    </row>
    <row r="31" ht="22" customHeight="1">
      <c r="A31" s="51" t="n">
        <v>28</v>
      </c>
      <c r="B31" s="13" t="inlineStr">
        <is>
          <t>الامتياز التجاري</t>
        </is>
      </c>
      <c r="C31" s="11" t="inlineStr">
        <is>
          <t>نسبة تنفيذ الزيارات الميدانية المجدولة</t>
        </is>
      </c>
      <c r="D31" s="15" t="inlineStr">
        <is>
          <t>شهري</t>
        </is>
      </c>
      <c r="E31" s="15" t="inlineStr">
        <is>
          <t>معدل</t>
        </is>
      </c>
      <c r="F31" s="46" t="inlineStr">
        <is>
          <t>↑</t>
        </is>
      </c>
      <c r="G31" s="61" t="n">
        <v>1</v>
      </c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47">
        <f>IF(COUNT($H31:$S31)=0,"",SUM($H31:$S31)/COUNT($H31:$S31))</f>
        <v/>
      </c>
      <c r="U31" s="47">
        <f>IF($G31="","",IF($T31="","",MIN(1,IF($G31=0,IF($T31&lt;=0,1,0),IF($F31="↓",IFERROR($G31/$T31,0),IFERROR($T31/$G31,0))))))</f>
        <v/>
      </c>
      <c r="V31" s="51">
        <f>IF($U31="","⏳ بانتظار هدف",IF($U31&gt;=1.0,"✅ محقق",IF($U31&gt;=0.85,"🟡 قريب","🔴 تحت الهدف")))</f>
        <v/>
      </c>
      <c r="W31" s="60">
        <f>IF($G31="","",$G31)</f>
        <v/>
      </c>
      <c r="X31" s="51">
        <f>IF($U31="","—",IF($U31&gt;=0.85,"🟢 على المسار","🟠 متأخّر"))</f>
        <v/>
      </c>
    </row>
    <row r="32" ht="22" customHeight="1">
      <c r="A32" s="51" t="n">
        <v>29</v>
      </c>
      <c r="B32" s="13" t="inlineStr">
        <is>
          <t>الامتياز التجاري</t>
        </is>
      </c>
      <c r="C32" s="11" t="inlineStr">
        <is>
          <t>نسبة المحطات المستوفية لمعايير السلامة</t>
        </is>
      </c>
      <c r="D32" s="15" t="inlineStr">
        <is>
          <t>شهري</t>
        </is>
      </c>
      <c r="E32" s="15" t="inlineStr">
        <is>
          <t>معدل</t>
        </is>
      </c>
      <c r="F32" s="46" t="inlineStr">
        <is>
          <t>↑</t>
        </is>
      </c>
      <c r="G32" s="61" t="n">
        <v>1</v>
      </c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47">
        <f>IF(COUNT($H32:$S32)=0,"",SUM($H32:$S32)/COUNT($H32:$S32))</f>
        <v/>
      </c>
      <c r="U32" s="47">
        <f>IF($G32="","",IF($T32="","",MIN(1,IF($G32=0,IF($T32&lt;=0,1,0),IF($F32="↓",IFERROR($G32/$T32,0),IFERROR($T32/$G32,0))))))</f>
        <v/>
      </c>
      <c r="V32" s="51">
        <f>IF($U32="","⏳ بانتظار هدف",IF($U32&gt;=1.0,"✅ محقق",IF($U32&gt;=0.97,"🟡 قريب","🔴 تحت الهدف")))</f>
        <v/>
      </c>
      <c r="W32" s="60">
        <f>IF($G32="","",$G32)</f>
        <v/>
      </c>
      <c r="X32" s="51">
        <f>IF($U32="","—",IF($U32&gt;=0.97,"🟢 على المسار","🟠 متأخّر"))</f>
        <v/>
      </c>
    </row>
    <row r="33" ht="22" customHeight="1">
      <c r="A33" s="51" t="n">
        <v>30</v>
      </c>
      <c r="B33" s="13" t="inlineStr">
        <is>
          <t>الامتياز التجاري</t>
        </is>
      </c>
      <c r="C33" s="11" t="inlineStr">
        <is>
          <t>متوسط وقت معالجة البلاغات التشغيلية</t>
        </is>
      </c>
      <c r="D33" s="15" t="inlineStr">
        <is>
          <t>شهري</t>
        </is>
      </c>
      <c r="E33" s="15" t="inlineStr">
        <is>
          <t>معدل</t>
        </is>
      </c>
      <c r="F33" s="46" t="inlineStr">
        <is>
          <t>↓</t>
        </is>
      </c>
      <c r="G33" s="62" t="n">
        <v>24</v>
      </c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4">
        <f>IF(COUNT($H33:$S33)=0,"",SUM($H33:$S33)/COUNT($H33:$S33))</f>
        <v/>
      </c>
      <c r="U33" s="47">
        <f>IF($G33="","",IF($T33="","",MIN(1,IF($G33=0,IF($T33&lt;=0,1,0),IF($F33="↓",IFERROR($G33/$T33,0),IFERROR($T33/$G33,0))))))</f>
        <v/>
      </c>
      <c r="V33" s="51">
        <f>IF($U33="","⏳ بانتظار هدف",IF($U33&gt;=1.0,"✅ محقق",IF($U33&gt;=0.85,"🟡 قريب","🔴 تحت الهدف")))</f>
        <v/>
      </c>
      <c r="W33" s="65">
        <f>IF($G33="","",$G33)</f>
        <v/>
      </c>
      <c r="X33" s="51">
        <f>IF($U33="","—",IF($U33&gt;=0.85,"🟢 على المسار","🟠 متأخّر"))</f>
        <v/>
      </c>
    </row>
    <row r="34" ht="22" customHeight="1">
      <c r="A34" s="51" t="n">
        <v>31</v>
      </c>
      <c r="B34" s="13" t="inlineStr">
        <is>
          <t>الامتياز التجاري</t>
        </is>
      </c>
      <c r="C34" s="11" t="inlineStr">
        <is>
          <t>نسبة أتمتة محطات الامتياز</t>
        </is>
      </c>
      <c r="D34" s="15" t="inlineStr">
        <is>
          <t>شهري</t>
        </is>
      </c>
      <c r="E34" s="15" t="inlineStr">
        <is>
          <t>لقطة</t>
        </is>
      </c>
      <c r="F34" s="46" t="inlineStr">
        <is>
          <t>↑</t>
        </is>
      </c>
      <c r="G34" s="61" t="n">
        <v>0.9</v>
      </c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47">
        <f>IFERROR(LOOKUP(2,1/($H34:$S34&lt;&gt;""),$H34:$S34),"")</f>
        <v/>
      </c>
      <c r="U34" s="47">
        <f>IF($G34="","",IF($T34="","",MIN(1,IF($G34=0,IF($T34&lt;=0,1,0),IF($F34="↓",IFERROR($G34/$T34,0),IFERROR($T34/$G34,0))))))</f>
        <v/>
      </c>
      <c r="V34" s="51">
        <f>IF($U34="","⏳ بانتظار هدف",IF($U34&gt;=1.0,"✅ محقق",IF($U34&gt;=0.85,"🟡 قريب","🔴 تحت الهدف")))</f>
        <v/>
      </c>
      <c r="W34" s="60">
        <f>IF($G34="","",$G34)</f>
        <v/>
      </c>
      <c r="X34" s="51">
        <f>IF($U34="","—",IF($U34&gt;=0.85,"🟢 على المسار","🟠 متأخّر"))</f>
        <v/>
      </c>
    </row>
    <row r="35" ht="22" customHeight="1">
      <c r="A35" s="51" t="n">
        <v>32</v>
      </c>
      <c r="B35" s="13" t="inlineStr">
        <is>
          <t>الامتياز التجاري</t>
        </is>
      </c>
      <c r="C35" s="11" t="inlineStr">
        <is>
          <t>نسبة تطبيق المعيار الشامل داخل المحطات</t>
        </is>
      </c>
      <c r="D35" s="15" t="inlineStr">
        <is>
          <t>شهري</t>
        </is>
      </c>
      <c r="E35" s="15" t="inlineStr">
        <is>
          <t>لقطة</t>
        </is>
      </c>
      <c r="F35" s="46" t="inlineStr">
        <is>
          <t>↑</t>
        </is>
      </c>
      <c r="G35" s="61" t="n">
        <v>0.3</v>
      </c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47">
        <f>IFERROR(LOOKUP(2,1/($H35:$S35&lt;&gt;""),$H35:$S35),"")</f>
        <v/>
      </c>
      <c r="U35" s="47">
        <f>IF($G35="","",IF($T35="","",MIN(1,IF($G35=0,IF($T35&lt;=0,1,0),IF($F35="↓",IFERROR($G35/$T35,0),IFERROR($T35/$G35,0))))))</f>
        <v/>
      </c>
      <c r="V35" s="51">
        <f>IF($U35="","⏳ بانتظار هدف",IF($U35&gt;=1.0,"✅ محقق",IF($U35&gt;=0.85,"🟡 قريب","🔴 تحت الهدف")))</f>
        <v/>
      </c>
      <c r="W35" s="60">
        <f>IF($G35="","",$G35)</f>
        <v/>
      </c>
      <c r="X35" s="51">
        <f>IF($U35="","—",IF($U35&gt;=0.85,"🟢 على المسار","🟠 متأخّر"))</f>
        <v/>
      </c>
    </row>
    <row r="36" ht="22" customHeight="1">
      <c r="A36" s="51" t="n">
        <v>33</v>
      </c>
      <c r="B36" s="13" t="inlineStr">
        <is>
          <t>الامتياز التجاري</t>
        </is>
      </c>
      <c r="C36" s="11" t="inlineStr">
        <is>
          <t>نسبة التزام المحطات بالهوية المؤسسية</t>
        </is>
      </c>
      <c r="D36" s="15" t="inlineStr">
        <is>
          <t>شهري</t>
        </is>
      </c>
      <c r="E36" s="15" t="inlineStr">
        <is>
          <t>لقطة</t>
        </is>
      </c>
      <c r="F36" s="46" t="inlineStr">
        <is>
          <t>↑</t>
        </is>
      </c>
      <c r="G36" s="61" t="n">
        <v>0.55</v>
      </c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47">
        <f>IFERROR(LOOKUP(2,1/($H36:$S36&lt;&gt;""),$H36:$S36),"")</f>
        <v/>
      </c>
      <c r="U36" s="47">
        <f>IF($G36="","",IF($T36="","",MIN(1,IF($G36=0,IF($T36&lt;=0,1,0),IF($F36="↓",IFERROR($G36/$T36,0),IFERROR($T36/$G36,0))))))</f>
        <v/>
      </c>
      <c r="V36" s="51">
        <f>IF($U36="","⏳ بانتظار هدف",IF($U36&gt;=1.0,"✅ محقق",IF($U36&gt;=0.85,"🟡 قريب","🔴 تحت الهدف")))</f>
        <v/>
      </c>
      <c r="W36" s="60">
        <f>IF($G36="","",$G36)</f>
        <v/>
      </c>
      <c r="X36" s="51">
        <f>IF($U36="","—",IF($U36&gt;=0.85,"🟢 على المسار","🟠 متأخّر"))</f>
        <v/>
      </c>
    </row>
    <row r="37" ht="22" customHeight="1">
      <c r="A37" s="51" t="n">
        <v>34</v>
      </c>
      <c r="B37" s="13" t="inlineStr">
        <is>
          <t>الامتياز التجاري</t>
        </is>
      </c>
      <c r="C37" s="11" t="inlineStr">
        <is>
          <t>متوسط تقييم المحطات على خرائط قوقل</t>
        </is>
      </c>
      <c r="D37" s="15" t="inlineStr">
        <is>
          <t>شهري</t>
        </is>
      </c>
      <c r="E37" s="15" t="inlineStr">
        <is>
          <t>معدل</t>
        </is>
      </c>
      <c r="F37" s="46" t="inlineStr">
        <is>
          <t>↑</t>
        </is>
      </c>
      <c r="G37" s="62" t="n">
        <v>4.7</v>
      </c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4">
        <f>IF(COUNT($H37:$S37)=0,"",SUM($H37:$S37)/COUNT($H37:$S37))</f>
        <v/>
      </c>
      <c r="U37" s="47">
        <f>IF($G37="","",IF($T37="","",MIN(1,IF($G37=0,IF($T37&lt;=0,1,0),IF($F37="↓",IFERROR($G37/$T37,0),IFERROR($T37/$G37,0))))))</f>
        <v/>
      </c>
      <c r="V37" s="51">
        <f>IF($U37="","⏳ بانتظار هدف",IF($U37&gt;=1.0,"✅ محقق",IF($U37&gt;=0.85,"🟡 قريب","🔴 تحت الهدف")))</f>
        <v/>
      </c>
      <c r="W37" s="65">
        <f>IF($G37="","",$G37)</f>
        <v/>
      </c>
      <c r="X37" s="51">
        <f>IF($U37="","—",IF($U37&gt;=0.85,"🟢 على المسار","🟠 متأخّر"))</f>
        <v/>
      </c>
    </row>
    <row r="38" ht="22" customHeight="1">
      <c r="A38" s="51" t="n">
        <v>35</v>
      </c>
      <c r="B38" s="13" t="inlineStr">
        <is>
          <t>الامتياز التجاري</t>
        </is>
      </c>
      <c r="C38" s="11" t="inlineStr">
        <is>
          <t>معدل رضا شركاء الامتياز (CSAT)</t>
        </is>
      </c>
      <c r="D38" s="15" t="inlineStr">
        <is>
          <t>ربعي</t>
        </is>
      </c>
      <c r="E38" s="15" t="inlineStr">
        <is>
          <t>معدل</t>
        </is>
      </c>
      <c r="F38" s="46" t="inlineStr">
        <is>
          <t>↑</t>
        </is>
      </c>
      <c r="G38" s="61" t="n">
        <v>0.9</v>
      </c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47">
        <f>IF(COUNT($H38:$S38)=0,"",SUM($H38:$S38)/COUNT($H38:$S38))</f>
        <v/>
      </c>
      <c r="U38" s="47">
        <f>IF($G38="","",IF($T38="","",MIN(1,IF($G38=0,IF($T38&lt;=0,1,0),IF($F38="↓",IFERROR($G38/$T38,0),IFERROR($T38/$G38,0))))))</f>
        <v/>
      </c>
      <c r="V38" s="51">
        <f>IF($U38="","⏳ بانتظار هدف",IF($U38&gt;=0.9,"✅ محقق",IF($U38&gt;=0.75,"🟡 قريب","🔴 تحت الهدف")))</f>
        <v/>
      </c>
      <c r="W38" s="60">
        <f>IF($G38="","",$G38)</f>
        <v/>
      </c>
      <c r="X38" s="51">
        <f>IF($U38="","—",IF($U38&gt;=0.75,"🟢 على المسار","🟠 متأخّر"))</f>
        <v/>
      </c>
    </row>
    <row r="39" ht="22" customHeight="1">
      <c r="A39" s="51" t="n">
        <v>36</v>
      </c>
      <c r="B39" s="13" t="inlineStr">
        <is>
          <t>الامتياز التجاري</t>
        </is>
      </c>
      <c r="C39" s="11" t="inlineStr">
        <is>
          <t>نسبة حل الشكاوى خلال المدة المحددة</t>
        </is>
      </c>
      <c r="D39" s="15" t="inlineStr">
        <is>
          <t>شهري</t>
        </is>
      </c>
      <c r="E39" s="15" t="inlineStr">
        <is>
          <t>معدل</t>
        </is>
      </c>
      <c r="F39" s="46" t="inlineStr">
        <is>
          <t>↑</t>
        </is>
      </c>
      <c r="G39" s="61" t="n">
        <v>0.95</v>
      </c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47">
        <f>IF(COUNT($H39:$S39)=0,"",SUM($H39:$S39)/COUNT($H39:$S39))</f>
        <v/>
      </c>
      <c r="U39" s="47">
        <f>IF($G39="","",IF($T39="","",MIN(1,IF($G39=0,IF($T39&lt;=0,1,0),IF($F39="↓",IFERROR($G39/$T39,0),IFERROR($T39/$G39,0))))))</f>
        <v/>
      </c>
      <c r="V39" s="51">
        <f>IF($U39="","⏳ بانتظار هدف",IF($U39&gt;=1.0,"✅ محقق",IF($U39&gt;=0.85,"🟡 قريب","🔴 تحت الهدف")))</f>
        <v/>
      </c>
      <c r="W39" s="60">
        <f>IF($G39="","",$G39)</f>
        <v/>
      </c>
      <c r="X39" s="51">
        <f>IF($U39="","—",IF($U39&gt;=0.85,"🟢 على المسار","🟠 متأخّر"))</f>
        <v/>
      </c>
    </row>
    <row r="40" ht="22" customHeight="1">
      <c r="A40" s="51" t="n">
        <v>37</v>
      </c>
      <c r="B40" s="13" t="inlineStr">
        <is>
          <t>الامتياز التجاري</t>
        </is>
      </c>
      <c r="C40" s="11" t="inlineStr">
        <is>
          <t>نسبة انخفاض الشكاوى التشغيلية والإدارية</t>
        </is>
      </c>
      <c r="D40" s="15" t="inlineStr">
        <is>
          <t>شهري</t>
        </is>
      </c>
      <c r="E40" s="15" t="inlineStr">
        <is>
          <t>معدل</t>
        </is>
      </c>
      <c r="F40" s="46" t="inlineStr">
        <is>
          <t>↑</t>
        </is>
      </c>
      <c r="G40" s="46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47">
        <f>IF(COUNT($H40:$S40)=0,"",SUM($H40:$S40)/COUNT($H40:$S40))</f>
        <v/>
      </c>
      <c r="U40" s="47">
        <f>IF($G40="","",IF($T40="","",MIN(1,IF($G40=0,IF($T40&lt;=0,1,0),IF($F40="↓",IFERROR($G40/$T40,0),IFERROR($T40/$G40,0))))))</f>
        <v/>
      </c>
      <c r="V40" s="51">
        <f>IF($U40="","⏳ بانتظار هدف",IF($U40&gt;=1.0,"✅ محقق",IF($U40&gt;=0.85,"🟡 قريب","🔴 تحت الهدف")))</f>
        <v/>
      </c>
      <c r="W40" s="60">
        <f>IF($G40="","",$G40)</f>
        <v/>
      </c>
      <c r="X40" s="51">
        <f>IF($U40="","—",IF($U40&gt;=0.85,"🟢 على المسار","🟠 متأخّر"))</f>
        <v/>
      </c>
    </row>
    <row r="41" ht="22" customHeight="1">
      <c r="A41" s="51" t="n">
        <v>38</v>
      </c>
      <c r="B41" s="13" t="inlineStr">
        <is>
          <t>الامتياز التجاري</t>
        </is>
      </c>
      <c r="C41" s="11" t="inlineStr">
        <is>
          <t>نسبة استدامة أصحاب الامتياز (Retention)</t>
        </is>
      </c>
      <c r="D41" s="15" t="inlineStr">
        <is>
          <t>شهري</t>
        </is>
      </c>
      <c r="E41" s="15" t="inlineStr">
        <is>
          <t>لقطة</t>
        </is>
      </c>
      <c r="F41" s="46" t="inlineStr">
        <is>
          <t>↑</t>
        </is>
      </c>
      <c r="G41" s="61" t="n">
        <v>0.9</v>
      </c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47">
        <f>IFERROR(LOOKUP(2,1/($H41:$S41&lt;&gt;""),$H41:$S41),"")</f>
        <v/>
      </c>
      <c r="U41" s="47">
        <f>IF($G41="","",IF($T41="","",MIN(1,IF($G41=0,IF($T41&lt;=0,1,0),IF($F41="↓",IFERROR($G41/$T41,0),IFERROR($T41/$G41,0))))))</f>
        <v/>
      </c>
      <c r="V41" s="51">
        <f>IF($U41="","⏳ بانتظار هدف",IF($U41&gt;=1.0,"✅ محقق",IF($U41&gt;=0.85,"🟡 قريب","🔴 تحت الهدف")))</f>
        <v/>
      </c>
      <c r="W41" s="60">
        <f>IF($G41="","",$G41)</f>
        <v/>
      </c>
      <c r="X41" s="51">
        <f>IF($U41="","—",IF($U41&gt;=0.85,"🟢 على المسار","🟠 متأخّر"))</f>
        <v/>
      </c>
    </row>
    <row r="42" ht="22" customHeight="1">
      <c r="A42" s="51" t="n">
        <v>39</v>
      </c>
      <c r="B42" s="13" t="inlineStr">
        <is>
          <t>الامتياز التجاري</t>
        </is>
      </c>
      <c r="C42" s="11" t="inlineStr">
        <is>
          <t>نسبة زيادة عدد أصحاب الامتياز</t>
        </is>
      </c>
      <c r="D42" s="15" t="inlineStr">
        <is>
          <t>شهري</t>
        </is>
      </c>
      <c r="E42" s="15" t="inlineStr">
        <is>
          <t>لقطة</t>
        </is>
      </c>
      <c r="F42" s="46" t="inlineStr">
        <is>
          <t>↑</t>
        </is>
      </c>
      <c r="G42" s="61" t="n">
        <v>1</v>
      </c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47">
        <f>IFERROR(LOOKUP(2,1/($H42:$S42&lt;&gt;""),$H42:$S42),"")</f>
        <v/>
      </c>
      <c r="U42" s="47">
        <f>IF($G42="","",IF($T42="","",MIN(1,IF($G42=0,IF($T42&lt;=0,1,0),IF($F42="↓",IFERROR($G42/$T42,0),IFERROR($T42/$G42,0))))))</f>
        <v/>
      </c>
      <c r="V42" s="51">
        <f>IF($U42="","⏳ بانتظار هدف",IF($U42&gt;=1.0,"✅ محقق",IF($U42&gt;=0.85,"🟡 قريب","🔴 تحت الهدف")))</f>
        <v/>
      </c>
      <c r="W42" s="60">
        <f>IF($G42="","",$G42)</f>
        <v/>
      </c>
      <c r="X42" s="51">
        <f>IF($U42="","—",IF($U42&gt;=0.85,"🟢 على المسار","🟠 متأخّر"))</f>
        <v/>
      </c>
    </row>
    <row r="43" ht="22" customHeight="1">
      <c r="A43" s="51" t="n">
        <v>40</v>
      </c>
      <c r="B43" s="13" t="inlineStr">
        <is>
          <t>الامتياز التجاري</t>
        </is>
      </c>
      <c r="C43" s="11" t="inlineStr">
        <is>
          <t>متوسط مدة إغلاق عقد الامتياز</t>
        </is>
      </c>
      <c r="D43" s="15" t="inlineStr">
        <is>
          <t>شهري</t>
        </is>
      </c>
      <c r="E43" s="15" t="inlineStr">
        <is>
          <t>معدل</t>
        </is>
      </c>
      <c r="F43" s="46" t="inlineStr">
        <is>
          <t>↓</t>
        </is>
      </c>
      <c r="G43" s="62" t="n">
        <v>1</v>
      </c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4">
        <f>IF(COUNT($H43:$S43)=0,"",SUM($H43:$S43)/COUNT($H43:$S43))</f>
        <v/>
      </c>
      <c r="U43" s="47">
        <f>IF($G43="","",IF($T43="","",MIN(1,IF($G43=0,IF($T43&lt;=0,1,0),IF($F43="↓",IFERROR($G43/$T43,0),IFERROR($T43/$G43,0))))))</f>
        <v/>
      </c>
      <c r="V43" s="51">
        <f>IF($U43="","⏳ بانتظار هدف",IF($U43&gt;=1.0,"✅ محقق",IF($U43&gt;=0.85,"🟡 قريب","🔴 تحت الهدف")))</f>
        <v/>
      </c>
      <c r="W43" s="65">
        <f>IF($G43="","",$G43)</f>
        <v/>
      </c>
      <c r="X43" s="51">
        <f>IF($U43="","—",IF($U43&gt;=0.85,"🟢 على المسار","🟠 متأخّر"))</f>
        <v/>
      </c>
    </row>
    <row r="44" ht="22" customHeight="1">
      <c r="A44" s="51" t="n">
        <v>41</v>
      </c>
      <c r="B44" s="13" t="inlineStr">
        <is>
          <t>التشغيل والمحطات</t>
        </is>
      </c>
      <c r="C44" s="11" t="inlineStr">
        <is>
          <t>عدد المحطات المشغّلة (تراكمي)</t>
        </is>
      </c>
      <c r="D44" s="15" t="inlineStr">
        <is>
          <t>شهري</t>
        </is>
      </c>
      <c r="E44" s="15" t="inlineStr">
        <is>
          <t>لقطة</t>
        </is>
      </c>
      <c r="F44" s="46" t="inlineStr">
        <is>
          <t>↑</t>
        </is>
      </c>
      <c r="G44" s="52" t="n">
        <v>85</v>
      </c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4">
        <f>IFERROR(LOOKUP(2,1/($H44:$S44&lt;&gt;""),$H44:$S44),"")</f>
        <v/>
      </c>
      <c r="U44" s="47">
        <f>IF($G44="","",IF($T44="","",MIN(1,IF($G44=0,IF($T44&lt;=0,1,0),IF($F44="↓",IFERROR($G44/$T44,0),IFERROR($T44/$G44,0))))))</f>
        <v/>
      </c>
      <c r="V44" s="51">
        <f>IF($U44="","⏳ بانتظار هدف",IF($U44&gt;=1.0,"✅ محقق",IF($U44&gt;=0.85,"🟡 قريب","🔴 تحت الهدف")))</f>
        <v/>
      </c>
      <c r="W44" s="55">
        <f>IF($G44="","",$G44)</f>
        <v/>
      </c>
      <c r="X44" s="51">
        <f>IF($U44="","—",IF($U44&gt;=0.85,"🟢 على المسار","🟠 متأخّر"))</f>
        <v/>
      </c>
    </row>
    <row r="45" ht="22" customHeight="1">
      <c r="A45" s="51" t="n">
        <v>42</v>
      </c>
      <c r="B45" s="13" t="inlineStr">
        <is>
          <t>التشغيل والمحطات</t>
        </is>
      </c>
      <c r="C45" s="11" t="inlineStr">
        <is>
          <t>نمو مبيعات بنزين 91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6" t="inlineStr">
        <is>
          <t>↑</t>
        </is>
      </c>
      <c r="G45" s="46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47">
        <f>IF(COUNT($H45:$S45)=0,"",SUM($H45:$S45)/COUNT($H45:$S45))</f>
        <v/>
      </c>
      <c r="U45" s="47">
        <f>IF($G45="","",IF($T45="","",MIN(1,IF($G45=0,IF($T45&lt;=0,1,0),IF($F45="↓",IFERROR($G45/$T45,0),IFERROR($T45/$G45,0))))))</f>
        <v/>
      </c>
      <c r="V45" s="51">
        <f>IF($U45="","⏳ بانتظار هدف",IF($U45&gt;=1.0,"✅ محقق",IF($U45&gt;=0.85,"🟡 قريب","🔴 تحت الهدف")))</f>
        <v/>
      </c>
      <c r="W45" s="60">
        <f>IF($G45="","",$G45)</f>
        <v/>
      </c>
      <c r="X45" s="51">
        <f>IF($U45="","—",IF($U45&gt;=0.85,"🟢 على المسار","🟠 متأخّر"))</f>
        <v/>
      </c>
    </row>
    <row r="46" ht="22" customHeight="1">
      <c r="A46" s="51" t="n">
        <v>43</v>
      </c>
      <c r="B46" s="13" t="inlineStr">
        <is>
          <t>التشغيل والمحطات</t>
        </is>
      </c>
      <c r="C46" s="11" t="inlineStr">
        <is>
          <t>نمو مبيعات بنزين 95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46" t="inlineStr">
        <is>
          <t>↑</t>
        </is>
      </c>
      <c r="G46" s="46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47">
        <f>IF(COUNT($H46:$S46)=0,"",SUM($H46:$S46)/COUNT($H46:$S46))</f>
        <v/>
      </c>
      <c r="U46" s="47">
        <f>IF($G46="","",IF($T46="","",MIN(1,IF($G46=0,IF($T46&lt;=0,1,0),IF($F46="↓",IFERROR($G46/$T46,0),IFERROR($T46/$G46,0))))))</f>
        <v/>
      </c>
      <c r="V46" s="51">
        <f>IF($U46="","⏳ بانتظار هدف",IF($U46&gt;=1.0,"✅ محقق",IF($U46&gt;=0.85,"🟡 قريب","🔴 تحت الهدف")))</f>
        <v/>
      </c>
      <c r="W46" s="60">
        <f>IF($G46="","",$G46)</f>
        <v/>
      </c>
      <c r="X46" s="51">
        <f>IF($U46="","—",IF($U46&gt;=0.85,"🟢 على المسار","🟠 متأخّر"))</f>
        <v/>
      </c>
    </row>
    <row r="47" ht="22" customHeight="1">
      <c r="A47" s="51" t="n">
        <v>44</v>
      </c>
      <c r="B47" s="13" t="inlineStr">
        <is>
          <t>التشغيل والمحطات</t>
        </is>
      </c>
      <c r="C47" s="11" t="inlineStr">
        <is>
          <t>نمو مبيعات بنزين 98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46" t="inlineStr">
        <is>
          <t>↑</t>
        </is>
      </c>
      <c r="G47" s="46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47">
        <f>IF(COUNT($H47:$S47)=0,"",SUM($H47:$S47)/COUNT($H47:$S47))</f>
        <v/>
      </c>
      <c r="U47" s="47">
        <f>IF($G47="","",IF($T47="","",MIN(1,IF($G47=0,IF($T47&lt;=0,1,0),IF($F47="↓",IFERROR($G47/$T47,0),IFERROR($T47/$G47,0))))))</f>
        <v/>
      </c>
      <c r="V47" s="51">
        <f>IF($U47="","⏳ بانتظار هدف",IF($U47&gt;=1.0,"✅ محقق",IF($U47&gt;=0.85,"🟡 قريب","🔴 تحت الهدف")))</f>
        <v/>
      </c>
      <c r="W47" s="60">
        <f>IF($G47="","",$G47)</f>
        <v/>
      </c>
      <c r="X47" s="51">
        <f>IF($U47="","—",IF($U47&gt;=0.85,"🟢 على المسار","🟠 متأخّر"))</f>
        <v/>
      </c>
    </row>
    <row r="48" ht="22" customHeight="1">
      <c r="A48" s="51" t="n">
        <v>45</v>
      </c>
      <c r="B48" s="13" t="inlineStr">
        <is>
          <t>التشغيل والمحطات</t>
        </is>
      </c>
      <c r="C48" s="11" t="inlineStr">
        <is>
          <t>نمو مبيعات الديزل مقارنة بالعام السابق</t>
        </is>
      </c>
      <c r="D48" s="15" t="inlineStr">
        <is>
          <t>شهري</t>
        </is>
      </c>
      <c r="E48" s="15" t="inlineStr">
        <is>
          <t>معدل</t>
        </is>
      </c>
      <c r="F48" s="46" t="inlineStr">
        <is>
          <t>↑</t>
        </is>
      </c>
      <c r="G48" s="46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47">
        <f>IF(COUNT($H48:$S48)=0,"",SUM($H48:$S48)/COUNT($H48:$S48))</f>
        <v/>
      </c>
      <c r="U48" s="47">
        <f>IF($G48="","",IF($T48="","",MIN(1,IF($G48=0,IF($T48&lt;=0,1,0),IF($F48="↓",IFERROR($G48/$T48,0),IFERROR($T48/$G48,0))))))</f>
        <v/>
      </c>
      <c r="V48" s="51">
        <f>IF($U48="","⏳ بانتظار هدف",IF($U48&gt;=1.0,"✅ محقق",IF($U48&gt;=0.85,"🟡 قريب","🔴 تحت الهدف")))</f>
        <v/>
      </c>
      <c r="W48" s="60">
        <f>IF($G48="","",$G48)</f>
        <v/>
      </c>
      <c r="X48" s="51">
        <f>IF($U48="","—",IF($U48&gt;=0.85,"🟢 على المسار","🟠 متأخّر"))</f>
        <v/>
      </c>
    </row>
    <row r="49" ht="22" customHeight="1">
      <c r="A49" s="51" t="n">
        <v>46</v>
      </c>
      <c r="B49" s="13" t="inlineStr">
        <is>
          <t>التشغيل والمحطات</t>
        </is>
      </c>
      <c r="C49" s="11" t="inlineStr">
        <is>
          <t>نسبة جاهزية المحطة الشاملة (Uptime)</t>
        </is>
      </c>
      <c r="D49" s="15" t="inlineStr">
        <is>
          <t>شهري</t>
        </is>
      </c>
      <c r="E49" s="15" t="inlineStr">
        <is>
          <t>معدل</t>
        </is>
      </c>
      <c r="F49" s="46" t="inlineStr">
        <is>
          <t>↑</t>
        </is>
      </c>
      <c r="G49" s="61" t="n">
        <v>0.99</v>
      </c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47">
        <f>IF(COUNT($H49:$S49)=0,"",SUM($H49:$S49)/COUNT($H49:$S49))</f>
        <v/>
      </c>
      <c r="U49" s="47">
        <f>IF($G49="","",IF($T49="","",MIN(1,IF($G49=0,IF($T49&lt;=0,1,0),IF($F49="↓",IFERROR($G49/$T49,0),IFERROR($T49/$G49,0))))))</f>
        <v/>
      </c>
      <c r="V49" s="51">
        <f>IF($U49="","⏳ بانتظار هدف",IF($U49&gt;=1.0,"✅ محقق",IF($U49&gt;=0.97,"🟡 قريب","🔴 تحت الهدف")))</f>
        <v/>
      </c>
      <c r="W49" s="60">
        <f>IF($G49="","",$G49)</f>
        <v/>
      </c>
      <c r="X49" s="51">
        <f>IF($U49="","—",IF($U49&gt;=0.97,"🟢 على المسار","🟠 متأخّر"))</f>
        <v/>
      </c>
    </row>
    <row r="50" ht="22" customHeight="1">
      <c r="A50" s="51" t="n">
        <v>47</v>
      </c>
      <c r="B50" s="13" t="inlineStr">
        <is>
          <t>التشغيل والمحطات</t>
        </is>
      </c>
      <c r="C50" s="11" t="inlineStr">
        <is>
          <t>نسبة المضخات العاملة</t>
        </is>
      </c>
      <c r="D50" s="15" t="inlineStr">
        <is>
          <t>شهري</t>
        </is>
      </c>
      <c r="E50" s="15" t="inlineStr">
        <is>
          <t>معدل</t>
        </is>
      </c>
      <c r="F50" s="46" t="inlineStr">
        <is>
          <t>↑</t>
        </is>
      </c>
      <c r="G50" s="61" t="n">
        <v>0.97</v>
      </c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47">
        <f>IF(COUNT($H50:$S50)=0,"",SUM($H50:$S50)/COUNT($H50:$S50))</f>
        <v/>
      </c>
      <c r="U50" s="47">
        <f>IF($G50="","",IF($T50="","",MIN(1,IF($G50=0,IF($T50&lt;=0,1,0),IF($F50="↓",IFERROR($G50/$T50,0),IFERROR($T50/$G50,0))))))</f>
        <v/>
      </c>
      <c r="V50" s="51">
        <f>IF($U50="","⏳ بانتظار هدف",IF($U50&gt;=1.0,"✅ محقق",IF($U50&gt;=0.85,"🟡 قريب","🔴 تحت الهدف")))</f>
        <v/>
      </c>
      <c r="W50" s="60">
        <f>IF($G50="","",$G50)</f>
        <v/>
      </c>
      <c r="X50" s="51">
        <f>IF($U50="","—",IF($U50&gt;=0.85,"🟢 على المسار","🟠 متأخّر"))</f>
        <v/>
      </c>
    </row>
    <row r="51" ht="22" customHeight="1">
      <c r="A51" s="51" t="n">
        <v>48</v>
      </c>
      <c r="B51" s="13" t="inlineStr">
        <is>
          <t>التشغيل والمحطات</t>
        </is>
      </c>
      <c r="C51" s="11" t="inlineStr">
        <is>
          <t>تكلفة التشغيل لكل لتر مباع</t>
        </is>
      </c>
      <c r="D51" s="15" t="inlineStr">
        <is>
          <t>ربعي</t>
        </is>
      </c>
      <c r="E51" s="15" t="inlineStr">
        <is>
          <t>معدل</t>
        </is>
      </c>
      <c r="F51" s="46" t="inlineStr">
        <is>
          <t>↓</t>
        </is>
      </c>
      <c r="G51" s="46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4">
        <f>IF(COUNT($H51:$S51)=0,"",SUM($H51:$S51)/COUNT($H51:$S51))</f>
        <v/>
      </c>
      <c r="U51" s="47">
        <f>IF($G51="","",IF($T51="","",MIN(1,IF($G51=0,IF($T51&lt;=0,1,0),IF($F51="↓",IFERROR($G51/$T51,0),IFERROR($T51/$G51,0))))))</f>
        <v/>
      </c>
      <c r="V51" s="51">
        <f>IF($U51="","⏳ بانتظار هدف",IF($U51&gt;=1.0,"✅ محقق",IF($U51&gt;=0.85,"🟡 قريب","🔴 تحت الهدف")))</f>
        <v/>
      </c>
      <c r="W51" s="65">
        <f>IF($G51="","",$G51)</f>
        <v/>
      </c>
      <c r="X51" s="51">
        <f>IF($U51="","—",IF($U51&gt;=0.85,"🟢 على المسار","🟠 متأخّر"))</f>
        <v/>
      </c>
    </row>
    <row r="52" ht="22" customHeight="1">
      <c r="A52" s="51" t="n">
        <v>49</v>
      </c>
      <c r="B52" s="13" t="inlineStr">
        <is>
          <t>التشغيل والمحطات</t>
        </is>
      </c>
      <c r="C52" s="11" t="inlineStr">
        <is>
          <t>نسبة الصيانة الوقائية المنفذة في موعدها</t>
        </is>
      </c>
      <c r="D52" s="15" t="inlineStr">
        <is>
          <t>شهري</t>
        </is>
      </c>
      <c r="E52" s="15" t="inlineStr">
        <is>
          <t>معدل</t>
        </is>
      </c>
      <c r="F52" s="46" t="inlineStr">
        <is>
          <t>↑</t>
        </is>
      </c>
      <c r="G52" s="61" t="n">
        <v>0.95</v>
      </c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47">
        <f>IF(COUNT($H52:$S52)=0,"",SUM($H52:$S52)/COUNT($H52:$S52))</f>
        <v/>
      </c>
      <c r="U52" s="47">
        <f>IF($G52="","",IF($T52="","",MIN(1,IF($G52=0,IF($T52&lt;=0,1,0),IF($F52="↓",IFERROR($G52/$T52,0),IFERROR($T52/$G52,0))))))</f>
        <v/>
      </c>
      <c r="V52" s="51">
        <f>IF($U52="","⏳ بانتظار هدف",IF($U52&gt;=1.0,"✅ محقق",IF($U52&gt;=0.85,"🟡 قريب","🔴 تحت الهدف")))</f>
        <v/>
      </c>
      <c r="W52" s="60">
        <f>IF($G52="","",$G52)</f>
        <v/>
      </c>
      <c r="X52" s="51">
        <f>IF($U52="","—",IF($U52&gt;=0.85,"🟢 على المسار","🟠 متأخّر"))</f>
        <v/>
      </c>
    </row>
    <row r="53" ht="22" customHeight="1">
      <c r="A53" s="51" t="n">
        <v>50</v>
      </c>
      <c r="B53" s="13" t="inlineStr">
        <is>
          <t>التشغيل والمحطات</t>
        </is>
      </c>
      <c r="C53" s="11" t="inlineStr">
        <is>
          <t>نسبة انخفاض الشكاوى مقارنة بالشهر السابق</t>
        </is>
      </c>
      <c r="D53" s="15" t="inlineStr">
        <is>
          <t>شهري</t>
        </is>
      </c>
      <c r="E53" s="15" t="inlineStr">
        <is>
          <t>معدل</t>
        </is>
      </c>
      <c r="F53" s="46" t="inlineStr">
        <is>
          <t>↑</t>
        </is>
      </c>
      <c r="G53" s="46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47">
        <f>IF(COUNT($H53:$S53)=0,"",SUM($H53:$S53)/COUNT($H53:$S53))</f>
        <v/>
      </c>
      <c r="U53" s="47">
        <f>IF($G53="","",IF($T53="","",MIN(1,IF($G53=0,IF($T53&lt;=0,1,0),IF($F53="↓",IFERROR($G53/$T53,0),IFERROR($T53/$G53,0))))))</f>
        <v/>
      </c>
      <c r="V53" s="51">
        <f>IF($U53="","⏳ بانتظار هدف",IF($U53&gt;=1.0,"✅ محقق",IF($U53&gt;=0.85,"🟡 قريب","🔴 تحت الهدف")))</f>
        <v/>
      </c>
      <c r="W53" s="60">
        <f>IF($G53="","",$G53)</f>
        <v/>
      </c>
      <c r="X53" s="51">
        <f>IF($U53="","—",IF($U53&gt;=0.85,"🟢 على المسار","🟠 متأخّر"))</f>
        <v/>
      </c>
    </row>
    <row r="54" ht="22" customHeight="1">
      <c r="A54" s="51" t="n">
        <v>51</v>
      </c>
      <c r="B54" s="13" t="inlineStr">
        <is>
          <t>التشغيل والمحطات</t>
        </is>
      </c>
      <c r="C54" s="11" t="inlineStr">
        <is>
          <t>تقييم Google Maps للمحطات</t>
        </is>
      </c>
      <c r="D54" s="15" t="inlineStr">
        <is>
          <t>شهري</t>
        </is>
      </c>
      <c r="E54" s="15" t="inlineStr">
        <is>
          <t>معدل</t>
        </is>
      </c>
      <c r="F54" s="46" t="inlineStr">
        <is>
          <t>↑</t>
        </is>
      </c>
      <c r="G54" s="62" t="n">
        <v>4.5</v>
      </c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4">
        <f>IF(COUNT($H54:$S54)=0,"",SUM($H54:$S54)/COUNT($H54:$S54))</f>
        <v/>
      </c>
      <c r="U54" s="47">
        <f>IF($G54="","",IF($T54="","",MIN(1,IF($G54=0,IF($T54&lt;=0,1,0),IF($F54="↓",IFERROR($G54/$T54,0),IFERROR($T54/$G54,0))))))</f>
        <v/>
      </c>
      <c r="V54" s="51">
        <f>IF($U54="","⏳ بانتظار هدف",IF($U54&gt;=1.0,"✅ محقق",IF($U54&gt;=0.85,"🟡 قريب","🔴 تحت الهدف")))</f>
        <v/>
      </c>
      <c r="W54" s="65">
        <f>IF($G54="","",$G54)</f>
        <v/>
      </c>
      <c r="X54" s="51">
        <f>IF($U54="","—",IF($U54&gt;=0.85,"🟢 على المسار","🟠 متأخّر"))</f>
        <v/>
      </c>
    </row>
    <row r="55" ht="22" customHeight="1">
      <c r="A55" s="51" t="n">
        <v>52</v>
      </c>
      <c r="B55" s="13" t="inlineStr">
        <is>
          <t>التشغيل والمحطات</t>
        </is>
      </c>
      <c r="C55" s="11" t="inlineStr">
        <is>
          <t>سرعة تعبئة الوقود</t>
        </is>
      </c>
      <c r="D55" s="15" t="inlineStr">
        <is>
          <t>شهري</t>
        </is>
      </c>
      <c r="E55" s="15" t="inlineStr">
        <is>
          <t>معدل</t>
        </is>
      </c>
      <c r="F55" s="46" t="inlineStr">
        <is>
          <t>↓</t>
        </is>
      </c>
      <c r="G55" s="62" t="n">
        <v>3</v>
      </c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4">
        <f>IF(COUNT($H55:$S55)=0,"",SUM($H55:$S55)/COUNT($H55:$S55))</f>
        <v/>
      </c>
      <c r="U55" s="47">
        <f>IF($G55="","",IF($T55="","",MIN(1,IF($G55=0,IF($T55&lt;=0,1,0),IF($F55="↓",IFERROR($G55/$T55,0),IFERROR($T55/$G55,0))))))</f>
        <v/>
      </c>
      <c r="V55" s="51">
        <f>IF($U55="","⏳ بانتظار هدف",IF($U55&gt;=1.0,"✅ محقق",IF($U55&gt;=0.85,"🟡 قريب","🔴 تحت الهدف")))</f>
        <v/>
      </c>
      <c r="W55" s="65">
        <f>IF($G55="","",$G55)</f>
        <v/>
      </c>
      <c r="X55" s="51">
        <f>IF($U55="","—",IF($U55&gt;=0.85,"🟢 على المسار","🟠 متأخّر"))</f>
        <v/>
      </c>
    </row>
    <row r="56" ht="22" customHeight="1">
      <c r="A56" s="51" t="n">
        <v>53</v>
      </c>
      <c r="B56" s="13" t="inlineStr">
        <is>
          <t>التشغيل والمحطات</t>
        </is>
      </c>
      <c r="C56" s="11" t="inlineStr">
        <is>
          <t>دقة التعبئة بدون أخطاء</t>
        </is>
      </c>
      <c r="D56" s="15" t="inlineStr">
        <is>
          <t>شهري</t>
        </is>
      </c>
      <c r="E56" s="15" t="inlineStr">
        <is>
          <t>معدل</t>
        </is>
      </c>
      <c r="F56" s="46" t="inlineStr">
        <is>
          <t>↑</t>
        </is>
      </c>
      <c r="G56" s="61" t="n">
        <v>0.99</v>
      </c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47">
        <f>IF(COUNT($H56:$S56)=0,"",SUM($H56:$S56)/COUNT($H56:$S56))</f>
        <v/>
      </c>
      <c r="U56" s="47">
        <f>IF($G56="","",IF($T56="","",MIN(1,IF($G56=0,IF($T56&lt;=0,1,0),IF($F56="↓",IFERROR($G56/$T56,0),IFERROR($T56/$G56,0))))))</f>
        <v/>
      </c>
      <c r="V56" s="51">
        <f>IF($U56="","⏳ بانتظار هدف",IF($U56&gt;=1.0,"✅ محقق",IF($U56&gt;=0.97,"🟡 قريب","🔴 تحت الهدف")))</f>
        <v/>
      </c>
      <c r="W56" s="60">
        <f>IF($G56="","",$G56)</f>
        <v/>
      </c>
      <c r="X56" s="51">
        <f>IF($U56="","—",IF($U56&gt;=0.97,"🟢 على المسار","🟠 متأخّر"))</f>
        <v/>
      </c>
    </row>
    <row r="57" ht="22" customHeight="1">
      <c r="A57" s="51" t="n">
        <v>54</v>
      </c>
      <c r="B57" s="13" t="inlineStr">
        <is>
          <t>التشغيل والمحطات</t>
        </is>
      </c>
      <c r="C57" s="11" t="inlineStr">
        <is>
          <t>تطبيق المعيار الشامل في المحطات</t>
        </is>
      </c>
      <c r="D57" s="15" t="inlineStr">
        <is>
          <t>شهري</t>
        </is>
      </c>
      <c r="E57" s="15" t="inlineStr">
        <is>
          <t>لقطة</t>
        </is>
      </c>
      <c r="F57" s="46" t="inlineStr">
        <is>
          <t>↑</t>
        </is>
      </c>
      <c r="G57" s="61" t="n">
        <v>0.8</v>
      </c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47">
        <f>IFERROR(LOOKUP(2,1/($H57:$S57&lt;&gt;""),$H57:$S57),"")</f>
        <v/>
      </c>
      <c r="U57" s="47">
        <f>IF($G57="","",IF($T57="","",MIN(1,IF($G57=0,IF($T57&lt;=0,1,0),IF($F57="↓",IFERROR($G57/$T57,0),IFERROR($T57/$G57,0))))))</f>
        <v/>
      </c>
      <c r="V57" s="51">
        <f>IF($U57="","⏳ بانتظار هدف",IF($U57&gt;=1.0,"✅ محقق",IF($U57&gt;=0.85,"🟡 قريب","🔴 تحت الهدف")))</f>
        <v/>
      </c>
      <c r="W57" s="60">
        <f>IF($G57="","",$G57)</f>
        <v/>
      </c>
      <c r="X57" s="51">
        <f>IF($U57="","—",IF($U57&gt;=0.85,"🟢 على المسار","🟠 متأخّر"))</f>
        <v/>
      </c>
    </row>
    <row r="58" ht="22" customHeight="1">
      <c r="A58" s="51" t="n">
        <v>55</v>
      </c>
      <c r="B58" s="13" t="inlineStr">
        <is>
          <t>التشغيل والمحطات</t>
        </is>
      </c>
      <c r="C58" s="11" t="inlineStr">
        <is>
          <t>الالتزام بمعايير السلامة داخل المحطة</t>
        </is>
      </c>
      <c r="D58" s="15" t="inlineStr">
        <is>
          <t>شهري</t>
        </is>
      </c>
      <c r="E58" s="15" t="inlineStr">
        <is>
          <t>معدل</t>
        </is>
      </c>
      <c r="F58" s="46" t="inlineStr">
        <is>
          <t>↑</t>
        </is>
      </c>
      <c r="G58" s="61" t="n">
        <v>1</v>
      </c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47">
        <f>IF(COUNT($H58:$S58)=0,"",SUM($H58:$S58)/COUNT($H58:$S58))</f>
        <v/>
      </c>
      <c r="U58" s="47">
        <f>IF($G58="","",IF($T58="","",MIN(1,IF($G58=0,IF($T58&lt;=0,1,0),IF($F58="↓",IFERROR($G58/$T58,0),IFERROR($T58/$G58,0))))))</f>
        <v/>
      </c>
      <c r="V58" s="51">
        <f>IF($U58="","⏳ بانتظار هدف",IF($U58&gt;=1.0,"✅ محقق",IF($U58&gt;=0.97,"🟡 قريب","🔴 تحت الهدف")))</f>
        <v/>
      </c>
      <c r="W58" s="60">
        <f>IF($G58="","",$G58)</f>
        <v/>
      </c>
      <c r="X58" s="51">
        <f>IF($U58="","—",IF($U58&gt;=0.97,"🟢 على المسار","🟠 متأخّر"))</f>
        <v/>
      </c>
    </row>
    <row r="59" ht="22" customHeight="1">
      <c r="A59" s="51" t="n">
        <v>56</v>
      </c>
      <c r="B59" s="13" t="inlineStr">
        <is>
          <t>التشغيل والمحطات</t>
        </is>
      </c>
      <c r="C59" s="11" t="inlineStr">
        <is>
          <t>التشجير داخل المحطة (معيار الوزارة)</t>
        </is>
      </c>
      <c r="D59" s="15" t="inlineStr">
        <is>
          <t>شهري</t>
        </is>
      </c>
      <c r="E59" s="15" t="inlineStr">
        <is>
          <t>لقطة</t>
        </is>
      </c>
      <c r="F59" s="46" t="inlineStr">
        <is>
          <t>↑</t>
        </is>
      </c>
      <c r="G59" s="61" t="n">
        <v>1</v>
      </c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47">
        <f>IFERROR(LOOKUP(2,1/($H59:$S59&lt;&gt;""),$H59:$S59),"")</f>
        <v/>
      </c>
      <c r="U59" s="47">
        <f>IF($G59="","",IF($T59="","",MIN(1,IF($G59=0,IF($T59&lt;=0,1,0),IF($F59="↓",IFERROR($G59/$T59,0),IFERROR($T59/$G59,0))))))</f>
        <v/>
      </c>
      <c r="V59" s="51">
        <f>IF($U59="","⏳ بانتظار هدف",IF($U59&gt;=1.0,"✅ محقق",IF($U59&gt;=0.85,"🟡 قريب","🔴 تحت الهدف")))</f>
        <v/>
      </c>
      <c r="W59" s="60">
        <f>IF($G59="","",$G59)</f>
        <v/>
      </c>
      <c r="X59" s="51">
        <f>IF($U59="","—",IF($U59&gt;=0.85,"🟢 على المسار","🟠 متأخّر"))</f>
        <v/>
      </c>
    </row>
    <row r="60" ht="22" customHeight="1">
      <c r="A60" s="51" t="n">
        <v>57</v>
      </c>
      <c r="B60" s="13" t="inlineStr">
        <is>
          <t>الاستثمار</t>
        </is>
      </c>
      <c r="C60" s="11" t="inlineStr">
        <is>
          <t>إجمالي عقود الاستثمار الجديدة (جميع النماذج)</t>
        </is>
      </c>
      <c r="D60" s="15" t="inlineStr">
        <is>
          <t>شهري</t>
        </is>
      </c>
      <c r="E60" s="15" t="inlineStr">
        <is>
          <t>تراكمي</t>
        </is>
      </c>
      <c r="F60" s="46" t="inlineStr">
        <is>
          <t>↑</t>
        </is>
      </c>
      <c r="G60" s="52" t="n">
        <v>190</v>
      </c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4">
        <f>IF(COUNT($H60:$S60)=0,"",SUM($H60:$S60))</f>
        <v/>
      </c>
      <c r="U60" s="47">
        <f>IF($G60="","",IF($T60="","",MIN(1,IF($G60=0,IF($T60&lt;=0,1,0),IF($F60="↓",IFERROR($G60/$T60,0),IFERROR($T60/$G60,0))))))</f>
        <v/>
      </c>
      <c r="V60" s="51">
        <f>IF($U60="","⏳ بانتظار هدف",IF($U60&gt;=1.0,"✅ محقق",IF($U60&gt;=0.85,"🟡 قريب","🔴 تحت الهدف")))</f>
        <v/>
      </c>
      <c r="W60" s="55">
        <f>IF($G60="","",$G60*COUNT($H60:$S60)/12)</f>
        <v/>
      </c>
      <c r="X60" s="51">
        <f>IF($U60="","—",IF($U60&gt;=COUNT($H60:$S60)/12,"🟢 على المسار","🟠 متأخّر"))</f>
        <v/>
      </c>
    </row>
    <row r="61" ht="22" customHeight="1">
      <c r="A61" s="51" t="n">
        <v>58</v>
      </c>
      <c r="B61" s="13" t="inlineStr">
        <is>
          <t>الاستثمار</t>
        </is>
      </c>
      <c r="C61" s="11" t="inlineStr">
        <is>
          <t>عقود الاستثمار العادي الجديدة</t>
        </is>
      </c>
      <c r="D61" s="15" t="inlineStr">
        <is>
          <t>شهري</t>
        </is>
      </c>
      <c r="E61" s="15" t="inlineStr">
        <is>
          <t>تراكمي</t>
        </is>
      </c>
      <c r="F61" s="46" t="inlineStr">
        <is>
          <t>↑</t>
        </is>
      </c>
      <c r="G61" s="52" t="n">
        <v>90</v>
      </c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4">
        <f>IF(COUNT($H61:$S61)=0,"",SUM($H61:$S61))</f>
        <v/>
      </c>
      <c r="U61" s="47">
        <f>IF($G61="","",IF($T61="","",MIN(1,IF($G61=0,IF($T61&lt;=0,1,0),IF($F61="↓",IFERROR($G61/$T61,0),IFERROR($T61/$G61,0))))))</f>
        <v/>
      </c>
      <c r="V61" s="51">
        <f>IF($U61="","⏳ بانتظار هدف",IF($U61&gt;=1.0,"✅ محقق",IF($U61&gt;=0.85,"🟡 قريب","🔴 تحت الهدف")))</f>
        <v/>
      </c>
      <c r="W61" s="55">
        <f>IF($G61="","",$G61*COUNT($H61:$S61)/12)</f>
        <v/>
      </c>
      <c r="X61" s="51">
        <f>IF($U61="","—",IF($U61&gt;=COUNT($H61:$S61)/12,"🟢 على المسار","🟠 متأخّر"))</f>
        <v/>
      </c>
    </row>
    <row r="62" ht="22" customHeight="1">
      <c r="A62" s="51" t="n">
        <v>59</v>
      </c>
      <c r="B62" s="13" t="inlineStr">
        <is>
          <t>الاستثمار</t>
        </is>
      </c>
      <c r="C62" s="11" t="inlineStr">
        <is>
          <t>عقود الاستحواذ الجديدة</t>
        </is>
      </c>
      <c r="D62" s="15" t="inlineStr">
        <is>
          <t>شهري</t>
        </is>
      </c>
      <c r="E62" s="15" t="inlineStr">
        <is>
          <t>تراكمي</t>
        </is>
      </c>
      <c r="F62" s="46" t="inlineStr">
        <is>
          <t>↑</t>
        </is>
      </c>
      <c r="G62" s="52" t="n">
        <v>100</v>
      </c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4">
        <f>IF(COUNT($H62:$S62)=0,"",SUM($H62:$S62))</f>
        <v/>
      </c>
      <c r="U62" s="47">
        <f>IF($G62="","",IF($T62="","",MIN(1,IF($G62=0,IF($T62&lt;=0,1,0),IF($F62="↓",IFERROR($G62/$T62,0),IFERROR($T62/$G62,0))))))</f>
        <v/>
      </c>
      <c r="V62" s="51">
        <f>IF($U62="","⏳ بانتظار هدف",IF($U62&gt;=1.0,"✅ محقق",IF($U62&gt;=0.85,"🟡 قريب","🔴 تحت الهدف")))</f>
        <v/>
      </c>
      <c r="W62" s="55">
        <f>IF($G62="","",$G62*COUNT($H62:$S62)/12)</f>
        <v/>
      </c>
      <c r="X62" s="51">
        <f>IF($U62="","—",IF($U62&gt;=COUNT($H62:$S62)/12,"🟢 على المسار","🟠 متأخّر"))</f>
        <v/>
      </c>
    </row>
    <row r="63" ht="22" customHeight="1">
      <c r="A63" s="51" t="n">
        <v>60</v>
      </c>
      <c r="B63" s="13" t="inlineStr">
        <is>
          <t>الاستثمار</t>
        </is>
      </c>
      <c r="C63" s="11" t="inlineStr">
        <is>
          <t>المحطات المستحوَذ عليها المشغّلة (تراكمي)</t>
        </is>
      </c>
      <c r="D63" s="15" t="inlineStr">
        <is>
          <t>شهري</t>
        </is>
      </c>
      <c r="E63" s="15" t="inlineStr">
        <is>
          <t>لقطة</t>
        </is>
      </c>
      <c r="F63" s="46" t="inlineStr">
        <is>
          <t>↑</t>
        </is>
      </c>
      <c r="G63" s="52" t="n">
        <v>120</v>
      </c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4">
        <f>IFERROR(LOOKUP(2,1/($H63:$S63&lt;&gt;""),$H63:$S63),"")</f>
        <v/>
      </c>
      <c r="U63" s="47">
        <f>IF($G63="","",IF($T63="","",MIN(1,IF($G63=0,IF($T63&lt;=0,1,0),IF($F63="↓",IFERROR($G63/$T63,0),IFERROR($T63/$G63,0))))))</f>
        <v/>
      </c>
      <c r="V63" s="51">
        <f>IF($U63="","⏳ بانتظار هدف",IF($U63&gt;=1.0,"✅ محقق",IF($U63&gt;=0.85,"🟡 قريب","🔴 تحت الهدف")))</f>
        <v/>
      </c>
      <c r="W63" s="55">
        <f>IF($G63="","",$G63)</f>
        <v/>
      </c>
      <c r="X63" s="51">
        <f>IF($U63="","—",IF($U63&gt;=0.85,"🟢 على المسار","🟠 متأخّر"))</f>
        <v/>
      </c>
    </row>
    <row r="64" ht="22" customHeight="1">
      <c r="A64" s="51" t="n">
        <v>61</v>
      </c>
      <c r="B64" s="13" t="inlineStr">
        <is>
          <t>الاستثمار</t>
        </is>
      </c>
      <c r="C64" s="11" t="inlineStr">
        <is>
          <t>عقود تأجير الأرض الجديدة</t>
        </is>
      </c>
      <c r="D64" s="15" t="inlineStr">
        <is>
          <t>شهري</t>
        </is>
      </c>
      <c r="E64" s="15" t="inlineStr">
        <is>
          <t>تراكمي</t>
        </is>
      </c>
      <c r="F64" s="46" t="inlineStr">
        <is>
          <t>↑</t>
        </is>
      </c>
      <c r="G64" s="52" t="n">
        <v>11</v>
      </c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4">
        <f>IF(COUNT($H64:$S64)=0,"",SUM($H64:$S64))</f>
        <v/>
      </c>
      <c r="U64" s="47">
        <f>IF($G64="","",IF($T64="","",MIN(1,IF($G64=0,IF($T64&lt;=0,1,0),IF($F64="↓",IFERROR($G64/$T64,0),IFERROR($T64/$G64,0))))))</f>
        <v/>
      </c>
      <c r="V64" s="51">
        <f>IF($U64="","⏳ بانتظار هدف",IF($U64&gt;=1.0,"✅ محقق",IF($U64&gt;=0.85,"🟡 قريب","🔴 تحت الهدف")))</f>
        <v/>
      </c>
      <c r="W64" s="55">
        <f>IF($G64="","",$G64*COUNT($H64:$S64)/12)</f>
        <v/>
      </c>
      <c r="X64" s="51">
        <f>IF($U64="","—",IF($U64&gt;=COUNT($H64:$S64)/12,"🟢 على المسار","🟠 متأخّر"))</f>
        <v/>
      </c>
    </row>
    <row r="65" ht="22" customHeight="1">
      <c r="A65" s="51" t="n">
        <v>62</v>
      </c>
      <c r="B65" s="13" t="inlineStr">
        <is>
          <t>الاستثمار</t>
        </is>
      </c>
      <c r="C65" s="11" t="inlineStr">
        <is>
          <t>عقود إيجار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46" t="inlineStr">
        <is>
          <t>↑</t>
        </is>
      </c>
      <c r="G65" s="52" t="n">
        <v>12</v>
      </c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4">
        <f>IF(COUNT($H65:$S65)=0,"",SUM($H65:$S65))</f>
        <v/>
      </c>
      <c r="U65" s="47">
        <f>IF($G65="","",IF($T65="","",MIN(1,IF($G65=0,IF($T65&lt;=0,1,0),IF($F65="↓",IFERROR($G65/$T65,0),IFERROR($T65/$G65,0))))))</f>
        <v/>
      </c>
      <c r="V65" s="51">
        <f>IF($U65="","⏳ بانتظار هدف",IF($U65&gt;=1.0,"✅ محقق",IF($U65&gt;=0.85,"🟡 قريب","🔴 تحت الهدف")))</f>
        <v/>
      </c>
      <c r="W65" s="55">
        <f>IF($G65="","",$G65*COUNT($H65:$S65)/12)</f>
        <v/>
      </c>
      <c r="X65" s="51">
        <f>IF($U65="","—",IF($U65&gt;=COUNT($H65:$S65)/12,"🟢 على المسار","🟠 متأخّر"))</f>
        <v/>
      </c>
    </row>
    <row r="66" ht="22" customHeight="1">
      <c r="A66" s="51" t="n">
        <v>63</v>
      </c>
      <c r="B66" s="13" t="inlineStr">
        <is>
          <t>الاستثمار</t>
        </is>
      </c>
      <c r="C66" s="11" t="inlineStr">
        <is>
          <t>عقود تشغيل المحطة الجديدة</t>
        </is>
      </c>
      <c r="D66" s="15" t="inlineStr">
        <is>
          <t>شهري</t>
        </is>
      </c>
      <c r="E66" s="15" t="inlineStr">
        <is>
          <t>تراكمي</t>
        </is>
      </c>
      <c r="F66" s="46" t="inlineStr">
        <is>
          <t>↑</t>
        </is>
      </c>
      <c r="G66" s="52" t="n">
        <v>68</v>
      </c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4">
        <f>IF(COUNT($H66:$S66)=0,"",SUM($H66:$S66))</f>
        <v/>
      </c>
      <c r="U66" s="47">
        <f>IF($G66="","",IF($T66="","",MIN(1,IF($G66=0,IF($T66&lt;=0,1,0),IF($F66="↓",IFERROR($G66/$T66,0),IFERROR($T66/$G66,0))))))</f>
        <v/>
      </c>
      <c r="V66" s="51">
        <f>IF($U66="","⏳ بانتظار هدف",IF($U66&gt;=1.0,"✅ محقق",IF($U66&gt;=0.85,"🟡 قريب","🔴 تحت الهدف")))</f>
        <v/>
      </c>
      <c r="W66" s="55">
        <f>IF($G66="","",$G66*COUNT($H66:$S66)/12)</f>
        <v/>
      </c>
      <c r="X66" s="51">
        <f>IF($U66="","—",IF($U66&gt;=COUNT($H66:$S66)/12,"🟢 على المسار","🟠 متأخّر"))</f>
        <v/>
      </c>
    </row>
    <row r="67" ht="22" customHeight="1">
      <c r="A67" s="51" t="n">
        <v>64</v>
      </c>
      <c r="B67" s="13" t="inlineStr">
        <is>
          <t>الاستثمار</t>
        </is>
      </c>
      <c r="C67" s="11" t="inlineStr">
        <is>
          <t>نسبة المواقع المعتمدة ذات العائد المجدي</t>
        </is>
      </c>
      <c r="D67" s="15" t="inlineStr">
        <is>
          <t>شهري</t>
        </is>
      </c>
      <c r="E67" s="15" t="inlineStr">
        <is>
          <t>معدل</t>
        </is>
      </c>
      <c r="F67" s="46" t="inlineStr">
        <is>
          <t>↑</t>
        </is>
      </c>
      <c r="G67" s="61" t="n">
        <v>0.8</v>
      </c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47">
        <f>IF(COUNT($H67:$S67)=0,"",SUM($H67:$S67)/COUNT($H67:$S67))</f>
        <v/>
      </c>
      <c r="U67" s="47">
        <f>IF($G67="","",IF($T67="","",MIN(1,IF($G67=0,IF($T67&lt;=0,1,0),IF($F67="↓",IFERROR($G67/$T67,0),IFERROR($T67/$G67,0))))))</f>
        <v/>
      </c>
      <c r="V67" s="51">
        <f>IF($U67="","⏳ بانتظار هدف",IF($U67&gt;=1.0,"✅ محقق",IF($U67&gt;=0.85,"🟡 قريب","🔴 تحت الهدف")))</f>
        <v/>
      </c>
      <c r="W67" s="60">
        <f>IF($G67="","",$G67)</f>
        <v/>
      </c>
      <c r="X67" s="51">
        <f>IF($U67="","—",IF($U67&gt;=0.85,"🟢 على المسار","🟠 متأخّر"))</f>
        <v/>
      </c>
    </row>
    <row r="68" ht="22" customHeight="1">
      <c r="A68" s="51" t="n">
        <v>65</v>
      </c>
      <c r="B68" s="13" t="inlineStr">
        <is>
          <t>الاستثمار</t>
        </is>
      </c>
      <c r="C68" s="11" t="inlineStr">
        <is>
          <t>متوسط فترة استرداد رأس المال</t>
        </is>
      </c>
      <c r="D68" s="15" t="inlineStr">
        <is>
          <t>شهري</t>
        </is>
      </c>
      <c r="E68" s="15" t="inlineStr">
        <is>
          <t>معدل</t>
        </is>
      </c>
      <c r="F68" s="46" t="inlineStr">
        <is>
          <t>↓</t>
        </is>
      </c>
      <c r="G68" s="62" t="n">
        <v>5</v>
      </c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4">
        <f>IF(COUNT($H68:$S68)=0,"",SUM($H68:$S68)/COUNT($H68:$S68))</f>
        <v/>
      </c>
      <c r="U68" s="47">
        <f>IF($G68="","",IF($T68="","",MIN(1,IF($G68=0,IF($T68&lt;=0,1,0),IF($F68="↓",IFERROR($G68/$T68,0),IFERROR($T68/$G68,0))))))</f>
        <v/>
      </c>
      <c r="V68" s="51">
        <f>IF($U68="","⏳ بانتظار هدف",IF($U68&gt;=1.0,"✅ محقق",IF($U68&gt;=0.85,"🟡 قريب","🔴 تحت الهدف")))</f>
        <v/>
      </c>
      <c r="W68" s="65">
        <f>IF($G68="","",$G68)</f>
        <v/>
      </c>
      <c r="X68" s="51">
        <f>IF($U68="","—",IF($U68&gt;=0.85,"🟢 على المسار","🟠 متأخّر"))</f>
        <v/>
      </c>
    </row>
    <row r="69" ht="22" customHeight="1">
      <c r="A69" s="51" t="n">
        <v>66</v>
      </c>
      <c r="B69" s="13" t="inlineStr">
        <is>
          <t>الاستثمار</t>
        </is>
      </c>
      <c r="C69" s="11" t="inlineStr">
        <is>
          <t>متوسط قيمة عقد الإيجار السنوي (أرض)</t>
        </is>
      </c>
      <c r="D69" s="15" t="inlineStr">
        <is>
          <t>شهري</t>
        </is>
      </c>
      <c r="E69" s="15" t="inlineStr">
        <is>
          <t>معدل</t>
        </is>
      </c>
      <c r="F69" s="46" t="inlineStr">
        <is>
          <t>↑</t>
        </is>
      </c>
      <c r="G69" s="4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7">
        <f>IF(COUNT($H69:$S69)=0,"",SUM($H69:$S69)/COUNT($H69:$S69))</f>
        <v/>
      </c>
      <c r="U69" s="47">
        <f>IF($G69="","",IF($T69="","",MIN(1,IF($G69=0,IF($T69&lt;=0,1,0),IF($F69="↓",IFERROR($G69/$T69,0),IFERROR($T69/$G69,0))))))</f>
        <v/>
      </c>
      <c r="V69" s="51">
        <f>IF($U69="","⏳ بانتظار هدف",IF($U69&gt;=1.0,"✅ محقق",IF($U69&gt;=0.85,"🟡 قريب","🔴 تحت الهدف")))</f>
        <v/>
      </c>
      <c r="W69" s="58">
        <f>IF($G69="","",$G69)</f>
        <v/>
      </c>
      <c r="X69" s="51">
        <f>IF($U69="","—",IF($U69&gt;=0.85,"🟢 على المسار","🟠 متأخّر"))</f>
        <v/>
      </c>
    </row>
    <row r="70" ht="22" customHeight="1">
      <c r="A70" s="51" t="n">
        <v>67</v>
      </c>
      <c r="B70" s="13" t="inlineStr">
        <is>
          <t>الاستثمار</t>
        </is>
      </c>
      <c r="C70" s="11" t="inlineStr">
        <is>
          <t>نسبة العقود التي تغطي المناطق الـ13</t>
        </is>
      </c>
      <c r="D70" s="15" t="inlineStr">
        <is>
          <t>شهري</t>
        </is>
      </c>
      <c r="E70" s="15" t="inlineStr">
        <is>
          <t>لقطة</t>
        </is>
      </c>
      <c r="F70" s="46" t="inlineStr">
        <is>
          <t>↑</t>
        </is>
      </c>
      <c r="G70" s="61" t="n">
        <v>1</v>
      </c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47">
        <f>IFERROR(LOOKUP(2,1/($H70:$S70&lt;&gt;""),$H70:$S70),"")</f>
        <v/>
      </c>
      <c r="U70" s="47">
        <f>IF($G70="","",IF($T70="","",MIN(1,IF($G70=0,IF($T70&lt;=0,1,0),IF($F70="↓",IFERROR($G70/$T70,0),IFERROR($T70/$G70,0))))))</f>
        <v/>
      </c>
      <c r="V70" s="51">
        <f>IF($U70="","⏳ بانتظار هدف",IF($U70&gt;=1.0,"✅ محقق",IF($U70&gt;=0.85,"🟡 قريب","🔴 تحت الهدف")))</f>
        <v/>
      </c>
      <c r="W70" s="60">
        <f>IF($G70="","",$G70)</f>
        <v/>
      </c>
      <c r="X70" s="51">
        <f>IF($U70="","—",IF($U70&gt;=0.85,"🟢 على المسار","🟠 متأخّر"))</f>
        <v/>
      </c>
    </row>
    <row r="71" ht="22" customHeight="1">
      <c r="A71" s="51" t="n">
        <v>68</v>
      </c>
      <c r="B71" s="13" t="inlineStr">
        <is>
          <t>الاستثمار</t>
        </is>
      </c>
      <c r="C71" s="11" t="inlineStr">
        <is>
          <t>نسبة العقود خارج المدن الرئيسية</t>
        </is>
      </c>
      <c r="D71" s="15" t="inlineStr">
        <is>
          <t>شهري</t>
        </is>
      </c>
      <c r="E71" s="15" t="inlineStr">
        <is>
          <t>لقطة</t>
        </is>
      </c>
      <c r="F71" s="46" t="inlineStr">
        <is>
          <t>↑</t>
        </is>
      </c>
      <c r="G71" s="61" t="n">
        <v>0.6</v>
      </c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47">
        <f>IFERROR(LOOKUP(2,1/($H71:$S71&lt;&gt;""),$H71:$S71),"")</f>
        <v/>
      </c>
      <c r="U71" s="47">
        <f>IF($G71="","",IF($T71="","",MIN(1,IF($G71=0,IF($T71&lt;=0,1,0),IF($F71="↓",IFERROR($G71/$T71,0),IFERROR($T71/$G71,0))))))</f>
        <v/>
      </c>
      <c r="V71" s="51">
        <f>IF($U71="","⏳ بانتظار هدف",IF($U71&gt;=1.0,"✅ محقق",IF($U71&gt;=0.85,"🟡 قريب","🔴 تحت الهدف")))</f>
        <v/>
      </c>
      <c r="W71" s="60">
        <f>IF($G71="","",$G71)</f>
        <v/>
      </c>
      <c r="X71" s="51">
        <f>IF($U71="","—",IF($U71&gt;=0.85,"🟢 على المسار","🟠 متأخّر"))</f>
        <v/>
      </c>
    </row>
    <row r="72" ht="22" customHeight="1">
      <c r="A72" s="51" t="n">
        <v>69</v>
      </c>
      <c r="B72" s="13" t="inlineStr">
        <is>
          <t>الاستثمار</t>
        </is>
      </c>
      <c r="C72" s="11" t="inlineStr">
        <is>
          <t>نسبة العقود في الـ12 مدينة الرئيسية</t>
        </is>
      </c>
      <c r="D72" s="15" t="inlineStr">
        <is>
          <t>شهري</t>
        </is>
      </c>
      <c r="E72" s="15" t="inlineStr">
        <is>
          <t>لقطة</t>
        </is>
      </c>
      <c r="F72" s="46" t="inlineStr">
        <is>
          <t>↓</t>
        </is>
      </c>
      <c r="G72" s="61" t="n">
        <v>0.4</v>
      </c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47">
        <f>IFERROR(LOOKUP(2,1/($H72:$S72&lt;&gt;""),$H72:$S72),"")</f>
        <v/>
      </c>
      <c r="U72" s="47">
        <f>IF($G72="","",IF($T72="","",MIN(1,IF($G72=0,IF($T72&lt;=0,1,0),IF($F72="↓",IFERROR($G72/$T72,0),IFERROR($T72/$G72,0))))))</f>
        <v/>
      </c>
      <c r="V72" s="51">
        <f>IF($U72="","⏳ بانتظار هدف",IF($U72&gt;=1.0,"✅ محقق",IF($U72&gt;=0.85,"🟡 قريب","🔴 تحت الهدف")))</f>
        <v/>
      </c>
      <c r="W72" s="60">
        <f>IF($G72="","",$G72)</f>
        <v/>
      </c>
      <c r="X72" s="51">
        <f>IF($U72="","—",IF($U72&gt;=0.85,"🟢 على المسار","🟠 متأخّر"))</f>
        <v/>
      </c>
    </row>
    <row r="73" ht="22" customHeight="1">
      <c r="A73" s="51" t="n">
        <v>70</v>
      </c>
      <c r="B73" s="13" t="inlineStr">
        <is>
          <t>الاستثمار</t>
        </is>
      </c>
      <c r="C73" s="11" t="inlineStr">
        <is>
          <t>نسبة العقود على الطرق الإقليمية</t>
        </is>
      </c>
      <c r="D73" s="15" t="inlineStr">
        <is>
          <t>شهري</t>
        </is>
      </c>
      <c r="E73" s="15" t="inlineStr">
        <is>
          <t>لقطة</t>
        </is>
      </c>
      <c r="F73" s="46" t="inlineStr">
        <is>
          <t>↑</t>
        </is>
      </c>
      <c r="G73" s="61" t="n">
        <v>0.25</v>
      </c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47">
        <f>IFERROR(LOOKUP(2,1/($H73:$S73&lt;&gt;""),$H73:$S73),"")</f>
        <v/>
      </c>
      <c r="U73" s="47">
        <f>IF($G73="","",IF($T73="","",MIN(1,IF($G73=0,IF($T73&lt;=0,1,0),IF($F73="↓",IFERROR($G73/$T73,0),IFERROR($T73/$G73,0))))))</f>
        <v/>
      </c>
      <c r="V73" s="51">
        <f>IF($U73="","⏳ بانتظار هدف",IF($U73&gt;=1.0,"✅ محقق",IF($U73&gt;=0.85,"🟡 قريب","🔴 تحت الهدف")))</f>
        <v/>
      </c>
      <c r="W73" s="60">
        <f>IF($G73="","",$G73)</f>
        <v/>
      </c>
      <c r="X73" s="51">
        <f>IF($U73="","—",IF($U73&gt;=0.85,"🟢 على المسار","🟠 متأخّر"))</f>
        <v/>
      </c>
    </row>
    <row r="74" ht="22" customHeight="1">
      <c r="A74" s="51" t="n">
        <v>71</v>
      </c>
      <c r="B74" s="13" t="inlineStr">
        <is>
          <t>الاستثمار</t>
        </is>
      </c>
      <c r="C74" s="11" t="inlineStr">
        <is>
          <t>متوسط مدة إغلاق عقد الاستثمار</t>
        </is>
      </c>
      <c r="D74" s="15" t="inlineStr">
        <is>
          <t>شهري</t>
        </is>
      </c>
      <c r="E74" s="15" t="inlineStr">
        <is>
          <t>معدل</t>
        </is>
      </c>
      <c r="F74" s="46" t="inlineStr">
        <is>
          <t>↓</t>
        </is>
      </c>
      <c r="G74" s="62" t="n">
        <v>1</v>
      </c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4">
        <f>IF(COUNT($H74:$S74)=0,"",SUM($H74:$S74)/COUNT($H74:$S74))</f>
        <v/>
      </c>
      <c r="U74" s="47">
        <f>IF($G74="","",IF($T74="","",MIN(1,IF($G74=0,IF($T74&lt;=0,1,0),IF($F74="↓",IFERROR($G74/$T74,0),IFERROR($T74/$G74,0))))))</f>
        <v/>
      </c>
      <c r="V74" s="51">
        <f>IF($U74="","⏳ بانتظار هدف",IF($U74&gt;=1.0,"✅ محقق",IF($U74&gt;=0.85,"🟡 قريب","🔴 تحت الهدف")))</f>
        <v/>
      </c>
      <c r="W74" s="65">
        <f>IF($G74="","",$G74)</f>
        <v/>
      </c>
      <c r="X74" s="51">
        <f>IF($U74="","—",IF($U74&gt;=0.85,"🟢 على المسار","🟠 متأخّر"))</f>
        <v/>
      </c>
    </row>
    <row r="75" ht="22" customHeight="1">
      <c r="A75" s="51" t="n">
        <v>72</v>
      </c>
      <c r="B75" s="13" t="inlineStr">
        <is>
          <t>الاستثمار</t>
        </is>
      </c>
      <c r="C75" s="11" t="inlineStr">
        <is>
          <t>نسبة العقود المتحوّلة لمحطات مشغّلة</t>
        </is>
      </c>
      <c r="D75" s="15" t="inlineStr">
        <is>
          <t>شهري</t>
        </is>
      </c>
      <c r="E75" s="15" t="inlineStr">
        <is>
          <t>معدل</t>
        </is>
      </c>
      <c r="F75" s="46" t="inlineStr">
        <is>
          <t>↑</t>
        </is>
      </c>
      <c r="G75" s="61" t="n">
        <v>0.3</v>
      </c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47">
        <f>IF(COUNT($H75:$S75)=0,"",SUM($H75:$S75)/COUNT($H75:$S75))</f>
        <v/>
      </c>
      <c r="U75" s="47">
        <f>IF($G75="","",IF($T75="","",MIN(1,IF($G75=0,IF($T75&lt;=0,1,0),IF($F75="↓",IFERROR($G75/$T75,0),IFERROR($T75/$G75,0))))))</f>
        <v/>
      </c>
      <c r="V75" s="51">
        <f>IF($U75="","⏳ بانتظار هدف",IF($U75&gt;=1.0,"✅ محقق",IF($U75&gt;=0.85,"🟡 قريب","🔴 تحت الهدف")))</f>
        <v/>
      </c>
      <c r="W75" s="60">
        <f>IF($G75="","",$G75)</f>
        <v/>
      </c>
      <c r="X75" s="51">
        <f>IF($U75="","—",IF($U75&gt;=0.85,"🟢 على المسار","🟠 متأخّر"))</f>
        <v/>
      </c>
    </row>
    <row r="76" ht="22" customHeight="1">
      <c r="A76" s="51" t="n">
        <v>73</v>
      </c>
      <c r="B76" s="13" t="inlineStr">
        <is>
          <t>الاستثمار</t>
        </is>
      </c>
      <c r="C76" s="11" t="inlineStr">
        <is>
          <t>نسبة تخفيض إيجار المواقع عالية التكاليف</t>
        </is>
      </c>
      <c r="D76" s="15" t="inlineStr">
        <is>
          <t>شهري</t>
        </is>
      </c>
      <c r="E76" s="15" t="inlineStr">
        <is>
          <t>معدل</t>
        </is>
      </c>
      <c r="F76" s="46" t="inlineStr">
        <is>
          <t>↑</t>
        </is>
      </c>
      <c r="G76" s="61" t="n">
        <v>0.3</v>
      </c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47">
        <f>IF(COUNT($H76:$S76)=0,"",SUM($H76:$S76)/COUNT($H76:$S76))</f>
        <v/>
      </c>
      <c r="U76" s="47">
        <f>IF($G76="","",IF($T76="","",MIN(1,IF($G76=0,IF($T76&lt;=0,1,0),IF($F76="↓",IFERROR($G76/$T76,0),IFERROR($T76/$G76,0))))))</f>
        <v/>
      </c>
      <c r="V76" s="51">
        <f>IF($U76="","⏳ بانتظار هدف",IF($U76&gt;=1.0,"✅ محقق",IF($U76&gt;=0.85,"🟡 قريب","🔴 تحت الهدف")))</f>
        <v/>
      </c>
      <c r="W76" s="60">
        <f>IF($G76="","",$G76)</f>
        <v/>
      </c>
      <c r="X76" s="51">
        <f>IF($U76="","—",IF($U76&gt;=0.85,"🟢 على المسار","🟠 متأخّر"))</f>
        <v/>
      </c>
    </row>
    <row r="77" ht="22" customHeight="1">
      <c r="A77" s="51" t="n">
        <v>74</v>
      </c>
      <c r="B77" s="13" t="inlineStr">
        <is>
          <t>الاستثمار</t>
        </is>
      </c>
      <c r="C77" s="11" t="inlineStr">
        <is>
          <t>نسبة اكتمال المستندات النظامية قبل التوقيع</t>
        </is>
      </c>
      <c r="D77" s="15" t="inlineStr">
        <is>
          <t>شهري</t>
        </is>
      </c>
      <c r="E77" s="15" t="inlineStr">
        <is>
          <t>معدل</t>
        </is>
      </c>
      <c r="F77" s="46" t="inlineStr">
        <is>
          <t>↑</t>
        </is>
      </c>
      <c r="G77" s="61" t="n">
        <v>1</v>
      </c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47">
        <f>IF(COUNT($H77:$S77)=0,"",SUM($H77:$S77)/COUNT($H77:$S77))</f>
        <v/>
      </c>
      <c r="U77" s="47">
        <f>IF($G77="","",IF($T77="","",MIN(1,IF($G77=0,IF($T77&lt;=0,1,0),IF($F77="↓",IFERROR($G77/$T77,0),IFERROR($T77/$G77,0))))))</f>
        <v/>
      </c>
      <c r="V77" s="51">
        <f>IF($U77="","⏳ بانتظار هدف",IF($U77&gt;=1.0,"✅ محقق",IF($U77&gt;=0.85,"🟡 قريب","🔴 تحت الهدف")))</f>
        <v/>
      </c>
      <c r="W77" s="60">
        <f>IF($G77="","",$G77)</f>
        <v/>
      </c>
      <c r="X77" s="51">
        <f>IF($U77="","—",IF($U77&gt;=0.85,"🟢 على المسار","🟠 متأخّر"))</f>
        <v/>
      </c>
    </row>
    <row r="78" ht="22" customHeight="1">
      <c r="A78" s="51" t="n">
        <v>75</v>
      </c>
      <c r="B78" s="13" t="inlineStr">
        <is>
          <t>الاستثمار</t>
        </is>
      </c>
      <c r="C78" s="11" t="inlineStr">
        <is>
          <t>نسبة العقود المؤرشفة إلكترونياً خلال 48 ساعة</t>
        </is>
      </c>
      <c r="D78" s="15" t="inlineStr">
        <is>
          <t>شهري</t>
        </is>
      </c>
      <c r="E78" s="15" t="inlineStr">
        <is>
          <t>معدل</t>
        </is>
      </c>
      <c r="F78" s="46" t="inlineStr">
        <is>
          <t>↑</t>
        </is>
      </c>
      <c r="G78" s="61" t="n">
        <v>0.95</v>
      </c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47">
        <f>IF(COUNT($H78:$S78)=0,"",SUM($H78:$S78)/COUNT($H78:$S78))</f>
        <v/>
      </c>
      <c r="U78" s="47">
        <f>IF($G78="","",IF($T78="","",MIN(1,IF($G78=0,IF($T78&lt;=0,1,0),IF($F78="↓",IFERROR($G78/$T78,0),IFERROR($T78/$G78,0))))))</f>
        <v/>
      </c>
      <c r="V78" s="51">
        <f>IF($U78="","⏳ بانتظار هدف",IF($U78&gt;=1.0,"✅ محقق",IF($U78&gt;=0.85,"🟡 قريب","🔴 تحت الهدف")))</f>
        <v/>
      </c>
      <c r="W78" s="60">
        <f>IF($G78="","",$G78)</f>
        <v/>
      </c>
      <c r="X78" s="51">
        <f>IF($U78="","—",IF($U78&gt;=0.85,"🟢 على المسار","🟠 متأخّر"))</f>
        <v/>
      </c>
    </row>
    <row r="79" ht="22" customHeight="1">
      <c r="A79" s="51" t="n">
        <v>76</v>
      </c>
      <c r="B79" s="13" t="inlineStr">
        <is>
          <t>الاستثمار</t>
        </is>
      </c>
      <c r="C79" s="11" t="inlineStr">
        <is>
          <t>جودة التفاوض مع المستثمرين</t>
        </is>
      </c>
      <c r="D79" s="15" t="inlineStr">
        <is>
          <t>شهري</t>
        </is>
      </c>
      <c r="E79" s="15" t="inlineStr">
        <is>
          <t>معدل</t>
        </is>
      </c>
      <c r="F79" s="46" t="inlineStr">
        <is>
          <t>↑</t>
        </is>
      </c>
      <c r="G79" s="61" t="n">
        <v>0.98</v>
      </c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47">
        <f>IF(COUNT($H79:$S79)=0,"",SUM($H79:$S79)/COUNT($H79:$S79))</f>
        <v/>
      </c>
      <c r="U79" s="47">
        <f>IF($G79="","",IF($T79="","",MIN(1,IF($G79=0,IF($T79&lt;=0,1,0),IF($F79="↓",IFERROR($G79/$T79,0),IFERROR($T79/$G79,0))))))</f>
        <v/>
      </c>
      <c r="V79" s="51">
        <f>IF($U79="","⏳ بانتظار هدف",IF($U79&gt;=1.0,"✅ محقق",IF($U79&gt;=0.85,"🟡 قريب","🔴 تحت الهدف")))</f>
        <v/>
      </c>
      <c r="W79" s="60">
        <f>IF($G79="","",$G79)</f>
        <v/>
      </c>
      <c r="X79" s="51">
        <f>IF($U79="","—",IF($U79&gt;=0.85,"🟢 على المسار","🟠 متأخّر"))</f>
        <v/>
      </c>
    </row>
    <row r="80" ht="22" customHeight="1">
      <c r="A80" s="51" t="n">
        <v>77</v>
      </c>
      <c r="B80" s="13" t="inlineStr">
        <is>
          <t>الاستثمار</t>
        </is>
      </c>
      <c r="C80" s="11" t="inlineStr">
        <is>
          <t>سرعة إنجاز إجراءات التعاقد</t>
        </is>
      </c>
      <c r="D80" s="15" t="inlineStr">
        <is>
          <t>شهري</t>
        </is>
      </c>
      <c r="E80" s="15" t="inlineStr">
        <is>
          <t>معدل</t>
        </is>
      </c>
      <c r="F80" s="46" t="inlineStr">
        <is>
          <t>↓</t>
        </is>
      </c>
      <c r="G80" s="62" t="n">
        <v>1</v>
      </c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4">
        <f>IF(COUNT($H80:$S80)=0,"",SUM($H80:$S80)/COUNT($H80:$S80))</f>
        <v/>
      </c>
      <c r="U80" s="47">
        <f>IF($G80="","",IF($T80="","",MIN(1,IF($G80=0,IF($T80&lt;=0,1,0),IF($F80="↓",IFERROR($G80/$T80,0),IFERROR($T80/$G80,0))))))</f>
        <v/>
      </c>
      <c r="V80" s="51">
        <f>IF($U80="","⏳ بانتظار هدف",IF($U80&gt;=1.0,"✅ محقق",IF($U80&gt;=0.85,"🟡 قريب","🔴 تحت الهدف")))</f>
        <v/>
      </c>
      <c r="W80" s="65">
        <f>IF($G80="","",$G80)</f>
        <v/>
      </c>
      <c r="X80" s="51">
        <f>IF($U80="","—",IF($U80&gt;=0.85,"🟢 على المسار","🟠 متأخّر"))</f>
        <v/>
      </c>
    </row>
    <row r="81" ht="22" customHeight="1">
      <c r="A81" s="51" t="n">
        <v>78</v>
      </c>
      <c r="B81" s="13" t="inlineStr">
        <is>
          <t>الاستثمار</t>
        </is>
      </c>
      <c r="C81" s="11" t="inlineStr">
        <is>
          <t>مدى رضا المستثمرين وشركاء الاستثمار</t>
        </is>
      </c>
      <c r="D81" s="15" t="inlineStr">
        <is>
          <t>ربعي</t>
        </is>
      </c>
      <c r="E81" s="15" t="inlineStr">
        <is>
          <t>معدل</t>
        </is>
      </c>
      <c r="F81" s="46" t="inlineStr">
        <is>
          <t>↑</t>
        </is>
      </c>
      <c r="G81" s="61" t="n">
        <v>0.8</v>
      </c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47">
        <f>IF(COUNT($H81:$S81)=0,"",SUM($H81:$S81)/COUNT($H81:$S81))</f>
        <v/>
      </c>
      <c r="U81" s="47">
        <f>IF($G81="","",IF($T81="","",MIN(1,IF($G81=0,IF($T81&lt;=0,1,0),IF($F81="↓",IFERROR($G81/$T81,0),IFERROR($T81/$G81,0))))))</f>
        <v/>
      </c>
      <c r="V81" s="51">
        <f>IF($U81="","⏳ بانتظار هدف",IF($U81&gt;=0.9,"✅ محقق",IF($U81&gt;=0.75,"🟡 قريب","🔴 تحت الهدف")))</f>
        <v/>
      </c>
      <c r="W81" s="60">
        <f>IF($G81="","",$G81)</f>
        <v/>
      </c>
      <c r="X81" s="51">
        <f>IF($U81="","—",IF($U81&gt;=0.75,"🟢 على المسار","🟠 متأخّر"))</f>
        <v/>
      </c>
    </row>
    <row r="82" ht="22" customHeight="1">
      <c r="A82" s="51" t="n">
        <v>79</v>
      </c>
      <c r="B82" s="13" t="inlineStr">
        <is>
          <t>الاستثمار</t>
        </is>
      </c>
      <c r="C82" s="11" t="inlineStr">
        <is>
          <t>نسبة اكتمال أرشفة ملفات العملاء</t>
        </is>
      </c>
      <c r="D82" s="15" t="inlineStr">
        <is>
          <t>شهري</t>
        </is>
      </c>
      <c r="E82" s="15" t="inlineStr">
        <is>
          <t>معدل</t>
        </is>
      </c>
      <c r="F82" s="46" t="inlineStr">
        <is>
          <t>↑</t>
        </is>
      </c>
      <c r="G82" s="61" t="n">
        <v>1</v>
      </c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47">
        <f>IF(COUNT($H82:$S82)=0,"",SUM($H82:$S82)/COUNT($H82:$S82))</f>
        <v/>
      </c>
      <c r="U82" s="47">
        <f>IF($G82="","",IF($T82="","",MIN(1,IF($G82=0,IF($T82&lt;=0,1,0),IF($F82="↓",IFERROR($G82/$T82,0),IFERROR($T82/$G82,0))))))</f>
        <v/>
      </c>
      <c r="V82" s="51">
        <f>IF($U82="","⏳ بانتظار هدف",IF($U82&gt;=1.0,"✅ محقق",IF($U82&gt;=0.85,"🟡 قريب","🔴 تحت الهدف")))</f>
        <v/>
      </c>
      <c r="W82" s="60">
        <f>IF($G82="","",$G82)</f>
        <v/>
      </c>
      <c r="X82" s="51">
        <f>IF($U82="","—",IF($U82&gt;=0.85,"🟢 على المسار","🟠 متأخّر"))</f>
        <v/>
      </c>
    </row>
    <row r="83" ht="22" customHeight="1">
      <c r="A83" s="51" t="n">
        <v>80</v>
      </c>
      <c r="B83" s="13" t="inlineStr">
        <is>
          <t>الاستثمار</t>
        </is>
      </c>
      <c r="C83" s="11" t="inlineStr">
        <is>
          <t>نسبة إنجاز التقارير الدورية في موعدها</t>
        </is>
      </c>
      <c r="D83" s="15" t="inlineStr">
        <is>
          <t>شهري</t>
        </is>
      </c>
      <c r="E83" s="15" t="inlineStr">
        <is>
          <t>معدل</t>
        </is>
      </c>
      <c r="F83" s="46" t="inlineStr">
        <is>
          <t>↑</t>
        </is>
      </c>
      <c r="G83" s="61" t="n">
        <v>1</v>
      </c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47">
        <f>IF(COUNT($H83:$S83)=0,"",SUM($H83:$S83)/COUNT($H83:$S83))</f>
        <v/>
      </c>
      <c r="U83" s="47">
        <f>IF($G83="","",IF($T83="","",MIN(1,IF($G83=0,IF($T83&lt;=0,1,0),IF($F83="↓",IFERROR($G83/$T83,0),IFERROR($T83/$G83,0))))))</f>
        <v/>
      </c>
      <c r="V83" s="51">
        <f>IF($U83="","⏳ بانتظار هدف",IF($U83&gt;=1.0,"✅ محقق",IF($U83&gt;=0.85,"🟡 قريب","🔴 تحت الهدف")))</f>
        <v/>
      </c>
      <c r="W83" s="60">
        <f>IF($G83="","",$G83)</f>
        <v/>
      </c>
      <c r="X83" s="51">
        <f>IF($U83="","—",IF($U83&gt;=0.85,"🟢 على المسار","🟠 متأخّر"))</f>
        <v/>
      </c>
    </row>
    <row r="84" ht="22" customHeight="1">
      <c r="A84" s="51" t="n">
        <v>81</v>
      </c>
      <c r="B84" s="13" t="inlineStr">
        <is>
          <t>العقار</t>
        </is>
      </c>
      <c r="C84" s="11" t="inlineStr">
        <is>
          <t>نمو الإيرادات الإيجارية</t>
        </is>
      </c>
      <c r="D84" s="15" t="inlineStr">
        <is>
          <t>ربعي</t>
        </is>
      </c>
      <c r="E84" s="15" t="inlineStr">
        <is>
          <t>معدل</t>
        </is>
      </c>
      <c r="F84" s="46" t="inlineStr">
        <is>
          <t>↑</t>
        </is>
      </c>
      <c r="G84" s="61" t="n">
        <v>0.08</v>
      </c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47">
        <f>IF(COUNT($H84:$S84)=0,"",SUM($H84:$S84)/COUNT($H84:$S84))</f>
        <v/>
      </c>
      <c r="U84" s="47">
        <f>IF($G84="","",IF($T84="","",MIN(1,IF($G84=0,IF($T84&lt;=0,1,0),IF($F84="↓",IFERROR($G84/$T84,0),IFERROR($T84/$G84,0))))))</f>
        <v/>
      </c>
      <c r="V84" s="51">
        <f>IF($U84="","⏳ بانتظار هدف",IF($U84&gt;=1.0,"✅ محقق",IF($U84&gt;=0.85,"🟡 قريب","🔴 تحت الهدف")))</f>
        <v/>
      </c>
      <c r="W84" s="60">
        <f>IF($G84="","",$G84)</f>
        <v/>
      </c>
      <c r="X84" s="51">
        <f>IF($U84="","—",IF($U84&gt;=0.85,"🟢 على المسار","🟠 متأخّر"))</f>
        <v/>
      </c>
    </row>
    <row r="85" ht="22" customHeight="1">
      <c r="A85" s="51" t="n">
        <v>82</v>
      </c>
      <c r="B85" s="13" t="inlineStr">
        <is>
          <t>العقار</t>
        </is>
      </c>
      <c r="C85" s="11" t="inlineStr">
        <is>
          <t>نسبة الالتزام بالعقود</t>
        </is>
      </c>
      <c r="D85" s="15" t="inlineStr">
        <is>
          <t>شهري</t>
        </is>
      </c>
      <c r="E85" s="15" t="inlineStr">
        <is>
          <t>معدل</t>
        </is>
      </c>
      <c r="F85" s="46" t="inlineStr">
        <is>
          <t>↑</t>
        </is>
      </c>
      <c r="G85" s="61" t="n">
        <v>1</v>
      </c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47">
        <f>IF(COUNT($H85:$S85)=0,"",SUM($H85:$S85)/COUNT($H85:$S85))</f>
        <v/>
      </c>
      <c r="U85" s="47">
        <f>IF($G85="","",IF($T85="","",MIN(1,IF($G85=0,IF($T85&lt;=0,1,0),IF($F85="↓",IFERROR($G85/$T85,0),IFERROR($T85/$G85,0))))))</f>
        <v/>
      </c>
      <c r="V85" s="51">
        <f>IF($U85="","⏳ بانتظار هدف",IF($U85&gt;=1.0,"✅ محقق",IF($U85&gt;=0.85,"🟡 قريب","🔴 تحت الهدف")))</f>
        <v/>
      </c>
      <c r="W85" s="60">
        <f>IF($G85="","",$G85)</f>
        <v/>
      </c>
      <c r="X85" s="51">
        <f>IF($U85="","—",IF($U85&gt;=0.85,"🟢 على المسار","🟠 متأخّر"))</f>
        <v/>
      </c>
    </row>
    <row r="86" ht="22" customHeight="1">
      <c r="A86" s="51" t="n">
        <v>83</v>
      </c>
      <c r="B86" s="13" t="inlineStr">
        <is>
          <t>العقار</t>
        </is>
      </c>
      <c r="C86" s="11" t="inlineStr">
        <is>
          <t>نسبة تحصيل الإيجارات</t>
        </is>
      </c>
      <c r="D86" s="15" t="inlineStr">
        <is>
          <t>شهري</t>
        </is>
      </c>
      <c r="E86" s="15" t="inlineStr">
        <is>
          <t>معدل</t>
        </is>
      </c>
      <c r="F86" s="46" t="inlineStr">
        <is>
          <t>↑</t>
        </is>
      </c>
      <c r="G86" s="61" t="n">
        <v>0.95</v>
      </c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47">
        <f>IF(COUNT($H86:$S86)=0,"",SUM($H86:$S86)/COUNT($H86:$S86))</f>
        <v/>
      </c>
      <c r="U86" s="47">
        <f>IF($G86="","",IF($T86="","",MIN(1,IF($G86=0,IF($T86&lt;=0,1,0),IF($F86="↓",IFERROR($G86/$T86,0),IFERROR($T86/$G86,0))))))</f>
        <v/>
      </c>
      <c r="V86" s="51">
        <f>IF($U86="","⏳ بانتظار هدف",IF($U86&gt;=1.0,"✅ محقق",IF($U86&gt;=0.85,"🟡 قريب","🔴 تحت الهدف")))</f>
        <v/>
      </c>
      <c r="W86" s="60">
        <f>IF($G86="","",$G86)</f>
        <v/>
      </c>
      <c r="X86" s="51">
        <f>IF($U86="","—",IF($U86&gt;=0.85,"🟢 على المسار","🟠 متأخّر"))</f>
        <v/>
      </c>
    </row>
    <row r="87" ht="22" customHeight="1">
      <c r="A87" s="51" t="n">
        <v>84</v>
      </c>
      <c r="B87" s="13" t="inlineStr">
        <is>
          <t>العقار</t>
        </is>
      </c>
      <c r="C87" s="11" t="inlineStr">
        <is>
          <t>نسبة الإشغال</t>
        </is>
      </c>
      <c r="D87" s="15" t="inlineStr">
        <is>
          <t>شهري</t>
        </is>
      </c>
      <c r="E87" s="15" t="inlineStr">
        <is>
          <t>معدل</t>
        </is>
      </c>
      <c r="F87" s="46" t="inlineStr">
        <is>
          <t>↑</t>
        </is>
      </c>
      <c r="G87" s="61" t="n">
        <v>0.6</v>
      </c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47">
        <f>IF(COUNT($H87:$S87)=0,"",SUM($H87:$S87)/COUNT($H87:$S87))</f>
        <v/>
      </c>
      <c r="U87" s="47">
        <f>IF($G87="","",IF($T87="","",MIN(1,IF($G87=0,IF($T87&lt;=0,1,0),IF($F87="↓",IFERROR($G87/$T87,0),IFERROR($T87/$G87,0))))))</f>
        <v/>
      </c>
      <c r="V87" s="51">
        <f>IF($U87="","⏳ بانتظار هدف",IF($U87&gt;=1.0,"✅ محقق",IF($U87&gt;=0.85,"🟡 قريب","🔴 تحت الهدف")))</f>
        <v/>
      </c>
      <c r="W87" s="60">
        <f>IF($G87="","",$G87)</f>
        <v/>
      </c>
      <c r="X87" s="51">
        <f>IF($U87="","—",IF($U87&gt;=0.85,"🟢 على المسار","🟠 متأخّر"))</f>
        <v/>
      </c>
    </row>
    <row r="88" ht="22" customHeight="1">
      <c r="A88" s="51" t="n">
        <v>85</v>
      </c>
      <c r="B88" s="13" t="inlineStr">
        <is>
          <t>العقار</t>
        </is>
      </c>
      <c r="C88" s="11" t="inlineStr">
        <is>
          <t>الوحدات المؤجَّرة شهرياً</t>
        </is>
      </c>
      <c r="D88" s="15" t="inlineStr">
        <is>
          <t>شهري</t>
        </is>
      </c>
      <c r="E88" s="15" t="inlineStr">
        <is>
          <t>معدل</t>
        </is>
      </c>
      <c r="F88" s="46" t="inlineStr">
        <is>
          <t>↑</t>
        </is>
      </c>
      <c r="G88" s="52" t="n">
        <v>68</v>
      </c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4">
        <f>IF(COUNT($H88:$S88)=0,"",SUM($H88:$S88)/COUNT($H88:$S88))</f>
        <v/>
      </c>
      <c r="U88" s="47">
        <f>IF($G88="","",IF($T88="","",MIN(1,IF($G88=0,IF($T88&lt;=0,1,0),IF($F88="↓",IFERROR($G88/$T88,0),IFERROR($T88/$G88,0))))))</f>
        <v/>
      </c>
      <c r="V88" s="51">
        <f>IF($U88="","⏳ بانتظار هدف",IF($U88&gt;=1.0,"✅ محقق",IF($U88&gt;=0.85,"🟡 قريب","🔴 تحت الهدف")))</f>
        <v/>
      </c>
      <c r="W88" s="55">
        <f>IF($G88="","",$G88)</f>
        <v/>
      </c>
      <c r="X88" s="51">
        <f>IF($U88="","—",IF($U88&gt;=0.85,"🟢 على المسار","🟠 متأخّر"))</f>
        <v/>
      </c>
    </row>
    <row r="89" ht="22" customHeight="1">
      <c r="A89" s="51" t="n">
        <v>86</v>
      </c>
      <c r="B89" s="13" t="inlineStr">
        <is>
          <t>العقار</t>
        </is>
      </c>
      <c r="C89" s="11" t="inlineStr">
        <is>
          <t>العملاء المحتملون (LEADS)</t>
        </is>
      </c>
      <c r="D89" s="15" t="inlineStr">
        <is>
          <t>شهري</t>
        </is>
      </c>
      <c r="E89" s="15" t="inlineStr">
        <is>
          <t>معدل</t>
        </is>
      </c>
      <c r="F89" s="46" t="inlineStr">
        <is>
          <t>↑</t>
        </is>
      </c>
      <c r="G89" s="52" t="n">
        <v>680</v>
      </c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4">
        <f>IF(COUNT($H89:$S89)=0,"",SUM($H89:$S89)/COUNT($H89:$S89))</f>
        <v/>
      </c>
      <c r="U89" s="47">
        <f>IF($G89="","",IF($T89="","",MIN(1,IF($G89=0,IF($T89&lt;=0,1,0),IF($F89="↓",IFERROR($G89/$T89,0),IFERROR($T89/$G89,0))))))</f>
        <v/>
      </c>
      <c r="V89" s="51">
        <f>IF($U89="","⏳ بانتظار هدف",IF($U89&gt;=1.0,"✅ محقق",IF($U89&gt;=0.85,"🟡 قريب","🔴 تحت الهدف")))</f>
        <v/>
      </c>
      <c r="W89" s="55">
        <f>IF($G89="","",$G89)</f>
        <v/>
      </c>
      <c r="X89" s="51">
        <f>IF($U89="","—",IF($U89&gt;=0.85,"🟢 على المسار","🟠 متأخّر"))</f>
        <v/>
      </c>
    </row>
    <row r="90" ht="22" customHeight="1">
      <c r="A90" s="51" t="n">
        <v>87</v>
      </c>
      <c r="B90" s="13" t="inlineStr">
        <is>
          <t>العقار</t>
        </is>
      </c>
      <c r="C90" s="11" t="inlineStr">
        <is>
          <t>معدل التحويل</t>
        </is>
      </c>
      <c r="D90" s="15" t="inlineStr">
        <is>
          <t>شهري</t>
        </is>
      </c>
      <c r="E90" s="15" t="inlineStr">
        <is>
          <t>معدل</t>
        </is>
      </c>
      <c r="F90" s="46" t="inlineStr">
        <is>
          <t>↑</t>
        </is>
      </c>
      <c r="G90" s="61" t="n">
        <v>0.2</v>
      </c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47">
        <f>IF(COUNT($H90:$S90)=0,"",SUM($H90:$S90)/COUNT($H90:$S90))</f>
        <v/>
      </c>
      <c r="U90" s="47">
        <f>IF($G90="","",IF($T90="","",MIN(1,IF($G90=0,IF($T90&lt;=0,1,0),IF($F90="↓",IFERROR($G90/$T90,0),IFERROR($T90/$G90,0))))))</f>
        <v/>
      </c>
      <c r="V90" s="51">
        <f>IF($U90="","⏳ بانتظار هدف",IF($U90&gt;=1.0,"✅ محقق",IF($U90&gt;=0.85,"🟡 قريب","🔴 تحت الهدف")))</f>
        <v/>
      </c>
      <c r="W90" s="60">
        <f>IF($G90="","",$G90)</f>
        <v/>
      </c>
      <c r="X90" s="51">
        <f>IF($U90="","—",IF($U90&gt;=0.85,"🟢 على المسار","🟠 متأخّر"))</f>
        <v/>
      </c>
    </row>
    <row r="91" ht="22" customHeight="1">
      <c r="A91" s="51" t="n">
        <v>88</v>
      </c>
      <c r="B91" s="13" t="inlineStr">
        <is>
          <t>العقار</t>
        </is>
      </c>
      <c r="C91" s="11" t="inlineStr">
        <is>
          <t>زيادة عدد العلامات التجارية</t>
        </is>
      </c>
      <c r="D91" s="15" t="inlineStr">
        <is>
          <t>شهري</t>
        </is>
      </c>
      <c r="E91" s="15" t="inlineStr">
        <is>
          <t>لقطة</t>
        </is>
      </c>
      <c r="F91" s="46" t="inlineStr">
        <is>
          <t>↑</t>
        </is>
      </c>
      <c r="G91" s="52" t="n">
        <v>246</v>
      </c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4">
        <f>IFERROR(LOOKUP(2,1/($H91:$S91&lt;&gt;""),$H91:$S91),"")</f>
        <v/>
      </c>
      <c r="U91" s="47">
        <f>IF($G91="","",IF($T91="","",MIN(1,IF($G91=0,IF($T91&lt;=0,1,0),IF($F91="↓",IFERROR($G91/$T91,0),IFERROR($T91/$G91,0))))))</f>
        <v/>
      </c>
      <c r="V91" s="51">
        <f>IF($U91="","⏳ بانتظار هدف",IF($U91&gt;=1.0,"✅ محقق",IF($U91&gt;=0.85,"🟡 قريب","🔴 تحت الهدف")))</f>
        <v/>
      </c>
      <c r="W91" s="55">
        <f>IF($G91="","",$G91)</f>
        <v/>
      </c>
      <c r="X91" s="51">
        <f>IF($U91="","—",IF($U91&gt;=0.85,"🟢 على المسار","🟠 متأخّر"))</f>
        <v/>
      </c>
    </row>
    <row r="92" ht="22" customHeight="1">
      <c r="A92" s="51" t="n">
        <v>89</v>
      </c>
      <c r="B92" s="13" t="inlineStr">
        <is>
          <t>العقار</t>
        </is>
      </c>
      <c r="C92" s="11" t="inlineStr">
        <is>
          <t>نسبة تأجير ساحة درب</t>
        </is>
      </c>
      <c r="D92" s="15" t="inlineStr">
        <is>
          <t>شهري</t>
        </is>
      </c>
      <c r="E92" s="15" t="inlineStr">
        <is>
          <t>لقطة</t>
        </is>
      </c>
      <c r="F92" s="46" t="inlineStr">
        <is>
          <t>↑</t>
        </is>
      </c>
      <c r="G92" s="61" t="n">
        <v>0.8</v>
      </c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47">
        <f>IFERROR(LOOKUP(2,1/($H92:$S92&lt;&gt;""),$H92:$S92),"")</f>
        <v/>
      </c>
      <c r="U92" s="47">
        <f>IF($G92="","",IF($T92="","",MIN(1,IF($G92=0,IF($T92&lt;=0,1,0),IF($F92="↓",IFERROR($G92/$T92,0),IFERROR($T92/$G92,0))))))</f>
        <v/>
      </c>
      <c r="V92" s="51">
        <f>IF($U92="","⏳ بانتظار هدف",IF($U92&gt;=1.0,"✅ محقق",IF($U92&gt;=0.85,"🟡 قريب","🔴 تحت الهدف")))</f>
        <v/>
      </c>
      <c r="W92" s="60">
        <f>IF($G92="","",$G92)</f>
        <v/>
      </c>
      <c r="X92" s="51">
        <f>IF($U92="","—",IF($U92&gt;=0.85,"🟢 على المسار","🟠 متأخّر"))</f>
        <v/>
      </c>
    </row>
    <row r="93" ht="22" customHeight="1">
      <c r="A93" s="51" t="n">
        <v>90</v>
      </c>
      <c r="B93" s="13" t="inlineStr">
        <is>
          <t>العقار</t>
        </is>
      </c>
      <c r="C93" s="11" t="inlineStr">
        <is>
          <t>علامات تجارية جديدة (ساحة درب)</t>
        </is>
      </c>
      <c r="D93" s="15" t="inlineStr">
        <is>
          <t>شهري</t>
        </is>
      </c>
      <c r="E93" s="15" t="inlineStr">
        <is>
          <t>تراكمي</t>
        </is>
      </c>
      <c r="F93" s="46" t="inlineStr">
        <is>
          <t>↑</t>
        </is>
      </c>
      <c r="G93" s="52" t="n">
        <v>6</v>
      </c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4">
        <f>IF(COUNT($H93:$S93)=0,"",SUM($H93:$S93))</f>
        <v/>
      </c>
      <c r="U93" s="47">
        <f>IF($G93="","",IF($T93="","",MIN(1,IF($G93=0,IF($T93&lt;=0,1,0),IF($F93="↓",IFERROR($G93/$T93,0),IFERROR($T93/$G93,0))))))</f>
        <v/>
      </c>
      <c r="V93" s="51">
        <f>IF($U93="","⏳ بانتظار هدف",IF($U93&gt;=1.0,"✅ محقق",IF($U93&gt;=0.85,"🟡 قريب","🔴 تحت الهدف")))</f>
        <v/>
      </c>
      <c r="W93" s="55">
        <f>IF($G93="","",$G93*COUNT($H93:$S93)/12)</f>
        <v/>
      </c>
      <c r="X93" s="51">
        <f>IF($U93="","—",IF($U93&gt;=COUNT($H93:$S93)/12,"🟢 على المسار","🟠 متأخّر"))</f>
        <v/>
      </c>
    </row>
    <row r="94" ht="22" customHeight="1">
      <c r="A94" s="51" t="n">
        <v>91</v>
      </c>
      <c r="B94" s="13" t="inlineStr">
        <is>
          <t>العقار</t>
        </is>
      </c>
      <c r="C94" s="11" t="inlineStr">
        <is>
          <t>الشراكات الاستراتيجية</t>
        </is>
      </c>
      <c r="D94" s="15" t="inlineStr">
        <is>
          <t>شهري</t>
        </is>
      </c>
      <c r="E94" s="15" t="inlineStr">
        <is>
          <t>تراكمي</t>
        </is>
      </c>
      <c r="F94" s="46" t="inlineStr">
        <is>
          <t>↑</t>
        </is>
      </c>
      <c r="G94" s="52" t="n">
        <v>5</v>
      </c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4">
        <f>IF(COUNT($H94:$S94)=0,"",SUM($H94:$S94))</f>
        <v/>
      </c>
      <c r="U94" s="47">
        <f>IF($G94="","",IF($T94="","",MIN(1,IF($G94=0,IF($T94&lt;=0,1,0),IF($F94="↓",IFERROR($G94/$T94,0),IFERROR($T94/$G94,0))))))</f>
        <v/>
      </c>
      <c r="V94" s="51">
        <f>IF($U94="","⏳ بانتظار هدف",IF($U94&gt;=1.0,"✅ محقق",IF($U94&gt;=0.85,"🟡 قريب","🔴 تحت الهدف")))</f>
        <v/>
      </c>
      <c r="W94" s="55">
        <f>IF($G94="","",$G94*COUNT($H94:$S94)/12)</f>
        <v/>
      </c>
      <c r="X94" s="51">
        <f>IF($U94="","—",IF($U94&gt;=COUNT($H94:$S94)/12,"🟢 على المسار","🟠 متأخّر"))</f>
        <v/>
      </c>
    </row>
    <row r="95" ht="22" customHeight="1">
      <c r="A95" s="51" t="n">
        <v>92</v>
      </c>
      <c r="B95" s="13" t="inlineStr">
        <is>
          <t>العقار</t>
        </is>
      </c>
      <c r="C95" s="11" t="inlineStr">
        <is>
          <t>نسبة تجديد العقود</t>
        </is>
      </c>
      <c r="D95" s="15" t="inlineStr">
        <is>
          <t>شهري</t>
        </is>
      </c>
      <c r="E95" s="15" t="inlineStr">
        <is>
          <t>معدل</t>
        </is>
      </c>
      <c r="F95" s="46" t="inlineStr">
        <is>
          <t>↑</t>
        </is>
      </c>
      <c r="G95" s="61" t="n">
        <v>1</v>
      </c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47">
        <f>IF(COUNT($H95:$S95)=0,"",SUM($H95:$S95)/COUNT($H95:$S95))</f>
        <v/>
      </c>
      <c r="U95" s="47">
        <f>IF($G95="","",IF($T95="","",MIN(1,IF($G95=0,IF($T95&lt;=0,1,0),IF($F95="↓",IFERROR($G95/$T95,0),IFERROR($T95/$G95,0))))))</f>
        <v/>
      </c>
      <c r="V95" s="51">
        <f>IF($U95="","⏳ بانتظار هدف",IF($U95&gt;=1.0,"✅ محقق",IF($U95&gt;=0.85,"🟡 قريب","🔴 تحت الهدف")))</f>
        <v/>
      </c>
      <c r="W95" s="60">
        <f>IF($G95="","",$G95)</f>
        <v/>
      </c>
      <c r="X95" s="51">
        <f>IF($U95="","—",IF($U95&gt;=0.85,"🟢 على المسار","🟠 متأخّر"))</f>
        <v/>
      </c>
    </row>
    <row r="96" ht="22" customHeight="1">
      <c r="A96" s="51" t="n">
        <v>93</v>
      </c>
      <c r="B96" s="13" t="inlineStr">
        <is>
          <t>العقار</t>
        </is>
      </c>
      <c r="C96" s="11" t="inlineStr">
        <is>
          <t>متوسط زمن تسليم الوحدة</t>
        </is>
      </c>
      <c r="D96" s="15" t="inlineStr">
        <is>
          <t>شهري</t>
        </is>
      </c>
      <c r="E96" s="15" t="inlineStr">
        <is>
          <t>معدل</t>
        </is>
      </c>
      <c r="F96" s="46" t="inlineStr">
        <is>
          <t>↓</t>
        </is>
      </c>
      <c r="G96" s="62" t="n">
        <v>7</v>
      </c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4">
        <f>IF(COUNT($H96:$S96)=0,"",SUM($H96:$S96)/COUNT($H96:$S96))</f>
        <v/>
      </c>
      <c r="U96" s="47">
        <f>IF($G96="","",IF($T96="","",MIN(1,IF($G96=0,IF($T96&lt;=0,1,0),IF($F96="↓",IFERROR($G96/$T96,0),IFERROR($T96/$G96,0))))))</f>
        <v/>
      </c>
      <c r="V96" s="51">
        <f>IF($U96="","⏳ بانتظار هدف",IF($U96&gt;=1.0,"✅ محقق",IF($U96&gt;=0.85,"🟡 قريب","🔴 تحت الهدف")))</f>
        <v/>
      </c>
      <c r="W96" s="65">
        <f>IF($G96="","",$G96)</f>
        <v/>
      </c>
      <c r="X96" s="51">
        <f>IF($U96="","—",IF($U96&gt;=0.85,"🟢 على المسار","🟠 متأخّر"))</f>
        <v/>
      </c>
    </row>
    <row r="97" ht="22" customHeight="1">
      <c r="A97" s="51" t="n">
        <v>94</v>
      </c>
      <c r="B97" s="13" t="inlineStr">
        <is>
          <t>العقار</t>
        </is>
      </c>
      <c r="C97" s="11" t="inlineStr">
        <is>
          <t>نسبة إغلاق الطلبات خلال 3 أسابيع</t>
        </is>
      </c>
      <c r="D97" s="15" t="inlineStr">
        <is>
          <t>شهري</t>
        </is>
      </c>
      <c r="E97" s="15" t="inlineStr">
        <is>
          <t>معدل</t>
        </is>
      </c>
      <c r="F97" s="46" t="inlineStr">
        <is>
          <t>↑</t>
        </is>
      </c>
      <c r="G97" s="61" t="n">
        <v>0.9</v>
      </c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47">
        <f>IF(COUNT($H97:$S97)=0,"",SUM($H97:$S97)/COUNT($H97:$S97))</f>
        <v/>
      </c>
      <c r="U97" s="47">
        <f>IF($G97="","",IF($T97="","",MIN(1,IF($G97=0,IF($T97&lt;=0,1,0),IF($F97="↓",IFERROR($G97/$T97,0),IFERROR($T97/$G97,0))))))</f>
        <v/>
      </c>
      <c r="V97" s="51">
        <f>IF($U97="","⏳ بانتظار هدف",IF($U97&gt;=1.0,"✅ محقق",IF($U97&gt;=0.85,"🟡 قريب","🔴 تحت الهدف")))</f>
        <v/>
      </c>
      <c r="W97" s="60">
        <f>IF($G97="","",$G97)</f>
        <v/>
      </c>
      <c r="X97" s="51">
        <f>IF($U97="","—",IF($U97&gt;=0.85,"🟢 على المسار","🟠 متأخّر"))</f>
        <v/>
      </c>
    </row>
    <row r="98" ht="22" customHeight="1">
      <c r="A98" s="51" t="n">
        <v>95</v>
      </c>
      <c r="B98" s="13" t="inlineStr">
        <is>
          <t>العقار</t>
        </is>
      </c>
      <c r="C98" s="11" t="inlineStr">
        <is>
          <t>استدامة المستأجرين (لم يُنهَ مبكراً)</t>
        </is>
      </c>
      <c r="D98" s="15" t="inlineStr">
        <is>
          <t>شهري</t>
        </is>
      </c>
      <c r="E98" s="15" t="inlineStr">
        <is>
          <t>معدل</t>
        </is>
      </c>
      <c r="F98" s="46" t="inlineStr">
        <is>
          <t>↑</t>
        </is>
      </c>
      <c r="G98" s="61" t="n">
        <v>0.8</v>
      </c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47">
        <f>IF(COUNT($H98:$S98)=0,"",SUM($H98:$S98)/COUNT($H98:$S98))</f>
        <v/>
      </c>
      <c r="U98" s="47">
        <f>IF($G98="","",IF($T98="","",MIN(1,IF($G98=0,IF($T98&lt;=0,1,0),IF($F98="↓",IFERROR($G98/$T98,0),IFERROR($T98/$G98,0))))))</f>
        <v/>
      </c>
      <c r="V98" s="51">
        <f>IF($U98="","⏳ بانتظار هدف",IF($U98&gt;=1.0,"✅ محقق",IF($U98&gt;=0.85,"🟡 قريب","🔴 تحت الهدف")))</f>
        <v/>
      </c>
      <c r="W98" s="60">
        <f>IF($G98="","",$G98)</f>
        <v/>
      </c>
      <c r="X98" s="51">
        <f>IF($U98="","—",IF($U98&gt;=0.85,"🟢 على المسار","🟠 متأخّر"))</f>
        <v/>
      </c>
    </row>
    <row r="99" ht="22" customHeight="1">
      <c r="A99" s="51" t="n">
        <v>96</v>
      </c>
      <c r="B99" s="13" t="inlineStr">
        <is>
          <t>العقار</t>
        </is>
      </c>
      <c r="C99" s="11" t="inlineStr">
        <is>
          <t>معدل رضا المستأجرين (استبيان ربعي)</t>
        </is>
      </c>
      <c r="D99" s="15" t="inlineStr">
        <is>
          <t>ربعي</t>
        </is>
      </c>
      <c r="E99" s="15" t="inlineStr">
        <is>
          <t>معدل</t>
        </is>
      </c>
      <c r="F99" s="46" t="inlineStr">
        <is>
          <t>↑</t>
        </is>
      </c>
      <c r="G99" s="61" t="n">
        <v>0.9</v>
      </c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47">
        <f>IF(COUNT($H99:$S99)=0,"",SUM($H99:$S99)/COUNT($H99:$S99))</f>
        <v/>
      </c>
      <c r="U99" s="47">
        <f>IF($G99="","",IF($T99="","",MIN(1,IF($G99=0,IF($T99&lt;=0,1,0),IF($F99="↓",IFERROR($G99/$T99,0),IFERROR($T99/$G99,0))))))</f>
        <v/>
      </c>
      <c r="V99" s="51">
        <f>IF($U99="","⏳ بانتظار هدف",IF($U99&gt;=0.9,"✅ محقق",IF($U99&gt;=0.75,"🟡 قريب","🔴 تحت الهدف")))</f>
        <v/>
      </c>
      <c r="W99" s="60">
        <f>IF($G99="","",$G99)</f>
        <v/>
      </c>
      <c r="X99" s="51">
        <f>IF($U99="","—",IF($U99&gt;=0.75,"🟢 على المسار","🟠 متأخّر"))</f>
        <v/>
      </c>
    </row>
    <row r="100" ht="22" customHeight="1">
      <c r="A100" s="51" t="n">
        <v>97</v>
      </c>
      <c r="B100" s="13" t="inlineStr">
        <is>
          <t>إدارة المشاريع</t>
        </is>
      </c>
      <c r="C100" s="11" t="inlineStr">
        <is>
          <t>عدد محطات الشركة المُسلَّمة</t>
        </is>
      </c>
      <c r="D100" s="15" t="inlineStr">
        <is>
          <t>شهري</t>
        </is>
      </c>
      <c r="E100" s="15" t="inlineStr">
        <is>
          <t>تراكمي</t>
        </is>
      </c>
      <c r="F100" s="46" t="inlineStr">
        <is>
          <t>↑</t>
        </is>
      </c>
      <c r="G100" s="52" t="n">
        <v>20</v>
      </c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4">
        <f>IF(COUNT($H100:$S100)=0,"",SUM($H100:$S100))</f>
        <v/>
      </c>
      <c r="U100" s="47">
        <f>IF($G100="","",IF($T100="","",MIN(1,IF($G100=0,IF($T100&lt;=0,1,0),IF($F100="↓",IFERROR($G100/$T100,0),IFERROR($T100/$G100,0))))))</f>
        <v/>
      </c>
      <c r="V100" s="51">
        <f>IF($U100="","⏳ بانتظار هدف",IF($U100&gt;=1.0,"✅ محقق",IF($U100&gt;=0.85,"🟡 قريب","🔴 تحت الهدف")))</f>
        <v/>
      </c>
      <c r="W100" s="55">
        <f>IF($G100="","",$G100*COUNT($H100:$S100)/12)</f>
        <v/>
      </c>
      <c r="X100" s="51">
        <f>IF($U100="","—",IF($U100&gt;=COUNT($H100:$S100)/12,"🟢 على المسار","🟠 متأخّر"))</f>
        <v/>
      </c>
    </row>
    <row r="101" ht="22" customHeight="1">
      <c r="A101" s="51" t="n">
        <v>98</v>
      </c>
      <c r="B101" s="13" t="inlineStr">
        <is>
          <t>إدارة المشاريع</t>
        </is>
      </c>
      <c r="C101" s="11" t="inlineStr">
        <is>
          <t>نسبة إنجاز محفظة مشاريع التوسع</t>
        </is>
      </c>
      <c r="D101" s="15" t="inlineStr">
        <is>
          <t>شهري</t>
        </is>
      </c>
      <c r="E101" s="15" t="inlineStr">
        <is>
          <t>معدل</t>
        </is>
      </c>
      <c r="F101" s="46" t="inlineStr">
        <is>
          <t>↑</t>
        </is>
      </c>
      <c r="G101" s="61" t="n">
        <v>0.7</v>
      </c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47">
        <f>IF(COUNT($H101:$S101)=0,"",SUM($H101:$S101)/COUNT($H101:$S101))</f>
        <v/>
      </c>
      <c r="U101" s="47">
        <f>IF($G101="","",IF($T101="","",MIN(1,IF($G101=0,IF($T101&lt;=0,1,0),IF($F101="↓",IFERROR($G101/$T101,0),IFERROR($T101/$G101,0))))))</f>
        <v/>
      </c>
      <c r="V101" s="51">
        <f>IF($U101="","⏳ بانتظار هدف",IF($U101&gt;=1.0,"✅ محقق",IF($U101&gt;=0.85,"🟡 قريب","🔴 تحت الهدف")))</f>
        <v/>
      </c>
      <c r="W101" s="60">
        <f>IF($G101="","",$G101)</f>
        <v/>
      </c>
      <c r="X101" s="51">
        <f>IF($U101="","—",IF($U101&gt;=0.85,"🟢 على المسار","🟠 متأخّر"))</f>
        <v/>
      </c>
    </row>
    <row r="102" ht="22" customHeight="1">
      <c r="A102" s="51" t="n">
        <v>99</v>
      </c>
      <c r="B102" s="13" t="inlineStr">
        <is>
          <t>إدارة المشاريع</t>
        </is>
      </c>
      <c r="C102" s="11" t="inlineStr">
        <is>
          <t>نسبة تسليم المحطات في الموعد المخطط</t>
        </is>
      </c>
      <c r="D102" s="15" t="inlineStr">
        <is>
          <t>شهري</t>
        </is>
      </c>
      <c r="E102" s="15" t="inlineStr">
        <is>
          <t>معدل</t>
        </is>
      </c>
      <c r="F102" s="46" t="inlineStr">
        <is>
          <t>↑</t>
        </is>
      </c>
      <c r="G102" s="61" t="n">
        <v>0.8</v>
      </c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47">
        <f>IF(COUNT($H102:$S102)=0,"",SUM($H102:$S102)/COUNT($H102:$S102))</f>
        <v/>
      </c>
      <c r="U102" s="47">
        <f>IF($G102="","",IF($T102="","",MIN(1,IF($G102=0,IF($T102&lt;=0,1,0),IF($F102="↓",IFERROR($G102/$T102,0),IFERROR($T102/$G102,0))))))</f>
        <v/>
      </c>
      <c r="V102" s="51">
        <f>IF($U102="","⏳ بانتظار هدف",IF($U102&gt;=1.0,"✅ محقق",IF($U102&gt;=0.85,"🟡 قريب","🔴 تحت الهدف")))</f>
        <v/>
      </c>
      <c r="W102" s="60">
        <f>IF($G102="","",$G102)</f>
        <v/>
      </c>
      <c r="X102" s="51">
        <f>IF($U102="","—",IF($U102&gt;=0.85,"🟢 على المسار","🟠 متأخّر"))</f>
        <v/>
      </c>
    </row>
    <row r="103" ht="22" customHeight="1">
      <c r="A103" s="51" t="n">
        <v>100</v>
      </c>
      <c r="B103" s="13" t="inlineStr">
        <is>
          <t>إدارة المشاريع</t>
        </is>
      </c>
      <c r="C103" s="11" t="inlineStr">
        <is>
          <t>نسبة المشاريع المنفّذة ضمن الميزانية</t>
        </is>
      </c>
      <c r="D103" s="15" t="inlineStr">
        <is>
          <t>شهري</t>
        </is>
      </c>
      <c r="E103" s="15" t="inlineStr">
        <is>
          <t>معدل</t>
        </is>
      </c>
      <c r="F103" s="46" t="inlineStr">
        <is>
          <t>↑</t>
        </is>
      </c>
      <c r="G103" s="61" t="n">
        <v>0.85</v>
      </c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47">
        <f>IF(COUNT($H103:$S103)=0,"",SUM($H103:$S103)/COUNT($H103:$S103))</f>
        <v/>
      </c>
      <c r="U103" s="47">
        <f>IF($G103="","",IF($T103="","",MIN(1,IF($G103=0,IF($T103&lt;=0,1,0),IF($F103="↓",IFERROR($G103/$T103,0),IFERROR($T103/$G103,0))))))</f>
        <v/>
      </c>
      <c r="V103" s="51">
        <f>IF($U103="","⏳ بانتظار هدف",IF($U103&gt;=1.0,"✅ محقق",IF($U103&gt;=0.85,"🟡 قريب","🔴 تحت الهدف")))</f>
        <v/>
      </c>
      <c r="W103" s="60">
        <f>IF($G103="","",$G103)</f>
        <v/>
      </c>
      <c r="X103" s="51">
        <f>IF($U103="","—",IF($U103&gt;=0.85,"🟢 على المسار","🟠 متأخّر"))</f>
        <v/>
      </c>
    </row>
    <row r="104" ht="22" customHeight="1">
      <c r="A104" s="51" t="n">
        <v>101</v>
      </c>
      <c r="B104" s="13" t="inlineStr">
        <is>
          <t>إدارة المشاريع</t>
        </is>
      </c>
      <c r="C104" s="11" t="inlineStr">
        <is>
          <t>عدد محطات الامتياز المُسلَّمة بالهوية</t>
        </is>
      </c>
      <c r="D104" s="15" t="inlineStr">
        <is>
          <t>شهري</t>
        </is>
      </c>
      <c r="E104" s="15" t="inlineStr">
        <is>
          <t>تراكمي</t>
        </is>
      </c>
      <c r="F104" s="46" t="inlineStr">
        <is>
          <t>↑</t>
        </is>
      </c>
      <c r="G104" s="52" t="n">
        <v>40</v>
      </c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4">
        <f>IF(COUNT($H104:$S104)=0,"",SUM($H104:$S104))</f>
        <v/>
      </c>
      <c r="U104" s="47">
        <f>IF($G104="","",IF($T104="","",MIN(1,IF($G104=0,IF($T104&lt;=0,1,0),IF($F104="↓",IFERROR($G104/$T104,0),IFERROR($T104/$G104,0))))))</f>
        <v/>
      </c>
      <c r="V104" s="51">
        <f>IF($U104="","⏳ بانتظار هدف",IF($U104&gt;=1.0,"✅ محقق",IF($U104&gt;=0.85,"🟡 قريب","🔴 تحت الهدف")))</f>
        <v/>
      </c>
      <c r="W104" s="55">
        <f>IF($G104="","",$G104*COUNT($H104:$S104)/12)</f>
        <v/>
      </c>
      <c r="X104" s="51">
        <f>IF($U104="","—",IF($U104&gt;=COUNT($H104:$S104)/12,"🟢 على المسار","🟠 متأخّر"))</f>
        <v/>
      </c>
    </row>
    <row r="105" ht="22" customHeight="1">
      <c r="A105" s="51" t="n">
        <v>102</v>
      </c>
      <c r="B105" s="13" t="inlineStr">
        <is>
          <t>إدارة المشاريع</t>
        </is>
      </c>
      <c r="C105" s="11" t="inlineStr">
        <is>
          <t>نسبة تنفيذ زيارات الإشراف المجدولة</t>
        </is>
      </c>
      <c r="D105" s="15" t="inlineStr">
        <is>
          <t>شهري</t>
        </is>
      </c>
      <c r="E105" s="15" t="inlineStr">
        <is>
          <t>معدل</t>
        </is>
      </c>
      <c r="F105" s="46" t="inlineStr">
        <is>
          <t>↑</t>
        </is>
      </c>
      <c r="G105" s="61" t="n">
        <v>0.9</v>
      </c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47">
        <f>IF(COUNT($H105:$S105)=0,"",SUM($H105:$S105)/COUNT($H105:$S105))</f>
        <v/>
      </c>
      <c r="U105" s="47">
        <f>IF($G105="","",IF($T105="","",MIN(1,IF($G105=0,IF($T105&lt;=0,1,0),IF($F105="↓",IFERROR($G105/$T105,0),IFERROR($T105/$G105,0))))))</f>
        <v/>
      </c>
      <c r="V105" s="51">
        <f>IF($U105="","⏳ بانتظار هدف",IF($U105&gt;=1.0,"✅ محقق",IF($U105&gt;=0.85,"🟡 قريب","🔴 تحت الهدف")))</f>
        <v/>
      </c>
      <c r="W105" s="60">
        <f>IF($G105="","",$G105)</f>
        <v/>
      </c>
      <c r="X105" s="51">
        <f>IF($U105="","—",IF($U105&gt;=0.85,"🟢 على المسار","🟠 متأخّر"))</f>
        <v/>
      </c>
    </row>
    <row r="106" ht="22" customHeight="1">
      <c r="A106" s="51" t="n">
        <v>103</v>
      </c>
      <c r="B106" s="13" t="inlineStr">
        <is>
          <t>إدارة المشاريع</t>
        </is>
      </c>
      <c r="C106" s="11" t="inlineStr">
        <is>
          <t>نسبة التزام المطوّرين بالجدول الزمني</t>
        </is>
      </c>
      <c r="D106" s="15" t="inlineStr">
        <is>
          <t>شهري</t>
        </is>
      </c>
      <c r="E106" s="15" t="inlineStr">
        <is>
          <t>معدل</t>
        </is>
      </c>
      <c r="F106" s="46" t="inlineStr">
        <is>
          <t>↑</t>
        </is>
      </c>
      <c r="G106" s="61" t="n">
        <v>0.75</v>
      </c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47">
        <f>IF(COUNT($H106:$S106)=0,"",SUM($H106:$S106)/COUNT($H106:$S106))</f>
        <v/>
      </c>
      <c r="U106" s="47">
        <f>IF($G106="","",IF($T106="","",MIN(1,IF($G106=0,IF($T106&lt;=0,1,0),IF($F106="↓",IFERROR($G106/$T106,0),IFERROR($T106/$G106,0))))))</f>
        <v/>
      </c>
      <c r="V106" s="51">
        <f>IF($U106="","⏳ بانتظار هدف",IF($U106&gt;=1.0,"✅ محقق",IF($U106&gt;=0.85,"🟡 قريب","🔴 تحت الهدف")))</f>
        <v/>
      </c>
      <c r="W106" s="60">
        <f>IF($G106="","",$G106)</f>
        <v/>
      </c>
      <c r="X106" s="51">
        <f>IF($U106="","—",IF($U106&gt;=0.85,"🟢 على المسار","🟠 متأخّر"))</f>
        <v/>
      </c>
    </row>
    <row r="107" ht="22" customHeight="1">
      <c r="A107" s="51" t="n">
        <v>104</v>
      </c>
      <c r="B107" s="13" t="inlineStr">
        <is>
          <t>إدارة المشاريع</t>
        </is>
      </c>
      <c r="C107" s="11" t="inlineStr">
        <is>
          <t>نسبة إغلاق ملاحظات الجودة على المطوّرين</t>
        </is>
      </c>
      <c r="D107" s="15" t="inlineStr">
        <is>
          <t>شهري</t>
        </is>
      </c>
      <c r="E107" s="15" t="inlineStr">
        <is>
          <t>معدل</t>
        </is>
      </c>
      <c r="F107" s="46" t="inlineStr">
        <is>
          <t>↑</t>
        </is>
      </c>
      <c r="G107" s="61" t="n">
        <v>0.9</v>
      </c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47">
        <f>IF(COUNT($H107:$S107)=0,"",SUM($H107:$S107)/COUNT($H107:$S107))</f>
        <v/>
      </c>
      <c r="U107" s="47">
        <f>IF($G107="","",IF($T107="","",MIN(1,IF($G107=0,IF($T107&lt;=0,1,0),IF($F107="↓",IFERROR($G107/$T107,0),IFERROR($T107/$G107,0))))))</f>
        <v/>
      </c>
      <c r="V107" s="51">
        <f>IF($U107="","⏳ بانتظار هدف",IF($U107&gt;=1.0,"✅ محقق",IF($U107&gt;=0.85,"🟡 قريب","🔴 تحت الهدف")))</f>
        <v/>
      </c>
      <c r="W107" s="60">
        <f>IF($G107="","",$G107)</f>
        <v/>
      </c>
      <c r="X107" s="51">
        <f>IF($U107="","—",IF($U107&gt;=0.85,"🟢 على المسار","🟠 متأخّر"))</f>
        <v/>
      </c>
    </row>
    <row r="108" ht="22" customHeight="1">
      <c r="A108" s="51" t="n">
        <v>105</v>
      </c>
      <c r="B108" s="13" t="inlineStr">
        <is>
          <t>إدارة المشاريع</t>
        </is>
      </c>
      <c r="C108" s="11" t="inlineStr">
        <is>
          <t>إجمالي المحطات المُسلَّمة بالهوية (شركة + امتياز)</t>
        </is>
      </c>
      <c r="D108" s="15" t="inlineStr">
        <is>
          <t>شهري</t>
        </is>
      </c>
      <c r="E108" s="15" t="inlineStr">
        <is>
          <t>تراكمي</t>
        </is>
      </c>
      <c r="F108" s="46" t="inlineStr">
        <is>
          <t>↑</t>
        </is>
      </c>
      <c r="G108" s="52" t="n">
        <v>60</v>
      </c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4">
        <f>IF(COUNT($H108:$S108)=0,"",SUM($H108:$S108))</f>
        <v/>
      </c>
      <c r="U108" s="47">
        <f>IF($G108="","",IF($T108="","",MIN(1,IF($G108=0,IF($T108&lt;=0,1,0),IF($F108="↓",IFERROR($G108/$T108,0),IFERROR($T108/$G108,0))))))</f>
        <v/>
      </c>
      <c r="V108" s="51">
        <f>IF($U108="","⏳ بانتظار هدف",IF($U108&gt;=1.0,"✅ محقق",IF($U108&gt;=0.85,"🟡 قريب","🔴 تحت الهدف")))</f>
        <v/>
      </c>
      <c r="W108" s="55">
        <f>IF($G108="","",$G108*COUNT($H108:$S108)/12)</f>
        <v/>
      </c>
      <c r="X108" s="51">
        <f>IF($U108="","—",IF($U108&gt;=COUNT($H108:$S108)/12,"🟢 على المسار","🟠 متأخّر"))</f>
        <v/>
      </c>
    </row>
    <row r="109" ht="22" customHeight="1">
      <c r="A109" s="51" t="n">
        <v>106</v>
      </c>
      <c r="B109" s="13" t="inlineStr">
        <is>
          <t>إدارة المشاريع</t>
        </is>
      </c>
      <c r="C109" s="11" t="inlineStr">
        <is>
          <t>نسبة المشاريع الخالية من مخالفات الجودة</t>
        </is>
      </c>
      <c r="D109" s="15" t="inlineStr">
        <is>
          <t>شهري</t>
        </is>
      </c>
      <c r="E109" s="15" t="inlineStr">
        <is>
          <t>معدل</t>
        </is>
      </c>
      <c r="F109" s="46" t="inlineStr">
        <is>
          <t>↑</t>
        </is>
      </c>
      <c r="G109" s="61" t="n">
        <v>0.9</v>
      </c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47">
        <f>IF(COUNT($H109:$S109)=0,"",SUM($H109:$S109)/COUNT($H109:$S109))</f>
        <v/>
      </c>
      <c r="U109" s="47">
        <f>IF($G109="","",IF($T109="","",MIN(1,IF($G109=0,IF($T109&lt;=0,1,0),IF($F109="↓",IFERROR($G109/$T109,0),IFERROR($T109/$G109,0))))))</f>
        <v/>
      </c>
      <c r="V109" s="51">
        <f>IF($U109="","⏳ بانتظار هدف",IF($U109&gt;=1.0,"✅ محقق",IF($U109&gt;=0.85,"🟡 قريب","🔴 تحت الهدف")))</f>
        <v/>
      </c>
      <c r="W109" s="60">
        <f>IF($G109="","",$G109)</f>
        <v/>
      </c>
      <c r="X109" s="51">
        <f>IF($U109="","—",IF($U109&gt;=0.85,"🟢 على المسار","🟠 متأخّر"))</f>
        <v/>
      </c>
    </row>
    <row r="110" ht="22" customHeight="1">
      <c r="A110" s="51" t="n">
        <v>107</v>
      </c>
      <c r="B110" s="13" t="inlineStr">
        <is>
          <t>إدارة المشاريع</t>
        </is>
      </c>
      <c r="C110" s="11" t="inlineStr">
        <is>
          <t>عدد مخالفات المقاولين (سنوي)</t>
        </is>
      </c>
      <c r="D110" s="15" t="inlineStr">
        <is>
          <t>شهري</t>
        </is>
      </c>
      <c r="E110" s="15" t="inlineStr">
        <is>
          <t>تراكمي</t>
        </is>
      </c>
      <c r="F110" s="46" t="inlineStr">
        <is>
          <t>↓</t>
        </is>
      </c>
      <c r="G110" s="52" t="n">
        <v>10</v>
      </c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4">
        <f>IF(COUNT($H110:$S110)=0,"",SUM($H110:$S110))</f>
        <v/>
      </c>
      <c r="U110" s="47">
        <f>IF($G110="","",IF($T110="","",MIN(1,IF($G110=0,IF($T110&lt;=0,1,0),IF($F110="↓",IFERROR($G110/$T110,0),IFERROR($T110/$G110,0))))))</f>
        <v/>
      </c>
      <c r="V110" s="51">
        <f>IF($U110="","⏳ بانتظار هدف",IF($U110&gt;=1.0,"✅ محقق",IF($U110&gt;=0.85,"🟡 قريب","🔴 تحت الهدف")))</f>
        <v/>
      </c>
      <c r="W110" s="55">
        <f>IF($G110="","",$G110*COUNT($H110:$S110)/12)</f>
        <v/>
      </c>
      <c r="X110" s="51">
        <f>IF($U110="","—",IF($U110&gt;=COUNT($H110:$S110)/12,"🟢 على المسار","🟠 متأخّر"))</f>
        <v/>
      </c>
    </row>
    <row r="111" ht="22" customHeight="1">
      <c r="A111" s="51" t="n">
        <v>108</v>
      </c>
      <c r="B111" s="13" t="inlineStr">
        <is>
          <t>إدارة المشاريع</t>
        </is>
      </c>
      <c r="C111" s="11" t="inlineStr">
        <is>
          <t>نسبة التزام المقاولين بمعايير السلامة</t>
        </is>
      </c>
      <c r="D111" s="15" t="inlineStr">
        <is>
          <t>شهري</t>
        </is>
      </c>
      <c r="E111" s="15" t="inlineStr">
        <is>
          <t>معدل</t>
        </is>
      </c>
      <c r="F111" s="46" t="inlineStr">
        <is>
          <t>↑</t>
        </is>
      </c>
      <c r="G111" s="61" t="n">
        <v>0.95</v>
      </c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47">
        <f>IF(COUNT($H111:$S111)=0,"",SUM($H111:$S111)/COUNT($H111:$S111))</f>
        <v/>
      </c>
      <c r="U111" s="47">
        <f>IF($G111="","",IF($T111="","",MIN(1,IF($G111=0,IF($T111&lt;=0,1,0),IF($F111="↓",IFERROR($G111/$T111,0),IFERROR($T111/$G111,0))))))</f>
        <v/>
      </c>
      <c r="V111" s="51">
        <f>IF($U111="","⏳ بانتظار هدف",IF($U111&gt;=1.0,"✅ محقق",IF($U111&gt;=0.97,"🟡 قريب","🔴 تحت الهدف")))</f>
        <v/>
      </c>
      <c r="W111" s="60">
        <f>IF($G111="","",$G111)</f>
        <v/>
      </c>
      <c r="X111" s="51">
        <f>IF($U111="","—",IF($U111&gt;=0.97,"🟢 على المسار","🟠 متأخّر"))</f>
        <v/>
      </c>
    </row>
    <row r="112" ht="22" customHeight="1">
      <c r="A112" s="51" t="n">
        <v>109</v>
      </c>
      <c r="B112" s="13" t="inlineStr">
        <is>
          <t>إدارة المشاريع</t>
        </is>
      </c>
      <c r="C112" s="11" t="inlineStr">
        <is>
          <t>نسبة الالتزام بالميزانية المعتمدة</t>
        </is>
      </c>
      <c r="D112" s="15" t="inlineStr">
        <is>
          <t>شهري</t>
        </is>
      </c>
      <c r="E112" s="15" t="inlineStr">
        <is>
          <t>معدل</t>
        </is>
      </c>
      <c r="F112" s="46" t="inlineStr">
        <is>
          <t>↑</t>
        </is>
      </c>
      <c r="G112" s="61" t="n">
        <v>1</v>
      </c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47">
        <f>IF(COUNT($H112:$S112)=0,"",SUM($H112:$S112)/COUNT($H112:$S112))</f>
        <v/>
      </c>
      <c r="U112" s="47">
        <f>IF($G112="","",IF($T112="","",MIN(1,IF($G112=0,IF($T112&lt;=0,1,0),IF($F112="↓",IFERROR($G112/$T112,0),IFERROR($T112/$G112,0))))))</f>
        <v/>
      </c>
      <c r="V112" s="51">
        <f>IF($U112="","⏳ بانتظار هدف",IF($U112&gt;=1.0,"✅ محقق",IF($U112&gt;=0.85,"🟡 قريب","🔴 تحت الهدف")))</f>
        <v/>
      </c>
      <c r="W112" s="60">
        <f>IF($G112="","",$G112)</f>
        <v/>
      </c>
      <c r="X112" s="51">
        <f>IF($U112="","—",IF($U112&gt;=0.85,"🟢 على المسار","🟠 متأخّر"))</f>
        <v/>
      </c>
    </row>
    <row r="113" ht="22" customHeight="1">
      <c r="A113" s="51" t="n">
        <v>110</v>
      </c>
      <c r="B113" s="13" t="inlineStr">
        <is>
          <t>إدارة المشاريع</t>
        </is>
      </c>
      <c r="C113" s="11" t="inlineStr">
        <is>
          <t>نسبة الالتزام بالجدول الزمني العام</t>
        </is>
      </c>
      <c r="D113" s="15" t="inlineStr">
        <is>
          <t>شهري</t>
        </is>
      </c>
      <c r="E113" s="15" t="inlineStr">
        <is>
          <t>معدل</t>
        </is>
      </c>
      <c r="F113" s="46" t="inlineStr">
        <is>
          <t>↑</t>
        </is>
      </c>
      <c r="G113" s="61" t="n">
        <v>1</v>
      </c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47">
        <f>IF(COUNT($H113:$S113)=0,"",SUM($H113:$S113)/COUNT($H113:$S113))</f>
        <v/>
      </c>
      <c r="U113" s="47">
        <f>IF($G113="","",IF($T113="","",MIN(1,IF($G113=0,IF($T113&lt;=0,1,0),IF($F113="↓",IFERROR($G113/$T113,0),IFERROR($T113/$G113,0))))))</f>
        <v/>
      </c>
      <c r="V113" s="51">
        <f>IF($U113="","⏳ بانتظار هدف",IF($U113&gt;=1.0,"✅ محقق",IF($U113&gt;=0.85,"🟡 قريب","🔴 تحت الهدف")))</f>
        <v/>
      </c>
      <c r="W113" s="60">
        <f>IF($G113="","",$G113)</f>
        <v/>
      </c>
      <c r="X113" s="51">
        <f>IF($U113="","—",IF($U113&gt;=0.85,"🟢 على المسار","🟠 متأخّر"))</f>
        <v/>
      </c>
    </row>
    <row r="114" ht="22" customHeight="1">
      <c r="A114" s="51" t="n">
        <v>111</v>
      </c>
      <c r="B114" s="13" t="inlineStr">
        <is>
          <t>إدارة المشاريع</t>
        </is>
      </c>
      <c r="C114" s="11" t="inlineStr">
        <is>
          <t>متوسط مدة إغلاق قائمة الملاحظات النهائية</t>
        </is>
      </c>
      <c r="D114" s="15" t="inlineStr">
        <is>
          <t>شهري</t>
        </is>
      </c>
      <c r="E114" s="15" t="inlineStr">
        <is>
          <t>معدل</t>
        </is>
      </c>
      <c r="F114" s="46" t="inlineStr">
        <is>
          <t>↓</t>
        </is>
      </c>
      <c r="G114" s="62" t="n">
        <v>30</v>
      </c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4">
        <f>IF(COUNT($H114:$S114)=0,"",SUM($H114:$S114)/COUNT($H114:$S114))</f>
        <v/>
      </c>
      <c r="U114" s="47">
        <f>IF($G114="","",IF($T114="","",MIN(1,IF($G114=0,IF($T114&lt;=0,1,0),IF($F114="↓",IFERROR($G114/$T114,0),IFERROR($T114/$G114,0))))))</f>
        <v/>
      </c>
      <c r="V114" s="51">
        <f>IF($U114="","⏳ بانتظار هدف",IF($U114&gt;=1.0,"✅ محقق",IF($U114&gt;=0.85,"🟡 قريب","🔴 تحت الهدف")))</f>
        <v/>
      </c>
      <c r="W114" s="65">
        <f>IF($G114="","",$G114)</f>
        <v/>
      </c>
      <c r="X114" s="51">
        <f>IF($U114="","—",IF($U114&gt;=0.85,"🟢 على المسار","🟠 متأخّر"))</f>
        <v/>
      </c>
    </row>
    <row r="115" ht="22" customHeight="1">
      <c r="A115" s="51" t="n">
        <v>112</v>
      </c>
      <c r="B115" s="13" t="inlineStr">
        <is>
          <t>سلاسل الإمداد</t>
        </is>
      </c>
      <c r="C115" s="11" t="inlineStr">
        <is>
          <t>عدد انقطاعات الوقود الشهرية</t>
        </is>
      </c>
      <c r="D115" s="15" t="inlineStr">
        <is>
          <t>شهري</t>
        </is>
      </c>
      <c r="E115" s="15" t="inlineStr">
        <is>
          <t>تراكمي</t>
        </is>
      </c>
      <c r="F115" s="46" t="inlineStr">
        <is>
          <t>↓</t>
        </is>
      </c>
      <c r="G115" s="52" t="n">
        <v>0</v>
      </c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4">
        <f>IF(COUNT($H115:$S115)=0,"",SUM($H115:$S115))</f>
        <v/>
      </c>
      <c r="U115" s="47">
        <f>IF($G115="","",IF($T115="","",MIN(1,IF($G115=0,IF($T115&lt;=0,1,0),IF($F115="↓",IFERROR($G115/$T115,0),IFERROR($T115/$G115,0))))))</f>
        <v/>
      </c>
      <c r="V115" s="51">
        <f>IF($U115="","⏳ بانتظار هدف",IF($U115&gt;=1.0,"✅ محقق",IF($U115&gt;=0.85,"🟡 قريب","🔴 تحت الهدف")))</f>
        <v/>
      </c>
      <c r="W115" s="55">
        <f>IF($G115="","",$G115*COUNT($H115:$S115)/12)</f>
        <v/>
      </c>
      <c r="X115" s="51">
        <f>IF($U115="","—",IF($U115&gt;=COUNT($H115:$S115)/12,"🟢 على المسار","🟠 متأخّر"))</f>
        <v/>
      </c>
    </row>
    <row r="116" ht="22" customHeight="1">
      <c r="A116" s="51" t="n">
        <v>113</v>
      </c>
      <c r="B116" s="13" t="inlineStr">
        <is>
          <t>سلاسل الإمداد</t>
        </is>
      </c>
      <c r="C116" s="11" t="inlineStr">
        <is>
          <t>نسبة توفّر المواد المخزنية (تسليم ≤ 3 أيام)</t>
        </is>
      </c>
      <c r="D116" s="15" t="inlineStr">
        <is>
          <t>شهري</t>
        </is>
      </c>
      <c r="E116" s="15" t="inlineStr">
        <is>
          <t>معدل</t>
        </is>
      </c>
      <c r="F116" s="46" t="inlineStr">
        <is>
          <t>↑</t>
        </is>
      </c>
      <c r="G116" s="61" t="n">
        <v>1</v>
      </c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47">
        <f>IF(COUNT($H116:$S116)=0,"",SUM($H116:$S116)/COUNT($H116:$S116))</f>
        <v/>
      </c>
      <c r="U116" s="47">
        <f>IF($G116="","",IF($T116="","",MIN(1,IF($G116=0,IF($T116&lt;=0,1,0),IF($F116="↓",IFERROR($G116/$T116,0),IFERROR($T116/$G116,0))))))</f>
        <v/>
      </c>
      <c r="V116" s="51">
        <f>IF($U116="","⏳ بانتظار هدف",IF($U116&gt;=1.0,"✅ محقق",IF($U116&gt;=0.85,"🟡 قريب","🔴 تحت الهدف")))</f>
        <v/>
      </c>
      <c r="W116" s="60">
        <f>IF($G116="","",$G116)</f>
        <v/>
      </c>
      <c r="X116" s="51">
        <f>IF($U116="","—",IF($U116&gt;=0.85,"🟢 على المسار","🟠 متأخّر"))</f>
        <v/>
      </c>
    </row>
    <row r="117" ht="22" customHeight="1">
      <c r="A117" s="51" t="n">
        <v>114</v>
      </c>
      <c r="B117" s="13" t="inlineStr">
        <is>
          <t>سلاسل الإمداد</t>
        </is>
      </c>
      <c r="C117" s="11" t="inlineStr">
        <is>
          <t>نسبة إصدار أوامر الشراء خلال ≤ 5 أيام عمل</t>
        </is>
      </c>
      <c r="D117" s="15" t="inlineStr">
        <is>
          <t>شهري</t>
        </is>
      </c>
      <c r="E117" s="15" t="inlineStr">
        <is>
          <t>معدل</t>
        </is>
      </c>
      <c r="F117" s="46" t="inlineStr">
        <is>
          <t>↑</t>
        </is>
      </c>
      <c r="G117" s="61" t="n">
        <v>0.95</v>
      </c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47">
        <f>IF(COUNT($H117:$S117)=0,"",SUM($H117:$S117)/COUNT($H117:$S117))</f>
        <v/>
      </c>
      <c r="U117" s="47">
        <f>IF($G117="","",IF($T117="","",MIN(1,IF($G117=0,IF($T117&lt;=0,1,0),IF($F117="↓",IFERROR($G117/$T117,0),IFERROR($T117/$G117,0))))))</f>
        <v/>
      </c>
      <c r="V117" s="51">
        <f>IF($U117="","⏳ بانتظار هدف",IF($U117&gt;=1.0,"✅ محقق",IF($U117&gt;=0.85,"🟡 قريب","🔴 تحت الهدف")))</f>
        <v/>
      </c>
      <c r="W117" s="60">
        <f>IF($G117="","",$G117)</f>
        <v/>
      </c>
      <c r="X117" s="51">
        <f>IF($U117="","—",IF($U117&gt;=0.85,"🟢 على المسار","🟠 متأخّر"))</f>
        <v/>
      </c>
    </row>
    <row r="118" ht="22" customHeight="1">
      <c r="A118" s="51" t="n">
        <v>115</v>
      </c>
      <c r="B118" s="13" t="inlineStr">
        <is>
          <t>سلاسل الإمداد</t>
        </is>
      </c>
      <c r="C118" s="11" t="inlineStr">
        <is>
          <t>نسبة استيفاء طلبات المحطات (Fill Rate)</t>
        </is>
      </c>
      <c r="D118" s="15" t="inlineStr">
        <is>
          <t>شهري</t>
        </is>
      </c>
      <c r="E118" s="15" t="inlineStr">
        <is>
          <t>معدل</t>
        </is>
      </c>
      <c r="F118" s="46" t="inlineStr">
        <is>
          <t>↑</t>
        </is>
      </c>
      <c r="G118" s="61" t="n">
        <v>0.98</v>
      </c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47">
        <f>IF(COUNT($H118:$S118)=0,"",SUM($H118:$S118)/COUNT($H118:$S118))</f>
        <v/>
      </c>
      <c r="U118" s="47">
        <f>IF($G118="","",IF($T118="","",MIN(1,IF($G118=0,IF($T118&lt;=0,1,0),IF($F118="↓",IFERROR($G118/$T118,0),IFERROR($T118/$G118,0))))))</f>
        <v/>
      </c>
      <c r="V118" s="51">
        <f>IF($U118="","⏳ بانتظار هدف",IF($U118&gt;=1.0,"✅ محقق",IF($U118&gt;=0.85,"🟡 قريب","🔴 تحت الهدف")))</f>
        <v/>
      </c>
      <c r="W118" s="60">
        <f>IF($G118="","",$G118)</f>
        <v/>
      </c>
      <c r="X118" s="51">
        <f>IF($U118="","—",IF($U118&gt;=0.85,"🟢 على المسار","🟠 متأخّر"))</f>
        <v/>
      </c>
    </row>
    <row r="119" ht="22" customHeight="1">
      <c r="A119" s="51" t="n">
        <v>116</v>
      </c>
      <c r="B119" s="13" t="inlineStr">
        <is>
          <t>سلاسل الإمداد</t>
        </is>
      </c>
      <c r="C119" s="11" t="inlineStr">
        <is>
          <t>فاقد الوقود لكل 33 ألف لتر</t>
        </is>
      </c>
      <c r="D119" s="15" t="inlineStr">
        <is>
          <t>شهري</t>
        </is>
      </c>
      <c r="E119" s="15" t="inlineStr">
        <is>
          <t>معدل</t>
        </is>
      </c>
      <c r="F119" s="46" t="inlineStr">
        <is>
          <t>↓</t>
        </is>
      </c>
      <c r="G119" s="52" t="n">
        <v>100</v>
      </c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4">
        <f>IF(COUNT($H119:$S119)=0,"",SUM($H119:$S119)/COUNT($H119:$S119))</f>
        <v/>
      </c>
      <c r="U119" s="47">
        <f>IF($G119="","",IF($T119="","",MIN(1,IF($G119=0,IF($T119&lt;=0,1,0),IF($F119="↓",IFERROR($G119/$T119,0),IFERROR($T119/$G119,0))))))</f>
        <v/>
      </c>
      <c r="V119" s="51">
        <f>IF($U119="","⏳ بانتظار هدف",IF($U119&gt;=1.0,"✅ محقق",IF($U119&gt;=0.85,"🟡 قريب","🔴 تحت الهدف")))</f>
        <v/>
      </c>
      <c r="W119" s="55">
        <f>IF($G119="","",$G119)</f>
        <v/>
      </c>
      <c r="X119" s="51">
        <f>IF($U119="","—",IF($U119&gt;=0.85,"🟢 على المسار","🟠 متأخّر"))</f>
        <v/>
      </c>
    </row>
    <row r="120" ht="22" customHeight="1">
      <c r="A120" s="51" t="n">
        <v>117</v>
      </c>
      <c r="B120" s="13" t="inlineStr">
        <is>
          <t>سلاسل الإمداد</t>
        </is>
      </c>
      <c r="C120" s="11" t="inlineStr">
        <is>
          <t>نسبة المواد التالفة من المخزون</t>
        </is>
      </c>
      <c r="D120" s="15" t="inlineStr">
        <is>
          <t>شهري</t>
        </is>
      </c>
      <c r="E120" s="15" t="inlineStr">
        <is>
          <t>معدل</t>
        </is>
      </c>
      <c r="F120" s="46" t="inlineStr">
        <is>
          <t>↓</t>
        </is>
      </c>
      <c r="G120" s="61" t="n">
        <v>0.02</v>
      </c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47">
        <f>IF(COUNT($H120:$S120)=0,"",SUM($H120:$S120)/COUNT($H120:$S120))</f>
        <v/>
      </c>
      <c r="U120" s="47">
        <f>IF($G120="","",IF($T120="","",MIN(1,IF($G120=0,IF($T120&lt;=0,1,0),IF($F120="↓",IFERROR($G120/$T120,0),IFERROR($T120/$G120,0))))))</f>
        <v/>
      </c>
      <c r="V120" s="51">
        <f>IF($U120="","⏳ بانتظار هدف",IF($U120&gt;=1.0,"✅ محقق",IF($U120&gt;=0.85,"🟡 قريب","🔴 تحت الهدف")))</f>
        <v/>
      </c>
      <c r="W120" s="60">
        <f>IF($G120="","",$G120)</f>
        <v/>
      </c>
      <c r="X120" s="51">
        <f>IF($U120="","—",IF($U120&gt;=0.85,"🟢 على المسار","🟠 متأخّر"))</f>
        <v/>
      </c>
    </row>
    <row r="121" ht="22" customHeight="1">
      <c r="A121" s="51" t="n">
        <v>118</v>
      </c>
      <c r="B121" s="13" t="inlineStr">
        <is>
          <t>سلاسل الإمداد</t>
        </is>
      </c>
      <c r="C121" s="11" t="inlineStr">
        <is>
          <t>تغطية مخزون الوقود (أيام)</t>
        </is>
      </c>
      <c r="D121" s="15" t="inlineStr">
        <is>
          <t>شهري</t>
        </is>
      </c>
      <c r="E121" s="15" t="inlineStr">
        <is>
          <t>معدل</t>
        </is>
      </c>
      <c r="F121" s="46" t="inlineStr">
        <is>
          <t>↓</t>
        </is>
      </c>
      <c r="G121" s="62" t="n">
        <v>3</v>
      </c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4">
        <f>IF(COUNT($H121:$S121)=0,"",SUM($H121:$S121)/COUNT($H121:$S121))</f>
        <v/>
      </c>
      <c r="U121" s="47">
        <f>IF($G121="","",IF($T121="","",MIN(1,IF($G121=0,IF($T121&lt;=0,1,0),IF($F121="↓",IFERROR($G121/$T121,0),IFERROR($T121/$G121,0))))))</f>
        <v/>
      </c>
      <c r="V121" s="51">
        <f>IF($U121="","⏳ بانتظار هدف",IF($U121&gt;=1.0,"✅ محقق",IF($U121&gt;=0.85,"🟡 قريب","🔴 تحت الهدف")))</f>
        <v/>
      </c>
      <c r="W121" s="65">
        <f>IF($G121="","",$G121)</f>
        <v/>
      </c>
      <c r="X121" s="51">
        <f>IF($U121="","—",IF($U121&gt;=0.85,"🟢 على المسار","🟠 متأخّر"))</f>
        <v/>
      </c>
    </row>
    <row r="122" ht="22" customHeight="1">
      <c r="A122" s="51" t="n">
        <v>119</v>
      </c>
      <c r="B122" s="13" t="inlineStr">
        <is>
          <t>سلاسل الإمداد</t>
        </is>
      </c>
      <c r="C122" s="11" t="inlineStr">
        <is>
          <t>نسبة التزام جدول النقل (On-Time)</t>
        </is>
      </c>
      <c r="D122" s="15" t="inlineStr">
        <is>
          <t>شهري</t>
        </is>
      </c>
      <c r="E122" s="15" t="inlineStr">
        <is>
          <t>معدل</t>
        </is>
      </c>
      <c r="F122" s="46" t="inlineStr">
        <is>
          <t>↑</t>
        </is>
      </c>
      <c r="G122" s="61" t="n">
        <v>0.95</v>
      </c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47">
        <f>IF(COUNT($H122:$S122)=0,"",SUM($H122:$S122)/COUNT($H122:$S122))</f>
        <v/>
      </c>
      <c r="U122" s="47">
        <f>IF($G122="","",IF($T122="","",MIN(1,IF($G122=0,IF($T122&lt;=0,1,0),IF($F122="↓",IFERROR($G122/$T122,0),IFERROR($T122/$G122,0))))))</f>
        <v/>
      </c>
      <c r="V122" s="51">
        <f>IF($U122="","⏳ بانتظار هدف",IF($U122&gt;=1.0,"✅ محقق",IF($U122&gt;=0.85,"🟡 قريب","🔴 تحت الهدف")))</f>
        <v/>
      </c>
      <c r="W122" s="60">
        <f>IF($G122="","",$G122)</f>
        <v/>
      </c>
      <c r="X122" s="51">
        <f>IF($U122="","—",IF($U122&gt;=0.85,"🟢 على المسار","🟠 متأخّر"))</f>
        <v/>
      </c>
    </row>
    <row r="123" ht="22" customHeight="1">
      <c r="A123" s="51" t="n">
        <v>120</v>
      </c>
      <c r="B123" s="13" t="inlineStr">
        <is>
          <t>سلاسل الإمداد</t>
        </is>
      </c>
      <c r="C123" s="11" t="inlineStr">
        <is>
          <t>نسبة استخدام الأسطول المملوك</t>
        </is>
      </c>
      <c r="D123" s="15" t="inlineStr">
        <is>
          <t>شهري</t>
        </is>
      </c>
      <c r="E123" s="15" t="inlineStr">
        <is>
          <t>معدل</t>
        </is>
      </c>
      <c r="F123" s="46" t="inlineStr">
        <is>
          <t>↑</t>
        </is>
      </c>
      <c r="G123" s="61" t="n">
        <v>0.6</v>
      </c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47">
        <f>IF(COUNT($H123:$S123)=0,"",SUM($H123:$S123)/COUNT($H123:$S123))</f>
        <v/>
      </c>
      <c r="U123" s="47">
        <f>IF($G123="","",IF($T123="","",MIN(1,IF($G123=0,IF($T123&lt;=0,1,0),IF($F123="↓",IFERROR($G123/$T123,0),IFERROR($T123/$G123,0))))))</f>
        <v/>
      </c>
      <c r="V123" s="51">
        <f>IF($U123="","⏳ بانتظار هدف",IF($U123&gt;=1.0,"✅ محقق",IF($U123&gt;=0.85,"🟡 قريب","🔴 تحت الهدف")))</f>
        <v/>
      </c>
      <c r="W123" s="60">
        <f>IF($G123="","",$G123)</f>
        <v/>
      </c>
      <c r="X123" s="51">
        <f>IF($U123="","—",IF($U123&gt;=0.85,"🟢 على المسار","🟠 متأخّر"))</f>
        <v/>
      </c>
    </row>
    <row r="124" ht="22" customHeight="1">
      <c r="A124" s="51" t="n">
        <v>121</v>
      </c>
      <c r="B124" s="13" t="inlineStr">
        <is>
          <t>التقنية الرقمية</t>
        </is>
      </c>
      <c r="C124" s="11" t="inlineStr">
        <is>
          <t>نسبة إنجاز محفظة مشاريع التحول الرقمي</t>
        </is>
      </c>
      <c r="D124" s="15" t="inlineStr">
        <is>
          <t>شهري</t>
        </is>
      </c>
      <c r="E124" s="15" t="inlineStr">
        <is>
          <t>لقطة</t>
        </is>
      </c>
      <c r="F124" s="46" t="inlineStr">
        <is>
          <t>↑</t>
        </is>
      </c>
      <c r="G124" s="61" t="n">
        <v>1</v>
      </c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47">
        <f>IFERROR(LOOKUP(2,1/($H124:$S124&lt;&gt;""),$H124:$S124),"")</f>
        <v/>
      </c>
      <c r="U124" s="47">
        <f>IF($G124="","",IF($T124="","",MIN(1,IF($G124=0,IF($T124&lt;=0,1,0),IF($F124="↓",IFERROR($G124/$T124,0),IFERROR($T124/$G124,0))))))</f>
        <v/>
      </c>
      <c r="V124" s="51">
        <f>IF($U124="","⏳ بانتظار هدف",IF($U124&gt;=1.0,"✅ محقق",IF($U124&gt;=0.85,"🟡 قريب","🔴 تحت الهدف")))</f>
        <v/>
      </c>
      <c r="W124" s="60">
        <f>IF($G124="","",$G124)</f>
        <v/>
      </c>
      <c r="X124" s="51">
        <f>IF($U124="","—",IF($U124&gt;=0.85,"🟢 على المسار","🟠 متأخّر"))</f>
        <v/>
      </c>
    </row>
    <row r="125" ht="22" customHeight="1">
      <c r="A125" s="51" t="n">
        <v>122</v>
      </c>
      <c r="B125" s="13" t="inlineStr">
        <is>
          <t>التقنية الرقمية</t>
        </is>
      </c>
      <c r="C125" s="11" t="inlineStr">
        <is>
          <t>معدل تسليم المشاريع في الموعد المحدد</t>
        </is>
      </c>
      <c r="D125" s="15" t="inlineStr">
        <is>
          <t>شهري</t>
        </is>
      </c>
      <c r="E125" s="15" t="inlineStr">
        <is>
          <t>معدل</t>
        </is>
      </c>
      <c r="F125" s="46" t="inlineStr">
        <is>
          <t>↑</t>
        </is>
      </c>
      <c r="G125" s="61" t="n">
        <v>0.9</v>
      </c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47">
        <f>IF(COUNT($H125:$S125)=0,"",SUM($H125:$S125)/COUNT($H125:$S125))</f>
        <v/>
      </c>
      <c r="U125" s="47">
        <f>IF($G125="","",IF($T125="","",MIN(1,IF($G125=0,IF($T125&lt;=0,1,0),IF($F125="↓",IFERROR($G125/$T125,0),IFERROR($T125/$G125,0))))))</f>
        <v/>
      </c>
      <c r="V125" s="51">
        <f>IF($U125="","⏳ بانتظار هدف",IF($U125&gt;=1.0,"✅ محقق",IF($U125&gt;=0.85,"🟡 قريب","🔴 تحت الهدف")))</f>
        <v/>
      </c>
      <c r="W125" s="60">
        <f>IF($G125="","",$G125)</f>
        <v/>
      </c>
      <c r="X125" s="51">
        <f>IF($U125="","—",IF($U125&gt;=0.85,"🟢 على المسار","🟠 متأخّر"))</f>
        <v/>
      </c>
    </row>
    <row r="126" ht="22" customHeight="1">
      <c r="A126" s="51" t="n">
        <v>123</v>
      </c>
      <c r="B126" s="13" t="inlineStr">
        <is>
          <t>التقنية الرقمية</t>
        </is>
      </c>
      <c r="C126" s="11" t="inlineStr">
        <is>
          <t>نسبة الالتزام بميزانية المشاريع</t>
        </is>
      </c>
      <c r="D126" s="15" t="inlineStr">
        <is>
          <t>شهري</t>
        </is>
      </c>
      <c r="E126" s="15" t="inlineStr">
        <is>
          <t>معدل</t>
        </is>
      </c>
      <c r="F126" s="46" t="inlineStr">
        <is>
          <t>↑</t>
        </is>
      </c>
      <c r="G126" s="61" t="n">
        <v>0.95</v>
      </c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47">
        <f>IF(COUNT($H126:$S126)=0,"",SUM($H126:$S126)/COUNT($H126:$S126))</f>
        <v/>
      </c>
      <c r="U126" s="47">
        <f>IF($G126="","",IF($T126="","",MIN(1,IF($G126=0,IF($T126&lt;=0,1,0),IF($F126="↓",IFERROR($G126/$T126,0),IFERROR($T126/$G126,0))))))</f>
        <v/>
      </c>
      <c r="V126" s="51">
        <f>IF($U126="","⏳ بانتظار هدف",IF($U126&gt;=1.0,"✅ محقق",IF($U126&gt;=0.85,"🟡 قريب","🔴 تحت الهدف")))</f>
        <v/>
      </c>
      <c r="W126" s="60">
        <f>IF($G126="","",$G126)</f>
        <v/>
      </c>
      <c r="X126" s="51">
        <f>IF($U126="","—",IF($U126&gt;=0.85,"🟢 على المسار","🟠 متأخّر"))</f>
        <v/>
      </c>
    </row>
    <row r="127" ht="22" customHeight="1">
      <c r="A127" s="51" t="n">
        <v>124</v>
      </c>
      <c r="B127" s="13" t="inlineStr">
        <is>
          <t>التقنية الرقمية</t>
        </is>
      </c>
      <c r="C127" s="11" t="inlineStr">
        <is>
          <t>نسبة الالتزام بنطاق العمل</t>
        </is>
      </c>
      <c r="D127" s="15" t="inlineStr">
        <is>
          <t>شهري</t>
        </is>
      </c>
      <c r="E127" s="15" t="inlineStr">
        <is>
          <t>لقطة</t>
        </is>
      </c>
      <c r="F127" s="46" t="inlineStr">
        <is>
          <t>↑</t>
        </is>
      </c>
      <c r="G127" s="61" t="n">
        <v>0.95</v>
      </c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47">
        <f>IFERROR(LOOKUP(2,1/($H127:$S127&lt;&gt;""),$H127:$S127),"")</f>
        <v/>
      </c>
      <c r="U127" s="47">
        <f>IF($G127="","",IF($T127="","",MIN(1,IF($G127=0,IF($T127&lt;=0,1,0),IF($F127="↓",IFERROR($G127/$T127,0),IFERROR($T127/$G127,0))))))</f>
        <v/>
      </c>
      <c r="V127" s="51">
        <f>IF($U127="","⏳ بانتظار هدف",IF($U127&gt;=1.0,"✅ محقق",IF($U127&gt;=0.85,"🟡 قريب","🔴 تحت الهدف")))</f>
        <v/>
      </c>
      <c r="W127" s="60">
        <f>IF($G127="","",$G127)</f>
        <v/>
      </c>
      <c r="X127" s="51">
        <f>IF($U127="","—",IF($U127&gt;=0.85,"🟢 على المسار","🟠 متأخّر"))</f>
        <v/>
      </c>
    </row>
    <row r="128" ht="22" customHeight="1">
      <c r="A128" s="51" t="n">
        <v>125</v>
      </c>
      <c r="B128" s="13" t="inlineStr">
        <is>
          <t>التقنية الرقمية</t>
        </is>
      </c>
      <c r="C128" s="11" t="inlineStr">
        <is>
          <t>نسبة تفعيل الأنظمة الأساسية بالمحطات</t>
        </is>
      </c>
      <c r="D128" s="15" t="inlineStr">
        <is>
          <t>شهري</t>
        </is>
      </c>
      <c r="E128" s="15" t="inlineStr">
        <is>
          <t>لقطة</t>
        </is>
      </c>
      <c r="F128" s="46" t="inlineStr">
        <is>
          <t>↑</t>
        </is>
      </c>
      <c r="G128" s="61" t="n">
        <v>1</v>
      </c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47">
        <f>IFERROR(LOOKUP(2,1/($H128:$S128&lt;&gt;""),$H128:$S128),"")</f>
        <v/>
      </c>
      <c r="U128" s="47">
        <f>IF($G128="","",IF($T128="","",MIN(1,IF($G128=0,IF($T128&lt;=0,1,0),IF($F128="↓",IFERROR($G128/$T128,0),IFERROR($T128/$G128,0))))))</f>
        <v/>
      </c>
      <c r="V128" s="51">
        <f>IF($U128="","⏳ بانتظار هدف",IF($U128&gt;=1.0,"✅ محقق",IF($U128&gt;=0.85,"🟡 قريب","🔴 تحت الهدف")))</f>
        <v/>
      </c>
      <c r="W128" s="60">
        <f>IF($G128="","",$G128)</f>
        <v/>
      </c>
      <c r="X128" s="51">
        <f>IF($U128="","—",IF($U128&gt;=0.85,"🟢 على المسار","🟠 متأخّر"))</f>
        <v/>
      </c>
    </row>
    <row r="129" ht="22" customHeight="1">
      <c r="A129" s="51" t="n">
        <v>126</v>
      </c>
      <c r="B129" s="13" t="inlineStr">
        <is>
          <t>التقنية الرقمية</t>
        </is>
      </c>
      <c r="C129" s="11" t="inlineStr">
        <is>
          <t>متوسط جاهزية أنظمة المركز الرئيسي (Uptime)</t>
        </is>
      </c>
      <c r="D129" s="15" t="inlineStr">
        <is>
          <t>شهري</t>
        </is>
      </c>
      <c r="E129" s="15" t="inlineStr">
        <is>
          <t>معدل</t>
        </is>
      </c>
      <c r="F129" s="46" t="inlineStr">
        <is>
          <t>↑</t>
        </is>
      </c>
      <c r="G129" s="61" t="n">
        <v>0.99</v>
      </c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47">
        <f>IF(COUNT($H129:$S129)=0,"",SUM($H129:$S129)/COUNT($H129:$S129))</f>
        <v/>
      </c>
      <c r="U129" s="47">
        <f>IF($G129="","",IF($T129="","",MIN(1,IF($G129=0,IF($T129&lt;=0,1,0),IF($F129="↓",IFERROR($G129/$T129,0),IFERROR($T129/$G129,0))))))</f>
        <v/>
      </c>
      <c r="V129" s="51">
        <f>IF($U129="","⏳ بانتظار هدف",IF($U129&gt;=1.0,"✅ محقق",IF($U129&gt;=0.97,"🟡 قريب","🔴 تحت الهدف")))</f>
        <v/>
      </c>
      <c r="W129" s="60">
        <f>IF($G129="","",$G129)</f>
        <v/>
      </c>
      <c r="X129" s="51">
        <f>IF($U129="","—",IF($U129&gt;=0.97,"🟢 على المسار","🟠 متأخّر"))</f>
        <v/>
      </c>
    </row>
    <row r="130" ht="22" customHeight="1">
      <c r="A130" s="51" t="n">
        <v>127</v>
      </c>
      <c r="B130" s="13" t="inlineStr">
        <is>
          <t>التقنية الرقمية</t>
        </is>
      </c>
      <c r="C130" s="11" t="inlineStr">
        <is>
          <t>نسبة الامتثال للأمن السيبراني</t>
        </is>
      </c>
      <c r="D130" s="15" t="inlineStr">
        <is>
          <t>شهري</t>
        </is>
      </c>
      <c r="E130" s="15" t="inlineStr">
        <is>
          <t>لقطة</t>
        </is>
      </c>
      <c r="F130" s="46" t="inlineStr">
        <is>
          <t>↑</t>
        </is>
      </c>
      <c r="G130" s="61" t="n">
        <v>1</v>
      </c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47">
        <f>IFERROR(LOOKUP(2,1/($H130:$S130&lt;&gt;""),$H130:$S130),"")</f>
        <v/>
      </c>
      <c r="U130" s="47">
        <f>IF($G130="","",IF($T130="","",MIN(1,IF($G130=0,IF($T130&lt;=0,1,0),IF($F130="↓",IFERROR($G130/$T130,0),IFERROR($T130/$G130,0))))))</f>
        <v/>
      </c>
      <c r="V130" s="51">
        <f>IF($U130="","⏳ بانتظار هدف",IF($U130&gt;=1.0,"✅ محقق",IF($U130&gt;=0.97,"🟡 قريب","🔴 تحت الهدف")))</f>
        <v/>
      </c>
      <c r="W130" s="60">
        <f>IF($G130="","",$G130)</f>
        <v/>
      </c>
      <c r="X130" s="51">
        <f>IF($U130="","—",IF($U130&gt;=0.97,"🟢 على المسار","🟠 متأخّر"))</f>
        <v/>
      </c>
    </row>
    <row r="131" ht="22" customHeight="1">
      <c r="A131" s="51" t="n">
        <v>128</v>
      </c>
      <c r="B131" s="13" t="inlineStr">
        <is>
          <t>التقنية الرقمية</t>
        </is>
      </c>
      <c r="C131" s="11" t="inlineStr">
        <is>
          <t>متوسط زمن استجابة الدعم الفني</t>
        </is>
      </c>
      <c r="D131" s="15" t="inlineStr">
        <is>
          <t>شهري</t>
        </is>
      </c>
      <c r="E131" s="15" t="inlineStr">
        <is>
          <t>معدل</t>
        </is>
      </c>
      <c r="F131" s="46" t="inlineStr">
        <is>
          <t>↓</t>
        </is>
      </c>
      <c r="G131" s="62" t="n">
        <v>1</v>
      </c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4">
        <f>IF(COUNT($H131:$S131)=0,"",SUM($H131:$S131)/COUNT($H131:$S131))</f>
        <v/>
      </c>
      <c r="U131" s="47">
        <f>IF($G131="","",IF($T131="","",MIN(1,IF($G131=0,IF($T131&lt;=0,1,0),IF($F131="↓",IFERROR($G131/$T131,0),IFERROR($T131/$G131,0))))))</f>
        <v/>
      </c>
      <c r="V131" s="51">
        <f>IF($U131="","⏳ بانتظار هدف",IF($U131&gt;=1.0,"✅ محقق",IF($U131&gt;=0.85,"🟡 قريب","🔴 تحت الهدف")))</f>
        <v/>
      </c>
      <c r="W131" s="65">
        <f>IF($G131="","",$G131)</f>
        <v/>
      </c>
      <c r="X131" s="51">
        <f>IF($U131="","—",IF($U131&gt;=0.85,"🟢 على المسار","🟠 متأخّر"))</f>
        <v/>
      </c>
    </row>
    <row r="132" ht="22" customHeight="1">
      <c r="A132" s="51" t="n">
        <v>129</v>
      </c>
      <c r="B132" s="13" t="inlineStr">
        <is>
          <t>التقنية الرقمية</t>
        </is>
      </c>
      <c r="C132" s="11" t="inlineStr">
        <is>
          <t>نسبة التكامل الرقمي (ERP/واثق/الولاء)</t>
        </is>
      </c>
      <c r="D132" s="15" t="inlineStr">
        <is>
          <t>شهري</t>
        </is>
      </c>
      <c r="E132" s="15" t="inlineStr">
        <is>
          <t>لقطة</t>
        </is>
      </c>
      <c r="F132" s="46" t="inlineStr">
        <is>
          <t>↑</t>
        </is>
      </c>
      <c r="G132" s="61" t="n">
        <v>1</v>
      </c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47">
        <f>IFERROR(LOOKUP(2,1/($H132:$S132&lt;&gt;""),$H132:$S132),"")</f>
        <v/>
      </c>
      <c r="U132" s="47">
        <f>IF($G132="","",IF($T132="","",MIN(1,IF($G132=0,IF($T132&lt;=0,1,0),IF($F132="↓",IFERROR($G132/$T132,0),IFERROR($T132/$G132,0))))))</f>
        <v/>
      </c>
      <c r="V132" s="51">
        <f>IF($U132="","⏳ بانتظار هدف",IF($U132&gt;=1.0,"✅ محقق",IF($U132&gt;=0.85,"🟡 قريب","🔴 تحت الهدف")))</f>
        <v/>
      </c>
      <c r="W132" s="60">
        <f>IF($G132="","",$G132)</f>
        <v/>
      </c>
      <c r="X132" s="51">
        <f>IF($U132="","—",IF($U132&gt;=0.85,"🟢 على المسار","🟠 متأخّر"))</f>
        <v/>
      </c>
    </row>
    <row r="133" ht="22" customHeight="1">
      <c r="A133" s="51" t="n">
        <v>130</v>
      </c>
      <c r="B133" s="13" t="inlineStr">
        <is>
          <t>الموارد البشرية</t>
        </is>
      </c>
      <c r="C133" s="11" t="inlineStr">
        <is>
          <t>نسبة السعودة / التوطين</t>
        </is>
      </c>
      <c r="D133" s="15" t="inlineStr">
        <is>
          <t>شهري</t>
        </is>
      </c>
      <c r="E133" s="15" t="inlineStr">
        <is>
          <t>لقطة</t>
        </is>
      </c>
      <c r="F133" s="46" t="inlineStr">
        <is>
          <t>↑</t>
        </is>
      </c>
      <c r="G133" s="46" t="n"/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47">
        <f>IFERROR(LOOKUP(2,1/($H133:$S133&lt;&gt;""),$H133:$S133),"")</f>
        <v/>
      </c>
      <c r="U133" s="47">
        <f>IF($G133="","",IF($T133="","",MIN(1,IF($G133=0,IF($T133&lt;=0,1,0),IF($F133="↓",IFERROR($G133/$T133,0),IFERROR($T133/$G133,0))))))</f>
        <v/>
      </c>
      <c r="V133" s="51">
        <f>IF($U133="","⏳ بانتظار هدف",IF($U133&gt;=1.0,"✅ محقق",IF($U133&gt;=0.85,"🟡 قريب","🔴 تحت الهدف")))</f>
        <v/>
      </c>
      <c r="W133" s="60">
        <f>IF($G133="","",$G133)</f>
        <v/>
      </c>
      <c r="X133" s="51">
        <f>IF($U133="","—",IF($U133&gt;=0.85,"🟢 على المسار","🟠 متأخّر"))</f>
        <v/>
      </c>
    </row>
    <row r="134" ht="22" customHeight="1">
      <c r="A134" s="51" t="n">
        <v>131</v>
      </c>
      <c r="B134" s="13" t="inlineStr">
        <is>
          <t>الموارد البشرية</t>
        </is>
      </c>
      <c r="C134" s="11" t="inlineStr">
        <is>
          <t>الارتقاء بآليات اختيار المرشحين</t>
        </is>
      </c>
      <c r="D134" s="15" t="inlineStr">
        <is>
          <t>شهري</t>
        </is>
      </c>
      <c r="E134" s="15" t="inlineStr">
        <is>
          <t>لقطة</t>
        </is>
      </c>
      <c r="F134" s="46" t="inlineStr">
        <is>
          <t>↑</t>
        </is>
      </c>
      <c r="G134" s="61" t="n">
        <v>1</v>
      </c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47">
        <f>IFERROR(LOOKUP(2,1/($H134:$S134&lt;&gt;""),$H134:$S134),"")</f>
        <v/>
      </c>
      <c r="U134" s="47">
        <f>IF($G134="","",IF($T134="","",MIN(1,IF($G134=0,IF($T134&lt;=0,1,0),IF($F134="↓",IFERROR($G134/$T134,0),IFERROR($T134/$G134,0))))))</f>
        <v/>
      </c>
      <c r="V134" s="51">
        <f>IF($U134="","⏳ بانتظار هدف",IF($U134&gt;=1.0,"✅ محقق",IF($U134&gt;=0.85,"🟡 قريب","🔴 تحت الهدف")))</f>
        <v/>
      </c>
      <c r="W134" s="60">
        <f>IF($G134="","",$G134)</f>
        <v/>
      </c>
      <c r="X134" s="51">
        <f>IF($U134="","—",IF($U134&gt;=0.85,"🟢 على المسار","🟠 متأخّر"))</f>
        <v/>
      </c>
    </row>
    <row r="135" ht="22" customHeight="1">
      <c r="A135" s="51" t="n">
        <v>132</v>
      </c>
      <c r="B135" s="13" t="inlineStr">
        <is>
          <t>الموارد البشرية</t>
        </is>
      </c>
      <c r="C135" s="11" t="inlineStr">
        <is>
          <t>نسبة شغل الشواغر خلال 30 يوم</t>
        </is>
      </c>
      <c r="D135" s="15" t="inlineStr">
        <is>
          <t>شهري</t>
        </is>
      </c>
      <c r="E135" s="15" t="inlineStr">
        <is>
          <t>معدل</t>
        </is>
      </c>
      <c r="F135" s="46" t="inlineStr">
        <is>
          <t>↑</t>
        </is>
      </c>
      <c r="G135" s="61" t="n">
        <v>0.85</v>
      </c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47">
        <f>IF(COUNT($H135:$S135)=0,"",SUM($H135:$S135)/COUNT($H135:$S135))</f>
        <v/>
      </c>
      <c r="U135" s="47">
        <f>IF($G135="","",IF($T135="","",MIN(1,IF($G135=0,IF($T135&lt;=0,1,0),IF($F135="↓",IFERROR($G135/$T135,0),IFERROR($T135/$G135,0))))))</f>
        <v/>
      </c>
      <c r="V135" s="51">
        <f>IF($U135="","⏳ بانتظار هدف",IF($U135&gt;=1.0,"✅ محقق",IF($U135&gt;=0.85,"🟡 قريب","🔴 تحت الهدف")))</f>
        <v/>
      </c>
      <c r="W135" s="60">
        <f>IF($G135="","",$G135)</f>
        <v/>
      </c>
      <c r="X135" s="51">
        <f>IF($U135="","—",IF($U135&gt;=0.85,"🟢 على المسار","🟠 متأخّر"))</f>
        <v/>
      </c>
    </row>
    <row r="136" ht="22" customHeight="1">
      <c r="A136" s="51" t="n">
        <v>133</v>
      </c>
      <c r="B136" s="13" t="inlineStr">
        <is>
          <t>الموارد البشرية</t>
        </is>
      </c>
      <c r="C136" s="11" t="inlineStr">
        <is>
          <t>معدل استبقاء الموظفين (Retention)</t>
        </is>
      </c>
      <c r="D136" s="15" t="inlineStr">
        <is>
          <t>شهري</t>
        </is>
      </c>
      <c r="E136" s="15" t="inlineStr">
        <is>
          <t>لقطة</t>
        </is>
      </c>
      <c r="F136" s="46" t="inlineStr">
        <is>
          <t>↑</t>
        </is>
      </c>
      <c r="G136" s="61" t="n">
        <v>0.9</v>
      </c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47">
        <f>IFERROR(LOOKUP(2,1/($H136:$S136&lt;&gt;""),$H136:$S136),"")</f>
        <v/>
      </c>
      <c r="U136" s="47">
        <f>IF($G136="","",IF($T136="","",MIN(1,IF($G136=0,IF($T136&lt;=0,1,0),IF($F136="↓",IFERROR($G136/$T136,0),IFERROR($T136/$G136,0))))))</f>
        <v/>
      </c>
      <c r="V136" s="51">
        <f>IF($U136="","⏳ بانتظار هدف",IF($U136&gt;=1.0,"✅ محقق",IF($U136&gt;=0.85,"🟡 قريب","🔴 تحت الهدف")))</f>
        <v/>
      </c>
      <c r="W136" s="60">
        <f>IF($G136="","",$G136)</f>
        <v/>
      </c>
      <c r="X136" s="51">
        <f>IF($U136="","—",IF($U136&gt;=0.85,"🟢 على المسار","🟠 متأخّر"))</f>
        <v/>
      </c>
    </row>
    <row r="137" ht="22" customHeight="1">
      <c r="A137" s="51" t="n">
        <v>134</v>
      </c>
      <c r="B137" s="13" t="inlineStr">
        <is>
          <t>الموارد البشرية</t>
        </is>
      </c>
      <c r="C137" s="11" t="inlineStr">
        <is>
          <t>معدل دوران الموظفين (Turnover)</t>
        </is>
      </c>
      <c r="D137" s="15" t="inlineStr">
        <is>
          <t>شهري</t>
        </is>
      </c>
      <c r="E137" s="15" t="inlineStr">
        <is>
          <t>معدل</t>
        </is>
      </c>
      <c r="F137" s="46" t="inlineStr">
        <is>
          <t>↓</t>
        </is>
      </c>
      <c r="G137" s="61" t="n">
        <v>0.1</v>
      </c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47">
        <f>IF(COUNT($H137:$S137)=0,"",SUM($H137:$S137)/COUNT($H137:$S137))</f>
        <v/>
      </c>
      <c r="U137" s="47">
        <f>IF($G137="","",IF($T137="","",MIN(1,IF($G137=0,IF($T137&lt;=0,1,0),IF($F137="↓",IFERROR($G137/$T137,0),IFERROR($T137/$G137,0))))))</f>
        <v/>
      </c>
      <c r="V137" s="51">
        <f>IF($U137="","⏳ بانتظار هدف",IF($U137&gt;=1.0,"✅ محقق",IF($U137&gt;=0.85,"🟡 قريب","🔴 تحت الهدف")))</f>
        <v/>
      </c>
      <c r="W137" s="60">
        <f>IF($G137="","",$G137)</f>
        <v/>
      </c>
      <c r="X137" s="51">
        <f>IF($U137="","—",IF($U137&gt;=0.85,"🟢 على المسار","🟠 متأخّر"))</f>
        <v/>
      </c>
    </row>
    <row r="138" ht="22" customHeight="1">
      <c r="A138" s="51" t="n">
        <v>135</v>
      </c>
      <c r="B138" s="13" t="inlineStr">
        <is>
          <t>الموارد البشرية</t>
        </is>
      </c>
      <c r="C138" s="11" t="inlineStr">
        <is>
          <t>عدد الدورات الإدارية المنعقدة</t>
        </is>
      </c>
      <c r="D138" s="15" t="inlineStr">
        <is>
          <t>شهري</t>
        </is>
      </c>
      <c r="E138" s="15" t="inlineStr">
        <is>
          <t>تراكمي</t>
        </is>
      </c>
      <c r="F138" s="46" t="inlineStr">
        <is>
          <t>↑</t>
        </is>
      </c>
      <c r="G138" s="52" t="n">
        <v>6</v>
      </c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4">
        <f>IF(COUNT($H138:$S138)=0,"",SUM($H138:$S138))</f>
        <v/>
      </c>
      <c r="U138" s="47">
        <f>IF($G138="","",IF($T138="","",MIN(1,IF($G138=0,IF($T138&lt;=0,1,0),IF($F138="↓",IFERROR($G138/$T138,0),IFERROR($T138/$G138,0))))))</f>
        <v/>
      </c>
      <c r="V138" s="51">
        <f>IF($U138="","⏳ بانتظار هدف",IF($U138&gt;=1.0,"✅ محقق",IF($U138&gt;=0.85,"🟡 قريب","🔴 تحت الهدف")))</f>
        <v/>
      </c>
      <c r="W138" s="55">
        <f>IF($G138="","",$G138*COUNT($H138:$S138)/12)</f>
        <v/>
      </c>
      <c r="X138" s="51">
        <f>IF($U138="","—",IF($U138&gt;=COUNT($H138:$S138)/12,"🟢 على المسار","🟠 متأخّر"))</f>
        <v/>
      </c>
    </row>
    <row r="139" ht="22" customHeight="1">
      <c r="A139" s="51" t="n">
        <v>136</v>
      </c>
      <c r="B139" s="13" t="inlineStr">
        <is>
          <t>الموارد البشرية</t>
        </is>
      </c>
      <c r="C139" s="11" t="inlineStr">
        <is>
          <t>متوسط ساعات التدريب لكل موظف</t>
        </is>
      </c>
      <c r="D139" s="15" t="inlineStr">
        <is>
          <t>شهري</t>
        </is>
      </c>
      <c r="E139" s="15" t="inlineStr">
        <is>
          <t>تراكمي</t>
        </is>
      </c>
      <c r="F139" s="46" t="inlineStr">
        <is>
          <t>↑</t>
        </is>
      </c>
      <c r="G139" s="62" t="n">
        <v>40</v>
      </c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4">
        <f>IF(COUNT($H139:$S139)=0,"",SUM($H139:$S139))</f>
        <v/>
      </c>
      <c r="U139" s="47">
        <f>IF($G139="","",IF($T139="","",MIN(1,IF($G139=0,IF($T139&lt;=0,1,0),IF($F139="↓",IFERROR($G139/$T139,0),IFERROR($T139/$G139,0))))))</f>
        <v/>
      </c>
      <c r="V139" s="51">
        <f>IF($U139="","⏳ بانتظار هدف",IF($U139&gt;=1.0,"✅ محقق",IF($U139&gt;=0.85,"🟡 قريب","🔴 تحت الهدف")))</f>
        <v/>
      </c>
      <c r="W139" s="65">
        <f>IF($G139="","",$G139*COUNT($H139:$S139)/12)</f>
        <v/>
      </c>
      <c r="X139" s="51">
        <f>IF($U139="","—",IF($U139&gt;=COUNT($H139:$S139)/12,"🟢 على المسار","🟠 متأخّر"))</f>
        <v/>
      </c>
    </row>
    <row r="140" ht="22" customHeight="1">
      <c r="A140" s="51" t="n">
        <v>137</v>
      </c>
      <c r="B140" s="13" t="inlineStr">
        <is>
          <t>الموارد البشرية</t>
        </is>
      </c>
      <c r="C140" s="11" t="inlineStr">
        <is>
          <t>نسبة الموظفين المشمولين بخطة تطوير</t>
        </is>
      </c>
      <c r="D140" s="15" t="inlineStr">
        <is>
          <t>شهري</t>
        </is>
      </c>
      <c r="E140" s="15" t="inlineStr">
        <is>
          <t>لقطة</t>
        </is>
      </c>
      <c r="F140" s="46" t="inlineStr">
        <is>
          <t>↑</t>
        </is>
      </c>
      <c r="G140" s="61" t="n">
        <v>0.8</v>
      </c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47">
        <f>IFERROR(LOOKUP(2,1/($H140:$S140&lt;&gt;""),$H140:$S140),"")</f>
        <v/>
      </c>
      <c r="U140" s="47">
        <f>IF($G140="","",IF($T140="","",MIN(1,IF($G140=0,IF($T140&lt;=0,1,0),IF($F140="↓",IFERROR($G140/$T140,0),IFERROR($T140/$G140,0))))))</f>
        <v/>
      </c>
      <c r="V140" s="51">
        <f>IF($U140="","⏳ بانتظار هدف",IF($U140&gt;=1.0,"✅ محقق",IF($U140&gt;=0.85,"🟡 قريب","🔴 تحت الهدف")))</f>
        <v/>
      </c>
      <c r="W140" s="60">
        <f>IF($G140="","",$G140)</f>
        <v/>
      </c>
      <c r="X140" s="51">
        <f>IF($U140="","—",IF($U140&gt;=0.85,"🟢 على المسار","🟠 متأخّر"))</f>
        <v/>
      </c>
    </row>
    <row r="141" ht="22" customHeight="1">
      <c r="A141" s="51" t="n">
        <v>138</v>
      </c>
      <c r="B141" s="13" t="inlineStr">
        <is>
          <t>الموارد البشرية</t>
        </is>
      </c>
      <c r="C141" s="11" t="inlineStr">
        <is>
          <t>مؤشر رضا الموظفين (eNPS)</t>
        </is>
      </c>
      <c r="D141" s="15" t="inlineStr">
        <is>
          <t>ربعي</t>
        </is>
      </c>
      <c r="E141" s="15" t="inlineStr">
        <is>
          <t>معدل</t>
        </is>
      </c>
      <c r="F141" s="46" t="inlineStr">
        <is>
          <t>↑</t>
        </is>
      </c>
      <c r="G141" s="62" t="n">
        <v>30</v>
      </c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4">
        <f>IF(COUNT($H141:$S141)=0,"",SUM($H141:$S141)/COUNT($H141:$S141))</f>
        <v/>
      </c>
      <c r="U141" s="47">
        <f>IF($G141="","",IF($T141="","",MIN(1,IF($G141=0,IF($T141&lt;=0,1,0),IF($F141="↓",IFERROR($G141/$T141,0),IFERROR($T141/$G141,0))))))</f>
        <v/>
      </c>
      <c r="V141" s="51">
        <f>IF($U141="","⏳ بانتظار هدف",IF($U141&gt;=0.9,"✅ محقق",IF($U141&gt;=0.75,"🟡 قريب","🔴 تحت الهدف")))</f>
        <v/>
      </c>
      <c r="W141" s="65">
        <f>IF($G141="","",$G141)</f>
        <v/>
      </c>
      <c r="X141" s="51">
        <f>IF($U141="","—",IF($U141&gt;=0.75,"🟢 على المسار","🟠 متأخّر"))</f>
        <v/>
      </c>
    </row>
    <row r="142" ht="22" customHeight="1">
      <c r="A142" s="51" t="n">
        <v>139</v>
      </c>
      <c r="B142" s="13" t="inlineStr">
        <is>
          <t>الموارد البشرية</t>
        </is>
      </c>
      <c r="C142" s="11" t="inlineStr">
        <is>
          <t>تحسين مستوى الرضا الوظيفي</t>
        </is>
      </c>
      <c r="D142" s="15" t="inlineStr">
        <is>
          <t>ربعي</t>
        </is>
      </c>
      <c r="E142" s="15" t="inlineStr">
        <is>
          <t>معدل</t>
        </is>
      </c>
      <c r="F142" s="46" t="inlineStr">
        <is>
          <t>↑</t>
        </is>
      </c>
      <c r="G142" s="46" t="n"/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47">
        <f>IF(COUNT($H142:$S142)=0,"",SUM($H142:$S142)/COUNT($H142:$S142))</f>
        <v/>
      </c>
      <c r="U142" s="47">
        <f>IF($G142="","",IF($T142="","",MIN(1,IF($G142=0,IF($T142&lt;=0,1,0),IF($F142="↓",IFERROR($G142/$T142,0),IFERROR($T142/$G142,0))))))</f>
        <v/>
      </c>
      <c r="V142" s="51">
        <f>IF($U142="","⏳ بانتظار هدف",IF($U142&gt;=0.9,"✅ محقق",IF($U142&gt;=0.75,"🟡 قريب","🔴 تحت الهدف")))</f>
        <v/>
      </c>
      <c r="W142" s="60">
        <f>IF($G142="","",$G142)</f>
        <v/>
      </c>
      <c r="X142" s="51">
        <f>IF($U142="","—",IF($U142&gt;=0.75,"🟢 على المسار","🟠 متأخّر"))</f>
        <v/>
      </c>
    </row>
    <row r="143" ht="22" customHeight="1">
      <c r="A143" s="51" t="n">
        <v>140</v>
      </c>
      <c r="B143" s="13" t="inlineStr">
        <is>
          <t>الموارد البشرية</t>
        </is>
      </c>
      <c r="C143" s="11" t="inlineStr">
        <is>
          <t>ترسيخ القيم والثقافة المؤسسية</t>
        </is>
      </c>
      <c r="D143" s="15" t="inlineStr">
        <is>
          <t>شهري</t>
        </is>
      </c>
      <c r="E143" s="15" t="inlineStr">
        <is>
          <t>لقطة</t>
        </is>
      </c>
      <c r="F143" s="46" t="inlineStr">
        <is>
          <t>↑</t>
        </is>
      </c>
      <c r="G143" s="61" t="n">
        <v>1</v>
      </c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47">
        <f>IFERROR(LOOKUP(2,1/($H143:$S143&lt;&gt;""),$H143:$S143),"")</f>
        <v/>
      </c>
      <c r="U143" s="47">
        <f>IF($G143="","",IF($T143="","",MIN(1,IF($G143=0,IF($T143&lt;=0,1,0),IF($F143="↓",IFERROR($G143/$T143,0),IFERROR($T143/$G143,0))))))</f>
        <v/>
      </c>
      <c r="V143" s="51">
        <f>IF($U143="","⏳ بانتظار هدف",IF($U143&gt;=1.0,"✅ محقق",IF($U143&gt;=0.85,"🟡 قريب","🔴 تحت الهدف")))</f>
        <v/>
      </c>
      <c r="W143" s="60">
        <f>IF($G143="","",$G143)</f>
        <v/>
      </c>
      <c r="X143" s="51">
        <f>IF($U143="","—",IF($U143&gt;=0.85,"🟢 على المسار","🟠 متأخّر"))</f>
        <v/>
      </c>
    </row>
    <row r="144" ht="22" customHeight="1">
      <c r="A144" s="51" t="n">
        <v>141</v>
      </c>
      <c r="B144" s="13" t="inlineStr">
        <is>
          <t>الموارد البشرية</t>
        </is>
      </c>
      <c r="C144" s="11" t="inlineStr">
        <is>
          <t>نسبة أتمتة عمليات الموارد البشرية</t>
        </is>
      </c>
      <c r="D144" s="15" t="inlineStr">
        <is>
          <t>شهري</t>
        </is>
      </c>
      <c r="E144" s="15" t="inlineStr">
        <is>
          <t>لقطة</t>
        </is>
      </c>
      <c r="F144" s="46" t="inlineStr">
        <is>
          <t>↑</t>
        </is>
      </c>
      <c r="G144" s="61" t="n">
        <v>1</v>
      </c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47">
        <f>IFERROR(LOOKUP(2,1/($H144:$S144&lt;&gt;""),$H144:$S144),"")</f>
        <v/>
      </c>
      <c r="U144" s="47">
        <f>IF($G144="","",IF($T144="","",MIN(1,IF($G144=0,IF($T144&lt;=0,1,0),IF($F144="↓",IFERROR($G144/$T144,0),IFERROR($T144/$G144,0))))))</f>
        <v/>
      </c>
      <c r="V144" s="51">
        <f>IF($U144="","⏳ بانتظار هدف",IF($U144&gt;=1.0,"✅ محقق",IF($U144&gt;=0.85,"🟡 قريب","🔴 تحت الهدف")))</f>
        <v/>
      </c>
      <c r="W144" s="60">
        <f>IF($G144="","",$G144)</f>
        <v/>
      </c>
      <c r="X144" s="51">
        <f>IF($U144="","—",IF($U144&gt;=0.85,"🟢 على المسار","🟠 متأخّر"))</f>
        <v/>
      </c>
    </row>
    <row r="145" ht="22" customHeight="1">
      <c r="A145" s="51" t="n">
        <v>142</v>
      </c>
      <c r="B145" s="13" t="inlineStr">
        <is>
          <t>الموارد البشرية</t>
        </is>
      </c>
      <c r="C145" s="11" t="inlineStr">
        <is>
          <t>نسبة توثيق أنظمة العمل</t>
        </is>
      </c>
      <c r="D145" s="15" t="inlineStr">
        <is>
          <t>شهري</t>
        </is>
      </c>
      <c r="E145" s="15" t="inlineStr">
        <is>
          <t>لقطة</t>
        </is>
      </c>
      <c r="F145" s="46" t="inlineStr">
        <is>
          <t>↑</t>
        </is>
      </c>
      <c r="G145" s="61" t="n">
        <v>0.8</v>
      </c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47">
        <f>IFERROR(LOOKUP(2,1/($H145:$S145&lt;&gt;""),$H145:$S145),"")</f>
        <v/>
      </c>
      <c r="U145" s="47">
        <f>IF($G145="","",IF($T145="","",MIN(1,IF($G145=0,IF($T145&lt;=0,1,0),IF($F145="↓",IFERROR($G145/$T145,0),IFERROR($T145/$G145,0))))))</f>
        <v/>
      </c>
      <c r="V145" s="51">
        <f>IF($U145="","⏳ بانتظار هدف",IF($U145&gt;=1.0,"✅ محقق",IF($U145&gt;=0.85,"🟡 قريب","🔴 تحت الهدف")))</f>
        <v/>
      </c>
      <c r="W145" s="60">
        <f>IF($G145="","",$G145)</f>
        <v/>
      </c>
      <c r="X145" s="51">
        <f>IF($U145="","—",IF($U145&gt;=0.85,"🟢 على المسار","🟠 متأخّر"))</f>
        <v/>
      </c>
    </row>
    <row r="146" ht="22" customHeight="1">
      <c r="A146" s="51" t="n">
        <v>143</v>
      </c>
      <c r="B146" s="13" t="inlineStr">
        <is>
          <t>الموارد البشرية</t>
        </is>
      </c>
      <c r="C146" s="11" t="inlineStr">
        <is>
          <t>ترسيخ الأنظمة الإدارية</t>
        </is>
      </c>
      <c r="D146" s="15" t="inlineStr">
        <is>
          <t>شهري</t>
        </is>
      </c>
      <c r="E146" s="15" t="inlineStr">
        <is>
          <t>لقطة</t>
        </is>
      </c>
      <c r="F146" s="46" t="inlineStr">
        <is>
          <t>↑</t>
        </is>
      </c>
      <c r="G146" s="61" t="n">
        <v>0.8</v>
      </c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47">
        <f>IFERROR(LOOKUP(2,1/($H146:$S146&lt;&gt;""),$H146:$S146),"")</f>
        <v/>
      </c>
      <c r="U146" s="47">
        <f>IF($G146="","",IF($T146="","",MIN(1,IF($G146=0,IF($T146&lt;=0,1,0),IF($F146="↓",IFERROR($G146/$T146,0),IFERROR($T146/$G146,0))))))</f>
        <v/>
      </c>
      <c r="V146" s="51">
        <f>IF($U146="","⏳ بانتظار هدف",IF($U146&gt;=1.0,"✅ محقق",IF($U146&gt;=0.85,"🟡 قريب","🔴 تحت الهدف")))</f>
        <v/>
      </c>
      <c r="W146" s="60">
        <f>IF($G146="","",$G146)</f>
        <v/>
      </c>
      <c r="X146" s="51">
        <f>IF($U146="","—",IF($U146&gt;=0.85,"🟢 على المسار","🟠 متأخّر"))</f>
        <v/>
      </c>
    </row>
    <row r="147" ht="22" customHeight="1">
      <c r="A147" s="51" t="n">
        <v>144</v>
      </c>
      <c r="B147" s="13" t="inlineStr">
        <is>
          <t>الموارد البشرية</t>
        </is>
      </c>
      <c r="C147" s="11" t="inlineStr">
        <is>
          <t>اعتماد الهيكل التنظيمي</t>
        </is>
      </c>
      <c r="D147" s="15" t="inlineStr">
        <is>
          <t>شهري</t>
        </is>
      </c>
      <c r="E147" s="15" t="inlineStr">
        <is>
          <t>لقطة</t>
        </is>
      </c>
      <c r="F147" s="46" t="inlineStr">
        <is>
          <t>↑</t>
        </is>
      </c>
      <c r="G147" s="61" t="n">
        <v>1</v>
      </c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47">
        <f>IFERROR(LOOKUP(2,1/($H147:$S147&lt;&gt;""),$H147:$S147),"")</f>
        <v/>
      </c>
      <c r="U147" s="47">
        <f>IF($G147="","",IF($T147="","",MIN(1,IF($G147=0,IF($T147&lt;=0,1,0),IF($F147="↓",IFERROR($G147/$T147,0),IFERROR($T147/$G147,0))))))</f>
        <v/>
      </c>
      <c r="V147" s="51">
        <f>IF($U147="","⏳ بانتظار هدف",IF($U147&gt;=1.0,"✅ محقق",IF($U147&gt;=0.85,"🟡 قريب","🔴 تحت الهدف")))</f>
        <v/>
      </c>
      <c r="W147" s="60">
        <f>IF($G147="","",$G147)</f>
        <v/>
      </c>
      <c r="X147" s="51">
        <f>IF($U147="","—",IF($U147&gt;=0.85,"🟢 على المسار","🟠 متأخّر"))</f>
        <v/>
      </c>
    </row>
    <row r="148" ht="22" customHeight="1">
      <c r="A148" s="51" t="n">
        <v>145</v>
      </c>
      <c r="B148" s="13" t="inlineStr">
        <is>
          <t>الموارد البشرية</t>
        </is>
      </c>
      <c r="C148" s="11" t="inlineStr">
        <is>
          <t>اكتمال الأوصاف الوظيفية (+KPI)</t>
        </is>
      </c>
      <c r="D148" s="15" t="inlineStr">
        <is>
          <t>شهري</t>
        </is>
      </c>
      <c r="E148" s="15" t="inlineStr">
        <is>
          <t>لقطة</t>
        </is>
      </c>
      <c r="F148" s="46" t="inlineStr">
        <is>
          <t>↑</t>
        </is>
      </c>
      <c r="G148" s="61" t="n">
        <v>1</v>
      </c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47">
        <f>IFERROR(LOOKUP(2,1/($H148:$S148&lt;&gt;""),$H148:$S148),"")</f>
        <v/>
      </c>
      <c r="U148" s="47">
        <f>IF($G148="","",IF($T148="","",MIN(1,IF($G148=0,IF($T148&lt;=0,1,0),IF($F148="↓",IFERROR($G148/$T148,0),IFERROR($T148/$G148,0))))))</f>
        <v/>
      </c>
      <c r="V148" s="51">
        <f>IF($U148="","⏳ بانتظار هدف",IF($U148&gt;=1.0,"✅ محقق",IF($U148&gt;=0.85,"🟡 قريب","🔴 تحت الهدف")))</f>
        <v/>
      </c>
      <c r="W148" s="60">
        <f>IF($G148="","",$G148)</f>
        <v/>
      </c>
      <c r="X148" s="51">
        <f>IF($U148="","—",IF($U148&gt;=0.85,"🟢 على المسار","🟠 متأخّر"))</f>
        <v/>
      </c>
    </row>
    <row r="149" ht="22" customHeight="1">
      <c r="A149" s="51" t="n">
        <v>146</v>
      </c>
      <c r="B149" s="13" t="inlineStr">
        <is>
          <t>الموارد البشرية</t>
        </is>
      </c>
      <c r="C149" s="11" t="inlineStr">
        <is>
          <t>نسبة إنجاز تقييمات الأداء في موعدها</t>
        </is>
      </c>
      <c r="D149" s="15" t="inlineStr">
        <is>
          <t>شهري</t>
        </is>
      </c>
      <c r="E149" s="15" t="inlineStr">
        <is>
          <t>معدل</t>
        </is>
      </c>
      <c r="F149" s="46" t="inlineStr">
        <is>
          <t>↑</t>
        </is>
      </c>
      <c r="G149" s="61" t="n">
        <v>1</v>
      </c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47">
        <f>IF(COUNT($H149:$S149)=0,"",SUM($H149:$S149)/COUNT($H149:$S149))</f>
        <v/>
      </c>
      <c r="U149" s="47">
        <f>IF($G149="","",IF($T149="","",MIN(1,IF($G149=0,IF($T149&lt;=0,1,0),IF($F149="↓",IFERROR($G149/$T149,0),IFERROR($T149/$G149,0))))))</f>
        <v/>
      </c>
      <c r="V149" s="51">
        <f>IF($U149="","⏳ بانتظار هدف",IF($U149&gt;=1.0,"✅ محقق",IF($U149&gt;=0.85,"🟡 قريب","🔴 تحت الهدف")))</f>
        <v/>
      </c>
      <c r="W149" s="60">
        <f>IF($G149="","",$G149)</f>
        <v/>
      </c>
      <c r="X149" s="51">
        <f>IF($U149="","—",IF($U149&gt;=0.85,"🟢 على المسار","🟠 متأخّر"))</f>
        <v/>
      </c>
    </row>
    <row r="150" ht="22" customHeight="1">
      <c r="A150" s="51" t="n">
        <v>147</v>
      </c>
      <c r="B150" s="13" t="inlineStr">
        <is>
          <t>التسويق</t>
        </is>
      </c>
      <c r="C150" s="11" t="inlineStr">
        <is>
          <t>الوصول الكلي (Total Reach)</t>
        </is>
      </c>
      <c r="D150" s="15" t="inlineStr">
        <is>
          <t>شهري</t>
        </is>
      </c>
      <c r="E150" s="15" t="inlineStr">
        <is>
          <t>لقطة</t>
        </is>
      </c>
      <c r="F150" s="46" t="inlineStr">
        <is>
          <t>↑</t>
        </is>
      </c>
      <c r="G150" s="52" t="n">
        <v>50000000</v>
      </c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4">
        <f>IFERROR(LOOKUP(2,1/($H150:$S150&lt;&gt;""),$H150:$S150),"")</f>
        <v/>
      </c>
      <c r="U150" s="47">
        <f>IF($G150="","",IF($T150="","",MIN(1,IF($G150=0,IF($T150&lt;=0,1,0),IF($F150="↓",IFERROR($G150/$T150,0),IFERROR($T150/$G150,0))))))</f>
        <v/>
      </c>
      <c r="V150" s="51">
        <f>IF($U150="","⏳ بانتظار هدف",IF($U150&gt;=0.9,"✅ محقق",IF($U150&gt;=0.75,"🟡 قريب","🔴 تحت الهدف")))</f>
        <v/>
      </c>
      <c r="W150" s="55">
        <f>IF($G150="","",$G150)</f>
        <v/>
      </c>
      <c r="X150" s="51">
        <f>IF($U150="","—",IF($U150&gt;=0.75,"🟢 على المسار","🟠 متأخّر"))</f>
        <v/>
      </c>
    </row>
    <row r="151" ht="22" customHeight="1">
      <c r="A151" s="51" t="n">
        <v>148</v>
      </c>
      <c r="B151" s="13" t="inlineStr">
        <is>
          <t>التسويق</t>
        </is>
      </c>
      <c r="C151" s="11" t="inlineStr">
        <is>
          <t>عملاء تجاريون جدد</t>
        </is>
      </c>
      <c r="D151" s="15" t="inlineStr">
        <is>
          <t>شهري</t>
        </is>
      </c>
      <c r="E151" s="15" t="inlineStr">
        <is>
          <t>تراكمي</t>
        </is>
      </c>
      <c r="F151" s="46" t="inlineStr">
        <is>
          <t>↑</t>
        </is>
      </c>
      <c r="G151" s="52" t="n">
        <v>200</v>
      </c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4">
        <f>IF(COUNT($H151:$S151)=0,"",SUM($H151:$S151))</f>
        <v/>
      </c>
      <c r="U151" s="47">
        <f>IF($G151="","",IF($T151="","",MIN(1,IF($G151=0,IF($T151&lt;=0,1,0),IF($F151="↓",IFERROR($G151/$T151,0),IFERROR($T151/$G151,0))))))</f>
        <v/>
      </c>
      <c r="V151" s="51">
        <f>IF($U151="","⏳ بانتظار هدف",IF($U151&gt;=1.0,"✅ محقق",IF($U151&gt;=0.85,"🟡 قريب","🔴 تحت الهدف")))</f>
        <v/>
      </c>
      <c r="W151" s="55">
        <f>IF($G151="","",$G151*COUNT($H151:$S151)/12)</f>
        <v/>
      </c>
      <c r="X151" s="51">
        <f>IF($U151="","—",IF($U151&gt;=COUNT($H151:$S151)/12,"🟢 على المسار","🟠 متأخّر"))</f>
        <v/>
      </c>
    </row>
    <row r="152" ht="22" customHeight="1">
      <c r="A152" s="51" t="n">
        <v>149</v>
      </c>
      <c r="B152" s="13" t="inlineStr">
        <is>
          <t>التسويق</t>
        </is>
      </c>
      <c r="C152" s="11" t="inlineStr">
        <is>
          <t>إجمالي المتابعين (كل المنصات)</t>
        </is>
      </c>
      <c r="D152" s="15" t="inlineStr">
        <is>
          <t>شهري</t>
        </is>
      </c>
      <c r="E152" s="15" t="inlineStr">
        <is>
          <t>لقطة</t>
        </is>
      </c>
      <c r="F152" s="46" t="inlineStr">
        <is>
          <t>↑</t>
        </is>
      </c>
      <c r="G152" s="52" t="n">
        <v>380000</v>
      </c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4">
        <f>IFERROR(LOOKUP(2,1/($H152:$S152&lt;&gt;""),$H152:$S152),"")</f>
        <v/>
      </c>
      <c r="U152" s="47">
        <f>IF($G152="","",IF($T152="","",MIN(1,IF($G152=0,IF($T152&lt;=0,1,0),IF($F152="↓",IFERROR($G152/$T152,0),IFERROR($T152/$G152,0))))))</f>
        <v/>
      </c>
      <c r="V152" s="51">
        <f>IF($U152="","⏳ بانتظار هدف",IF($U152&gt;=0.9,"✅ محقق",IF($U152&gt;=0.75,"🟡 قريب","🔴 تحت الهدف")))</f>
        <v/>
      </c>
      <c r="W152" s="55">
        <f>IF($G152="","",$G152)</f>
        <v/>
      </c>
      <c r="X152" s="51">
        <f>IF($U152="","—",IF($U152&gt;=0.75,"🟢 على المسار","🟠 متأخّر"))</f>
        <v/>
      </c>
    </row>
    <row r="153" ht="22" customHeight="1">
      <c r="A153" s="51" t="n">
        <v>150</v>
      </c>
      <c r="B153" s="13" t="inlineStr">
        <is>
          <t>التسويق</t>
        </is>
      </c>
      <c r="C153" s="11" t="inlineStr">
        <is>
          <t>معدل التفاعل (Engagement)</t>
        </is>
      </c>
      <c r="D153" s="15" t="inlineStr">
        <is>
          <t>شهري</t>
        </is>
      </c>
      <c r="E153" s="15" t="inlineStr">
        <is>
          <t>معدل</t>
        </is>
      </c>
      <c r="F153" s="46" t="inlineStr">
        <is>
          <t>↑</t>
        </is>
      </c>
      <c r="G153" s="61" t="n">
        <v>0.5</v>
      </c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47">
        <f>IF(COUNT($H153:$S153)=0,"",SUM($H153:$S153)/COUNT($H153:$S153))</f>
        <v/>
      </c>
      <c r="U153" s="47">
        <f>IF($G153="","",IF($T153="","",MIN(1,IF($G153=0,IF($T153&lt;=0,1,0),IF($F153="↓",IFERROR($G153/$T153,0),IFERROR($T153/$G153,0))))))</f>
        <v/>
      </c>
      <c r="V153" s="51">
        <f>IF($U153="","⏳ بانتظار هدف",IF($U153&gt;=0.9,"✅ محقق",IF($U153&gt;=0.75,"🟡 قريب","🔴 تحت الهدف")))</f>
        <v/>
      </c>
      <c r="W153" s="60">
        <f>IF($G153="","",$G153)</f>
        <v/>
      </c>
      <c r="X153" s="51">
        <f>IF($U153="","—",IF($U153&gt;=0.75,"🟢 على المسار","🟠 متأخّر"))</f>
        <v/>
      </c>
    </row>
    <row r="154" ht="22" customHeight="1">
      <c r="A154" s="51" t="n">
        <v>151</v>
      </c>
      <c r="B154" s="13" t="inlineStr">
        <is>
          <t>التسويق</t>
        </is>
      </c>
      <c r="C154" s="11" t="inlineStr">
        <is>
          <t>حملات تسويقية منجزة</t>
        </is>
      </c>
      <c r="D154" s="15" t="inlineStr">
        <is>
          <t>شهري</t>
        </is>
      </c>
      <c r="E154" s="15" t="inlineStr">
        <is>
          <t>تراكمي</t>
        </is>
      </c>
      <c r="F154" s="46" t="inlineStr">
        <is>
          <t>↑</t>
        </is>
      </c>
      <c r="G154" s="52" t="n">
        <v>48</v>
      </c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4">
        <f>IF(COUNT($H154:$S154)=0,"",SUM($H154:$S154))</f>
        <v/>
      </c>
      <c r="U154" s="47">
        <f>IF($G154="","",IF($T154="","",MIN(1,IF($G154=0,IF($T154&lt;=0,1,0),IF($F154="↓",IFERROR($G154/$T154,0),IFERROR($T154/$G154,0))))))</f>
        <v/>
      </c>
      <c r="V154" s="51">
        <f>IF($U154="","⏳ بانتظار هدف",IF($U154&gt;=1.0,"✅ محقق",IF($U154&gt;=0.85,"🟡 قريب","🔴 تحت الهدف")))</f>
        <v/>
      </c>
      <c r="W154" s="55">
        <f>IF($G154="","",$G154*COUNT($H154:$S154)/12)</f>
        <v/>
      </c>
      <c r="X154" s="51">
        <f>IF($U154="","—",IF($U154&gt;=COUNT($H154:$S154)/12,"🟢 على المسار","🟠 متأخّر"))</f>
        <v/>
      </c>
    </row>
    <row r="155" ht="22" customHeight="1">
      <c r="A155" s="51" t="n">
        <v>152</v>
      </c>
      <c r="B155" s="13" t="inlineStr">
        <is>
          <t>التسويق</t>
        </is>
      </c>
      <c r="C155" s="11" t="inlineStr">
        <is>
          <t>تحويل الفرص إلى عقود</t>
        </is>
      </c>
      <c r="D155" s="15" t="inlineStr">
        <is>
          <t>شهري</t>
        </is>
      </c>
      <c r="E155" s="15" t="inlineStr">
        <is>
          <t>معدل</t>
        </is>
      </c>
      <c r="F155" s="46" t="inlineStr">
        <is>
          <t>↑</t>
        </is>
      </c>
      <c r="G155" s="61" t="n">
        <v>0.25</v>
      </c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47">
        <f>IF(COUNT($H155:$S155)=0,"",SUM($H155:$S155)/COUNT($H155:$S155))</f>
        <v/>
      </c>
      <c r="U155" s="47">
        <f>IF($G155="","",IF($T155="","",MIN(1,IF($G155=0,IF($T155&lt;=0,1,0),IF($F155="↓",IFERROR($G155/$T155,0),IFERROR($T155/$G155,0))))))</f>
        <v/>
      </c>
      <c r="V155" s="51">
        <f>IF($U155="","⏳ بانتظار هدف",IF($U155&gt;=1.0,"✅ محقق",IF($U155&gt;=0.85,"🟡 قريب","🔴 تحت الهدف")))</f>
        <v/>
      </c>
      <c r="W155" s="60">
        <f>IF($G155="","",$G155)</f>
        <v/>
      </c>
      <c r="X155" s="51">
        <f>IF($U155="","—",IF($U155&gt;=0.85,"🟢 على المسار","🟠 متأخّر"))</f>
        <v/>
      </c>
    </row>
    <row r="156" ht="22" customHeight="1">
      <c r="A156" s="51" t="n">
        <v>153</v>
      </c>
      <c r="B156" s="13" t="inlineStr">
        <is>
          <t>التسويق</t>
        </is>
      </c>
      <c r="C156" s="11" t="inlineStr">
        <is>
          <t>نسبة المبيعات لكل حملة</t>
        </is>
      </c>
      <c r="D156" s="15" t="inlineStr">
        <is>
          <t>شهري</t>
        </is>
      </c>
      <c r="E156" s="15" t="inlineStr">
        <is>
          <t>معدل</t>
        </is>
      </c>
      <c r="F156" s="46" t="inlineStr">
        <is>
          <t>↑</t>
        </is>
      </c>
      <c r="G156" s="61" t="n">
        <v>1</v>
      </c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47">
        <f>IF(COUNT($H156:$S156)=0,"",SUM($H156:$S156)/COUNT($H156:$S156))</f>
        <v/>
      </c>
      <c r="U156" s="47">
        <f>IF($G156="","",IF($T156="","",MIN(1,IF($G156=0,IF($T156&lt;=0,1,0),IF($F156="↓",IFERROR($G156/$T156,0),IFERROR($T156/$G156,0))))))</f>
        <v/>
      </c>
      <c r="V156" s="51">
        <f>IF($U156="","⏳ بانتظار هدف",IF($U156&gt;=1.0,"✅ محقق",IF($U156&gt;=0.85,"🟡 قريب","🔴 تحت الهدف")))</f>
        <v/>
      </c>
      <c r="W156" s="60">
        <f>IF($G156="","",$G156)</f>
        <v/>
      </c>
      <c r="X156" s="51">
        <f>IF($U156="","—",IF($U156&gt;=0.85,"🟢 على المسار","🟠 متأخّر"))</f>
        <v/>
      </c>
    </row>
    <row r="157" ht="22" customHeight="1">
      <c r="A157" s="51" t="n">
        <v>154</v>
      </c>
      <c r="B157" s="13" t="inlineStr">
        <is>
          <t>التسويق</t>
        </is>
      </c>
      <c r="C157" s="11" t="inlineStr">
        <is>
          <t>نسبة التزام الهوية البصرية</t>
        </is>
      </c>
      <c r="D157" s="15" t="inlineStr">
        <is>
          <t>شهري</t>
        </is>
      </c>
      <c r="E157" s="15" t="inlineStr">
        <is>
          <t>لقطة</t>
        </is>
      </c>
      <c r="F157" s="46" t="inlineStr">
        <is>
          <t>↑</t>
        </is>
      </c>
      <c r="G157" s="61" t="n">
        <v>1</v>
      </c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47">
        <f>IFERROR(LOOKUP(2,1/($H157:$S157&lt;&gt;""),$H157:$S157),"")</f>
        <v/>
      </c>
      <c r="U157" s="47">
        <f>IF($G157="","",IF($T157="","",MIN(1,IF($G157=0,IF($T157&lt;=0,1,0),IF($F157="↓",IFERROR($G157/$T157,0),IFERROR($T157/$G157,0))))))</f>
        <v/>
      </c>
      <c r="V157" s="51">
        <f>IF($U157="","⏳ بانتظار هدف",IF($U157&gt;=1.0,"✅ محقق",IF($U157&gt;=0.85,"🟡 قريب","🔴 تحت الهدف")))</f>
        <v/>
      </c>
      <c r="W157" s="60">
        <f>IF($G157="","",$G157)</f>
        <v/>
      </c>
      <c r="X157" s="51">
        <f>IF($U157="","—",IF($U157&gt;=0.85,"🟢 على المسار","🟠 متأخّر"))</f>
        <v/>
      </c>
    </row>
    <row r="158" ht="22" customHeight="1">
      <c r="A158" s="51" t="n">
        <v>155</v>
      </c>
      <c r="B158" s="13" t="inlineStr">
        <is>
          <t>التسويق</t>
        </is>
      </c>
      <c r="C158" s="11" t="inlineStr">
        <is>
          <t>وصول العلاقات العامة (PR)</t>
        </is>
      </c>
      <c r="D158" s="15" t="inlineStr">
        <is>
          <t>شهري</t>
        </is>
      </c>
      <c r="E158" s="15" t="inlineStr">
        <is>
          <t>لقطة</t>
        </is>
      </c>
      <c r="F158" s="46" t="inlineStr">
        <is>
          <t>↑</t>
        </is>
      </c>
      <c r="G158" s="52" t="n">
        <v>7000000</v>
      </c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4">
        <f>IFERROR(LOOKUP(2,1/($H158:$S158&lt;&gt;""),$H158:$S158),"")</f>
        <v/>
      </c>
      <c r="U158" s="47">
        <f>IF($G158="","",IF($T158="","",MIN(1,IF($G158=0,IF($T158&lt;=0,1,0),IF($F158="↓",IFERROR($G158/$T158,0),IFERROR($T158/$G158,0))))))</f>
        <v/>
      </c>
      <c r="V158" s="51">
        <f>IF($U158="","⏳ بانتظار هدف",IF($U158&gt;=1.0,"✅ محقق",IF($U158&gt;=0.85,"🟡 قريب","🔴 تحت الهدف")))</f>
        <v/>
      </c>
      <c r="W158" s="55">
        <f>IF($G158="","",$G158)</f>
        <v/>
      </c>
      <c r="X158" s="51">
        <f>IF($U158="","—",IF($U158&gt;=0.85,"🟢 على المسار","🟠 متأخّر"))</f>
        <v/>
      </c>
    </row>
    <row r="159" ht="22" customHeight="1">
      <c r="A159" s="51" t="n">
        <v>156</v>
      </c>
      <c r="B159" s="13" t="inlineStr">
        <is>
          <t>التسويق</t>
        </is>
      </c>
      <c r="C159" s="11" t="inlineStr">
        <is>
          <t>عدد المعارض بالسنة</t>
        </is>
      </c>
      <c r="D159" s="15" t="inlineStr">
        <is>
          <t>شهري</t>
        </is>
      </c>
      <c r="E159" s="15" t="inlineStr">
        <is>
          <t>تراكمي</t>
        </is>
      </c>
      <c r="F159" s="46" t="inlineStr">
        <is>
          <t>↑</t>
        </is>
      </c>
      <c r="G159" s="52" t="n">
        <v>3</v>
      </c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4">
        <f>IF(COUNT($H159:$S159)=0,"",SUM($H159:$S159))</f>
        <v/>
      </c>
      <c r="U159" s="47">
        <f>IF($G159="","",IF($T159="","",MIN(1,IF($G159=0,IF($T159&lt;=0,1,0),IF($F159="↓",IFERROR($G159/$T159,0),IFERROR($T159/$G159,0))))))</f>
        <v/>
      </c>
      <c r="V159" s="51">
        <f>IF($U159="","⏳ بانتظار هدف",IF($U159&gt;=1.0,"✅ محقق",IF($U159&gt;=0.85,"🟡 قريب","🔴 تحت الهدف")))</f>
        <v/>
      </c>
      <c r="W159" s="55">
        <f>IF($G159="","",$G159*COUNT($H159:$S159)/12)</f>
        <v/>
      </c>
      <c r="X159" s="51">
        <f>IF($U159="","—",IF($U159&gt;=COUNT($H159:$S159)/12,"🟢 على المسار","🟠 متأخّر"))</f>
        <v/>
      </c>
    </row>
    <row r="160" ht="22" customHeight="1">
      <c r="A160" s="51" t="n">
        <v>157</v>
      </c>
      <c r="B160" s="13" t="inlineStr">
        <is>
          <t>التسويق</t>
        </is>
      </c>
      <c r="C160" s="11" t="inlineStr">
        <is>
          <t>اتفاقيات استراتيجية</t>
        </is>
      </c>
      <c r="D160" s="15" t="inlineStr">
        <is>
          <t>شهري</t>
        </is>
      </c>
      <c r="E160" s="15" t="inlineStr">
        <is>
          <t>تراكمي</t>
        </is>
      </c>
      <c r="F160" s="46" t="inlineStr">
        <is>
          <t>↑</t>
        </is>
      </c>
      <c r="G160" s="52" t="n">
        <v>3</v>
      </c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4">
        <f>IF(COUNT($H160:$S160)=0,"",SUM($H160:$S160))</f>
        <v/>
      </c>
      <c r="U160" s="47">
        <f>IF($G160="","",IF($T160="","",MIN(1,IF($G160=0,IF($T160&lt;=0,1,0),IF($F160="↓",IFERROR($G160/$T160,0),IFERROR($T160/$G160,0))))))</f>
        <v/>
      </c>
      <c r="V160" s="51">
        <f>IF($U160="","⏳ بانتظار هدف",IF($U160&gt;=1.0,"✅ محقق",IF($U160&gt;=0.85,"🟡 قريب","🔴 تحت الهدف")))</f>
        <v/>
      </c>
      <c r="W160" s="55">
        <f>IF($G160="","",$G160*COUNT($H160:$S160)/12)</f>
        <v/>
      </c>
      <c r="X160" s="51">
        <f>IF($U160="","—",IF($U160&gt;=COUNT($H160:$S160)/12,"🟢 على المسار","🟠 متأخّر"))</f>
        <v/>
      </c>
    </row>
    <row r="161" ht="22" customHeight="1">
      <c r="A161" s="51" t="n">
        <v>158</v>
      </c>
      <c r="B161" s="13" t="inlineStr">
        <is>
          <t>التسويق</t>
        </is>
      </c>
      <c r="C161" s="11" t="inlineStr">
        <is>
          <t>تقييم خرائط قوقل</t>
        </is>
      </c>
      <c r="D161" s="15" t="inlineStr">
        <is>
          <t>شهري</t>
        </is>
      </c>
      <c r="E161" s="15" t="inlineStr">
        <is>
          <t>معدل</t>
        </is>
      </c>
      <c r="F161" s="46" t="inlineStr">
        <is>
          <t>↑</t>
        </is>
      </c>
      <c r="G161" s="62" t="n">
        <v>4.7</v>
      </c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4">
        <f>IF(COUNT($H161:$S161)=0,"",SUM($H161:$S161)/COUNT($H161:$S161))</f>
        <v/>
      </c>
      <c r="U161" s="47">
        <f>IF($G161="","",IF($T161="","",MIN(1,IF($G161=0,IF($T161&lt;=0,1,0),IF($F161="↓",IFERROR($G161/$T161,0),IFERROR($T161/$G161,0))))))</f>
        <v/>
      </c>
      <c r="V161" s="51">
        <f>IF($U161="","⏳ بانتظار هدف",IF($U161&gt;=1.0,"✅ محقق",IF($U161&gt;=0.85,"🟡 قريب","🔴 تحت الهدف")))</f>
        <v/>
      </c>
      <c r="W161" s="65">
        <f>IF($G161="","",$G161)</f>
        <v/>
      </c>
      <c r="X161" s="51">
        <f>IF($U161="","—",IF($U161&gt;=0.85,"🟢 على المسار","🟠 متأخّر"))</f>
        <v/>
      </c>
    </row>
    <row r="162" ht="22" customHeight="1">
      <c r="A162" s="51" t="n">
        <v>159</v>
      </c>
      <c r="B162" s="13" t="inlineStr">
        <is>
          <t>التسويق</t>
        </is>
      </c>
      <c r="C162" s="11" t="inlineStr">
        <is>
          <t>معدل خفض الشكاوى</t>
        </is>
      </c>
      <c r="D162" s="15" t="inlineStr">
        <is>
          <t>شهري</t>
        </is>
      </c>
      <c r="E162" s="15" t="inlineStr">
        <is>
          <t>معدل</t>
        </is>
      </c>
      <c r="F162" s="46" t="inlineStr">
        <is>
          <t>↑</t>
        </is>
      </c>
      <c r="G162" s="61" t="n">
        <v>0.3</v>
      </c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47">
        <f>IF(COUNT($H162:$S162)=0,"",SUM($H162:$S162)/COUNT($H162:$S162))</f>
        <v/>
      </c>
      <c r="U162" s="47">
        <f>IF($G162="","",IF($T162="","",MIN(1,IF($G162=0,IF($T162&lt;=0,1,0),IF($F162="↓",IFERROR($G162/$T162,0),IFERROR($T162/$G162,0))))))</f>
        <v/>
      </c>
      <c r="V162" s="51">
        <f>IF($U162="","⏳ بانتظار هدف",IF($U162&gt;=1.0,"✅ محقق",IF($U162&gt;=0.85,"🟡 قريب","🔴 تحت الهدف")))</f>
        <v/>
      </c>
      <c r="W162" s="60">
        <f>IF($G162="","",$G162)</f>
        <v/>
      </c>
      <c r="X162" s="51">
        <f>IF($U162="","—",IF($U162&gt;=0.85,"🟢 على المسار","🟠 متأخّر"))</f>
        <v/>
      </c>
    </row>
    <row r="163" ht="22" customHeight="1">
      <c r="A163" s="51" t="n">
        <v>160</v>
      </c>
      <c r="B163" s="13" t="inlineStr">
        <is>
          <t>التسويق</t>
        </is>
      </c>
      <c r="C163" s="11" t="inlineStr">
        <is>
          <t>وصول محتوى تطبيق تانكي</t>
        </is>
      </c>
      <c r="D163" s="15" t="inlineStr">
        <is>
          <t>شهري</t>
        </is>
      </c>
      <c r="E163" s="15" t="inlineStr">
        <is>
          <t>لقطة</t>
        </is>
      </c>
      <c r="F163" s="46" t="inlineStr">
        <is>
          <t>↑</t>
        </is>
      </c>
      <c r="G163" s="52" t="n">
        <v>1000000</v>
      </c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4">
        <f>IFERROR(LOOKUP(2,1/($H163:$S163&lt;&gt;""),$H163:$S163),"")</f>
        <v/>
      </c>
      <c r="U163" s="47">
        <f>IF($G163="","",IF($T163="","",MIN(1,IF($G163=0,IF($T163&lt;=0,1,0),IF($F163="↓",IFERROR($G163/$T163,0),IFERROR($T163/$G163,0))))))</f>
        <v/>
      </c>
      <c r="V163" s="51">
        <f>IF($U163="","⏳ بانتظار هدف",IF($U163&gt;=1.0,"✅ محقق",IF($U163&gt;=0.85,"🟡 قريب","🔴 تحت الهدف")))</f>
        <v/>
      </c>
      <c r="W163" s="55">
        <f>IF($G163="","",$G163)</f>
        <v/>
      </c>
      <c r="X163" s="51">
        <f>IF($U163="","—",IF($U163&gt;=0.85,"🟢 على المسار","🟠 متأخّر"))</f>
        <v/>
      </c>
    </row>
    <row r="164" ht="22" customHeight="1">
      <c r="A164" s="51" t="n">
        <v>161</v>
      </c>
      <c r="B164" s="13" t="inlineStr">
        <is>
          <t>التسويق</t>
        </is>
      </c>
      <c r="C164" s="11" t="inlineStr">
        <is>
          <t>مشاركات تطبيق تانكي</t>
        </is>
      </c>
      <c r="D164" s="15" t="inlineStr">
        <is>
          <t>شهري</t>
        </is>
      </c>
      <c r="E164" s="15" t="inlineStr">
        <is>
          <t>تراكمي</t>
        </is>
      </c>
      <c r="F164" s="46" t="inlineStr">
        <is>
          <t>↑</t>
        </is>
      </c>
      <c r="G164" s="52" t="n">
        <v>250</v>
      </c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4">
        <f>IF(COUNT($H164:$S164)=0,"",SUM($H164:$S164))</f>
        <v/>
      </c>
      <c r="U164" s="47">
        <f>IF($G164="","",IF($T164="","",MIN(1,IF($G164=0,IF($T164&lt;=0,1,0),IF($F164="↓",IFERROR($G164/$T164,0),IFERROR($T164/$G164,0))))))</f>
        <v/>
      </c>
      <c r="V164" s="51">
        <f>IF($U164="","⏳ بانتظار هدف",IF($U164&gt;=1.0,"✅ محقق",IF($U164&gt;=0.85,"🟡 قريب","🔴 تحت الهدف")))</f>
        <v/>
      </c>
      <c r="W164" s="55">
        <f>IF($G164="","",$G164*COUNT($H164:$S164)/12)</f>
        <v/>
      </c>
      <c r="X164" s="51">
        <f>IF($U164="","—",IF($U164&gt;=COUNT($H164:$S164)/12,"🟢 على المسار","🟠 متأخّر"))</f>
        <v/>
      </c>
    </row>
    <row r="165" ht="22" customHeight="1">
      <c r="A165" s="51" t="n">
        <v>162</v>
      </c>
      <c r="B165" s="13" t="inlineStr">
        <is>
          <t>الجودة</t>
        </is>
      </c>
      <c r="C165" s="11" t="inlineStr">
        <is>
          <t>نسبة المحطات الحرجة</t>
        </is>
      </c>
      <c r="D165" s="15" t="inlineStr">
        <is>
          <t>شهري</t>
        </is>
      </c>
      <c r="E165" s="15" t="inlineStr">
        <is>
          <t>معدل</t>
        </is>
      </c>
      <c r="F165" s="46" t="inlineStr">
        <is>
          <t>↓</t>
        </is>
      </c>
      <c r="G165" s="61" t="n">
        <v>0.05</v>
      </c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47">
        <f>IF(COUNT($H165:$S165)=0,"",SUM($H165:$S165)/COUNT($H165:$S165))</f>
        <v/>
      </c>
      <c r="U165" s="47">
        <f>IF($G165="","",IF($T165="","",MIN(1,IF($G165=0,IF($T165&lt;=0,1,0),IF($F165="↓",IFERROR($G165/$T165,0),IFERROR($T165/$G165,0))))))</f>
        <v/>
      </c>
      <c r="V165" s="51">
        <f>IF($U165="","⏳ بانتظار هدف",IF($U165&gt;=1.0,"✅ محقق",IF($U165&gt;=0.85,"🟡 قريب","🔴 تحت الهدف")))</f>
        <v/>
      </c>
      <c r="W165" s="60">
        <f>IF($G165="","",$G165)</f>
        <v/>
      </c>
      <c r="X165" s="51">
        <f>IF($U165="","—",IF($U165&gt;=0.85,"🟢 على المسار","🟠 متأخّر"))</f>
        <v/>
      </c>
    </row>
    <row r="166" ht="22" customHeight="1">
      <c r="A166" s="51" t="n">
        <v>163</v>
      </c>
      <c r="B166" s="13" t="inlineStr">
        <is>
          <t>الجودة</t>
        </is>
      </c>
      <c r="C166" s="11" t="inlineStr">
        <is>
          <t>نسبة مطابقة جودة الوقود</t>
        </is>
      </c>
      <c r="D166" s="15" t="inlineStr">
        <is>
          <t>شهري</t>
        </is>
      </c>
      <c r="E166" s="15" t="inlineStr">
        <is>
          <t>معدل</t>
        </is>
      </c>
      <c r="F166" s="46" t="inlineStr">
        <is>
          <t>↑</t>
        </is>
      </c>
      <c r="G166" s="61" t="n">
        <v>0.995</v>
      </c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47">
        <f>IF(COUNT($H166:$S166)=0,"",SUM($H166:$S166)/COUNT($H166:$S166))</f>
        <v/>
      </c>
      <c r="U166" s="47">
        <f>IF($G166="","",IF($T166="","",MIN(1,IF($G166=0,IF($T166&lt;=0,1,0),IF($F166="↓",IFERROR($G166/$T166,0),IFERROR($T166/$G166,0))))))</f>
        <v/>
      </c>
      <c r="V166" s="51">
        <f>IF($U166="","⏳ بانتظار هدف",IF($U166&gt;=1.0,"✅ محقق",IF($U166&gt;=0.97,"🟡 قريب","🔴 تحت الهدف")))</f>
        <v/>
      </c>
      <c r="W166" s="60">
        <f>IF($G166="","",$G166)</f>
        <v/>
      </c>
      <c r="X166" s="51">
        <f>IF($U166="","—",IF($U166&gt;=0.97,"🟢 على المسار","🟠 متأخّر"))</f>
        <v/>
      </c>
    </row>
    <row r="167" ht="22" customHeight="1">
      <c r="A167" s="51" t="n">
        <v>164</v>
      </c>
      <c r="B167" s="13" t="inlineStr">
        <is>
          <t>الجودة</t>
        </is>
      </c>
      <c r="C167" s="11" t="inlineStr">
        <is>
          <t>نسبة إغلاق الملاحظات في الوقت المحدد</t>
        </is>
      </c>
      <c r="D167" s="15" t="inlineStr">
        <is>
          <t>شهري</t>
        </is>
      </c>
      <c r="E167" s="15" t="inlineStr">
        <is>
          <t>معدل</t>
        </is>
      </c>
      <c r="F167" s="46" t="inlineStr">
        <is>
          <t>↑</t>
        </is>
      </c>
      <c r="G167" s="61" t="n">
        <v>0.9</v>
      </c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47">
        <f>IF(COUNT($H167:$S167)=0,"",SUM($H167:$S167)/COUNT($H167:$S167))</f>
        <v/>
      </c>
      <c r="U167" s="47">
        <f>IF($G167="","",IF($T167="","",MIN(1,IF($G167=0,IF($T167&lt;=0,1,0),IF($F167="↓",IFERROR($G167/$T167,0),IFERROR($T167/$G167,0))))))</f>
        <v/>
      </c>
      <c r="V167" s="51">
        <f>IF($U167="","⏳ بانتظار هدف",IF($U167&gt;=1.0,"✅ محقق",IF($U167&gt;=0.85,"🟡 قريب","🔴 تحت الهدف")))</f>
        <v/>
      </c>
      <c r="W167" s="60">
        <f>IF($G167="","",$G167)</f>
        <v/>
      </c>
      <c r="X167" s="51">
        <f>IF($U167="","—",IF($U167&gt;=0.85,"🟢 على المسار","🟠 متأخّر"))</f>
        <v/>
      </c>
    </row>
    <row r="168" ht="22" customHeight="1">
      <c r="A168" s="51" t="n">
        <v>165</v>
      </c>
      <c r="B168" s="13" t="inlineStr">
        <is>
          <t>الجودة</t>
        </is>
      </c>
      <c r="C168" s="11" t="inlineStr">
        <is>
          <t>نسبة فعالية الإجراءات التصحيحية</t>
        </is>
      </c>
      <c r="D168" s="15" t="inlineStr">
        <is>
          <t>شهري</t>
        </is>
      </c>
      <c r="E168" s="15" t="inlineStr">
        <is>
          <t>معدل</t>
        </is>
      </c>
      <c r="F168" s="46" t="inlineStr">
        <is>
          <t>↑</t>
        </is>
      </c>
      <c r="G168" s="61" t="n">
        <v>0.85</v>
      </c>
      <c r="H168" s="59" t="n"/>
      <c r="I168" s="59" t="n"/>
      <c r="J168" s="59" t="n"/>
      <c r="K168" s="59" t="n"/>
      <c r="L168" s="59" t="n"/>
      <c r="M168" s="59" t="n"/>
      <c r="N168" s="59" t="n"/>
      <c r="O168" s="59" t="n"/>
      <c r="P168" s="59" t="n"/>
      <c r="Q168" s="59" t="n"/>
      <c r="R168" s="59" t="n"/>
      <c r="S168" s="59" t="n"/>
      <c r="T168" s="47">
        <f>IF(COUNT($H168:$S168)=0,"",SUM($H168:$S168)/COUNT($H168:$S168))</f>
        <v/>
      </c>
      <c r="U168" s="47">
        <f>IF($G168="","",IF($T168="","",MIN(1,IF($G168=0,IF($T168&lt;=0,1,0),IF($F168="↓",IFERROR($G168/$T168,0),IFERROR($T168/$G168,0))))))</f>
        <v/>
      </c>
      <c r="V168" s="51">
        <f>IF($U168="","⏳ بانتظار هدف",IF($U168&gt;=1.0,"✅ محقق",IF($U168&gt;=0.85,"🟡 قريب","🔴 تحت الهدف")))</f>
        <v/>
      </c>
      <c r="W168" s="60">
        <f>IF($G168="","",$G168)</f>
        <v/>
      </c>
      <c r="X168" s="51">
        <f>IF($U168="","—",IF($U168&gt;=0.85,"🟢 على المسار","🟠 متأخّر"))</f>
        <v/>
      </c>
    </row>
    <row r="169" ht="22" customHeight="1">
      <c r="A169" s="51" t="n">
        <v>166</v>
      </c>
      <c r="B169" s="13" t="inlineStr">
        <is>
          <t>الجودة</t>
        </is>
      </c>
      <c r="C169" s="11" t="inlineStr">
        <is>
          <t>نسبة تكرار الملاحظات</t>
        </is>
      </c>
      <c r="D169" s="15" t="inlineStr">
        <is>
          <t>شهري</t>
        </is>
      </c>
      <c r="E169" s="15" t="inlineStr">
        <is>
          <t>معدل</t>
        </is>
      </c>
      <c r="F169" s="46" t="inlineStr">
        <is>
          <t>↓</t>
        </is>
      </c>
      <c r="G169" s="61" t="n">
        <v>0.1</v>
      </c>
      <c r="H169" s="59" t="n"/>
      <c r="I169" s="59" t="n"/>
      <c r="J169" s="59" t="n"/>
      <c r="K169" s="59" t="n"/>
      <c r="L169" s="59" t="n"/>
      <c r="M169" s="59" t="n"/>
      <c r="N169" s="59" t="n"/>
      <c r="O169" s="59" t="n"/>
      <c r="P169" s="59" t="n"/>
      <c r="Q169" s="59" t="n"/>
      <c r="R169" s="59" t="n"/>
      <c r="S169" s="59" t="n"/>
      <c r="T169" s="47">
        <f>IF(COUNT($H169:$S169)=0,"",SUM($H169:$S169)/COUNT($H169:$S169))</f>
        <v/>
      </c>
      <c r="U169" s="47">
        <f>IF($G169="","",IF($T169="","",MIN(1,IF($G169=0,IF($T169&lt;=0,1,0),IF($F169="↓",IFERROR($G169/$T169,0),IFERROR($T169/$G169,0))))))</f>
        <v/>
      </c>
      <c r="V169" s="51">
        <f>IF($U169="","⏳ بانتظار هدف",IF($U169&gt;=1.0,"✅ محقق",IF($U169&gt;=0.85,"🟡 قريب","🔴 تحت الهدف")))</f>
        <v/>
      </c>
      <c r="W169" s="60">
        <f>IF($G169="","",$G169)</f>
        <v/>
      </c>
      <c r="X169" s="51">
        <f>IF($U169="","—",IF($U169&gt;=0.85,"🟢 على المسار","🟠 متأخّر"))</f>
        <v/>
      </c>
    </row>
    <row r="170" ht="22" customHeight="1">
      <c r="A170" s="51" t="n">
        <v>167</v>
      </c>
      <c r="B170" s="13" t="inlineStr">
        <is>
          <t>الجودة</t>
        </is>
      </c>
      <c r="C170" s="11" t="inlineStr">
        <is>
          <t>نسبة تنفيذ خطة التفتيش والتدقيق</t>
        </is>
      </c>
      <c r="D170" s="15" t="inlineStr">
        <is>
          <t>ربعي</t>
        </is>
      </c>
      <c r="E170" s="15" t="inlineStr">
        <is>
          <t>معدل</t>
        </is>
      </c>
      <c r="F170" s="46" t="inlineStr">
        <is>
          <t>↑</t>
        </is>
      </c>
      <c r="G170" s="61" t="n">
        <v>0.95</v>
      </c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47">
        <f>IF(COUNT($H170:$S170)=0,"",SUM($H170:$S170)/COUNT($H170:$S170))</f>
        <v/>
      </c>
      <c r="U170" s="47">
        <f>IF($G170="","",IF($T170="","",MIN(1,IF($G170=0,IF($T170&lt;=0,1,0),IF($F170="↓",IFERROR($G170/$T170,0),IFERROR($T170/$G170,0))))))</f>
        <v/>
      </c>
      <c r="V170" s="51">
        <f>IF($U170="","⏳ بانتظار هدف",IF($U170&gt;=1.0,"✅ محقق",IF($U170&gt;=0.85,"🟡 قريب","🔴 تحت الهدف")))</f>
        <v/>
      </c>
      <c r="W170" s="60">
        <f>IF($G170="","",$G170)</f>
        <v/>
      </c>
      <c r="X170" s="51">
        <f>IF($U170="","—",IF($U170&gt;=0.85,"🟢 على المسار","🟠 متأخّر"))</f>
        <v/>
      </c>
    </row>
    <row r="171" ht="22" customHeight="1">
      <c r="A171" s="51" t="n">
        <v>168</v>
      </c>
      <c r="B171" s="13" t="inlineStr">
        <is>
          <t>الجودة</t>
        </is>
      </c>
      <c r="C171" s="11" t="inlineStr">
        <is>
          <t>نسبة جاهزية نظام إدارة الجودة QMS</t>
        </is>
      </c>
      <c r="D171" s="15" t="inlineStr">
        <is>
          <t>شهري</t>
        </is>
      </c>
      <c r="E171" s="15" t="inlineStr">
        <is>
          <t>لقطة</t>
        </is>
      </c>
      <c r="F171" s="46" t="inlineStr">
        <is>
          <t>↑</t>
        </is>
      </c>
      <c r="G171" s="61" t="n">
        <v>0.9</v>
      </c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47">
        <f>IFERROR(LOOKUP(2,1/($H171:$S171&lt;&gt;""),$H171:$S171),"")</f>
        <v/>
      </c>
      <c r="U171" s="47">
        <f>IF($G171="","",IF($T171="","",MIN(1,IF($G171=0,IF($T171&lt;=0,1,0),IF($F171="↓",IFERROR($G171/$T171,0),IFERROR($T171/$G171,0))))))</f>
        <v/>
      </c>
      <c r="V171" s="51">
        <f>IF($U171="","⏳ بانتظار هدف",IF($U171&gt;=1.0,"✅ محقق",IF($U171&gt;=0.97,"🟡 قريب","🔴 تحت الهدف")))</f>
        <v/>
      </c>
      <c r="W171" s="60">
        <f>IF($G171="","",$G171)</f>
        <v/>
      </c>
      <c r="X171" s="51">
        <f>IF($U171="","—",IF($U171&gt;=0.97,"🟢 على المسار","🟠 متأخّر"))</f>
        <v/>
      </c>
    </row>
    <row r="172" ht="22" customHeight="1">
      <c r="A172" s="51" t="n">
        <v>169</v>
      </c>
      <c r="B172" s="13" t="inlineStr">
        <is>
          <t>الجودة</t>
        </is>
      </c>
      <c r="C172" s="11" t="inlineStr">
        <is>
          <t>عدد مخاطر الجودة الحرجة المفتوحة</t>
        </is>
      </c>
      <c r="D172" s="15" t="inlineStr">
        <is>
          <t>شهري</t>
        </is>
      </c>
      <c r="E172" s="15" t="inlineStr">
        <is>
          <t>لقطة</t>
        </is>
      </c>
      <c r="F172" s="46" t="inlineStr">
        <is>
          <t>↓</t>
        </is>
      </c>
      <c r="G172" s="52" t="n">
        <v>0</v>
      </c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4">
        <f>IFERROR(LOOKUP(2,1/($H172:$S172&lt;&gt;""),$H172:$S172),"")</f>
        <v/>
      </c>
      <c r="U172" s="47">
        <f>IF($G172="","",IF($T172="","",MIN(1,IF($G172=0,IF($T172&lt;=0,1,0),IF($F172="↓",IFERROR($G172/$T172,0),IFERROR($T172/$G172,0))))))</f>
        <v/>
      </c>
      <c r="V172" s="51">
        <f>IF($U172="","⏳ بانتظار هدف",IF($U172&gt;=1.0,"✅ محقق",IF($U172&gt;=0.85,"🟡 قريب","🔴 تحت الهدف")))</f>
        <v/>
      </c>
      <c r="W172" s="55">
        <f>IF($G172="","",$G172)</f>
        <v/>
      </c>
      <c r="X172" s="51">
        <f>IF($U172="","—",IF($U172&gt;=0.85,"🟢 على المسار","🟠 متأخّر"))</f>
        <v/>
      </c>
    </row>
    <row r="173" ht="22" customHeight="1">
      <c r="A173" s="51" t="n">
        <v>170</v>
      </c>
      <c r="B173" s="13" t="inlineStr">
        <is>
          <t>الجودة</t>
        </is>
      </c>
      <c r="C173" s="11" t="inlineStr">
        <is>
          <t>نسبة إغلاق مخاطر الجودة في الوقت المحدد</t>
        </is>
      </c>
      <c r="D173" s="15" t="inlineStr">
        <is>
          <t>شهري</t>
        </is>
      </c>
      <c r="E173" s="15" t="inlineStr">
        <is>
          <t>معدل</t>
        </is>
      </c>
      <c r="F173" s="46" t="inlineStr">
        <is>
          <t>↑</t>
        </is>
      </c>
      <c r="G173" s="61" t="n">
        <v>0.9</v>
      </c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47">
        <f>IF(COUNT($H173:$S173)=0,"",SUM($H173:$S173)/COUNT($H173:$S173))</f>
        <v/>
      </c>
      <c r="U173" s="47">
        <f>IF($G173="","",IF($T173="","",MIN(1,IF($G173=0,IF($T173&lt;=0,1,0),IF($F173="↓",IFERROR($G173/$T173,0),IFERROR($T173/$G173,0))))))</f>
        <v/>
      </c>
      <c r="V173" s="51">
        <f>IF($U173="","⏳ بانتظار هدف",IF($U173&gt;=1.0,"✅ محقق",IF($U173&gt;=0.85,"🟡 قريب","🔴 تحت الهدف")))</f>
        <v/>
      </c>
      <c r="W173" s="60">
        <f>IF($G173="","",$G173)</f>
        <v/>
      </c>
      <c r="X173" s="51">
        <f>IF($U173="","—",IF($U173&gt;=0.85,"🟢 على المسار","🟠 متأخّر"))</f>
        <v/>
      </c>
    </row>
    <row r="174" ht="22" customHeight="1">
      <c r="A174" s="51" t="n">
        <v>171</v>
      </c>
      <c r="B174" s="13" t="inlineStr">
        <is>
          <t>الجودة</t>
        </is>
      </c>
      <c r="C174" s="11" t="inlineStr">
        <is>
          <t>نسبة انخفاض الشكاوى المتكررة ذات العلاقة بالجودة</t>
        </is>
      </c>
      <c r="D174" s="15" t="inlineStr">
        <is>
          <t>شهري</t>
        </is>
      </c>
      <c r="E174" s="15" t="inlineStr">
        <is>
          <t>معدل</t>
        </is>
      </c>
      <c r="F174" s="46" t="inlineStr">
        <is>
          <t>↑</t>
        </is>
      </c>
      <c r="G174" s="61" t="n">
        <v>0.15</v>
      </c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47">
        <f>IF(COUNT($H174:$S174)=0,"",SUM($H174:$S174)/COUNT($H174:$S174))</f>
        <v/>
      </c>
      <c r="U174" s="47">
        <f>IF($G174="","",IF($T174="","",MIN(1,IF($G174=0,IF($T174&lt;=0,1,0),IF($F174="↓",IFERROR($G174/$T174,0),IFERROR($T174/$G174,0))))))</f>
        <v/>
      </c>
      <c r="V174" s="51">
        <f>IF($U174="","⏳ بانتظار هدف",IF($U174&gt;=1.0,"✅ محقق",IF($U174&gt;=0.85,"🟡 قريب","🔴 تحت الهدف")))</f>
        <v/>
      </c>
      <c r="W174" s="60">
        <f>IF($G174="","",$G174)</f>
        <v/>
      </c>
      <c r="X174" s="51">
        <f>IF($U174="","—",IF($U174&gt;=0.85,"🟢 على المسار","🟠 متأخّر"))</f>
        <v/>
      </c>
    </row>
    <row r="175" ht="22" customHeight="1">
      <c r="A175" s="51" t="n">
        <v>172</v>
      </c>
      <c r="B175" s="13" t="inlineStr">
        <is>
          <t>الجودة</t>
        </is>
      </c>
      <c r="C175" s="11" t="inlineStr">
        <is>
          <t>نسبة اكتمال وتحديث الإجراءات المعتمدة</t>
        </is>
      </c>
      <c r="D175" s="15" t="inlineStr">
        <is>
          <t>شهري</t>
        </is>
      </c>
      <c r="E175" s="15" t="inlineStr">
        <is>
          <t>معدل</t>
        </is>
      </c>
      <c r="F175" s="46" t="inlineStr">
        <is>
          <t>↑</t>
        </is>
      </c>
      <c r="G175" s="61" t="n">
        <v>0.95</v>
      </c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47">
        <f>IF(COUNT($H175:$S175)=0,"",SUM($H175:$S175)/COUNT($H175:$S175))</f>
        <v/>
      </c>
      <c r="U175" s="47">
        <f>IF($G175="","",IF($T175="","",MIN(1,IF($G175=0,IF($T175&lt;=0,1,0),IF($F175="↓",IFERROR($G175/$T175,0),IFERROR($T175/$G175,0))))))</f>
        <v/>
      </c>
      <c r="V175" s="51">
        <f>IF($U175="","⏳ بانتظار هدف",IF($U175&gt;=1.0,"✅ محقق",IF($U175&gt;=0.85,"🟡 قريب","🔴 تحت الهدف")))</f>
        <v/>
      </c>
      <c r="W175" s="60">
        <f>IF($G175="","",$G175)</f>
        <v/>
      </c>
      <c r="X175" s="51">
        <f>IF($U175="","—",IF($U175&gt;=0.85,"🟢 على المسار","🟠 متأخّر"))</f>
        <v/>
      </c>
    </row>
    <row r="176" ht="22" customHeight="1">
      <c r="A176" s="51" t="n">
        <v>173</v>
      </c>
      <c r="B176" s="13" t="inlineStr">
        <is>
          <t>الجودة</t>
        </is>
      </c>
      <c r="C176" s="11" t="inlineStr">
        <is>
          <t>نسبة اكتمال سجلات الجودة</t>
        </is>
      </c>
      <c r="D176" s="15" t="inlineStr">
        <is>
          <t>شهري</t>
        </is>
      </c>
      <c r="E176" s="15" t="inlineStr">
        <is>
          <t>معدل</t>
        </is>
      </c>
      <c r="F176" s="46" t="inlineStr">
        <is>
          <t>↑</t>
        </is>
      </c>
      <c r="G176" s="61" t="n">
        <v>0.95</v>
      </c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47">
        <f>IF(COUNT($H176:$S176)=0,"",SUM($H176:$S176)/COUNT($H176:$S176))</f>
        <v/>
      </c>
      <c r="U176" s="47">
        <f>IF($G176="","",IF($T176="","",MIN(1,IF($G176=0,IF($T176&lt;=0,1,0),IF($F176="↓",IFERROR($G176/$T176,0),IFERROR($T176/$G176,0))))))</f>
        <v/>
      </c>
      <c r="V176" s="51">
        <f>IF($U176="","⏳ بانتظار هدف",IF($U176&gt;=1.0,"✅ محقق",IF($U176&gt;=0.85,"🟡 قريب","🔴 تحت الهدف")))</f>
        <v/>
      </c>
      <c r="W176" s="60">
        <f>IF($G176="","",$G176)</f>
        <v/>
      </c>
      <c r="X176" s="51">
        <f>IF($U176="","—",IF($U176&gt;=0.85,"🟢 على المسار","🟠 متأخّر"))</f>
        <v/>
      </c>
    </row>
    <row r="177" ht="22" customHeight="1">
      <c r="A177" s="51" t="n">
        <v>174</v>
      </c>
      <c r="B177" s="13" t="inlineStr">
        <is>
          <t>الجودة</t>
        </is>
      </c>
      <c r="C177" s="11" t="inlineStr">
        <is>
          <t>نسبة رقمنة عمليات الجودة</t>
        </is>
      </c>
      <c r="D177" s="15" t="inlineStr">
        <is>
          <t>شهري</t>
        </is>
      </c>
      <c r="E177" s="15" t="inlineStr">
        <is>
          <t>لقطة</t>
        </is>
      </c>
      <c r="F177" s="46" t="inlineStr">
        <is>
          <t>↑</t>
        </is>
      </c>
      <c r="G177" s="61" t="n">
        <v>0.8</v>
      </c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47">
        <f>IFERROR(LOOKUP(2,1/($H177:$S177&lt;&gt;""),$H177:$S177),"")</f>
        <v/>
      </c>
      <c r="U177" s="47">
        <f>IF($G177="","",IF($T177="","",MIN(1,IF($G177=0,IF($T177&lt;=0,1,0),IF($F177="↓",IFERROR($G177/$T177,0),IFERROR($T177/$G177,0))))))</f>
        <v/>
      </c>
      <c r="V177" s="51">
        <f>IF($U177="","⏳ بانتظار هدف",IF($U177&gt;=1.0,"✅ محقق",IF($U177&gt;=0.85,"🟡 قريب","🔴 تحت الهدف")))</f>
        <v/>
      </c>
      <c r="W177" s="60">
        <f>IF($G177="","",$G177)</f>
        <v/>
      </c>
      <c r="X177" s="51">
        <f>IF($U177="","—",IF($U177&gt;=0.85,"🟢 على المسار","🟠 متأخّر"))</f>
        <v/>
      </c>
    </row>
    <row r="178" ht="22" customHeight="1">
      <c r="A178" s="51" t="n">
        <v>175</v>
      </c>
      <c r="B178" s="13" t="inlineStr">
        <is>
          <t>الجودة</t>
        </is>
      </c>
      <c r="C178" s="11" t="inlineStr">
        <is>
          <t>عدد مبادرات التحسين المؤثرة</t>
        </is>
      </c>
      <c r="D178" s="15" t="inlineStr">
        <is>
          <t>ربعي</t>
        </is>
      </c>
      <c r="E178" s="15" t="inlineStr">
        <is>
          <t>تراكمي</t>
        </is>
      </c>
      <c r="F178" s="46" t="inlineStr">
        <is>
          <t>↑</t>
        </is>
      </c>
      <c r="G178" s="52" t="n">
        <v>8</v>
      </c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4">
        <f>IF(COUNT($H178:$S178)=0,"",SUM($H178:$S178))</f>
        <v/>
      </c>
      <c r="U178" s="47">
        <f>IF($G178="","",IF($T178="","",MIN(1,IF($G178=0,IF($T178&lt;=0,1,0),IF($F178="↓",IFERROR($G178/$T178,0),IFERROR($T178/$G178,0))))))</f>
        <v/>
      </c>
      <c r="V178" s="51">
        <f>IF($U178="","⏳ بانتظار هدف",IF($U178&gt;=1.0,"✅ محقق",IF($U178&gt;=0.85,"🟡 قريب","🔴 تحت الهدف")))</f>
        <v/>
      </c>
      <c r="W178" s="55">
        <f>IF($G178="","",$G178*COUNT($H178:$S178)/12)</f>
        <v/>
      </c>
      <c r="X178" s="51">
        <f>IF($U178="","—",IF($U178&gt;=COUNT($H178:$S178)/12,"🟢 على المسار","🟠 متأخّر"))</f>
        <v/>
      </c>
    </row>
    <row r="179" ht="22" customHeight="1">
      <c r="A179" s="51" t="n">
        <v>176</v>
      </c>
      <c r="B179" s="13" t="inlineStr">
        <is>
          <t>الإدارة القانونية</t>
        </is>
      </c>
      <c r="C179" s="11" t="inlineStr">
        <is>
          <t>نسبة العقود المُراجَعة قانونياً قبل التوقيع</t>
        </is>
      </c>
      <c r="D179" s="15" t="inlineStr">
        <is>
          <t>شهري</t>
        </is>
      </c>
      <c r="E179" s="15" t="inlineStr">
        <is>
          <t>معدل</t>
        </is>
      </c>
      <c r="F179" s="46" t="inlineStr">
        <is>
          <t>↑</t>
        </is>
      </c>
      <c r="G179" s="61" t="n">
        <v>1</v>
      </c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47">
        <f>IF(COUNT($H179:$S179)=0,"",SUM($H179:$S179)/COUNT($H179:$S179))</f>
        <v/>
      </c>
      <c r="U179" s="47">
        <f>IF($G179="","",IF($T179="","",MIN(1,IF($G179=0,IF($T179&lt;=0,1,0),IF($F179="↓",IFERROR($G179/$T179,0),IFERROR($T179/$G179,0))))))</f>
        <v/>
      </c>
      <c r="V179" s="51">
        <f>IF($U179="","⏳ بانتظار هدف",IF($U179&gt;=1.0,"✅ محقق",IF($U179&gt;=0.85,"🟡 قريب","🔴 تحت الهدف")))</f>
        <v/>
      </c>
      <c r="W179" s="60">
        <f>IF($G179="","",$G179)</f>
        <v/>
      </c>
      <c r="X179" s="51">
        <f>IF($U179="","—",IF($U179&gt;=0.85,"🟢 على المسار","🟠 متأخّر"))</f>
        <v/>
      </c>
    </row>
    <row r="180" ht="22" customHeight="1">
      <c r="A180" s="51" t="n">
        <v>177</v>
      </c>
      <c r="B180" s="13" t="inlineStr">
        <is>
          <t>الإدارة القانونية</t>
        </is>
      </c>
      <c r="C180" s="11" t="inlineStr">
        <is>
          <t>متوسط زمن صياغة ومراجعة العقد</t>
        </is>
      </c>
      <c r="D180" s="15" t="inlineStr">
        <is>
          <t>شهري</t>
        </is>
      </c>
      <c r="E180" s="15" t="inlineStr">
        <is>
          <t>معدل</t>
        </is>
      </c>
      <c r="F180" s="46" t="inlineStr">
        <is>
          <t>↓</t>
        </is>
      </c>
      <c r="G180" s="62" t="n">
        <v>3</v>
      </c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4">
        <f>IF(COUNT($H180:$S180)=0,"",SUM($H180:$S180)/COUNT($H180:$S180))</f>
        <v/>
      </c>
      <c r="U180" s="47">
        <f>IF($G180="","",IF($T180="","",MIN(1,IF($G180=0,IF($T180&lt;=0,1,0),IF($F180="↓",IFERROR($G180/$T180,0),IFERROR($T180/$G180,0))))))</f>
        <v/>
      </c>
      <c r="V180" s="51">
        <f>IF($U180="","⏳ بانتظار هدف",IF($U180&gt;=1.0,"✅ محقق",IF($U180&gt;=0.85,"🟡 قريب","🔴 تحت الهدف")))</f>
        <v/>
      </c>
      <c r="W180" s="65">
        <f>IF($G180="","",$G180)</f>
        <v/>
      </c>
      <c r="X180" s="51">
        <f>IF($U180="","—",IF($U180&gt;=0.85,"🟢 على المسار","🟠 متأخّر"))</f>
        <v/>
      </c>
    </row>
    <row r="181" ht="22" customHeight="1">
      <c r="A181" s="51" t="n">
        <v>178</v>
      </c>
      <c r="B181" s="13" t="inlineStr">
        <is>
          <t>الإدارة القانونية</t>
        </is>
      </c>
      <c r="C181" s="11" t="inlineStr">
        <is>
          <t>نسبة العقود الخالية من الملاحظات والمخاطر القانونية</t>
        </is>
      </c>
      <c r="D181" s="15" t="inlineStr">
        <is>
          <t>شهري</t>
        </is>
      </c>
      <c r="E181" s="15" t="inlineStr">
        <is>
          <t>معدل</t>
        </is>
      </c>
      <c r="F181" s="46" t="inlineStr">
        <is>
          <t>↑</t>
        </is>
      </c>
      <c r="G181" s="61" t="n">
        <v>0.95</v>
      </c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47">
        <f>IF(COUNT($H181:$S181)=0,"",SUM($H181:$S181)/COUNT($H181:$S181))</f>
        <v/>
      </c>
      <c r="U181" s="47">
        <f>IF($G181="","",IF($T181="","",MIN(1,IF($G181=0,IF($T181&lt;=0,1,0),IF($F181="↓",IFERROR($G181/$T181,0),IFERROR($T181/$G181,0))))))</f>
        <v/>
      </c>
      <c r="V181" s="51">
        <f>IF($U181="","⏳ بانتظار هدف",IF($U181&gt;=1.0,"✅ محقق",IF($U181&gt;=0.85,"🟡 قريب","🔴 تحت الهدف")))</f>
        <v/>
      </c>
      <c r="W181" s="60">
        <f>IF($G181="","",$G181)</f>
        <v/>
      </c>
      <c r="X181" s="51">
        <f>IF($U181="","—",IF($U181&gt;=0.85,"🟢 على المسار","🟠 متأخّر"))</f>
        <v/>
      </c>
    </row>
    <row r="182" ht="22" customHeight="1">
      <c r="A182" s="51" t="n">
        <v>179</v>
      </c>
      <c r="B182" s="13" t="inlineStr">
        <is>
          <t>الإدارة القانونية</t>
        </is>
      </c>
      <c r="C182" s="11" t="inlineStr">
        <is>
          <t>نسبة القضايا المُغلقة لصالح الشركة</t>
        </is>
      </c>
      <c r="D182" s="15" t="inlineStr">
        <is>
          <t>شهري</t>
        </is>
      </c>
      <c r="E182" s="15" t="inlineStr">
        <is>
          <t>معدل</t>
        </is>
      </c>
      <c r="F182" s="46" t="inlineStr">
        <is>
          <t>↑</t>
        </is>
      </c>
      <c r="G182" s="61" t="n">
        <v>0.8</v>
      </c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47">
        <f>IF(COUNT($H182:$S182)=0,"",SUM($H182:$S182)/COUNT($H182:$S182))</f>
        <v/>
      </c>
      <c r="U182" s="47">
        <f>IF($G182="","",IF($T182="","",MIN(1,IF($G182=0,IF($T182&lt;=0,1,0),IF($F182="↓",IFERROR($G182/$T182,0),IFERROR($T182/$G182,0))))))</f>
        <v/>
      </c>
      <c r="V182" s="51">
        <f>IF($U182="","⏳ بانتظار هدف",IF($U182&gt;=1.0,"✅ محقق",IF($U182&gt;=0.85,"🟡 قريب","🔴 تحت الهدف")))</f>
        <v/>
      </c>
      <c r="W182" s="60">
        <f>IF($G182="","",$G182)</f>
        <v/>
      </c>
      <c r="X182" s="51">
        <f>IF($U182="","—",IF($U182&gt;=0.85,"🟢 على المسار","🟠 متأخّر"))</f>
        <v/>
      </c>
    </row>
    <row r="183" ht="22" customHeight="1">
      <c r="A183" s="51" t="n">
        <v>180</v>
      </c>
      <c r="B183" s="13" t="inlineStr">
        <is>
          <t>الإدارة القانونية</t>
        </is>
      </c>
      <c r="C183" s="11" t="inlineStr">
        <is>
          <t>نسبة تقديم المذكرات والردود في المواعيد النظامية</t>
        </is>
      </c>
      <c r="D183" s="15" t="inlineStr">
        <is>
          <t>شهري</t>
        </is>
      </c>
      <c r="E183" s="15" t="inlineStr">
        <is>
          <t>معدل</t>
        </is>
      </c>
      <c r="F183" s="46" t="inlineStr">
        <is>
          <t>↑</t>
        </is>
      </c>
      <c r="G183" s="61" t="n">
        <v>1</v>
      </c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47">
        <f>IF(COUNT($H183:$S183)=0,"",SUM($H183:$S183)/COUNT($H183:$S183))</f>
        <v/>
      </c>
      <c r="U183" s="47">
        <f>IF($G183="","",IF($T183="","",MIN(1,IF($G183=0,IF($T183&lt;=0,1,0),IF($F183="↓",IFERROR($G183/$T183,0),IFERROR($T183/$G183,0))))))</f>
        <v/>
      </c>
      <c r="V183" s="51">
        <f>IF($U183="","⏳ بانتظار هدف",IF($U183&gt;=1.0,"✅ محقق",IF($U183&gt;=0.85,"🟡 قريب","🔴 تحت الهدف")))</f>
        <v/>
      </c>
      <c r="W183" s="60">
        <f>IF($G183="","",$G183)</f>
        <v/>
      </c>
      <c r="X183" s="51">
        <f>IF($U183="","—",IF($U183&gt;=0.85,"🟢 على المسار","🟠 متأخّر"))</f>
        <v/>
      </c>
    </row>
    <row r="184" ht="22" customHeight="1">
      <c r="A184" s="51" t="n">
        <v>181</v>
      </c>
      <c r="B184" s="13" t="inlineStr">
        <is>
          <t>الإدارة القانونية</t>
        </is>
      </c>
      <c r="C184" s="11" t="inlineStr">
        <is>
          <t>متوسط زمن إعداد المذكرة القانونية</t>
        </is>
      </c>
      <c r="D184" s="15" t="inlineStr">
        <is>
          <t>شهري</t>
        </is>
      </c>
      <c r="E184" s="15" t="inlineStr">
        <is>
          <t>معدل</t>
        </is>
      </c>
      <c r="F184" s="46" t="inlineStr">
        <is>
          <t>↓</t>
        </is>
      </c>
      <c r="G184" s="62" t="n">
        <v>5</v>
      </c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4">
        <f>IF(COUNT($H184:$S184)=0,"",SUM($H184:$S184)/COUNT($H184:$S184))</f>
        <v/>
      </c>
      <c r="U184" s="47">
        <f>IF($G184="","",IF($T184="","",MIN(1,IF($G184=0,IF($T184&lt;=0,1,0),IF($F184="↓",IFERROR($G184/$T184,0),IFERROR($T184/$G184,0))))))</f>
        <v/>
      </c>
      <c r="V184" s="51">
        <f>IF($U184="","⏳ بانتظار هدف",IF($U184&gt;=1.0,"✅ محقق",IF($U184&gt;=0.85,"🟡 قريب","🔴 تحت الهدف")))</f>
        <v/>
      </c>
      <c r="W184" s="65">
        <f>IF($G184="","",$G184)</f>
        <v/>
      </c>
      <c r="X184" s="51">
        <f>IF($U184="","—",IF($U184&gt;=0.85,"🟢 على المسار","🟠 متأخّر"))</f>
        <v/>
      </c>
    </row>
    <row r="185" ht="22" customHeight="1">
      <c r="A185" s="51" t="n">
        <v>182</v>
      </c>
      <c r="B185" s="13" t="inlineStr">
        <is>
          <t>الإدارة القانونية</t>
        </is>
      </c>
      <c r="C185" s="11" t="inlineStr">
        <is>
          <t>نسبة الاستشارات المُنجزة ضمن المدة المستهدفة (SLA)</t>
        </is>
      </c>
      <c r="D185" s="15" t="inlineStr">
        <is>
          <t>شهري</t>
        </is>
      </c>
      <c r="E185" s="15" t="inlineStr">
        <is>
          <t>معدل</t>
        </is>
      </c>
      <c r="F185" s="46" t="inlineStr">
        <is>
          <t>↑</t>
        </is>
      </c>
      <c r="G185" s="61" t="n">
        <v>0.9</v>
      </c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47">
        <f>IF(COUNT($H185:$S185)=0,"",SUM($H185:$S185)/COUNT($H185:$S185))</f>
        <v/>
      </c>
      <c r="U185" s="47">
        <f>IF($G185="","",IF($T185="","",MIN(1,IF($G185=0,IF($T185&lt;=0,1,0),IF($F185="↓",IFERROR($G185/$T185,0),IFERROR($T185/$G185,0))))))</f>
        <v/>
      </c>
      <c r="V185" s="51">
        <f>IF($U185="","⏳ بانتظار هدف",IF($U185&gt;=1.0,"✅ محقق",IF($U185&gt;=0.85,"🟡 قريب","🔴 تحت الهدف")))</f>
        <v/>
      </c>
      <c r="W185" s="60">
        <f>IF($G185="","",$G185)</f>
        <v/>
      </c>
      <c r="X185" s="51">
        <f>IF($U185="","—",IF($U185&gt;=0.85,"🟢 على المسار","🟠 متأخّر"))</f>
        <v/>
      </c>
    </row>
    <row r="186" ht="22" customHeight="1">
      <c r="A186" s="51" t="n">
        <v>183</v>
      </c>
      <c r="B186" s="13" t="inlineStr">
        <is>
          <t>الإدارة القانونية</t>
        </is>
      </c>
      <c r="C186" s="11" t="inlineStr">
        <is>
          <t>مستوى رضا الإدارات عن الدعم القانوني</t>
        </is>
      </c>
      <c r="D186" s="15" t="inlineStr">
        <is>
          <t>ربعي</t>
        </is>
      </c>
      <c r="E186" s="15" t="inlineStr">
        <is>
          <t>معدل</t>
        </is>
      </c>
      <c r="F186" s="46" t="inlineStr">
        <is>
          <t>↑</t>
        </is>
      </c>
      <c r="G186" s="61" t="n">
        <v>0.85</v>
      </c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47">
        <f>IF(COUNT($H186:$S186)=0,"",SUM($H186:$S186)/COUNT($H186:$S186))</f>
        <v/>
      </c>
      <c r="U186" s="47">
        <f>IF($G186="","",IF($T186="","",MIN(1,IF($G186=0,IF($T186&lt;=0,1,0),IF($F186="↓",IFERROR($G186/$T186,0),IFERROR($T186/$G186,0))))))</f>
        <v/>
      </c>
      <c r="V186" s="51">
        <f>IF($U186="","⏳ بانتظار هدف",IF($U186&gt;=0.9,"✅ محقق",IF($U186&gt;=0.75,"🟡 قريب","🔴 تحت الهدف")))</f>
        <v/>
      </c>
      <c r="W186" s="60">
        <f>IF($G186="","",$G186)</f>
        <v/>
      </c>
      <c r="X186" s="51">
        <f>IF($U186="","—",IF($U186&gt;=0.75,"🟢 على المسار","🟠 متأخّر"))</f>
        <v/>
      </c>
    </row>
    <row r="187" ht="22" customHeight="1">
      <c r="A187" s="51" t="n">
        <v>184</v>
      </c>
      <c r="B187" s="13" t="inlineStr">
        <is>
          <t>الإدارة المالية</t>
        </is>
      </c>
      <c r="C187" s="11" t="inlineStr">
        <is>
          <t>نمو الإيرادات السنوي</t>
        </is>
      </c>
      <c r="D187" s="15" t="inlineStr">
        <is>
          <t>ربعي</t>
        </is>
      </c>
      <c r="E187" s="15" t="inlineStr">
        <is>
          <t>معدل</t>
        </is>
      </c>
      <c r="F187" s="46" t="inlineStr">
        <is>
          <t>↑</t>
        </is>
      </c>
      <c r="G187" s="61" t="n">
        <v>0.2</v>
      </c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47">
        <f>IF(COUNT($H187:$S187)=0,"",SUM($H187:$S187)/COUNT($H187:$S187))</f>
        <v/>
      </c>
      <c r="U187" s="47">
        <f>IF($G187="","",IF($T187="","",MIN(1,IF($G187=0,IF($T187&lt;=0,1,0),IF($F187="↓",IFERROR($G187/$T187,0),IFERROR($T187/$G187,0))))))</f>
        <v/>
      </c>
      <c r="V187" s="51">
        <f>IF($U187="","⏳ بانتظار هدف",IF($U187&gt;=1.0,"✅ محقق",IF($U187&gt;=0.85,"🟡 قريب","🔴 تحت الهدف")))</f>
        <v/>
      </c>
      <c r="W187" s="60">
        <f>IF($G187="","",$G187)</f>
        <v/>
      </c>
      <c r="X187" s="51">
        <f>IF($U187="","—",IF($U187&gt;=0.85,"🟢 على المسار","🟠 متأخّر"))</f>
        <v/>
      </c>
    </row>
    <row r="188" ht="22" customHeight="1">
      <c r="A188" s="51" t="n">
        <v>185</v>
      </c>
      <c r="B188" s="13" t="inlineStr">
        <is>
          <t>الإدارة المالية</t>
        </is>
      </c>
      <c r="C188" s="11" t="inlineStr">
        <is>
          <t>هامش EBITDA</t>
        </is>
      </c>
      <c r="D188" s="15" t="inlineStr">
        <is>
          <t>شهري</t>
        </is>
      </c>
      <c r="E188" s="15" t="inlineStr">
        <is>
          <t>معدل</t>
        </is>
      </c>
      <c r="F188" s="46" t="inlineStr">
        <is>
          <t>↑</t>
        </is>
      </c>
      <c r="G188" s="61" t="n">
        <v>0.08</v>
      </c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47">
        <f>IF(COUNT($H188:$S188)=0,"",SUM($H188:$S188)/COUNT($H188:$S188))</f>
        <v/>
      </c>
      <c r="U188" s="47">
        <f>IF($G188="","",IF($T188="","",MIN(1,IF($G188=0,IF($T188&lt;=0,1,0),IF($F188="↓",IFERROR($G188/$T188,0),IFERROR($T188/$G188,0))))))</f>
        <v/>
      </c>
      <c r="V188" s="51">
        <f>IF($U188="","⏳ بانتظار هدف",IF($U188&gt;=1.0,"✅ محقق",IF($U188&gt;=0.85,"🟡 قريب","🔴 تحت الهدف")))</f>
        <v/>
      </c>
      <c r="W188" s="60">
        <f>IF($G188="","",$G188)</f>
        <v/>
      </c>
      <c r="X188" s="51">
        <f>IF($U188="","—",IF($U188&gt;=0.85,"🟢 على المسار","🟠 متأخّر"))</f>
        <v/>
      </c>
    </row>
    <row r="189" ht="22" customHeight="1">
      <c r="A189" s="51" t="n">
        <v>186</v>
      </c>
      <c r="B189" s="13" t="inlineStr">
        <is>
          <t>الإدارة المالية</t>
        </is>
      </c>
      <c r="C189" s="11" t="inlineStr">
        <is>
          <t>هامش صافي الربح</t>
        </is>
      </c>
      <c r="D189" s="15" t="inlineStr">
        <is>
          <t>شهري</t>
        </is>
      </c>
      <c r="E189" s="15" t="inlineStr">
        <is>
          <t>معدل</t>
        </is>
      </c>
      <c r="F189" s="46" t="inlineStr">
        <is>
          <t>↑</t>
        </is>
      </c>
      <c r="G189" s="61" t="n">
        <v>0.01</v>
      </c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47">
        <f>IF(COUNT($H189:$S189)=0,"",SUM($H189:$S189)/COUNT($H189:$S189))</f>
        <v/>
      </c>
      <c r="U189" s="47">
        <f>IF($G189="","",IF($T189="","",MIN(1,IF($G189=0,IF($T189&lt;=0,1,0),IF($F189="↓",IFERROR($G189/$T189,0),IFERROR($T189/$G189,0))))))</f>
        <v/>
      </c>
      <c r="V189" s="51">
        <f>IF($U189="","⏳ بانتظار هدف",IF($U189&gt;=1.0,"✅ محقق",IF($U189&gt;=0.85,"🟡 قريب","🔴 تحت الهدف")))</f>
        <v/>
      </c>
      <c r="W189" s="60">
        <f>IF($G189="","",$G189)</f>
        <v/>
      </c>
      <c r="X189" s="51">
        <f>IF($U189="","—",IF($U189&gt;=0.85,"🟢 على المسار","🟠 متأخّر"))</f>
        <v/>
      </c>
    </row>
    <row r="190" ht="22" customHeight="1">
      <c r="A190" s="51" t="n">
        <v>187</v>
      </c>
      <c r="B190" s="13" t="inlineStr">
        <is>
          <t>الإدارة المالية</t>
        </is>
      </c>
      <c r="C190" s="11" t="inlineStr">
        <is>
          <t>العائد على حقوق الملكية (ROE)</t>
        </is>
      </c>
      <c r="D190" s="15" t="inlineStr">
        <is>
          <t>ربعي</t>
        </is>
      </c>
      <c r="E190" s="15" t="inlineStr">
        <is>
          <t>معدل</t>
        </is>
      </c>
      <c r="F190" s="46" t="inlineStr">
        <is>
          <t>↑</t>
        </is>
      </c>
      <c r="G190" s="61" t="n">
        <v>0.1</v>
      </c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47">
        <f>IF(COUNT($H190:$S190)=0,"",SUM($H190:$S190)/COUNT($H190:$S190))</f>
        <v/>
      </c>
      <c r="U190" s="47">
        <f>IF($G190="","",IF($T190="","",MIN(1,IF($G190=0,IF($T190&lt;=0,1,0),IF($F190="↓",IFERROR($G190/$T190,0),IFERROR($T190/$G190,0))))))</f>
        <v/>
      </c>
      <c r="V190" s="51">
        <f>IF($U190="","⏳ بانتظار هدف",IF($U190&gt;=1.0,"✅ محقق",IF($U190&gt;=0.85,"🟡 قريب","🔴 تحت الهدف")))</f>
        <v/>
      </c>
      <c r="W190" s="60">
        <f>IF($G190="","",$G190)</f>
        <v/>
      </c>
      <c r="X190" s="51">
        <f>IF($U190="","—",IF($U190&gt;=0.85,"🟢 على المسار","🟠 متأخّر"))</f>
        <v/>
      </c>
    </row>
    <row r="191" ht="22" customHeight="1">
      <c r="A191" s="51" t="n">
        <v>188</v>
      </c>
      <c r="B191" s="13" t="inlineStr">
        <is>
          <t>الإدارة المالية</t>
        </is>
      </c>
      <c r="C191" s="11" t="inlineStr">
        <is>
          <t>نسبة التدفق النقدي التشغيلي</t>
        </is>
      </c>
      <c r="D191" s="15" t="inlineStr">
        <is>
          <t>شهري</t>
        </is>
      </c>
      <c r="E191" s="15" t="inlineStr">
        <is>
          <t>معدل</t>
        </is>
      </c>
      <c r="F191" s="46" t="inlineStr">
        <is>
          <t>↑</t>
        </is>
      </c>
      <c r="G191" s="62" t="n">
        <v>1</v>
      </c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4">
        <f>IF(COUNT($H191:$S191)=0,"",SUM($H191:$S191)/COUNT($H191:$S191))</f>
        <v/>
      </c>
      <c r="U191" s="47">
        <f>IF($G191="","",IF($T191="","",MIN(1,IF($G191=0,IF($T191&lt;=0,1,0),IF($F191="↓",IFERROR($G191/$T191,0),IFERROR($T191/$G191,0))))))</f>
        <v/>
      </c>
      <c r="V191" s="51">
        <f>IF($U191="","⏳ بانتظار هدف",IF($U191&gt;=1.0,"✅ محقق",IF($U191&gt;=0.85,"🟡 قريب","🔴 تحت الهدف")))</f>
        <v/>
      </c>
      <c r="W191" s="65">
        <f>IF($G191="","",$G191)</f>
        <v/>
      </c>
      <c r="X191" s="51">
        <f>IF($U191="","—",IF($U191&gt;=0.85,"🟢 على المسار","🟠 متأخّر"))</f>
        <v/>
      </c>
    </row>
    <row r="192" ht="22" customHeight="1">
      <c r="A192" s="51" t="n">
        <v>189</v>
      </c>
      <c r="B192" s="13" t="inlineStr">
        <is>
          <t>الإدارة المالية</t>
        </is>
      </c>
      <c r="C192" s="11" t="inlineStr">
        <is>
          <t>النسبة الجارية (Current Ratio)</t>
        </is>
      </c>
      <c r="D192" s="15" t="inlineStr">
        <is>
          <t>شهري</t>
        </is>
      </c>
      <c r="E192" s="15" t="inlineStr">
        <is>
          <t>لقطة</t>
        </is>
      </c>
      <c r="F192" s="46" t="inlineStr">
        <is>
          <t>↑</t>
        </is>
      </c>
      <c r="G192" s="62" t="n">
        <v>1</v>
      </c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4">
        <f>IFERROR(LOOKUP(2,1/($H192:$S192&lt;&gt;""),$H192:$S192),"")</f>
        <v/>
      </c>
      <c r="U192" s="47">
        <f>IF($G192="","",IF($T192="","",MIN(1,IF($G192=0,IF($T192&lt;=0,1,0),IF($F192="↓",IFERROR($G192/$T192,0),IFERROR($T192/$G192,0))))))</f>
        <v/>
      </c>
      <c r="V192" s="51">
        <f>IF($U192="","⏳ بانتظار هدف",IF($U192&gt;=1.0,"✅ محقق",IF($U192&gt;=0.85,"🟡 قريب","🔴 تحت الهدف")))</f>
        <v/>
      </c>
      <c r="W192" s="65">
        <f>IF($G192="","",$G192)</f>
        <v/>
      </c>
      <c r="X192" s="51">
        <f>IF($U192="","—",IF($U192&gt;=0.85,"🟢 على المسار","🟠 متأخّر"))</f>
        <v/>
      </c>
    </row>
    <row r="193" ht="22" customHeight="1">
      <c r="A193" s="51" t="n">
        <v>190</v>
      </c>
      <c r="B193" s="13" t="inlineStr">
        <is>
          <t>الإدارة المالية</t>
        </is>
      </c>
      <c r="C193" s="11" t="inlineStr">
        <is>
          <t>دورة التحويل النقدي</t>
        </is>
      </c>
      <c r="D193" s="15" t="inlineStr">
        <is>
          <t>شهري</t>
        </is>
      </c>
      <c r="E193" s="15" t="inlineStr">
        <is>
          <t>معدل</t>
        </is>
      </c>
      <c r="F193" s="46" t="inlineStr">
        <is>
          <t>↓</t>
        </is>
      </c>
      <c r="G193" s="62" t="n">
        <v>20</v>
      </c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4">
        <f>IF(COUNT($H193:$S193)=0,"",SUM($H193:$S193)/COUNT($H193:$S193))</f>
        <v/>
      </c>
      <c r="U193" s="47">
        <f>IF($G193="","",IF($T193="","",MIN(1,IF($G193=0,IF($T193&lt;=0,1,0),IF($F193="↓",IFERROR($G193/$T193,0),IFERROR($T193/$G193,0))))))</f>
        <v/>
      </c>
      <c r="V193" s="51">
        <f>IF($U193="","⏳ بانتظار هدف",IF($U193&gt;=1.0,"✅ محقق",IF($U193&gt;=0.85,"🟡 قريب","🔴 تحت الهدف")))</f>
        <v/>
      </c>
      <c r="W193" s="65">
        <f>IF($G193="","",$G193)</f>
        <v/>
      </c>
      <c r="X193" s="51">
        <f>IF($U193="","—",IF($U193&gt;=0.85,"🟢 على المسار","🟠 متأخّر"))</f>
        <v/>
      </c>
    </row>
    <row r="194" ht="22" customHeight="1">
      <c r="A194" s="51" t="n">
        <v>191</v>
      </c>
      <c r="B194" s="13" t="inlineStr">
        <is>
          <t>الإدارة المالية</t>
        </is>
      </c>
      <c r="C194" s="11" t="inlineStr">
        <is>
          <t>متوسط أيام التحصيل العام (DSO)</t>
        </is>
      </c>
      <c r="D194" s="15" t="inlineStr">
        <is>
          <t>شهري</t>
        </is>
      </c>
      <c r="E194" s="15" t="inlineStr">
        <is>
          <t>معدل</t>
        </is>
      </c>
      <c r="F194" s="46" t="inlineStr">
        <is>
          <t>↓</t>
        </is>
      </c>
      <c r="G194" s="62" t="n">
        <v>30</v>
      </c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4">
        <f>IF(COUNT($H194:$S194)=0,"",SUM($H194:$S194)/COUNT($H194:$S194))</f>
        <v/>
      </c>
      <c r="U194" s="47">
        <f>IF($G194="","",IF($T194="","",MIN(1,IF($G194=0,IF($T194&lt;=0,1,0),IF($F194="↓",IFERROR($G194/$T194,0),IFERROR($T194/$G194,0))))))</f>
        <v/>
      </c>
      <c r="V194" s="51">
        <f>IF($U194="","⏳ بانتظار هدف",IF($U194&gt;=1.0,"✅ محقق",IF($U194&gt;=0.85,"🟡 قريب","🔴 تحت الهدف")))</f>
        <v/>
      </c>
      <c r="W194" s="65">
        <f>IF($G194="","",$G194)</f>
        <v/>
      </c>
      <c r="X194" s="51">
        <f>IF($U194="","—",IF($U194&gt;=0.85,"🟢 على المسار","🟠 متأخّر"))</f>
        <v/>
      </c>
    </row>
    <row r="195" ht="22" customHeight="1">
      <c r="A195" s="51" t="n">
        <v>192</v>
      </c>
      <c r="B195" s="13" t="inlineStr">
        <is>
          <t>الإدارة المالية</t>
        </is>
      </c>
      <c r="C195" s="11" t="inlineStr">
        <is>
          <t>نسبة التحصيل العام (الشركة)</t>
        </is>
      </c>
      <c r="D195" s="15" t="inlineStr">
        <is>
          <t>شهري</t>
        </is>
      </c>
      <c r="E195" s="15" t="inlineStr">
        <is>
          <t>معدل</t>
        </is>
      </c>
      <c r="F195" s="46" t="inlineStr">
        <is>
          <t>↑</t>
        </is>
      </c>
      <c r="G195" s="61" t="n">
        <v>0.95</v>
      </c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47">
        <f>IF(COUNT($H195:$S195)=0,"",SUM($H195:$S195)/COUNT($H195:$S195))</f>
        <v/>
      </c>
      <c r="U195" s="47">
        <f>IF($G195="","",IF($T195="","",MIN(1,IF($G195=0,IF($T195&lt;=0,1,0),IF($F195="↓",IFERROR($G195/$T195,0),IFERROR($T195/$G195,0))))))</f>
        <v/>
      </c>
      <c r="V195" s="51">
        <f>IF($U195="","⏳ بانتظار هدف",IF($U195&gt;=1.0,"✅ محقق",IF($U195&gt;=0.85,"🟡 قريب","🔴 تحت الهدف")))</f>
        <v/>
      </c>
      <c r="W195" s="60">
        <f>IF($G195="","",$G195)</f>
        <v/>
      </c>
      <c r="X195" s="51">
        <f>IF($U195="","—",IF($U195&gt;=0.85,"🟢 على المسار","🟠 متأخّر"))</f>
        <v/>
      </c>
    </row>
    <row r="196" ht="22" customHeight="1">
      <c r="A196" s="51" t="n">
        <v>193</v>
      </c>
      <c r="B196" s="13" t="inlineStr">
        <is>
          <t>الإدارة المالية</t>
        </is>
      </c>
      <c r="C196" s="11" t="inlineStr">
        <is>
          <t>نسبة الذمم المتأخرة</t>
        </is>
      </c>
      <c r="D196" s="15" t="inlineStr">
        <is>
          <t>شهري</t>
        </is>
      </c>
      <c r="E196" s="15" t="inlineStr">
        <is>
          <t>معدل</t>
        </is>
      </c>
      <c r="F196" s="46" t="inlineStr">
        <is>
          <t>↓</t>
        </is>
      </c>
      <c r="G196" s="61" t="n">
        <v>0.1</v>
      </c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47">
        <f>IF(COUNT($H196:$S196)=0,"",SUM($H196:$S196)/COUNT($H196:$S196))</f>
        <v/>
      </c>
      <c r="U196" s="47">
        <f>IF($G196="","",IF($T196="","",MIN(1,IF($G196=0,IF($T196&lt;=0,1,0),IF($F196="↓",IFERROR($G196/$T196,0),IFERROR($T196/$G196,0))))))</f>
        <v/>
      </c>
      <c r="V196" s="51">
        <f>IF($U196="","⏳ بانتظار هدف",IF($U196&gt;=1.0,"✅ محقق",IF($U196&gt;=0.85,"🟡 قريب","🔴 تحت الهدف")))</f>
        <v/>
      </c>
      <c r="W196" s="60">
        <f>IF($G196="","",$G196)</f>
        <v/>
      </c>
      <c r="X196" s="51">
        <f>IF($U196="","—",IF($U196&gt;=0.85,"🟢 على المسار","🟠 متأخّر"))</f>
        <v/>
      </c>
    </row>
    <row r="197" ht="22" customHeight="1">
      <c r="A197" s="51" t="n">
        <v>194</v>
      </c>
      <c r="B197" s="13" t="inlineStr">
        <is>
          <t>الإدارة المالية</t>
        </is>
      </c>
      <c r="C197" s="11" t="inlineStr">
        <is>
          <t>نسبة الديون المعدومة</t>
        </is>
      </c>
      <c r="D197" s="15" t="inlineStr">
        <is>
          <t>شهري</t>
        </is>
      </c>
      <c r="E197" s="15" t="inlineStr">
        <is>
          <t>معدل</t>
        </is>
      </c>
      <c r="F197" s="46" t="inlineStr">
        <is>
          <t>↓</t>
        </is>
      </c>
      <c r="G197" s="61" t="n">
        <v>0.01</v>
      </c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47">
        <f>IF(COUNT($H197:$S197)=0,"",SUM($H197:$S197)/COUNT($H197:$S197))</f>
        <v/>
      </c>
      <c r="U197" s="47">
        <f>IF($G197="","",IF($T197="","",MIN(1,IF($G197=0,IF($T197&lt;=0,1,0),IF($F197="↓",IFERROR($G197/$T197,0),IFERROR($T197/$G197,0))))))</f>
        <v/>
      </c>
      <c r="V197" s="51">
        <f>IF($U197="","⏳ بانتظار هدف",IF($U197&gt;=1.0,"✅ محقق",IF($U197&gt;=0.85,"🟡 قريب","🔴 تحت الهدف")))</f>
        <v/>
      </c>
      <c r="W197" s="60">
        <f>IF($G197="","",$G197)</f>
        <v/>
      </c>
      <c r="X197" s="51">
        <f>IF($U197="","—",IF($U197&gt;=0.85,"🟢 على المسار","🟠 متأخّر"))</f>
        <v/>
      </c>
    </row>
    <row r="198" ht="22" customHeight="1">
      <c r="A198" s="51" t="n">
        <v>195</v>
      </c>
      <c r="B198" s="13" t="inlineStr">
        <is>
          <t>الإدارة المالية</t>
        </is>
      </c>
      <c r="C198" s="11" t="inlineStr">
        <is>
          <t>سداد الموردين في الموعد</t>
        </is>
      </c>
      <c r="D198" s="15" t="inlineStr">
        <is>
          <t>شهري</t>
        </is>
      </c>
      <c r="E198" s="15" t="inlineStr">
        <is>
          <t>معدل</t>
        </is>
      </c>
      <c r="F198" s="46" t="inlineStr">
        <is>
          <t>↑</t>
        </is>
      </c>
      <c r="G198" s="61" t="n">
        <v>0.98</v>
      </c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47">
        <f>IF(COUNT($H198:$S198)=0,"",SUM($H198:$S198)/COUNT($H198:$S198))</f>
        <v/>
      </c>
      <c r="U198" s="47">
        <f>IF($G198="","",IF($T198="","",MIN(1,IF($G198=0,IF($T198&lt;=0,1,0),IF($F198="↓",IFERROR($G198/$T198,0),IFERROR($T198/$G198,0))))))</f>
        <v/>
      </c>
      <c r="V198" s="51">
        <f>IF($U198="","⏳ بانتظار هدف",IF($U198&gt;=1.0,"✅ محقق",IF($U198&gt;=0.85,"🟡 قريب","🔴 تحت الهدف")))</f>
        <v/>
      </c>
      <c r="W198" s="60">
        <f>IF($G198="","",$G198)</f>
        <v/>
      </c>
      <c r="X198" s="51">
        <f>IF($U198="","—",IF($U198&gt;=0.85,"🟢 على المسار","🟠 متأخّر"))</f>
        <v/>
      </c>
    </row>
    <row r="199" ht="22" customHeight="1">
      <c r="A199" s="51" t="n">
        <v>196</v>
      </c>
      <c r="B199" s="13" t="inlineStr">
        <is>
          <t>الإدارة المالية</t>
        </is>
      </c>
      <c r="C199" s="11" t="inlineStr">
        <is>
          <t>اكتمال مطابقة حسابات الموردين</t>
        </is>
      </c>
      <c r="D199" s="15" t="inlineStr">
        <is>
          <t>شهري</t>
        </is>
      </c>
      <c r="E199" s="15" t="inlineStr">
        <is>
          <t>معدل</t>
        </is>
      </c>
      <c r="F199" s="46" t="inlineStr">
        <is>
          <t>↑</t>
        </is>
      </c>
      <c r="G199" s="61" t="n">
        <v>0.95</v>
      </c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47">
        <f>IF(COUNT($H199:$S199)=0,"",SUM($H199:$S199)/COUNT($H199:$S199))</f>
        <v/>
      </c>
      <c r="U199" s="47">
        <f>IF($G199="","",IF($T199="","",MIN(1,IF($G199=0,IF($T199&lt;=0,1,0),IF($F199="↓",IFERROR($G199/$T199,0),IFERROR($T199/$G199,0))))))</f>
        <v/>
      </c>
      <c r="V199" s="51">
        <f>IF($U199="","⏳ بانتظار هدف",IF($U199&gt;=1.0,"✅ محقق",IF($U199&gt;=0.97,"🟡 قريب","🔴 تحت الهدف")))</f>
        <v/>
      </c>
      <c r="W199" s="60">
        <f>IF($G199="","",$G199)</f>
        <v/>
      </c>
      <c r="X199" s="51">
        <f>IF($U199="","—",IF($U199&gt;=0.97,"🟢 على المسار","🟠 متأخّر"))</f>
        <v/>
      </c>
    </row>
    <row r="200" ht="22" customHeight="1">
      <c r="A200" s="51" t="n">
        <v>197</v>
      </c>
      <c r="B200" s="13" t="inlineStr">
        <is>
          <t>الإدارة المالية</t>
        </is>
      </c>
      <c r="C200" s="11" t="inlineStr">
        <is>
          <t>دقة التنبؤ النقدي</t>
        </is>
      </c>
      <c r="D200" s="15" t="inlineStr">
        <is>
          <t>شهري</t>
        </is>
      </c>
      <c r="E200" s="15" t="inlineStr">
        <is>
          <t>معدل</t>
        </is>
      </c>
      <c r="F200" s="46" t="inlineStr">
        <is>
          <t>↑</t>
        </is>
      </c>
      <c r="G200" s="61" t="n">
        <v>0.9</v>
      </c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47">
        <f>IF(COUNT($H200:$S200)=0,"",SUM($H200:$S200)/COUNT($H200:$S200))</f>
        <v/>
      </c>
      <c r="U200" s="47">
        <f>IF($G200="","",IF($T200="","",MIN(1,IF($G200=0,IF($T200&lt;=0,1,0),IF($F200="↓",IFERROR($G200/$T200,0),IFERROR($T200/$G200,0))))))</f>
        <v/>
      </c>
      <c r="V200" s="51">
        <f>IF($U200="","⏳ بانتظار هدف",IF($U200&gt;=1.0,"✅ محقق",IF($U200&gt;=0.85,"🟡 قريب","🔴 تحت الهدف")))</f>
        <v/>
      </c>
      <c r="W200" s="60">
        <f>IF($G200="","",$G200)</f>
        <v/>
      </c>
      <c r="X200" s="51">
        <f>IF($U200="","—",IF($U200&gt;=0.85,"🟢 على المسار","🟠 متأخّر"))</f>
        <v/>
      </c>
    </row>
    <row r="201" ht="22" customHeight="1">
      <c r="A201" s="51" t="n">
        <v>198</v>
      </c>
      <c r="B201" s="13" t="inlineStr">
        <is>
          <t>الإدارة المالية</t>
        </is>
      </c>
      <c r="C201" s="11" t="inlineStr">
        <is>
          <t>تباين مخزون الوقود</t>
        </is>
      </c>
      <c r="D201" s="15" t="inlineStr">
        <is>
          <t>شهري</t>
        </is>
      </c>
      <c r="E201" s="15" t="inlineStr">
        <is>
          <t>معدل</t>
        </is>
      </c>
      <c r="F201" s="46" t="inlineStr">
        <is>
          <t>↓</t>
        </is>
      </c>
      <c r="G201" s="61" t="n">
        <v>0.001</v>
      </c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47">
        <f>IF(COUNT($H201:$S201)=0,"",SUM($H201:$S201)/COUNT($H201:$S201))</f>
        <v/>
      </c>
      <c r="U201" s="47">
        <f>IF($G201="","",IF($T201="","",MIN(1,IF($G201=0,IF($T201&lt;=0,1,0),IF($F201="↓",IFERROR($G201/$T201,0),IFERROR($T201/$G201,0))))))</f>
        <v/>
      </c>
      <c r="V201" s="51">
        <f>IF($U201="","⏳ بانتظار هدف",IF($U201&gt;=1.0,"✅ محقق",IF($U201&gt;=0.85,"🟡 قريب","🔴 تحت الهدف")))</f>
        <v/>
      </c>
      <c r="W201" s="60">
        <f>IF($G201="","",$G201)</f>
        <v/>
      </c>
      <c r="X201" s="51">
        <f>IF($U201="","—",IF($U201&gt;=0.85,"🟢 على المسار","🟠 متأخّر"))</f>
        <v/>
      </c>
    </row>
    <row r="202" ht="22" customHeight="1">
      <c r="A202" s="51" t="n">
        <v>199</v>
      </c>
      <c r="B202" s="13" t="inlineStr">
        <is>
          <t>الإدارة المالية</t>
        </is>
      </c>
      <c r="C202" s="11" t="inlineStr">
        <is>
          <t>دقة مطابقة المخزون</t>
        </is>
      </c>
      <c r="D202" s="15" t="inlineStr">
        <is>
          <t>شهري</t>
        </is>
      </c>
      <c r="E202" s="15" t="inlineStr">
        <is>
          <t>معدل</t>
        </is>
      </c>
      <c r="F202" s="46" t="inlineStr">
        <is>
          <t>↑</t>
        </is>
      </c>
      <c r="G202" s="61" t="n">
        <v>0.995</v>
      </c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47">
        <f>IF(COUNT($H202:$S202)=0,"",SUM($H202:$S202)/COUNT($H202:$S202))</f>
        <v/>
      </c>
      <c r="U202" s="47">
        <f>IF($G202="","",IF($T202="","",MIN(1,IF($G202=0,IF($T202&lt;=0,1,0),IF($F202="↓",IFERROR($G202/$T202,0),IFERROR($T202/$G202,0))))))</f>
        <v/>
      </c>
      <c r="V202" s="51">
        <f>IF($U202="","⏳ بانتظار هدف",IF($U202&gt;=1.0,"✅ محقق",IF($U202&gt;=0.97,"🟡 قريب","🔴 تحت الهدف")))</f>
        <v/>
      </c>
      <c r="W202" s="60">
        <f>IF($G202="","",$G202)</f>
        <v/>
      </c>
      <c r="X202" s="51">
        <f>IF($U202="","—",IF($U202&gt;=0.97,"🟢 على المسار","🟠 متأخّر"))</f>
        <v/>
      </c>
    </row>
    <row r="203" ht="22" customHeight="1">
      <c r="A203" s="51" t="n">
        <v>200</v>
      </c>
      <c r="B203" s="13" t="inlineStr">
        <is>
          <t>الإدارة المالية</t>
        </is>
      </c>
      <c r="C203" s="11" t="inlineStr">
        <is>
          <t>دقة تسوية أرامكو</t>
        </is>
      </c>
      <c r="D203" s="15" t="inlineStr">
        <is>
          <t>شهري</t>
        </is>
      </c>
      <c r="E203" s="15" t="inlineStr">
        <is>
          <t>معدل</t>
        </is>
      </c>
      <c r="F203" s="46" t="inlineStr">
        <is>
          <t>↑</t>
        </is>
      </c>
      <c r="G203" s="61" t="n">
        <v>1</v>
      </c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47">
        <f>IF(COUNT($H203:$S203)=0,"",SUM($H203:$S203)/COUNT($H203:$S203))</f>
        <v/>
      </c>
      <c r="U203" s="47">
        <f>IF($G203="","",IF($T203="","",MIN(1,IF($G203=0,IF($T203&lt;=0,1,0),IF($F203="↓",IFERROR($G203/$T203,0),IFERROR($T203/$G203,0))))))</f>
        <v/>
      </c>
      <c r="V203" s="51">
        <f>IF($U203="","⏳ بانتظار هدف",IF($U203&gt;=1.0,"✅ محقق",IF($U203&gt;=0.97,"🟡 قريب","🔴 تحت الهدف")))</f>
        <v/>
      </c>
      <c r="W203" s="60">
        <f>IF($G203="","",$G203)</f>
        <v/>
      </c>
      <c r="X203" s="51">
        <f>IF($U203="","—",IF($U203&gt;=0.97,"🟢 على المسار","🟠 متأخّر"))</f>
        <v/>
      </c>
    </row>
    <row r="204" ht="22" customHeight="1">
      <c r="A204" s="51" t="n">
        <v>201</v>
      </c>
      <c r="B204" s="13" t="inlineStr">
        <is>
          <t>الإدارة المالية</t>
        </is>
      </c>
      <c r="C204" s="11" t="inlineStr">
        <is>
          <t>نسبة تحصيل الامتياز</t>
        </is>
      </c>
      <c r="D204" s="15" t="inlineStr">
        <is>
          <t>شهري</t>
        </is>
      </c>
      <c r="E204" s="15" t="inlineStr">
        <is>
          <t>معدل</t>
        </is>
      </c>
      <c r="F204" s="46" t="inlineStr">
        <is>
          <t>↑</t>
        </is>
      </c>
      <c r="G204" s="61" t="n">
        <v>0.98</v>
      </c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47">
        <f>IF(COUNT($H204:$S204)=0,"",SUM($H204:$S204)/COUNT($H204:$S204))</f>
        <v/>
      </c>
      <c r="U204" s="47">
        <f>IF($G204="","",IF($T204="","",MIN(1,IF($G204=0,IF($T204&lt;=0,1,0),IF($F204="↓",IFERROR($G204/$T204,0),IFERROR($T204/$G204,0))))))</f>
        <v/>
      </c>
      <c r="V204" s="51">
        <f>IF($U204="","⏳ بانتظار هدف",IF($U204&gt;=1.0,"✅ محقق",IF($U204&gt;=0.85,"🟡 قريب","🔴 تحت الهدف")))</f>
        <v/>
      </c>
      <c r="W204" s="60">
        <f>IF($G204="","",$G204)</f>
        <v/>
      </c>
      <c r="X204" s="51">
        <f>IF($U204="","—",IF($U204&gt;=0.85,"🟢 على المسار","🟠 متأخّر"))</f>
        <v/>
      </c>
    </row>
    <row r="205" ht="22" customHeight="1">
      <c r="A205" s="51" t="n">
        <v>202</v>
      </c>
      <c r="B205" s="13" t="inlineStr">
        <is>
          <t>الإدارة المالية</t>
        </is>
      </c>
      <c r="C205" s="11" t="inlineStr">
        <is>
          <t>أيام تحصيل رسوم الامتياز</t>
        </is>
      </c>
      <c r="D205" s="15" t="inlineStr">
        <is>
          <t>شهري</t>
        </is>
      </c>
      <c r="E205" s="15" t="inlineStr">
        <is>
          <t>معدل</t>
        </is>
      </c>
      <c r="F205" s="46" t="inlineStr">
        <is>
          <t>↓</t>
        </is>
      </c>
      <c r="G205" s="62" t="n">
        <v>15</v>
      </c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4">
        <f>IF(COUNT($H205:$S205)=0,"",SUM($H205:$S205)/COUNT($H205:$S205))</f>
        <v/>
      </c>
      <c r="U205" s="47">
        <f>IF($G205="","",IF($T205="","",MIN(1,IF($G205=0,IF($T205&lt;=0,1,0),IF($F205="↓",IFERROR($G205/$T205,0),IFERROR($T205/$G205,0))))))</f>
        <v/>
      </c>
      <c r="V205" s="51">
        <f>IF($U205="","⏳ بانتظار هدف",IF($U205&gt;=1.0,"✅ محقق",IF($U205&gt;=0.85,"🟡 قريب","🔴 تحت الهدف")))</f>
        <v/>
      </c>
      <c r="W205" s="65">
        <f>IF($G205="","",$G205)</f>
        <v/>
      </c>
      <c r="X205" s="51">
        <f>IF($U205="","—",IF($U205&gt;=0.85,"🟢 على المسار","🟠 متأخّر"))</f>
        <v/>
      </c>
    </row>
    <row r="206" ht="22" customHeight="1">
      <c r="A206" s="51" t="n">
        <v>203</v>
      </c>
      <c r="B206" s="13" t="inlineStr">
        <is>
          <t>الإدارة المالية</t>
        </is>
      </c>
      <c r="C206" s="11" t="inlineStr">
        <is>
          <t>نسبة تحصيل الإيجار</t>
        </is>
      </c>
      <c r="D206" s="15" t="inlineStr">
        <is>
          <t>شهري</t>
        </is>
      </c>
      <c r="E206" s="15" t="inlineStr">
        <is>
          <t>معدل</t>
        </is>
      </c>
      <c r="F206" s="46" t="inlineStr">
        <is>
          <t>↑</t>
        </is>
      </c>
      <c r="G206" s="61" t="n">
        <v>0.98</v>
      </c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47">
        <f>IF(COUNT($H206:$S206)=0,"",SUM($H206:$S206)/COUNT($H206:$S206))</f>
        <v/>
      </c>
      <c r="U206" s="47">
        <f>IF($G206="","",IF($T206="","",MIN(1,IF($G206=0,IF($T206&lt;=0,1,0),IF($F206="↓",IFERROR($G206/$T206,0),IFERROR($T206/$G206,0))))))</f>
        <v/>
      </c>
      <c r="V206" s="51">
        <f>IF($U206="","⏳ بانتظار هدف",IF($U206&gt;=1.0,"✅ محقق",IF($U206&gt;=0.85,"🟡 قريب","🔴 تحت الهدف")))</f>
        <v/>
      </c>
      <c r="W206" s="60">
        <f>IF($G206="","",$G206)</f>
        <v/>
      </c>
      <c r="X206" s="51">
        <f>IF($U206="","—",IF($U206&gt;=0.85,"🟢 على المسار","🟠 متأخّر"))</f>
        <v/>
      </c>
    </row>
    <row r="207" ht="22" customHeight="1">
      <c r="A207" s="51" t="n">
        <v>204</v>
      </c>
      <c r="B207" s="13" t="inlineStr">
        <is>
          <t>الإدارة المالية</t>
        </is>
      </c>
      <c r="C207" s="11" t="inlineStr">
        <is>
          <t>معدل تجديد عقود الإيجار</t>
        </is>
      </c>
      <c r="D207" s="15" t="inlineStr">
        <is>
          <t>شهري</t>
        </is>
      </c>
      <c r="E207" s="15" t="inlineStr">
        <is>
          <t>معدل</t>
        </is>
      </c>
      <c r="F207" s="46" t="inlineStr">
        <is>
          <t>↑</t>
        </is>
      </c>
      <c r="G207" s="61" t="n">
        <v>0.9</v>
      </c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47">
        <f>IF(COUNT($H207:$S207)=0,"",SUM($H207:$S207)/COUNT($H207:$S207))</f>
        <v/>
      </c>
      <c r="U207" s="47">
        <f>IF($G207="","",IF($T207="","",MIN(1,IF($G207=0,IF($T207&lt;=0,1,0),IF($F207="↓",IFERROR($G207/$T207,0),IFERROR($T207/$G207,0))))))</f>
        <v/>
      </c>
      <c r="V207" s="51">
        <f>IF($U207="","⏳ بانتظار هدف",IF($U207&gt;=1.0,"✅ محقق",IF($U207&gt;=0.85,"🟡 قريب","🔴 تحت الهدف")))</f>
        <v/>
      </c>
      <c r="W207" s="60">
        <f>IF($G207="","",$G207)</f>
        <v/>
      </c>
      <c r="X207" s="51">
        <f>IF($U207="","—",IF($U207&gt;=0.85,"🟢 على المسار","🟠 متأخّر"))</f>
        <v/>
      </c>
    </row>
    <row r="208" ht="22" customHeight="1">
      <c r="A208" s="51" t="n">
        <v>205</v>
      </c>
      <c r="B208" s="13" t="inlineStr">
        <is>
          <t>الإدارة المالية</t>
        </is>
      </c>
      <c r="C208" s="11" t="inlineStr">
        <is>
          <t>انحراف الموازنة</t>
        </is>
      </c>
      <c r="D208" s="15" t="inlineStr">
        <is>
          <t>ربعي</t>
        </is>
      </c>
      <c r="E208" s="15" t="inlineStr">
        <is>
          <t>معدل</t>
        </is>
      </c>
      <c r="F208" s="46" t="inlineStr">
        <is>
          <t>↓</t>
        </is>
      </c>
      <c r="G208" s="61" t="n">
        <v>0.1</v>
      </c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47">
        <f>IF(COUNT($H208:$S208)=0,"",SUM($H208:$S208)/COUNT($H208:$S208))</f>
        <v/>
      </c>
      <c r="U208" s="47">
        <f>IF($G208="","",IF($T208="","",MIN(1,IF($G208=0,IF($T208&lt;=0,1,0),IF($F208="↓",IFERROR($G208/$T208,0),IFERROR($T208/$G208,0))))))</f>
        <v/>
      </c>
      <c r="V208" s="51">
        <f>IF($U208="","⏳ بانتظار هدف",IF($U208&gt;=1.0,"✅ محقق",IF($U208&gt;=0.85,"🟡 قريب","🔴 تحت الهدف")))</f>
        <v/>
      </c>
      <c r="W208" s="60">
        <f>IF($G208="","",$G208)</f>
        <v/>
      </c>
      <c r="X208" s="51">
        <f>IF($U208="","—",IF($U208&gt;=0.85,"🟢 على المسار","🟠 متأخّر"))</f>
        <v/>
      </c>
    </row>
    <row r="209" ht="22" customHeight="1">
      <c r="A209" s="51" t="n">
        <v>206</v>
      </c>
      <c r="B209" s="13" t="inlineStr">
        <is>
          <t>الإدارة المالية</t>
        </is>
      </c>
      <c r="C209" s="11" t="inlineStr">
        <is>
          <t>أيام الإقفال الشهري</t>
        </is>
      </c>
      <c r="D209" s="15" t="inlineStr">
        <is>
          <t>شهري</t>
        </is>
      </c>
      <c r="E209" s="15" t="inlineStr">
        <is>
          <t>معدل</t>
        </is>
      </c>
      <c r="F209" s="46" t="inlineStr">
        <is>
          <t>↓</t>
        </is>
      </c>
      <c r="G209" s="62" t="n">
        <v>6</v>
      </c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4">
        <f>IF(COUNT($H209:$S209)=0,"",SUM($H209:$S209)/COUNT($H209:$S209))</f>
        <v/>
      </c>
      <c r="U209" s="47">
        <f>IF($G209="","",IF($T209="","",MIN(1,IF($G209=0,IF($T209&lt;=0,1,0),IF($F209="↓",IFERROR($G209/$T209,0),IFERROR($T209/$G209,0))))))</f>
        <v/>
      </c>
      <c r="V209" s="51">
        <f>IF($U209="","⏳ بانتظار هدف",IF($U209&gt;=1.0,"✅ محقق",IF($U209&gt;=0.85,"🟡 قريب","🔴 تحت الهدف")))</f>
        <v/>
      </c>
      <c r="W209" s="65">
        <f>IF($G209="","",$G209)</f>
        <v/>
      </c>
      <c r="X209" s="51">
        <f>IF($U209="","—",IF($U209&gt;=0.85,"🟢 على المسار","🟠 متأخّر"))</f>
        <v/>
      </c>
    </row>
    <row r="210" ht="22" customHeight="1">
      <c r="A210" s="51" t="n">
        <v>207</v>
      </c>
      <c r="B210" s="13" t="inlineStr">
        <is>
          <t>الإدارة المالية</t>
        </is>
      </c>
      <c r="C210" s="11" t="inlineStr">
        <is>
          <t>نسبة تسويات التدقيق</t>
        </is>
      </c>
      <c r="D210" s="15" t="inlineStr">
        <is>
          <t>ربعي</t>
        </is>
      </c>
      <c r="E210" s="15" t="inlineStr">
        <is>
          <t>معدل</t>
        </is>
      </c>
      <c r="F210" s="46" t="inlineStr">
        <is>
          <t>↓</t>
        </is>
      </c>
      <c r="G210" s="61" t="n">
        <v>0.02</v>
      </c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47">
        <f>IF(COUNT($H210:$S210)=0,"",SUM($H210:$S210)/COUNT($H210:$S210))</f>
        <v/>
      </c>
      <c r="U210" s="47">
        <f>IF($G210="","",IF($T210="","",MIN(1,IF($G210=0,IF($T210&lt;=0,1,0),IF($F210="↓",IFERROR($G210/$T210,0),IFERROR($T210/$G210,0))))))</f>
        <v/>
      </c>
      <c r="V210" s="51">
        <f>IF($U210="","⏳ بانتظار هدف",IF($U210&gt;=1.0,"✅ محقق",IF($U210&gt;=0.85,"🟡 قريب","🔴 تحت الهدف")))</f>
        <v/>
      </c>
      <c r="W210" s="60">
        <f>IF($G210="","",$G210)</f>
        <v/>
      </c>
      <c r="X210" s="51">
        <f>IF($U210="","—",IF($U210&gt;=0.85,"🟢 على المسار","🟠 متأخّر"))</f>
        <v/>
      </c>
    </row>
  </sheetData>
  <autoFilter ref="A3:X210"/>
  <mergeCells count="2">
    <mergeCell ref="A2:X2"/>
    <mergeCell ref="A1:X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4" t="inlineStr">
        <is>
          <t>سجل المخاطر المؤسسية — مربوط بالمؤشرات (درجة الخطر = الاحتمال × الأثر)</t>
        </is>
      </c>
    </row>
    <row r="2">
      <c r="A2" s="45" t="inlineStr">
        <is>
          <t>#</t>
        </is>
      </c>
      <c r="B2" s="45" t="inlineStr">
        <is>
          <t>الخطر</t>
        </is>
      </c>
      <c r="C2" s="45" t="inlineStr">
        <is>
          <t>الفئة</t>
        </is>
      </c>
      <c r="D2" s="45" t="inlineStr">
        <is>
          <t>الاحتمال (1-5)</t>
        </is>
      </c>
      <c r="E2" s="45" t="inlineStr">
        <is>
          <t>الأثر (1-5)</t>
        </is>
      </c>
      <c r="F2" s="45" t="inlineStr">
        <is>
          <t>درجة الخطر</t>
        </is>
      </c>
      <c r="G2" s="45" t="inlineStr">
        <is>
          <t>المستوى</t>
        </is>
      </c>
      <c r="H2" s="45" t="inlineStr">
        <is>
          <t>المؤشر المرتبط</t>
        </is>
      </c>
      <c r="I2" s="45" t="inlineStr">
        <is>
          <t>المالك</t>
        </is>
      </c>
      <c r="J2" s="45" t="inlineStr">
        <is>
          <t>إجراء التخفيف</t>
        </is>
      </c>
      <c r="K2" s="45" t="inlineStr">
        <is>
          <t>الحالة</t>
        </is>
      </c>
    </row>
    <row r="3">
      <c r="A3" s="15" t="n">
        <v>1</v>
      </c>
      <c r="B3" s="24" t="inlineStr">
        <is>
          <t>تقلّب أسعار الوقود وضغط الهامش</t>
        </is>
      </c>
      <c r="C3" s="15" t="inlineStr">
        <is>
          <t>مالية/سوق</t>
        </is>
      </c>
      <c r="D3" s="48" t="n">
        <v>4</v>
      </c>
      <c r="E3" s="48" t="n">
        <v>5</v>
      </c>
      <c r="F3" s="66">
        <f>D3*E3</f>
        <v/>
      </c>
      <c r="G3" s="51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4" t="inlineStr">
        <is>
          <t>تعثّر تحصيل المستحقات</t>
        </is>
      </c>
      <c r="C4" s="15" t="inlineStr">
        <is>
          <t>مالية/ائتمان</t>
        </is>
      </c>
      <c r="D4" s="48" t="n">
        <v>3</v>
      </c>
      <c r="E4" s="48" t="n">
        <v>4</v>
      </c>
      <c r="F4" s="66">
        <f>D4*E4</f>
        <v/>
      </c>
      <c r="G4" s="51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4" t="inlineStr">
        <is>
          <t>اختراق/انقطاع الأنظمة الرقمية</t>
        </is>
      </c>
      <c r="C5" s="15" t="inlineStr">
        <is>
          <t>تقني/سيبراني</t>
        </is>
      </c>
      <c r="D5" s="48" t="n">
        <v>3</v>
      </c>
      <c r="E5" s="48" t="n">
        <v>5</v>
      </c>
      <c r="F5" s="66">
        <f>D5*E5</f>
        <v/>
      </c>
      <c r="G5" s="51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4" t="inlineStr">
        <is>
          <t>تأخّر مشاريع التحول الرقمي</t>
        </is>
      </c>
      <c r="C6" s="15" t="inlineStr">
        <is>
          <t>تقني/تشغيلي</t>
        </is>
      </c>
      <c r="D6" s="48" t="n">
        <v>4</v>
      </c>
      <c r="E6" s="48" t="n">
        <v>4</v>
      </c>
      <c r="F6" s="66">
        <f>D6*E6</f>
        <v/>
      </c>
      <c r="G6" s="51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4" t="inlineStr">
        <is>
          <t>نقص الكوادر وتحديات السعودة</t>
        </is>
      </c>
      <c r="C7" s="15" t="inlineStr">
        <is>
          <t>موارد بشرية</t>
        </is>
      </c>
      <c r="D7" s="48" t="n">
        <v>3</v>
      </c>
      <c r="E7" s="48" t="n">
        <v>3</v>
      </c>
      <c r="F7" s="66">
        <f>D7*E7</f>
        <v/>
      </c>
      <c r="G7" s="51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4" t="inlineStr">
        <is>
          <t>حوادث السلامة في المحطات</t>
        </is>
      </c>
      <c r="C8" s="15" t="inlineStr">
        <is>
          <t>تشغيلي/سلامة</t>
        </is>
      </c>
      <c r="D8" s="48" t="n">
        <v>2</v>
      </c>
      <c r="E8" s="48" t="n">
        <v>5</v>
      </c>
      <c r="F8" s="66">
        <f>D8*E8</f>
        <v/>
      </c>
      <c r="G8" s="51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4" t="inlineStr">
        <is>
          <t>عدم مطابقة جودة الوقود</t>
        </is>
      </c>
      <c r="C9" s="15" t="inlineStr">
        <is>
          <t>تشغيلي/جودة</t>
        </is>
      </c>
      <c r="D9" s="48" t="n">
        <v>2</v>
      </c>
      <c r="E9" s="48" t="n">
        <v>5</v>
      </c>
      <c r="F9" s="66">
        <f>D9*E9</f>
        <v/>
      </c>
      <c r="G9" s="51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4" t="inlineStr">
        <is>
          <t>تركّز جغرافي للعقود</t>
        </is>
      </c>
      <c r="C10" s="15" t="inlineStr">
        <is>
          <t>استراتيجي/توسع</t>
        </is>
      </c>
      <c r="D10" s="48" t="n">
        <v>3</v>
      </c>
      <c r="E10" s="48" t="n">
        <v>3</v>
      </c>
      <c r="F10" s="66">
        <f>D10*E10</f>
        <v/>
      </c>
      <c r="G10" s="51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4" t="inlineStr">
        <is>
          <t>ضغط السيولة والتدفق النقدي</t>
        </is>
      </c>
      <c r="C11" s="15" t="inlineStr">
        <is>
          <t>مالية/سيولة</t>
        </is>
      </c>
      <c r="D11" s="48" t="n">
        <v>3</v>
      </c>
      <c r="E11" s="48" t="n">
        <v>4</v>
      </c>
      <c r="F11" s="66">
        <f>D11*E11</f>
        <v/>
      </c>
      <c r="G11" s="51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4" t="inlineStr">
        <is>
          <t>مخاطر الامتثال التنظيمي</t>
        </is>
      </c>
      <c r="C12" s="15" t="inlineStr">
        <is>
          <t>حوكمة/امتثال</t>
        </is>
      </c>
      <c r="D12" s="48" t="n">
        <v>2</v>
      </c>
      <c r="E12" s="48" t="n">
        <v>4</v>
      </c>
      <c r="F12" s="66">
        <f>D12*E12</f>
        <v/>
      </c>
      <c r="G12" s="51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4" t="inlineStr">
        <is>
          <t>انخفاض إشغال الوحدات العقارية</t>
        </is>
      </c>
      <c r="C13" s="15" t="inlineStr">
        <is>
          <t>عقاري/سوق</t>
        </is>
      </c>
      <c r="D13" s="48" t="n">
        <v>3</v>
      </c>
      <c r="E13" s="48" t="n">
        <v>3</v>
      </c>
      <c r="F13" s="66">
        <f>D13*E13</f>
        <v/>
      </c>
      <c r="G13" s="51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4" t="inlineStr">
        <is>
          <t>تراجع سمعة العلامة والشكاوى</t>
        </is>
      </c>
      <c r="C14" s="15" t="inlineStr">
        <is>
          <t>سمعة/عملاء</t>
        </is>
      </c>
      <c r="D14" s="48" t="n">
        <v>2</v>
      </c>
      <c r="E14" s="48" t="n">
        <v>4</v>
      </c>
      <c r="F14" s="66">
        <f>D14*E14</f>
        <v/>
      </c>
      <c r="G14" s="51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4" t="inlineStr">
        <is>
          <t>ESG والاستدامة — البيئة · الاجتماعي · الحوكمة (متطلب حوكمة المؤسسات الكبرى)</t>
        </is>
      </c>
    </row>
    <row r="2">
      <c r="A2" s="45" t="inlineStr">
        <is>
          <t>#</t>
        </is>
      </c>
      <c r="B2" s="45" t="inlineStr">
        <is>
          <t>المحور</t>
        </is>
      </c>
      <c r="C2" s="45" t="inlineStr">
        <is>
          <t>المؤشر</t>
        </is>
      </c>
      <c r="D2" s="45" t="inlineStr">
        <is>
          <t>الوحدة</t>
        </is>
      </c>
      <c r="E2" s="45" t="inlineStr">
        <is>
          <t>القطبية</t>
        </is>
      </c>
      <c r="F2" s="45" t="inlineStr">
        <is>
          <t>المستهدف</t>
        </is>
      </c>
      <c r="G2" s="45" t="inlineStr">
        <is>
          <t>نص المستهدف</t>
        </is>
      </c>
      <c r="H2" s="45" t="inlineStr">
        <is>
          <t>المُحقَّق</t>
        </is>
      </c>
      <c r="I2" s="45" t="inlineStr">
        <is>
          <t>نسبة التحقيق</t>
        </is>
      </c>
      <c r="J2" s="45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4" t="inlineStr">
        <is>
          <t>نسبة التشجير داخل المحطات (معيار الوزارة)</t>
        </is>
      </c>
      <c r="D3" s="46" t="inlineStr">
        <is>
          <t>%</t>
        </is>
      </c>
      <c r="E3" s="46" t="inlineStr">
        <is>
          <t>↑</t>
        </is>
      </c>
      <c r="F3" s="46" t="n">
        <v>1</v>
      </c>
      <c r="G3" s="15" t="inlineStr">
        <is>
          <t>100%</t>
        </is>
      </c>
      <c r="H3" s="48" t="n">
        <v>0.792</v>
      </c>
      <c r="I3" s="47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4" t="inlineStr">
        <is>
          <t>نسبة تخفيض انبعاثات الكربون (مقابل الأساس)</t>
        </is>
      </c>
      <c r="D4" s="46" t="inlineStr">
        <is>
          <t>%</t>
        </is>
      </c>
      <c r="E4" s="46" t="inlineStr">
        <is>
          <t>↑</t>
        </is>
      </c>
      <c r="F4" s="46" t="n">
        <v>0.1</v>
      </c>
      <c r="G4" s="15" t="inlineStr">
        <is>
          <t>≥ 10%</t>
        </is>
      </c>
      <c r="H4" s="48" t="n">
        <v>0.098</v>
      </c>
      <c r="I4" s="47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4" t="inlineStr">
        <is>
          <t>كفاءة استهلاك الطاقة بالمحطات</t>
        </is>
      </c>
      <c r="D5" s="46" t="inlineStr">
        <is>
          <t>%</t>
        </is>
      </c>
      <c r="E5" s="46" t="inlineStr">
        <is>
          <t>↑</t>
        </is>
      </c>
      <c r="F5" s="46" t="n">
        <v>0.9</v>
      </c>
      <c r="G5" s="15" t="inlineStr">
        <is>
          <t>≥ 90%</t>
        </is>
      </c>
      <c r="H5" s="48" t="n">
        <v>0.8110000000000001</v>
      </c>
      <c r="I5" s="47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4" t="inlineStr">
        <is>
          <t>نسبة إدارة وإعادة تدوير المخلفات</t>
        </is>
      </c>
      <c r="D6" s="46" t="inlineStr">
        <is>
          <t>%</t>
        </is>
      </c>
      <c r="E6" s="46" t="inlineStr">
        <is>
          <t>↑</t>
        </is>
      </c>
      <c r="F6" s="46" t="n">
        <v>0.8</v>
      </c>
      <c r="G6" s="15" t="inlineStr">
        <is>
          <t>≥ 80%</t>
        </is>
      </c>
      <c r="H6" s="48" t="n">
        <v>0.603</v>
      </c>
      <c r="I6" s="47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4" t="inlineStr">
        <is>
          <t>حالات الانسكاب/التسرّب البيئي</t>
        </is>
      </c>
      <c r="D7" s="46" t="inlineStr">
        <is>
          <t>حالة</t>
        </is>
      </c>
      <c r="E7" s="46" t="inlineStr">
        <is>
          <t>↓</t>
        </is>
      </c>
      <c r="F7" s="46" t="n">
        <v>0</v>
      </c>
      <c r="G7" s="15" t="inlineStr">
        <is>
          <t>صفر</t>
        </is>
      </c>
      <c r="H7" s="48" t="n"/>
      <c r="I7" s="47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4" t="inlineStr">
        <is>
          <t>نسبة السعودة / التوطين</t>
        </is>
      </c>
      <c r="D8" s="46" t="inlineStr">
        <is>
          <t>%</t>
        </is>
      </c>
      <c r="E8" s="46" t="inlineStr">
        <is>
          <t>↑</t>
        </is>
      </c>
      <c r="F8" s="46" t="n">
        <v>0.3</v>
      </c>
      <c r="G8" s="15" t="inlineStr">
        <is>
          <t>≥ 30%</t>
        </is>
      </c>
      <c r="H8" s="48" t="n">
        <v>0.249</v>
      </c>
      <c r="I8" s="47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4" t="inlineStr">
        <is>
          <t>معدل حوادث السلامة (TRIR)</t>
        </is>
      </c>
      <c r="D9" s="46" t="inlineStr">
        <is>
          <t>معدل</t>
        </is>
      </c>
      <c r="E9" s="46" t="inlineStr">
        <is>
          <t>↓</t>
        </is>
      </c>
      <c r="F9" s="46" t="n">
        <v>0</v>
      </c>
      <c r="G9" s="15" t="inlineStr">
        <is>
          <t>≈ صفر</t>
        </is>
      </c>
      <c r="H9" s="48" t="n"/>
      <c r="I9" s="47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4" t="inlineStr">
        <is>
          <t>مؤشر رضا الموظفين (eNPS)</t>
        </is>
      </c>
      <c r="D10" s="46" t="inlineStr">
        <is>
          <t>نقطة</t>
        </is>
      </c>
      <c r="E10" s="46" t="inlineStr">
        <is>
          <t>↑</t>
        </is>
      </c>
      <c r="F10" s="46" t="n">
        <v>30</v>
      </c>
      <c r="G10" s="15" t="inlineStr">
        <is>
          <t>≥ 30</t>
        </is>
      </c>
      <c r="H10" s="48" t="n">
        <v>27.5</v>
      </c>
      <c r="I10" s="47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4" t="inlineStr">
        <is>
          <t>متوسط ساعات التدريب لكل موظف</t>
        </is>
      </c>
      <c r="D11" s="46" t="inlineStr">
        <is>
          <t>ساعة</t>
        </is>
      </c>
      <c r="E11" s="46" t="inlineStr">
        <is>
          <t>↑</t>
        </is>
      </c>
      <c r="F11" s="46" t="n">
        <v>40</v>
      </c>
      <c r="G11" s="15" t="inlineStr">
        <is>
          <t>≥ 40</t>
        </is>
      </c>
      <c r="H11" s="48" t="n">
        <v>33.6</v>
      </c>
      <c r="I11" s="47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4" t="inlineStr">
        <is>
          <t>مبادرات المسؤولية المجتمعية</t>
        </is>
      </c>
      <c r="D12" s="46" t="inlineStr">
        <is>
          <t>مبادرة</t>
        </is>
      </c>
      <c r="E12" s="46" t="inlineStr">
        <is>
          <t>↑</t>
        </is>
      </c>
      <c r="F12" s="46" t="n">
        <v>6</v>
      </c>
      <c r="G12" s="15" t="inlineStr">
        <is>
          <t>≥ 6</t>
        </is>
      </c>
      <c r="H12" s="48" t="n">
        <v>5.225</v>
      </c>
      <c r="I12" s="47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4" t="inlineStr">
        <is>
          <t>نسبة الالتزام بالامتثال التنظيمي</t>
        </is>
      </c>
      <c r="D13" s="46" t="inlineStr">
        <is>
          <t>%</t>
        </is>
      </c>
      <c r="E13" s="46" t="inlineStr">
        <is>
          <t>↑</t>
        </is>
      </c>
      <c r="F13" s="46" t="n">
        <v>1</v>
      </c>
      <c r="G13" s="15" t="inlineStr">
        <is>
          <t>100%</t>
        </is>
      </c>
      <c r="H13" s="48" t="n">
        <v>0.766</v>
      </c>
      <c r="I13" s="47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4" t="inlineStr">
        <is>
          <t>نسبة اعتماد السياسات والإجراءات</t>
        </is>
      </c>
      <c r="D14" s="46" t="inlineStr">
        <is>
          <t>%</t>
        </is>
      </c>
      <c r="E14" s="46" t="inlineStr">
        <is>
          <t>↑</t>
        </is>
      </c>
      <c r="F14" s="46" t="n">
        <v>0.95</v>
      </c>
      <c r="G14" s="15" t="inlineStr">
        <is>
          <t>≥ 95%</t>
        </is>
      </c>
      <c r="H14" s="48" t="n">
        <v>0.8169999999999999</v>
      </c>
      <c r="I14" s="47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4" t="inlineStr">
        <is>
          <t>نسبة إغلاق ملاحظات التدقيق الداخلي</t>
        </is>
      </c>
      <c r="D15" s="46" t="inlineStr">
        <is>
          <t>%</t>
        </is>
      </c>
      <c r="E15" s="46" t="inlineStr">
        <is>
          <t>↑</t>
        </is>
      </c>
      <c r="F15" s="46" t="n">
        <v>0.9</v>
      </c>
      <c r="G15" s="15" t="inlineStr">
        <is>
          <t>≥ 90%</t>
        </is>
      </c>
      <c r="H15" s="48" t="n">
        <v>0.902</v>
      </c>
      <c r="I15" s="47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4" t="inlineStr">
        <is>
          <t>نسبة الإفصاح والشفافية</t>
        </is>
      </c>
      <c r="D16" s="46" t="inlineStr">
        <is>
          <t>%</t>
        </is>
      </c>
      <c r="E16" s="46" t="inlineStr">
        <is>
          <t>↑</t>
        </is>
      </c>
      <c r="F16" s="46" t="n">
        <v>0.95</v>
      </c>
      <c r="G16" s="15" t="inlineStr">
        <is>
          <t>≥ 95%</t>
        </is>
      </c>
      <c r="H16" s="48" t="n">
        <v>0.979</v>
      </c>
      <c r="I16" s="47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41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45" t="inlineStr">
        <is>
          <t>#</t>
        </is>
      </c>
      <c r="B4" s="45" t="inlineStr">
        <is>
          <t>الإدارة</t>
        </is>
      </c>
      <c r="C4" s="45" t="inlineStr">
        <is>
          <t>عدد المؤشرات</t>
        </is>
      </c>
      <c r="D4" s="45" t="inlineStr">
        <is>
          <t>مجموع الأوزان</t>
        </is>
      </c>
      <c r="E4" s="45" t="inlineStr">
        <is>
          <t>🎯 نتيجة</t>
        </is>
      </c>
      <c r="F4" s="45" t="inlineStr">
        <is>
          <t>⚙️ نشاط</t>
        </is>
      </c>
      <c r="G4" s="45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67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67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67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67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67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67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9</v>
      </c>
      <c r="D11" s="67" t="n">
        <v>1</v>
      </c>
      <c r="E11" s="15" t="n">
        <v>1</v>
      </c>
      <c r="F11" s="15" t="n">
        <v>1</v>
      </c>
      <c r="G11" s="15" t="n">
        <v>7</v>
      </c>
    </row>
    <row r="12">
      <c r="A12" s="15" t="n">
        <v>8</v>
      </c>
      <c r="B12" s="13" t="inlineStr">
        <is>
          <t>التقنية الرقمية</t>
        </is>
      </c>
      <c r="C12" s="15" t="n">
        <v>9</v>
      </c>
      <c r="D12" s="67" t="n">
        <v>1</v>
      </c>
      <c r="E12" s="15" t="n">
        <v>5</v>
      </c>
      <c r="F12" s="15" t="n">
        <v>0</v>
      </c>
      <c r="G12" s="15" t="n">
        <v>4</v>
      </c>
    </row>
    <row r="13">
      <c r="A13" s="15" t="n">
        <v>9</v>
      </c>
      <c r="B13" s="13" t="inlineStr">
        <is>
          <t>الموارد البشرية</t>
        </is>
      </c>
      <c r="C13" s="15" t="n">
        <v>17</v>
      </c>
      <c r="D13" s="67" t="n">
        <v>1</v>
      </c>
      <c r="E13" s="15" t="n">
        <v>5</v>
      </c>
      <c r="F13" s="15" t="n">
        <v>4</v>
      </c>
      <c r="G13" s="15" t="n">
        <v>8</v>
      </c>
    </row>
    <row r="14">
      <c r="A14" s="15" t="n">
        <v>10</v>
      </c>
      <c r="B14" s="13" t="inlineStr">
        <is>
          <t>التسويق</t>
        </is>
      </c>
      <c r="C14" s="15" t="n">
        <v>15</v>
      </c>
      <c r="D14" s="67" t="n">
        <v>1</v>
      </c>
      <c r="E14" s="15" t="n">
        <v>4</v>
      </c>
      <c r="F14" s="15" t="n">
        <v>3</v>
      </c>
      <c r="G14" s="15" t="n">
        <v>8</v>
      </c>
    </row>
    <row r="15">
      <c r="A15" s="15" t="n">
        <v>11</v>
      </c>
      <c r="B15" s="13" t="inlineStr">
        <is>
          <t>الجودة</t>
        </is>
      </c>
      <c r="C15" s="15" t="n">
        <v>14</v>
      </c>
      <c r="D15" s="67" t="n">
        <v>1</v>
      </c>
      <c r="E15" s="15" t="n">
        <v>6</v>
      </c>
      <c r="F15" s="15" t="n">
        <v>3</v>
      </c>
      <c r="G15" s="15" t="n">
        <v>5</v>
      </c>
    </row>
    <row r="16">
      <c r="A16" s="15" t="n">
        <v>12</v>
      </c>
      <c r="B16" s="13" t="inlineStr">
        <is>
          <t>الإدارة القانونية</t>
        </is>
      </c>
      <c r="C16" s="15" t="n">
        <v>8</v>
      </c>
      <c r="D16" s="67" t="n">
        <v>1</v>
      </c>
      <c r="E16" s="15" t="n">
        <v>2</v>
      </c>
      <c r="F16" s="15" t="n">
        <v>1</v>
      </c>
      <c r="G16" s="15" t="n">
        <v>5</v>
      </c>
    </row>
    <row r="17">
      <c r="A17" s="15" t="n">
        <v>13</v>
      </c>
      <c r="B17" s="13" t="inlineStr">
        <is>
          <t>الإدارة المالية</t>
        </is>
      </c>
      <c r="C17" s="15" t="n">
        <v>24</v>
      </c>
      <c r="D17" s="67" t="n">
        <v>1</v>
      </c>
      <c r="E17" s="15" t="n">
        <v>14</v>
      </c>
      <c r="F17" s="15" t="n">
        <v>0</v>
      </c>
      <c r="G17" s="15" t="n">
        <v>10</v>
      </c>
    </row>
    <row r="19">
      <c r="A19" s="6" t="inlineStr">
        <is>
          <t>ب) توزيع منظورات Balanced Scorecard</t>
        </is>
      </c>
      <c r="B19" s="8" t="n"/>
      <c r="C19" s="8" t="n"/>
      <c r="D19" s="8" t="n"/>
      <c r="E19" s="8" t="n"/>
      <c r="F19" s="8" t="n"/>
      <c r="G19" s="7" t="n"/>
    </row>
    <row r="20">
      <c r="A20" s="45" t="inlineStr">
        <is>
          <t>#</t>
        </is>
      </c>
      <c r="B20" s="45" t="inlineStr">
        <is>
          <t>المنظور</t>
        </is>
      </c>
      <c r="C20" s="45" t="inlineStr">
        <is>
          <t>عدد المؤشرات</t>
        </is>
      </c>
      <c r="D20" s="45" t="inlineStr">
        <is>
          <t>النسبة</t>
        </is>
      </c>
    </row>
    <row r="21">
      <c r="A21" s="15" t="n">
        <v>1</v>
      </c>
      <c r="B21" s="13" t="inlineStr">
        <is>
          <t>مالي</t>
        </is>
      </c>
      <c r="C21" s="15" t="n">
        <v>33</v>
      </c>
      <c r="D21" s="68" t="n">
        <v>0.159</v>
      </c>
    </row>
    <row r="22">
      <c r="A22" s="15" t="n">
        <v>2</v>
      </c>
      <c r="B22" s="13" t="inlineStr">
        <is>
          <t>العملاء</t>
        </is>
      </c>
      <c r="C22" s="15" t="n">
        <v>23</v>
      </c>
      <c r="D22" s="68" t="n">
        <v>0.111</v>
      </c>
    </row>
    <row r="23">
      <c r="A23" s="15" t="n">
        <v>3</v>
      </c>
      <c r="B23" s="13" t="inlineStr">
        <is>
          <t>العمليات الداخلية</t>
        </is>
      </c>
      <c r="C23" s="15" t="n">
        <v>125</v>
      </c>
      <c r="D23" s="68" t="n">
        <v>0.604</v>
      </c>
    </row>
    <row r="24">
      <c r="A24" s="15" t="n">
        <v>4</v>
      </c>
      <c r="B24" s="13" t="inlineStr">
        <is>
          <t>التعلّم والنمو</t>
        </is>
      </c>
      <c r="C24" s="15" t="n">
        <v>26</v>
      </c>
      <c r="D24" s="68" t="n">
        <v>0.126</v>
      </c>
    </row>
    <row r="26">
      <c r="A26" s="6" t="inlineStr">
        <is>
          <t>ج) تغطية الأهداف الاستراتيجية (عدد المؤشرات لكل مشروع)</t>
        </is>
      </c>
      <c r="B26" s="8" t="n"/>
      <c r="C26" s="8" t="n"/>
      <c r="D26" s="8" t="n"/>
      <c r="E26" s="8" t="n"/>
      <c r="F26" s="8" t="n"/>
      <c r="G26" s="7" t="n"/>
    </row>
    <row r="27">
      <c r="A27" s="45" t="inlineStr">
        <is>
          <t>#</t>
        </is>
      </c>
      <c r="B27" s="45" t="inlineStr">
        <is>
          <t>المشروع/الهدف</t>
        </is>
      </c>
      <c r="C27" s="45" t="inlineStr">
        <is>
          <t>الركيزة</t>
        </is>
      </c>
      <c r="D27" s="45" t="inlineStr">
        <is>
          <t>عدد المؤشرات</t>
        </is>
      </c>
      <c r="E27" s="45" t="inlineStr">
        <is>
          <t>التغطية</t>
        </is>
      </c>
    </row>
    <row r="28">
      <c r="A28" s="15" t="n">
        <v>1</v>
      </c>
      <c r="B28" s="13" t="inlineStr">
        <is>
          <t>التوسع في المواقع</t>
        </is>
      </c>
      <c r="C28" s="15" t="inlineStr">
        <is>
          <t>النمو</t>
        </is>
      </c>
      <c r="D28" s="15" t="n">
        <v>24</v>
      </c>
      <c r="E28" s="15" t="inlineStr">
        <is>
          <t>🟢 كافية</t>
        </is>
      </c>
    </row>
    <row r="29">
      <c r="A29" s="15" t="n">
        <v>2</v>
      </c>
      <c r="B29" s="13" t="inlineStr">
        <is>
          <t>الامتياز التجاري</t>
        </is>
      </c>
      <c r="C29" s="15" t="inlineStr">
        <is>
          <t>النمو</t>
        </is>
      </c>
      <c r="D29" s="15" t="n">
        <v>11</v>
      </c>
      <c r="E29" s="15" t="inlineStr">
        <is>
          <t>🟢 كافية</t>
        </is>
      </c>
    </row>
    <row r="30">
      <c r="A30" s="15" t="n">
        <v>3</v>
      </c>
      <c r="B30" s="13" t="inlineStr">
        <is>
          <t>زيادة وصول العملاء</t>
        </is>
      </c>
      <c r="C30" s="15" t="inlineStr">
        <is>
          <t>النمو</t>
        </is>
      </c>
      <c r="D30" s="15" t="n">
        <v>24</v>
      </c>
      <c r="E30" s="15" t="inlineStr">
        <is>
          <t>🟢 كافية</t>
        </is>
      </c>
    </row>
    <row r="31">
      <c r="A31" s="15" t="n">
        <v>4</v>
      </c>
      <c r="B31" s="13" t="inlineStr">
        <is>
          <t>إطلاق مشاريع جديدة</t>
        </is>
      </c>
      <c r="C31" s="15" t="inlineStr">
        <is>
          <t>الابتكار</t>
        </is>
      </c>
      <c r="D31" s="15" t="n">
        <v>4</v>
      </c>
      <c r="E31" s="15" t="inlineStr">
        <is>
          <t>🟢 كافية</t>
        </is>
      </c>
    </row>
    <row r="32">
      <c r="A32" s="15" t="n">
        <v>5</v>
      </c>
      <c r="B32" s="13" t="inlineStr">
        <is>
          <t>تطوير التصاميم والهوية</t>
        </is>
      </c>
      <c r="C32" s="15" t="inlineStr">
        <is>
          <t>الابتكار</t>
        </is>
      </c>
      <c r="D32" s="15" t="n">
        <v>2</v>
      </c>
      <c r="E32" s="15" t="inlineStr">
        <is>
          <t>🟡 ضعيفة</t>
        </is>
      </c>
    </row>
    <row r="33">
      <c r="A33" s="15" t="n">
        <v>6</v>
      </c>
      <c r="B33" s="13" t="inlineStr">
        <is>
          <t>التحول التقني</t>
        </is>
      </c>
      <c r="C33" s="15" t="inlineStr">
        <is>
          <t>الابتكار</t>
        </is>
      </c>
      <c r="D33" s="15" t="n">
        <v>10</v>
      </c>
      <c r="E33" s="15" t="inlineStr">
        <is>
          <t>🟢 كافية</t>
        </is>
      </c>
    </row>
    <row r="34">
      <c r="A34" s="15" t="n">
        <v>7</v>
      </c>
      <c r="B34" s="13" t="inlineStr">
        <is>
          <t>ساحات درب</t>
        </is>
      </c>
      <c r="C34" s="15" t="inlineStr">
        <is>
          <t>الابتكار</t>
        </is>
      </c>
      <c r="D34" s="15" t="n">
        <v>2</v>
      </c>
      <c r="E34" s="15" t="inlineStr">
        <is>
          <t>🟡 ضعيفة</t>
        </is>
      </c>
    </row>
    <row r="35">
      <c r="A35" s="15" t="n">
        <v>8</v>
      </c>
      <c r="B35" s="13" t="inlineStr">
        <is>
          <t>تطبيق «تانكي»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9</v>
      </c>
      <c r="B36" s="13" t="inlineStr">
        <is>
          <t>تعزيز تجربة العملاء</t>
        </is>
      </c>
      <c r="C36" s="15" t="inlineStr">
        <is>
          <t>الاستدامة</t>
        </is>
      </c>
      <c r="D36" s="15" t="n">
        <v>16</v>
      </c>
      <c r="E36" s="15" t="inlineStr">
        <is>
          <t>🟢 كافية</t>
        </is>
      </c>
    </row>
    <row r="37">
      <c r="A37" s="15" t="n">
        <v>10</v>
      </c>
      <c r="B37" s="13" t="inlineStr">
        <is>
          <t>جودة التشغيل</t>
        </is>
      </c>
      <c r="C37" s="15" t="inlineStr">
        <is>
          <t>الاستدامة</t>
        </is>
      </c>
      <c r="D37" s="15" t="n">
        <v>89</v>
      </c>
      <c r="E37" s="15" t="inlineStr">
        <is>
          <t>🟢 كافية</t>
        </is>
      </c>
    </row>
    <row r="38">
      <c r="A38" s="15" t="n">
        <v>11</v>
      </c>
      <c r="B38" s="13" t="inlineStr">
        <is>
          <t>منظومة التأجير</t>
        </is>
      </c>
      <c r="C38" s="15" t="inlineStr">
        <is>
          <t>الاستدامة</t>
        </is>
      </c>
      <c r="D38" s="15" t="n">
        <v>10</v>
      </c>
      <c r="E38" s="15" t="inlineStr">
        <is>
          <t>🟢 كافية</t>
        </is>
      </c>
    </row>
    <row r="39">
      <c r="A39" s="15" t="n">
        <v>12</v>
      </c>
      <c r="B39" s="13" t="inlineStr">
        <is>
          <t>الاستثمار في الموظفين</t>
        </is>
      </c>
      <c r="C39" s="15" t="inlineStr">
        <is>
          <t>الاستدامة</t>
        </is>
      </c>
      <c r="D39" s="15" t="n">
        <v>13</v>
      </c>
      <c r="E39" s="15" t="inlineStr">
        <is>
          <t>🟢 كافية</t>
        </is>
      </c>
    </row>
  </sheetData>
  <mergeCells count="4">
    <mergeCell ref="A26:G26"/>
    <mergeCell ref="A3:G3"/>
    <mergeCell ref="A19:G19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09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4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التعريف</t>
        </is>
      </c>
      <c r="E2" s="45" t="inlineStr">
        <is>
          <t>طريقة الاحتساب</t>
        </is>
      </c>
      <c r="F2" s="45" t="inlineStr">
        <is>
          <t>النوع</t>
        </is>
      </c>
      <c r="G2" s="45" t="inlineStr">
        <is>
          <t>الهدف الاستراتيجي (ركيزة · مشروع)</t>
        </is>
      </c>
      <c r="H2" s="45" t="inlineStr">
        <is>
          <t>منظور BSC</t>
        </is>
      </c>
      <c r="I2" s="45" t="inlineStr">
        <is>
          <t>الوزن</t>
        </is>
      </c>
      <c r="J2" s="45" t="inlineStr">
        <is>
          <t>المالك</t>
        </is>
      </c>
      <c r="K2" s="45" t="inlineStr">
        <is>
          <t>مصدر البيانات</t>
        </is>
      </c>
      <c r="L2" s="45" t="inlineStr">
        <is>
          <t>الدورية</t>
        </is>
      </c>
      <c r="M2" s="45" t="inlineStr">
        <is>
          <t>جهة اعتماد البيانات</t>
        </is>
      </c>
      <c r="N2" s="45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4" t="inlineStr">
        <is>
          <t>إجمالي المحطات المشغّلة — الشركة (تراكمي)</t>
        </is>
      </c>
      <c r="D3" s="69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1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48" t="n"/>
    </row>
    <row r="4" ht="30" customHeight="1">
      <c r="A4" s="15" t="n">
        <v>2</v>
      </c>
      <c r="B4" s="13" t="inlineStr">
        <is>
          <t>الإدارة التنفيذية</t>
        </is>
      </c>
      <c r="C4" s="24" t="inlineStr">
        <is>
          <t>إجمالي العقود الجديدة — الشركة</t>
        </is>
      </c>
      <c r="D4" s="69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1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48" t="n"/>
    </row>
    <row r="5" ht="30" customHeight="1">
      <c r="A5" s="15" t="n">
        <v>3</v>
      </c>
      <c r="B5" s="13" t="inlineStr">
        <is>
          <t>الإدارة التنفيذية</t>
        </is>
      </c>
      <c r="C5" s="24" t="inlineStr">
        <is>
          <t>إجمالي إيرادات الشركة السنوية</t>
        </is>
      </c>
      <c r="D5" s="69" t="inlineStr">
        <is>
          <t>يقيس إجمالي إيرادات الشركة السنوية ضمن محور «النمو»، ويعكس مساهمة الإدارة في ركيزة النمو.</t>
        </is>
      </c>
      <c r="E5" s="11" t="inlineStr">
        <is>
          <t>إجمالي القيمة (ر.س) خلال الفترة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1" t="n">
        <v>0.11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48" t="n"/>
    </row>
    <row r="6" ht="30" customHeight="1">
      <c r="A6" s="15" t="n">
        <v>4</v>
      </c>
      <c r="B6" s="13" t="inlineStr">
        <is>
          <t>الإدارة التنفيذية</t>
        </is>
      </c>
      <c r="C6" s="24" t="inlineStr">
        <is>
          <t>نسبة نمو إيرادات الشركة (سنوي)</t>
        </is>
      </c>
      <c r="D6" s="69" t="inlineStr">
        <is>
          <t>يقيس نسبة نمو إيرادات الشركة (سنوي)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61" t="n">
        <v>0.11</v>
      </c>
      <c r="J6" s="15" t="inlineStr">
        <is>
          <t>الرئيس التنفيذي</t>
        </is>
      </c>
      <c r="K6" s="11" t="inlineStr">
        <is>
          <t>نظام المحاسبة / ERP (D365)</t>
        </is>
      </c>
      <c r="L6" s="15" t="inlineStr">
        <is>
          <t>شهري</t>
        </is>
      </c>
      <c r="M6" s="15" t="inlineStr">
        <is>
          <t>اللجنة التنفيذية</t>
        </is>
      </c>
      <c r="N6" s="48" t="n"/>
    </row>
    <row r="7" ht="30" customHeight="1">
      <c r="A7" s="15" t="n">
        <v>5</v>
      </c>
      <c r="B7" s="13" t="inlineStr">
        <is>
          <t>الإدارة التنفيذية</t>
        </is>
      </c>
      <c r="C7" s="24" t="inlineStr">
        <is>
          <t>نسبة إنجاز مشاريع الخارطة التنفيذية</t>
        </is>
      </c>
      <c r="D7" s="69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1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48" t="n"/>
    </row>
    <row r="8" ht="30" customHeight="1">
      <c r="A8" s="15" t="n">
        <v>6</v>
      </c>
      <c r="B8" s="13" t="inlineStr">
        <is>
          <t>الإدارة التنفيذية</t>
        </is>
      </c>
      <c r="C8" s="24" t="inlineStr">
        <is>
          <t>نسبة التحول الرقمي على مستوى الشركة</t>
        </is>
      </c>
      <c r="D8" s="69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1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48" t="n"/>
    </row>
    <row r="9" ht="30" customHeight="1">
      <c r="A9" s="15" t="n">
        <v>7</v>
      </c>
      <c r="B9" s="13" t="inlineStr">
        <is>
          <t>الإدارة التنفيذية</t>
        </is>
      </c>
      <c r="C9" s="24" t="inlineStr">
        <is>
          <t>مؤشر رضا العملاء العام (الشركة)</t>
        </is>
      </c>
      <c r="D9" s="69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1" t="n">
        <v>0.11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48" t="n"/>
    </row>
    <row r="10" ht="30" customHeight="1">
      <c r="A10" s="15" t="n">
        <v>8</v>
      </c>
      <c r="B10" s="13" t="inlineStr">
        <is>
          <t>الإدارة التنفيذية</t>
        </is>
      </c>
      <c r="C10" s="24" t="inlineStr">
        <is>
          <t>مؤشر رضا الموظفين العام (eNPS)</t>
        </is>
      </c>
      <c r="D10" s="69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1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48" t="n"/>
    </row>
    <row r="11" ht="30" customHeight="1">
      <c r="A11" s="15" t="n">
        <v>9</v>
      </c>
      <c r="B11" s="13" t="inlineStr">
        <is>
          <t>الإدارة التنفيذية</t>
        </is>
      </c>
      <c r="C11" s="24" t="inlineStr">
        <is>
          <t>نسبة تحقيق المستهدفات الاستراتيجية العامة</t>
        </is>
      </c>
      <c r="D11" s="69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1" t="n">
        <v>0.08</v>
      </c>
      <c r="J11" s="15" t="inlineStr">
        <is>
          <t>الرئيس التنفيذي</t>
        </is>
      </c>
      <c r="K11" s="11" t="inlineStr">
        <is>
          <t>سجلات الإدارة</t>
        </is>
      </c>
      <c r="L11" s="15" t="inlineStr">
        <is>
          <t>شهري</t>
        </is>
      </c>
      <c r="M11" s="15" t="inlineStr">
        <is>
          <t>اللجنة التنفيذية</t>
        </is>
      </c>
      <c r="N11" s="48" t="n"/>
    </row>
    <row r="12" ht="30" customHeight="1">
      <c r="A12" s="15" t="n">
        <v>10</v>
      </c>
      <c r="B12" s="13" t="inlineStr">
        <is>
          <t>الإدارة التنفيذية</t>
        </is>
      </c>
      <c r="C12" s="24" t="inlineStr">
        <is>
          <t>الالتزام بمعايير وزارة الطاقة (تغطية 13 منطقة)</t>
        </is>
      </c>
      <c r="D12" s="69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1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48" t="n"/>
    </row>
    <row r="13" ht="30" customHeight="1">
      <c r="A13" s="15" t="n">
        <v>11</v>
      </c>
      <c r="B13" s="13" t="inlineStr">
        <is>
          <t>الامتياز التجاري</t>
        </is>
      </c>
      <c r="C13" s="24" t="inlineStr">
        <is>
          <t>عدد محطات الامتياز المشغّلة (تراكمي)</t>
        </is>
      </c>
      <c r="D13" s="69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1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48" t="n"/>
    </row>
    <row r="14" ht="30" customHeight="1">
      <c r="A14" s="15" t="n">
        <v>12</v>
      </c>
      <c r="B14" s="13" t="inlineStr">
        <is>
          <t>الامتياز التجاري</t>
        </is>
      </c>
      <c r="C14" s="24" t="inlineStr">
        <is>
          <t>عدد عقود الامتياز الجديدة الموقّعة</t>
        </is>
      </c>
      <c r="D14" s="69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1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48" t="n"/>
    </row>
    <row r="15" ht="30" customHeight="1">
      <c r="A15" s="15" t="n">
        <v>13</v>
      </c>
      <c r="B15" s="13" t="inlineStr">
        <is>
          <t>الامتياز التجاري</t>
        </is>
      </c>
      <c r="C15" s="24" t="inlineStr">
        <is>
          <t>إجمالي مبيعات وقود محطات الامتياز</t>
        </is>
      </c>
      <c r="D15" s="69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1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48" t="n"/>
    </row>
    <row r="16" ht="30" customHeight="1">
      <c r="A16" s="15" t="n">
        <v>14</v>
      </c>
      <c r="B16" s="13" t="inlineStr">
        <is>
          <t>الامتياز التجاري</t>
        </is>
      </c>
      <c r="C16" s="24" t="inlineStr">
        <is>
          <t>نسبة المحطات التي حققت مستهدف المبيعات</t>
        </is>
      </c>
      <c r="D16" s="69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61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48" t="n"/>
    </row>
    <row r="17" ht="30" customHeight="1">
      <c r="A17" s="15" t="n">
        <v>15</v>
      </c>
      <c r="B17" s="13" t="inlineStr">
        <is>
          <t>الامتياز التجاري</t>
        </is>
      </c>
      <c r="C17" s="24" t="inlineStr">
        <is>
          <t>متوسط مبيعات المحطة الواحدة شهرياً</t>
        </is>
      </c>
      <c r="D17" s="69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61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48" t="n"/>
    </row>
    <row r="18" ht="30" customHeight="1">
      <c r="A18" s="15" t="n">
        <v>16</v>
      </c>
      <c r="B18" s="13" t="inlineStr">
        <is>
          <t>الامتياز التجاري</t>
        </is>
      </c>
      <c r="C18" s="24" t="inlineStr">
        <is>
          <t>نسبة تأجير وحدات الامتياز</t>
        </is>
      </c>
      <c r="D18" s="69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61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48" t="n"/>
    </row>
    <row r="19" ht="30" customHeight="1">
      <c r="A19" s="15" t="n">
        <v>17</v>
      </c>
      <c r="B19" s="13" t="inlineStr">
        <is>
          <t>الامتياز التجاري</t>
        </is>
      </c>
      <c r="C19" s="24" t="inlineStr">
        <is>
          <t>إجمالي إيرادات إدارة الامتياز</t>
        </is>
      </c>
      <c r="D19" s="69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61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48" t="n"/>
    </row>
    <row r="20" ht="30" customHeight="1">
      <c r="A20" s="15" t="n">
        <v>18</v>
      </c>
      <c r="B20" s="13" t="inlineStr">
        <is>
          <t>الامتياز التجاري</t>
        </is>
      </c>
      <c r="C20" s="24" t="inlineStr">
        <is>
          <t>رفع هامش الربحية للامتياز</t>
        </is>
      </c>
      <c r="D20" s="69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61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48" t="n"/>
    </row>
    <row r="21" ht="30" customHeight="1">
      <c r="A21" s="15" t="n">
        <v>19</v>
      </c>
      <c r="B21" s="13" t="inlineStr">
        <is>
          <t>الامتياز التجاري</t>
        </is>
      </c>
      <c r="C21" s="24" t="inlineStr">
        <is>
          <t>نسبة التحصيل المالي من شركاء الامتياز</t>
        </is>
      </c>
      <c r="D21" s="69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1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48" t="n"/>
    </row>
    <row r="22" ht="30" customHeight="1">
      <c r="A22" s="15" t="n">
        <v>20</v>
      </c>
      <c r="B22" s="13" t="inlineStr">
        <is>
          <t>الامتياز التجاري</t>
        </is>
      </c>
      <c r="C22" s="24" t="inlineStr">
        <is>
          <t>متوسط أيام تحصيل شركاء الامتياز (DSO)</t>
        </is>
      </c>
      <c r="D22" s="69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1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48" t="n"/>
    </row>
    <row r="23" ht="30" customHeight="1">
      <c r="A23" s="15" t="n">
        <v>21</v>
      </c>
      <c r="B23" s="13" t="inlineStr">
        <is>
          <t>الامتياز التجاري</t>
        </is>
      </c>
      <c r="C23" s="24" t="inlineStr">
        <is>
          <t>إجمالي المستحقات المتأخرة (+30 يوم)</t>
        </is>
      </c>
      <c r="D23" s="69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1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48" t="n"/>
    </row>
    <row r="24" ht="30" customHeight="1">
      <c r="A24" s="15" t="n">
        <v>22</v>
      </c>
      <c r="B24" s="13" t="inlineStr">
        <is>
          <t>الامتياز التجاري</t>
        </is>
      </c>
      <c r="C24" s="24" t="inlineStr">
        <is>
          <t>نسبة الشركاء الملتزمين بمواعيد السداد</t>
        </is>
      </c>
      <c r="D24" s="69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61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48" t="n"/>
    </row>
    <row r="25" ht="30" customHeight="1">
      <c r="A25" s="15" t="n">
        <v>23</v>
      </c>
      <c r="B25" s="13" t="inlineStr">
        <is>
          <t>الامتياز التجاري</t>
        </is>
      </c>
      <c r="C25" s="24" t="inlineStr">
        <is>
          <t>معدل دوران رأس المال (أيام الدورة)</t>
        </is>
      </c>
      <c r="D25" s="69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61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48" t="n"/>
    </row>
    <row r="26" ht="30" customHeight="1">
      <c r="A26" s="15" t="n">
        <v>24</v>
      </c>
      <c r="B26" s="13" t="inlineStr">
        <is>
          <t>الامتياز التجاري</t>
        </is>
      </c>
      <c r="C26" s="24" t="inlineStr">
        <is>
          <t>نسبة جاهزية محطات الامتياز (صفر انقطاع)</t>
        </is>
      </c>
      <c r="D26" s="69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1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48" t="n"/>
    </row>
    <row r="27" ht="30" customHeight="1">
      <c r="A27" s="15" t="n">
        <v>25</v>
      </c>
      <c r="B27" s="13" t="inlineStr">
        <is>
          <t>الامتياز التجاري</t>
        </is>
      </c>
      <c r="C27" s="24" t="inlineStr">
        <is>
          <t>عدد حالات انقطاع الوقود الموثّقة</t>
        </is>
      </c>
      <c r="D27" s="69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1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48" t="n"/>
    </row>
    <row r="28" ht="30" customHeight="1">
      <c r="A28" s="15" t="n">
        <v>26</v>
      </c>
      <c r="B28" s="13" t="inlineStr">
        <is>
          <t>الامتياز التجاري</t>
        </is>
      </c>
      <c r="C28" s="24" t="inlineStr">
        <is>
          <t>نسبة إغلاق ملاحظات الجودة الميدانية</t>
        </is>
      </c>
      <c r="D28" s="69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1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48" t="n"/>
    </row>
    <row r="29" ht="30" customHeight="1">
      <c r="A29" s="15" t="n">
        <v>27</v>
      </c>
      <c r="B29" s="13" t="inlineStr">
        <is>
          <t>الامتياز التجاري</t>
        </is>
      </c>
      <c r="C29" s="24" t="inlineStr">
        <is>
          <t>متوسط درجة تقييم جودة المحطة (قائمة التحقق)</t>
        </is>
      </c>
      <c r="D29" s="69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1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48" t="n"/>
    </row>
    <row r="30" ht="30" customHeight="1">
      <c r="A30" s="15" t="n">
        <v>28</v>
      </c>
      <c r="B30" s="13" t="inlineStr">
        <is>
          <t>الامتياز التجاري</t>
        </is>
      </c>
      <c r="C30" s="24" t="inlineStr">
        <is>
          <t>نسبة تنفيذ الزيارات الميدانية المجدولة</t>
        </is>
      </c>
      <c r="D30" s="69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61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48" t="n"/>
    </row>
    <row r="31" ht="30" customHeight="1">
      <c r="A31" s="15" t="n">
        <v>29</v>
      </c>
      <c r="B31" s="13" t="inlineStr">
        <is>
          <t>الامتياز التجاري</t>
        </is>
      </c>
      <c r="C31" s="24" t="inlineStr">
        <is>
          <t>نسبة المحطات المستوفية لمعايير السلامة</t>
        </is>
      </c>
      <c r="D31" s="69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61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48" t="n"/>
    </row>
    <row r="32" ht="30" customHeight="1">
      <c r="A32" s="15" t="n">
        <v>30</v>
      </c>
      <c r="B32" s="13" t="inlineStr">
        <is>
          <t>الامتياز التجاري</t>
        </is>
      </c>
      <c r="C32" s="24" t="inlineStr">
        <is>
          <t>متوسط وقت معالجة البلاغات التشغيلية</t>
        </is>
      </c>
      <c r="D32" s="69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61" t="n">
        <v>0.02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48" t="n"/>
    </row>
    <row r="33" ht="30" customHeight="1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69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61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48" t="n"/>
    </row>
    <row r="34" ht="30" customHeight="1">
      <c r="A34" s="15" t="n">
        <v>32</v>
      </c>
      <c r="B34" s="13" t="inlineStr">
        <is>
          <t>الامتياز التجاري</t>
        </is>
      </c>
      <c r="C34" s="24" t="inlineStr">
        <is>
          <t>نسبة تطبيق المعيار الشامل داخل المحطات</t>
        </is>
      </c>
      <c r="D34" s="69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61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48" t="n"/>
    </row>
    <row r="35" ht="30" customHeight="1">
      <c r="A35" s="15" t="n">
        <v>33</v>
      </c>
      <c r="B35" s="13" t="inlineStr">
        <is>
          <t>الامتياز التجاري</t>
        </is>
      </c>
      <c r="C35" s="24" t="inlineStr">
        <is>
          <t>نسبة التزام المحطات بالهوية المؤسسية</t>
        </is>
      </c>
      <c r="D35" s="69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61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48" t="n"/>
    </row>
    <row r="36" ht="30" customHeight="1">
      <c r="A36" s="15" t="n">
        <v>34</v>
      </c>
      <c r="B36" s="13" t="inlineStr">
        <is>
          <t>الامتياز التجاري</t>
        </is>
      </c>
      <c r="C36" s="24" t="inlineStr">
        <is>
          <t>متوسط تقييم المحطات على خرائط قوقل</t>
        </is>
      </c>
      <c r="D36" s="69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1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48" t="n"/>
    </row>
    <row r="37" ht="30" customHeight="1">
      <c r="A37" s="15" t="n">
        <v>35</v>
      </c>
      <c r="B37" s="13" t="inlineStr">
        <is>
          <t>الامتياز التجاري</t>
        </is>
      </c>
      <c r="C37" s="24" t="inlineStr">
        <is>
          <t>معدل رضا شركاء الامتياز (CSAT)</t>
        </is>
      </c>
      <c r="D37" s="69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61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48" t="n"/>
    </row>
    <row r="38" ht="30" customHeight="1">
      <c r="A38" s="15" t="n">
        <v>36</v>
      </c>
      <c r="B38" s="13" t="inlineStr">
        <is>
          <t>الامتياز التجاري</t>
        </is>
      </c>
      <c r="C38" s="24" t="inlineStr">
        <is>
          <t>نسبة حل الشكاوى خلال المدة المحددة</t>
        </is>
      </c>
      <c r="D38" s="69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61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48" t="n"/>
    </row>
    <row r="39" ht="30" customHeight="1">
      <c r="A39" s="15" t="n">
        <v>37</v>
      </c>
      <c r="B39" s="13" t="inlineStr">
        <is>
          <t>الامتياز التجاري</t>
        </is>
      </c>
      <c r="C39" s="24" t="inlineStr">
        <is>
          <t>نسبة انخفاض الشكاوى التشغيلية والإدارية</t>
        </is>
      </c>
      <c r="D39" s="69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61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48" t="n"/>
    </row>
    <row r="40" ht="30" customHeight="1">
      <c r="A40" s="15" t="n">
        <v>38</v>
      </c>
      <c r="B40" s="13" t="inlineStr">
        <is>
          <t>الامتياز التجاري</t>
        </is>
      </c>
      <c r="C40" s="24" t="inlineStr">
        <is>
          <t>نسبة استدامة أصحاب الامتياز (Retention)</t>
        </is>
      </c>
      <c r="D40" s="69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61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48" t="n"/>
    </row>
    <row r="41" ht="30" customHeight="1">
      <c r="A41" s="15" t="n">
        <v>39</v>
      </c>
      <c r="B41" s="13" t="inlineStr">
        <is>
          <t>الامتياز التجاري</t>
        </is>
      </c>
      <c r="C41" s="24" t="inlineStr">
        <is>
          <t>نسبة زيادة عدد أصحاب الامتياز</t>
        </is>
      </c>
      <c r="D41" s="69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61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48" t="n"/>
    </row>
    <row r="42" ht="30" customHeight="1">
      <c r="A42" s="15" t="n">
        <v>40</v>
      </c>
      <c r="B42" s="13" t="inlineStr">
        <is>
          <t>الامتياز التجاري</t>
        </is>
      </c>
      <c r="C42" s="24" t="inlineStr">
        <is>
          <t>متوسط مدة إغلاق عقد الامتياز</t>
        </is>
      </c>
      <c r="D42" s="69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61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48" t="n"/>
    </row>
    <row r="43" ht="30" customHeight="1">
      <c r="A43" s="15" t="n">
        <v>41</v>
      </c>
      <c r="B43" s="13" t="inlineStr">
        <is>
          <t>التشغيل والمحطات</t>
        </is>
      </c>
      <c r="C43" s="24" t="inlineStr">
        <is>
          <t>عدد المحطات المشغّلة (تراكمي)</t>
        </is>
      </c>
      <c r="D43" s="69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61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48" t="n"/>
    </row>
    <row r="44" ht="30" customHeight="1">
      <c r="A44" s="15" t="n">
        <v>42</v>
      </c>
      <c r="B44" s="13" t="inlineStr">
        <is>
          <t>التشغيل والمحطات</t>
        </is>
      </c>
      <c r="C44" s="24" t="inlineStr">
        <is>
          <t>نمو مبيعات بنزين 91 مقارنة بالعام السابق</t>
        </is>
      </c>
      <c r="D44" s="69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1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48" t="n"/>
    </row>
    <row r="45" ht="30" customHeight="1">
      <c r="A45" s="15" t="n">
        <v>43</v>
      </c>
      <c r="B45" s="13" t="inlineStr">
        <is>
          <t>التشغيل والمحطات</t>
        </is>
      </c>
      <c r="C45" s="24" t="inlineStr">
        <is>
          <t>نمو مبيعات بنزين 95 مقارنة بالعام السابق</t>
        </is>
      </c>
      <c r="D45" s="69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1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48" t="n"/>
    </row>
    <row r="46" ht="30" customHeight="1">
      <c r="A46" s="15" t="n">
        <v>44</v>
      </c>
      <c r="B46" s="13" t="inlineStr">
        <is>
          <t>التشغيل والمحطات</t>
        </is>
      </c>
      <c r="C46" s="24" t="inlineStr">
        <is>
          <t>نمو مبيعات بنزين 98 مقارنة بالعام السابق</t>
        </is>
      </c>
      <c r="D46" s="69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61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48" t="n"/>
    </row>
    <row r="47" ht="30" customHeight="1">
      <c r="A47" s="15" t="n">
        <v>45</v>
      </c>
      <c r="B47" s="13" t="inlineStr">
        <is>
          <t>التشغيل والمحطات</t>
        </is>
      </c>
      <c r="C47" s="24" t="inlineStr">
        <is>
          <t>نمو مبيعات الديزل مقارنة بالعام السابق</t>
        </is>
      </c>
      <c r="D47" s="69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61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48" t="n"/>
    </row>
    <row r="48" ht="30" customHeight="1">
      <c r="A48" s="15" t="n">
        <v>46</v>
      </c>
      <c r="B48" s="13" t="inlineStr">
        <is>
          <t>التشغيل والمحطات</t>
        </is>
      </c>
      <c r="C48" s="24" t="inlineStr">
        <is>
          <t>نسبة جاهزية المحطة الشاملة (Uptime)</t>
        </is>
      </c>
      <c r="D48" s="69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1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48" t="n"/>
    </row>
    <row r="49" ht="30" customHeight="1">
      <c r="A49" s="15" t="n">
        <v>47</v>
      </c>
      <c r="B49" s="13" t="inlineStr">
        <is>
          <t>التشغيل والمحطات</t>
        </is>
      </c>
      <c r="C49" s="24" t="inlineStr">
        <is>
          <t>نسبة المضخات العاملة</t>
        </is>
      </c>
      <c r="D49" s="69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1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48" t="n"/>
    </row>
    <row r="50" ht="30" customHeight="1">
      <c r="A50" s="15" t="n">
        <v>48</v>
      </c>
      <c r="B50" s="13" t="inlineStr">
        <is>
          <t>التشغيل والمحطات</t>
        </is>
      </c>
      <c r="C50" s="24" t="inlineStr">
        <is>
          <t>تكلفة التشغيل لكل لتر مباع</t>
        </is>
      </c>
      <c r="D50" s="69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61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48" t="n"/>
    </row>
    <row r="51" ht="30" customHeight="1">
      <c r="A51" s="15" t="n">
        <v>49</v>
      </c>
      <c r="B51" s="13" t="inlineStr">
        <is>
          <t>التشغيل والمحطات</t>
        </is>
      </c>
      <c r="C51" s="24" t="inlineStr">
        <is>
          <t>نسبة الصيانة الوقائية المنفذة في موعدها</t>
        </is>
      </c>
      <c r="D51" s="69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1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48" t="n"/>
    </row>
    <row r="52" ht="30" customHeight="1">
      <c r="A52" s="15" t="n">
        <v>50</v>
      </c>
      <c r="B52" s="13" t="inlineStr">
        <is>
          <t>التشغيل والمحطات</t>
        </is>
      </c>
      <c r="C52" s="24" t="inlineStr">
        <is>
          <t>نسبة انخفاض الشكاوى مقارنة بالشهر السابق</t>
        </is>
      </c>
      <c r="D52" s="69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1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48" t="n"/>
    </row>
    <row r="53" ht="30" customHeight="1">
      <c r="A53" s="15" t="n">
        <v>51</v>
      </c>
      <c r="B53" s="13" t="inlineStr">
        <is>
          <t>التشغيل والمحطات</t>
        </is>
      </c>
      <c r="C53" s="24" t="inlineStr">
        <is>
          <t>تقييم Google Maps للمحطات</t>
        </is>
      </c>
      <c r="D53" s="69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1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48" t="n"/>
    </row>
    <row r="54" ht="30" customHeight="1">
      <c r="A54" s="15" t="n">
        <v>52</v>
      </c>
      <c r="B54" s="13" t="inlineStr">
        <is>
          <t>التشغيل والمحطات</t>
        </is>
      </c>
      <c r="C54" s="24" t="inlineStr">
        <is>
          <t>سرعة تعبئة الوقود</t>
        </is>
      </c>
      <c r="D54" s="69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61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48" t="n"/>
    </row>
    <row r="55" ht="30" customHeight="1">
      <c r="A55" s="15" t="n">
        <v>53</v>
      </c>
      <c r="B55" s="13" t="inlineStr">
        <is>
          <t>التشغيل والمحطات</t>
        </is>
      </c>
      <c r="C55" s="24" t="inlineStr">
        <is>
          <t>دقة التعبئة بدون أخطاء</t>
        </is>
      </c>
      <c r="D55" s="69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61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48" t="n"/>
    </row>
    <row r="56" ht="30" customHeight="1">
      <c r="A56" s="15" t="n">
        <v>54</v>
      </c>
      <c r="B56" s="13" t="inlineStr">
        <is>
          <t>التشغيل والمحطات</t>
        </is>
      </c>
      <c r="C56" s="24" t="inlineStr">
        <is>
          <t>تطبيق المعيار الشامل في المحطات</t>
        </is>
      </c>
      <c r="D56" s="69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61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48" t="n"/>
    </row>
    <row r="57" ht="30" customHeight="1">
      <c r="A57" s="15" t="n">
        <v>55</v>
      </c>
      <c r="B57" s="13" t="inlineStr">
        <is>
          <t>التشغيل والمحطات</t>
        </is>
      </c>
      <c r="C57" s="24" t="inlineStr">
        <is>
          <t>الالتزام بمعايير السلامة داخل المحطة</t>
        </is>
      </c>
      <c r="D57" s="69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1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48" t="n"/>
    </row>
    <row r="58" ht="30" customHeight="1">
      <c r="A58" s="15" t="n">
        <v>56</v>
      </c>
      <c r="B58" s="13" t="inlineStr">
        <is>
          <t>التشغيل والمحطات</t>
        </is>
      </c>
      <c r="C58" s="24" t="inlineStr">
        <is>
          <t>التشجير داخل المحطة (معيار الوزارة)</t>
        </is>
      </c>
      <c r="D58" s="69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61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48" t="n"/>
    </row>
    <row r="59" ht="30" customHeight="1">
      <c r="A59" s="15" t="n">
        <v>57</v>
      </c>
      <c r="B59" s="13" t="inlineStr">
        <is>
          <t>الاستثمار</t>
        </is>
      </c>
      <c r="C59" s="24" t="inlineStr">
        <is>
          <t>إجمالي عقود الاستثمار الجديدة (جميع النماذج)</t>
        </is>
      </c>
      <c r="D59" s="69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1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48" t="n"/>
    </row>
    <row r="60" ht="30" customHeight="1">
      <c r="A60" s="15" t="n">
        <v>58</v>
      </c>
      <c r="B60" s="13" t="inlineStr">
        <is>
          <t>الاستثمار</t>
        </is>
      </c>
      <c r="C60" s="24" t="inlineStr">
        <is>
          <t>عقود الاستثمار العادي الجديدة</t>
        </is>
      </c>
      <c r="D60" s="69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1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48" t="n"/>
    </row>
    <row r="61" ht="30" customHeight="1">
      <c r="A61" s="15" t="n">
        <v>59</v>
      </c>
      <c r="B61" s="13" t="inlineStr">
        <is>
          <t>الاستثمار</t>
        </is>
      </c>
      <c r="C61" s="24" t="inlineStr">
        <is>
          <t>عقود الاستحواذ الجديدة</t>
        </is>
      </c>
      <c r="D61" s="69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1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48" t="n"/>
    </row>
    <row r="62" ht="30" customHeight="1">
      <c r="A62" s="15" t="n">
        <v>60</v>
      </c>
      <c r="B62" s="13" t="inlineStr">
        <is>
          <t>الاستثمار</t>
        </is>
      </c>
      <c r="C62" s="24" t="inlineStr">
        <is>
          <t>المحطات المستحوَذ عليها المشغّلة (تراكمي)</t>
        </is>
      </c>
      <c r="D62" s="69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1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48" t="n"/>
    </row>
    <row r="63" ht="30" customHeight="1">
      <c r="A63" s="15" t="n">
        <v>61</v>
      </c>
      <c r="B63" s="13" t="inlineStr">
        <is>
          <t>الاستثمار</t>
        </is>
      </c>
      <c r="C63" s="24" t="inlineStr">
        <is>
          <t>عقود تأجير الأرض الجديدة</t>
        </is>
      </c>
      <c r="D63" s="69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1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48" t="n"/>
    </row>
    <row r="64" ht="30" customHeight="1">
      <c r="A64" s="15" t="n">
        <v>62</v>
      </c>
      <c r="B64" s="13" t="inlineStr">
        <is>
          <t>الاستثمار</t>
        </is>
      </c>
      <c r="C64" s="24" t="inlineStr">
        <is>
          <t>عقود إيجار المحطة الجديدة</t>
        </is>
      </c>
      <c r="D64" s="69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1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48" t="n"/>
    </row>
    <row r="65" ht="30" customHeight="1">
      <c r="A65" s="15" t="n">
        <v>63</v>
      </c>
      <c r="B65" s="13" t="inlineStr">
        <is>
          <t>الاستثمار</t>
        </is>
      </c>
      <c r="C65" s="24" t="inlineStr">
        <is>
          <t>عقود تشغيل المحطة الجديدة</t>
        </is>
      </c>
      <c r="D65" s="69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61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48" t="n"/>
    </row>
    <row r="66" ht="30" customHeight="1">
      <c r="A66" s="15" t="n">
        <v>64</v>
      </c>
      <c r="B66" s="13" t="inlineStr">
        <is>
          <t>الاستثمار</t>
        </is>
      </c>
      <c r="C66" s="24" t="inlineStr">
        <is>
          <t>نسبة المواقع المعتمدة ذات العائد المجدي</t>
        </is>
      </c>
      <c r="D66" s="69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61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48" t="n"/>
    </row>
    <row r="67" ht="30" customHeight="1">
      <c r="A67" s="15" t="n">
        <v>65</v>
      </c>
      <c r="B67" s="13" t="inlineStr">
        <is>
          <t>الاستثمار</t>
        </is>
      </c>
      <c r="C67" s="24" t="inlineStr">
        <is>
          <t>متوسط فترة استرداد رأس المال</t>
        </is>
      </c>
      <c r="D67" s="69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61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48" t="n"/>
    </row>
    <row r="68" ht="30" customHeight="1">
      <c r="A68" s="15" t="n">
        <v>66</v>
      </c>
      <c r="B68" s="13" t="inlineStr">
        <is>
          <t>الاستثمار</t>
        </is>
      </c>
      <c r="C68" s="24" t="inlineStr">
        <is>
          <t>متوسط قيمة عقد الإيجار السنوي (أرض)</t>
        </is>
      </c>
      <c r="D68" s="69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61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48" t="n"/>
    </row>
    <row r="69" ht="30" customHeight="1">
      <c r="A69" s="15" t="n">
        <v>67</v>
      </c>
      <c r="B69" s="13" t="inlineStr">
        <is>
          <t>الاستثمار</t>
        </is>
      </c>
      <c r="C69" s="24" t="inlineStr">
        <is>
          <t>نسبة العقود التي تغطي المناطق الـ13</t>
        </is>
      </c>
      <c r="D69" s="69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1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48" t="n"/>
    </row>
    <row r="70" ht="30" customHeight="1">
      <c r="A70" s="15" t="n">
        <v>68</v>
      </c>
      <c r="B70" s="13" t="inlineStr">
        <is>
          <t>الاستثمار</t>
        </is>
      </c>
      <c r="C70" s="24" t="inlineStr">
        <is>
          <t>نسبة العقود خارج المدن الرئيسية</t>
        </is>
      </c>
      <c r="D70" s="69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1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48" t="n"/>
    </row>
    <row r="71" ht="30" customHeight="1">
      <c r="A71" s="15" t="n">
        <v>69</v>
      </c>
      <c r="B71" s="13" t="inlineStr">
        <is>
          <t>الاستثمار</t>
        </is>
      </c>
      <c r="C71" s="24" t="inlineStr">
        <is>
          <t>نسبة العقود في الـ12 مدينة الرئيسية</t>
        </is>
      </c>
      <c r="D71" s="69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1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48" t="n"/>
    </row>
    <row r="72" ht="30" customHeight="1">
      <c r="A72" s="15" t="n">
        <v>70</v>
      </c>
      <c r="B72" s="13" t="inlineStr">
        <is>
          <t>الاستثمار</t>
        </is>
      </c>
      <c r="C72" s="24" t="inlineStr">
        <is>
          <t>نسبة العقود على الطرق الإقليمية</t>
        </is>
      </c>
      <c r="D72" s="69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61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48" t="n"/>
    </row>
    <row r="73" ht="30" customHeight="1">
      <c r="A73" s="15" t="n">
        <v>71</v>
      </c>
      <c r="B73" s="13" t="inlineStr">
        <is>
          <t>الاستثمار</t>
        </is>
      </c>
      <c r="C73" s="24" t="inlineStr">
        <is>
          <t>متوسط مدة إغلاق عقد الاستثمار</t>
        </is>
      </c>
      <c r="D73" s="69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61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48" t="n"/>
    </row>
    <row r="74" ht="30" customHeight="1">
      <c r="A74" s="15" t="n">
        <v>72</v>
      </c>
      <c r="B74" s="13" t="inlineStr">
        <is>
          <t>الاستثمار</t>
        </is>
      </c>
      <c r="C74" s="24" t="inlineStr">
        <is>
          <t>نسبة العقود المتحوّلة لمحطات مشغّلة</t>
        </is>
      </c>
      <c r="D74" s="69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61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48" t="n"/>
    </row>
    <row r="75" ht="30" customHeight="1">
      <c r="A75" s="15" t="n">
        <v>73</v>
      </c>
      <c r="B75" s="13" t="inlineStr">
        <is>
          <t>الاستثمار</t>
        </is>
      </c>
      <c r="C75" s="24" t="inlineStr">
        <is>
          <t>نسبة تخفيض إيجار المواقع عالية التكاليف</t>
        </is>
      </c>
      <c r="D75" s="69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1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48" t="n"/>
    </row>
    <row r="76" ht="30" customHeight="1">
      <c r="A76" s="15" t="n">
        <v>74</v>
      </c>
      <c r="B76" s="13" t="inlineStr">
        <is>
          <t>الاستثمار</t>
        </is>
      </c>
      <c r="C76" s="24" t="inlineStr">
        <is>
          <t>نسبة اكتمال المستندات النظامية قبل التوقيع</t>
        </is>
      </c>
      <c r="D76" s="69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1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48" t="n"/>
    </row>
    <row r="77" ht="30" customHeight="1">
      <c r="A77" s="15" t="n">
        <v>75</v>
      </c>
      <c r="B77" s="13" t="inlineStr">
        <is>
          <t>الاستثمار</t>
        </is>
      </c>
      <c r="C77" s="24" t="inlineStr">
        <is>
          <t>نسبة العقود المؤرشفة إلكترونياً خلال 48 ساعة</t>
        </is>
      </c>
      <c r="D77" s="69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61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48" t="n"/>
    </row>
    <row r="78" ht="30" customHeight="1">
      <c r="A78" s="15" t="n">
        <v>76</v>
      </c>
      <c r="B78" s="13" t="inlineStr">
        <is>
          <t>الاستثمار</t>
        </is>
      </c>
      <c r="C78" s="24" t="inlineStr">
        <is>
          <t>جودة التفاوض مع المستثمرين</t>
        </is>
      </c>
      <c r="D78" s="69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61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48" t="n"/>
    </row>
    <row r="79" ht="30" customHeight="1">
      <c r="A79" s="15" t="n">
        <v>77</v>
      </c>
      <c r="B79" s="13" t="inlineStr">
        <is>
          <t>الاستثمار</t>
        </is>
      </c>
      <c r="C79" s="24" t="inlineStr">
        <is>
          <t>سرعة إنجاز إجراءات التعاقد</t>
        </is>
      </c>
      <c r="D79" s="69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61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48" t="n"/>
    </row>
    <row r="80" ht="30" customHeight="1">
      <c r="A80" s="15" t="n">
        <v>78</v>
      </c>
      <c r="B80" s="13" t="inlineStr">
        <is>
          <t>الاستثمار</t>
        </is>
      </c>
      <c r="C80" s="24" t="inlineStr">
        <is>
          <t>مدى رضا المستثمرين وشركاء الاستثمار</t>
        </is>
      </c>
      <c r="D80" s="69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61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48" t="n"/>
    </row>
    <row r="81" ht="30" customHeight="1">
      <c r="A81" s="15" t="n">
        <v>79</v>
      </c>
      <c r="B81" s="13" t="inlineStr">
        <is>
          <t>الاستثمار</t>
        </is>
      </c>
      <c r="C81" s="24" t="inlineStr">
        <is>
          <t>نسبة اكتمال أرشفة ملفات العملاء</t>
        </is>
      </c>
      <c r="D81" s="69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61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48" t="n"/>
    </row>
    <row r="82" ht="30" customHeight="1">
      <c r="A82" s="15" t="n">
        <v>80</v>
      </c>
      <c r="B82" s="13" t="inlineStr">
        <is>
          <t>الاستثمار</t>
        </is>
      </c>
      <c r="C82" s="24" t="inlineStr">
        <is>
          <t>نسبة إنجاز التقارير الدورية في موعدها</t>
        </is>
      </c>
      <c r="D82" s="69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61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48" t="n"/>
    </row>
    <row r="83" ht="30" customHeight="1">
      <c r="A83" s="15" t="n">
        <v>81</v>
      </c>
      <c r="B83" s="13" t="inlineStr">
        <is>
          <t>العقار</t>
        </is>
      </c>
      <c r="C83" s="24" t="inlineStr">
        <is>
          <t>نمو الإيرادات الإيجارية</t>
        </is>
      </c>
      <c r="D83" s="69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61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48" t="n"/>
    </row>
    <row r="84" ht="30" customHeight="1">
      <c r="A84" s="15" t="n">
        <v>82</v>
      </c>
      <c r="B84" s="13" t="inlineStr">
        <is>
          <t>العقار</t>
        </is>
      </c>
      <c r="C84" s="24" t="inlineStr">
        <is>
          <t>نسبة الالتزام بالعقود</t>
        </is>
      </c>
      <c r="D84" s="69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61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48" t="n"/>
    </row>
    <row r="85" ht="30" customHeight="1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69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61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48" t="n"/>
    </row>
    <row r="86" ht="30" customHeight="1">
      <c r="A86" s="15" t="n">
        <v>84</v>
      </c>
      <c r="B86" s="13" t="inlineStr">
        <is>
          <t>العقار</t>
        </is>
      </c>
      <c r="C86" s="24" t="inlineStr">
        <is>
          <t>نسبة الإشغال</t>
        </is>
      </c>
      <c r="D86" s="69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1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48" t="n"/>
    </row>
    <row r="87" ht="30" customHeight="1">
      <c r="A87" s="15" t="n">
        <v>85</v>
      </c>
      <c r="B87" s="13" t="inlineStr">
        <is>
          <t>العقار</t>
        </is>
      </c>
      <c r="C87" s="24" t="inlineStr">
        <is>
          <t>الوحدات المؤجَّرة شهرياً</t>
        </is>
      </c>
      <c r="D87" s="69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61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48" t="n"/>
    </row>
    <row r="88" ht="30" customHeight="1">
      <c r="A88" s="15" t="n">
        <v>86</v>
      </c>
      <c r="B88" s="13" t="inlineStr">
        <is>
          <t>العقار</t>
        </is>
      </c>
      <c r="C88" s="24" t="inlineStr">
        <is>
          <t>العملاء المحتملون (LEADS)</t>
        </is>
      </c>
      <c r="D88" s="69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61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48" t="n"/>
    </row>
    <row r="89" ht="30" customHeight="1">
      <c r="A89" s="15" t="n">
        <v>87</v>
      </c>
      <c r="B89" s="13" t="inlineStr">
        <is>
          <t>العقار</t>
        </is>
      </c>
      <c r="C89" s="24" t="inlineStr">
        <is>
          <t>معدل التحويل</t>
        </is>
      </c>
      <c r="D89" s="69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61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48" t="n"/>
    </row>
    <row r="90" ht="30" customHeight="1">
      <c r="A90" s="15" t="n">
        <v>88</v>
      </c>
      <c r="B90" s="13" t="inlineStr">
        <is>
          <t>العقار</t>
        </is>
      </c>
      <c r="C90" s="24" t="inlineStr">
        <is>
          <t>زيادة عدد العلامات التجارية</t>
        </is>
      </c>
      <c r="D90" s="69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61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48" t="n"/>
    </row>
    <row r="91" ht="30" customHeight="1">
      <c r="A91" s="15" t="n">
        <v>89</v>
      </c>
      <c r="B91" s="13" t="inlineStr">
        <is>
          <t>العقار</t>
        </is>
      </c>
      <c r="C91" s="24" t="inlineStr">
        <is>
          <t>نسبة تأجير ساحة درب</t>
        </is>
      </c>
      <c r="D91" s="69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61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48" t="n"/>
    </row>
    <row r="92" ht="30" customHeight="1">
      <c r="A92" s="15" t="n">
        <v>90</v>
      </c>
      <c r="B92" s="13" t="inlineStr">
        <is>
          <t>العقار</t>
        </is>
      </c>
      <c r="C92" s="24" t="inlineStr">
        <is>
          <t>علامات تجارية جديدة (ساحة درب)</t>
        </is>
      </c>
      <c r="D92" s="69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61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48" t="n"/>
    </row>
    <row r="93" ht="30" customHeight="1">
      <c r="A93" s="15" t="n">
        <v>91</v>
      </c>
      <c r="B93" s="13" t="inlineStr">
        <is>
          <t>العقار</t>
        </is>
      </c>
      <c r="C93" s="24" t="inlineStr">
        <is>
          <t>الشراكات الاستراتيجية</t>
        </is>
      </c>
      <c r="D93" s="69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61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48" t="n"/>
    </row>
    <row r="94" ht="30" customHeight="1">
      <c r="A94" s="15" t="n">
        <v>92</v>
      </c>
      <c r="B94" s="13" t="inlineStr">
        <is>
          <t>العقار</t>
        </is>
      </c>
      <c r="C94" s="24" t="inlineStr">
        <is>
          <t>نسبة تجديد العقود</t>
        </is>
      </c>
      <c r="D94" s="69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61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48" t="n"/>
    </row>
    <row r="95" ht="30" customHeight="1">
      <c r="A95" s="15" t="n">
        <v>93</v>
      </c>
      <c r="B95" s="13" t="inlineStr">
        <is>
          <t>العقار</t>
        </is>
      </c>
      <c r="C95" s="24" t="inlineStr">
        <is>
          <t>متوسط زمن تسليم الوحدة</t>
        </is>
      </c>
      <c r="D95" s="69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1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48" t="n"/>
    </row>
    <row r="96" ht="30" customHeight="1">
      <c r="A96" s="15" t="n">
        <v>94</v>
      </c>
      <c r="B96" s="13" t="inlineStr">
        <is>
          <t>العقار</t>
        </is>
      </c>
      <c r="C96" s="24" t="inlineStr">
        <is>
          <t>نسبة إغلاق الطلبات خلال 3 أسابيع</t>
        </is>
      </c>
      <c r="D96" s="69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1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48" t="n"/>
    </row>
    <row r="97" ht="30" customHeight="1">
      <c r="A97" s="15" t="n">
        <v>95</v>
      </c>
      <c r="B97" s="13" t="inlineStr">
        <is>
          <t>العقار</t>
        </is>
      </c>
      <c r="C97" s="24" t="inlineStr">
        <is>
          <t>استدامة المستأجرين (لم يُنهَ مبكراً)</t>
        </is>
      </c>
      <c r="D97" s="69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61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48" t="n"/>
    </row>
    <row r="98" ht="30" customHeight="1">
      <c r="A98" s="15" t="n">
        <v>96</v>
      </c>
      <c r="B98" s="13" t="inlineStr">
        <is>
          <t>العقار</t>
        </is>
      </c>
      <c r="C98" s="24" t="inlineStr">
        <is>
          <t>معدل رضا المستأجرين (استبيان ربعي)</t>
        </is>
      </c>
      <c r="D98" s="69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61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48" t="n"/>
    </row>
    <row r="99" ht="30" customHeight="1">
      <c r="A99" s="15" t="n">
        <v>97</v>
      </c>
      <c r="B99" s="13" t="inlineStr">
        <is>
          <t>إدارة المشاريع</t>
        </is>
      </c>
      <c r="C99" s="24" t="inlineStr">
        <is>
          <t>عدد محطات الشركة المُسلَّمة</t>
        </is>
      </c>
      <c r="D99" s="69" t="inlineStr">
        <is>
          <t>يقيس عدد محطات الشركة المُسلَّمة ضمن محور «تسليم محطات الشركة»، ويعكس مساهمة الإدارة في ركيزة النمو.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61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48" t="n"/>
    </row>
    <row r="100" ht="30" customHeight="1">
      <c r="A100" s="15" t="n">
        <v>98</v>
      </c>
      <c r="B100" s="13" t="inlineStr">
        <is>
          <t>إدارة المشاريع</t>
        </is>
      </c>
      <c r="C100" s="24" t="inlineStr">
        <is>
          <t>نسبة إنجاز محفظة مشاريع التوسع</t>
        </is>
      </c>
      <c r="D100" s="69" t="inlineStr">
        <is>
          <t>يقيس نسبة إنجاز محفظة مشاريع التوسع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61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48" t="n"/>
    </row>
    <row r="101" ht="30" customHeight="1">
      <c r="A101" s="15" t="n">
        <v>99</v>
      </c>
      <c r="B101" s="13" t="inlineStr">
        <is>
          <t>إدارة المشاريع</t>
        </is>
      </c>
      <c r="C101" s="24" t="inlineStr">
        <is>
          <t>نسبة تسليم المحطات في الموعد المخطط</t>
        </is>
      </c>
      <c r="D101" s="69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61" t="n">
        <v>0.08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48" t="n"/>
    </row>
    <row r="102" ht="30" customHeight="1">
      <c r="A102" s="15" t="n">
        <v>100</v>
      </c>
      <c r="B102" s="13" t="inlineStr">
        <is>
          <t>إدارة المشاريع</t>
        </is>
      </c>
      <c r="C102" s="24" t="inlineStr">
        <is>
          <t>نسبة المشاريع المنفّذة ضمن الميزانية</t>
        </is>
      </c>
      <c r="D102" s="69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1" t="n">
        <v>0.06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48" t="n"/>
    </row>
    <row r="103" ht="30" customHeight="1">
      <c r="A103" s="15" t="n">
        <v>101</v>
      </c>
      <c r="B103" s="13" t="inlineStr">
        <is>
          <t>إدارة المشاريع</t>
        </is>
      </c>
      <c r="C103" s="24" t="inlineStr">
        <is>
          <t>عدد محطات الامتياز المُسلَّمة بالهوية</t>
        </is>
      </c>
      <c r="D103" s="69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3" s="11" t="inlineStr">
        <is>
          <t>إجمالي العدد خلال الفترة</t>
        </is>
      </c>
      <c r="F103" s="15" t="inlineStr">
        <is>
          <t>⚙️ نشاط</t>
        </is>
      </c>
      <c r="G103" s="11" t="inlineStr">
        <is>
          <t>النمو · الامتياز التجاري</t>
        </is>
      </c>
      <c r="H103" s="15" t="inlineStr">
        <is>
          <t>التعلّم والنمو</t>
        </is>
      </c>
      <c r="I103" s="61" t="n">
        <v>0.08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48" t="n"/>
    </row>
    <row r="104" ht="30" customHeight="1">
      <c r="A104" s="15" t="n">
        <v>102</v>
      </c>
      <c r="B104" s="13" t="inlineStr">
        <is>
          <t>إدارة المشاريع</t>
        </is>
      </c>
      <c r="C104" s="24" t="inlineStr">
        <is>
          <t>نسبة تنفيذ زيارات الإشراف المجدولة</t>
        </is>
      </c>
      <c r="D104" s="69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⚙️ نشاط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61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48" t="n"/>
    </row>
    <row r="105" ht="30" customHeight="1">
      <c r="A105" s="15" t="n">
        <v>103</v>
      </c>
      <c r="B105" s="13" t="inlineStr">
        <is>
          <t>إدارة المشاريع</t>
        </is>
      </c>
      <c r="C105" s="24" t="inlineStr">
        <is>
          <t>نسبة التزام المطوّرين بالجدول الزمني</t>
        </is>
      </c>
      <c r="D105" s="69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61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48" t="n"/>
    </row>
    <row r="106" ht="30" customHeight="1">
      <c r="A106" s="15" t="n">
        <v>104</v>
      </c>
      <c r="B106" s="13" t="inlineStr">
        <is>
          <t>إدارة المشاريع</t>
        </is>
      </c>
      <c r="C106" s="24" t="inlineStr">
        <is>
          <t>نسبة إغلاق ملاحظات الجودة على المطوّرين</t>
        </is>
      </c>
      <c r="D106" s="69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الامتياز التجاري</t>
        </is>
      </c>
      <c r="H106" s="15" t="inlineStr">
        <is>
          <t>العمليات الداخلية</t>
        </is>
      </c>
      <c r="I106" s="61" t="n">
        <v>0.06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48" t="n"/>
    </row>
    <row r="107" ht="30" customHeight="1">
      <c r="A107" s="15" t="n">
        <v>105</v>
      </c>
      <c r="B107" s="13" t="inlineStr">
        <is>
          <t>إدارة المشاريع</t>
        </is>
      </c>
      <c r="C107" s="24" t="inlineStr">
        <is>
          <t>إجمالي المحطات المُسلَّمة بالهوية (شركة + امتياز)</t>
        </is>
      </c>
      <c r="D107" s="69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7" s="11" t="inlineStr">
        <is>
          <t>إجمالي العدد خلال الفترة</t>
        </is>
      </c>
      <c r="F107" s="15" t="inlineStr">
        <is>
          <t>🔧 تشغيلي</t>
        </is>
      </c>
      <c r="G107" s="11" t="inlineStr">
        <is>
          <t>النمو · التوسع في المواقع</t>
        </is>
      </c>
      <c r="H107" s="15" t="inlineStr">
        <is>
          <t>التعلّم والنمو</t>
        </is>
      </c>
      <c r="I107" s="61" t="n">
        <v>0.08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48" t="n"/>
    </row>
    <row r="108" ht="30" customHeight="1">
      <c r="A108" s="15" t="n">
        <v>106</v>
      </c>
      <c r="B108" s="13" t="inlineStr">
        <is>
          <t>إدارة المشاريع</t>
        </is>
      </c>
      <c r="C108" s="24" t="inlineStr">
        <is>
          <t>نسبة المشاريع الخالية من مخالفات الجودة</t>
        </is>
      </c>
      <c r="D108" s="69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1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48" t="n"/>
    </row>
    <row r="109" ht="30" customHeight="1">
      <c r="A109" s="15" t="n">
        <v>107</v>
      </c>
      <c r="B109" s="13" t="inlineStr">
        <is>
          <t>إدارة المشاريع</t>
        </is>
      </c>
      <c r="C109" s="24" t="inlineStr">
        <is>
          <t>عدد مخالفات المقاولين (سنوي)</t>
        </is>
      </c>
      <c r="D109" s="69" t="inlineStr">
        <is>
          <t>يقيس عدد مخالفات المقاولين (سنوي) ضمن محور «الجودة والمقاولون»، ويعكس مساهمة الإدارة في ركيزة الاستدامة.</t>
        </is>
      </c>
      <c r="E109" s="11" t="inlineStr">
        <is>
          <t>إجمالي العدد خلال الفترة</t>
        </is>
      </c>
      <c r="F109" s="15" t="inlineStr">
        <is>
          <t>⚙️ نشاط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1" t="n">
        <v>0.06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48" t="n"/>
    </row>
    <row r="110" ht="30" customHeight="1">
      <c r="A110" s="15" t="n">
        <v>108</v>
      </c>
      <c r="B110" s="13" t="inlineStr">
        <is>
          <t>إدارة المشاريع</t>
        </is>
      </c>
      <c r="C110" s="24" t="inlineStr">
        <is>
          <t>نسبة التزام المقاولين بمعايير السلامة</t>
        </is>
      </c>
      <c r="D110" s="69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1" t="n">
        <v>0.08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48" t="n"/>
    </row>
    <row r="111" ht="30" customHeight="1">
      <c r="A111" s="15" t="n">
        <v>109</v>
      </c>
      <c r="B111" s="13" t="inlineStr">
        <is>
          <t>إدارة المشاريع</t>
        </is>
      </c>
      <c r="C111" s="24" t="inlineStr">
        <is>
          <t>نسبة الالتزام بالميزانية المعتمدة</t>
        </is>
      </c>
      <c r="D111" s="69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1" t="n">
        <v>0.06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48" t="n"/>
    </row>
    <row r="112" ht="30" customHeight="1">
      <c r="A112" s="15" t="n">
        <v>110</v>
      </c>
      <c r="B112" s="13" t="inlineStr">
        <is>
          <t>إدارة المشاريع</t>
        </is>
      </c>
      <c r="C112" s="24" t="inlineStr">
        <is>
          <t>نسبة الالتزام بالجدول الزمني العام</t>
        </is>
      </c>
      <c r="D112" s="69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1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48" t="n"/>
    </row>
    <row r="113" ht="30" customHeight="1">
      <c r="A113" s="15" t="n">
        <v>111</v>
      </c>
      <c r="B113" s="13" t="inlineStr">
        <is>
          <t>إدارة المشاريع</t>
        </is>
      </c>
      <c r="C113" s="24" t="inlineStr">
        <is>
          <t>متوسط مدة إغلاق قائمة الملاحظات النهائية</t>
        </is>
      </c>
      <c r="D113" s="69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3" s="11" t="inlineStr">
        <is>
          <t>متوسط يوم خلال الفترة</t>
        </is>
      </c>
      <c r="F113" s="15" t="inlineStr">
        <is>
          <t>🎯 نتيجة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1" t="n">
        <v>0.05</v>
      </c>
      <c r="J113" s="15" t="inlineStr">
        <is>
          <t>مدير إدارة المشاريع</t>
        </is>
      </c>
      <c r="K113" s="11" t="inlineStr">
        <is>
          <t>نظام إدارة المشاريع (PMO/Primavera)</t>
        </is>
      </c>
      <c r="L113" s="15" t="inlineStr">
        <is>
          <t>شهري</t>
        </is>
      </c>
      <c r="M113" s="15" t="inlineStr">
        <is>
          <t>مدير إدارة المشاريع</t>
        </is>
      </c>
      <c r="N113" s="48" t="n"/>
    </row>
    <row r="114" ht="30" customHeight="1">
      <c r="A114" s="15" t="n">
        <v>112</v>
      </c>
      <c r="B114" s="13" t="inlineStr">
        <is>
          <t>سلاسل الإمداد</t>
        </is>
      </c>
      <c r="C114" s="24" t="inlineStr">
        <is>
          <t>عدد انقطاعات الوقود الشهرية</t>
        </is>
      </c>
      <c r="D114" s="69" t="inlineStr">
        <is>
          <t>يقيس عدد انقطاعات الوقود الشهرية ضمن محور «خدمة العميل»، ويعكس مساهمة الإدارة في ركيزة الاستدامة.</t>
        </is>
      </c>
      <c r="E114" s="11" t="inlineStr">
        <is>
          <t>إجمالي العدد خلال الفترة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1" t="n">
        <v>0.14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48" t="n"/>
    </row>
    <row r="115" ht="30" customHeight="1">
      <c r="A115" s="15" t="n">
        <v>113</v>
      </c>
      <c r="B115" s="13" t="inlineStr">
        <is>
          <t>سلاسل الإمداد</t>
        </is>
      </c>
      <c r="C115" s="24" t="inlineStr">
        <is>
          <t>نسبة توفّر المواد المخزنية (تسليم ≤ 3 أيام)</t>
        </is>
      </c>
      <c r="D115" s="69" t="inlineStr">
        <is>
          <t>يقيس نسبة توفّر المواد المخزنية (تسليم ≤ 3 أيام) ضمن محور «خدمة العميل»،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1" t="n">
        <v>0.14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48" t="n"/>
    </row>
    <row r="116" ht="30" customHeight="1">
      <c r="A116" s="15" t="n">
        <v>114</v>
      </c>
      <c r="B116" s="13" t="inlineStr">
        <is>
          <t>سلاسل الإمداد</t>
        </is>
      </c>
      <c r="C116" s="24" t="inlineStr">
        <is>
          <t>نسبة إصدار أوامر الشراء خلال ≤ 5 أيام عمل</t>
        </is>
      </c>
      <c r="D116" s="69" t="inlineStr">
        <is>
          <t>يقيس نسبة إصدار أوامر الشراء خلال ≤ 5 أيام عمل ضمن محور «خدمة العميل»،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1" t="n">
        <v>0.1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48" t="n"/>
    </row>
    <row r="117" ht="30" customHeight="1">
      <c r="A117" s="15" t="n">
        <v>115</v>
      </c>
      <c r="B117" s="13" t="inlineStr">
        <is>
          <t>سلاسل الإمداد</t>
        </is>
      </c>
      <c r="C117" s="24" t="inlineStr">
        <is>
          <t>نسبة استيفاء طلبات المحطات (Fill Rate)</t>
        </is>
      </c>
      <c r="D117" s="69" t="inlineStr">
        <is>
          <t>يقيس نسبة استيفاء طلبات المحطات (Fill Rate) ضمن محور «خدمة العميل»، ويعكس مساهمة الإدارة في ركيزة النمو.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النمو · زيادة وصول العملاء</t>
        </is>
      </c>
      <c r="H117" s="15" t="inlineStr">
        <is>
          <t>العمليات الداخلية</t>
        </is>
      </c>
      <c r="I117" s="61" t="n">
        <v>0.14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48" t="n"/>
    </row>
    <row r="118" ht="30" customHeight="1">
      <c r="A118" s="15" t="n">
        <v>116</v>
      </c>
      <c r="B118" s="13" t="inlineStr">
        <is>
          <t>سلاسل الإمداد</t>
        </is>
      </c>
      <c r="C118" s="24" t="inlineStr">
        <is>
          <t>فاقد الوقود لكل 33 ألف لتر</t>
        </is>
      </c>
      <c r="D118" s="69" t="inlineStr">
        <is>
          <t>يقيس فاقد الوقود لكل 33 ألف لتر ضمن محور «كفاءة التكاليف»، ويعكس مساهمة الإدارة في ركيزة الاستدامة.</t>
        </is>
      </c>
      <c r="E118" s="11" t="inlineStr">
        <is>
          <t>إجمالي العدد خلال الفترة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1" t="n">
        <v>0.1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48" t="n"/>
    </row>
    <row r="119" ht="30" customHeight="1">
      <c r="A119" s="15" t="n">
        <v>117</v>
      </c>
      <c r="B119" s="13" t="inlineStr">
        <is>
          <t>سلاسل الإمداد</t>
        </is>
      </c>
      <c r="C119" s="24" t="inlineStr">
        <is>
          <t>نسبة المواد التالفة من المخزون</t>
        </is>
      </c>
      <c r="D119" s="69" t="inlineStr">
        <is>
          <t>يقيس نسبة المواد التالفة من المخزون ضمن محور «كفاءة التكاليف»،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1" t="n">
        <v>0.1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48" t="n"/>
    </row>
    <row r="120" ht="30" customHeight="1">
      <c r="A120" s="15" t="n">
        <v>118</v>
      </c>
      <c r="B120" s="13" t="inlineStr">
        <is>
          <t>سلاسل الإمداد</t>
        </is>
      </c>
      <c r="C120" s="24" t="inlineStr">
        <is>
          <t>تغطية مخزون الوقود (أيام)</t>
        </is>
      </c>
      <c r="D120" s="69" t="inlineStr">
        <is>
          <t>يقيس تغطية مخزون الوقود (أيام) ضمن محور «كفاءة رأس المال العامل»، ويعكس مساهمة الإدارة في ركيزة الاستدامة.</t>
        </is>
      </c>
      <c r="E120" s="11" t="inlineStr">
        <is>
          <t>متوسط يوم خلال الفترة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1" t="n">
        <v>0.1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48" t="n"/>
    </row>
    <row r="121" ht="30" customHeight="1">
      <c r="A121" s="15" t="n">
        <v>119</v>
      </c>
      <c r="B121" s="13" t="inlineStr">
        <is>
          <t>سلاسل الإمداد</t>
        </is>
      </c>
      <c r="C121" s="24" t="inlineStr">
        <is>
          <t>نسبة التزام جدول النقل (On-Time)</t>
        </is>
      </c>
      <c r="D121" s="69" t="inlineStr">
        <is>
          <t>يقيس نسبة التزام جدول النقل (On-Time) ضمن محور «الكفاءة التشغيلية»،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61" t="n">
        <v>0.09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48" t="n"/>
    </row>
    <row r="122" ht="30" customHeight="1">
      <c r="A122" s="15" t="n">
        <v>120</v>
      </c>
      <c r="B122" s="13" t="inlineStr">
        <is>
          <t>سلاسل الإمداد</t>
        </is>
      </c>
      <c r="C122" s="24" t="inlineStr">
        <is>
          <t>نسبة استخدام الأسطول المملوك</t>
        </is>
      </c>
      <c r="D122" s="69" t="inlineStr">
        <is>
          <t>يقيس نسبة استخدام الأسطول المملوك ضمن محور «الكفاءة التشغيلية»،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1" t="n">
        <v>0.09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48" t="n"/>
    </row>
    <row r="123" ht="30" customHeight="1">
      <c r="A123" s="15" t="n">
        <v>121</v>
      </c>
      <c r="B123" s="13" t="inlineStr">
        <is>
          <t>التقنية الرقمية</t>
        </is>
      </c>
      <c r="C123" s="24" t="inlineStr">
        <is>
          <t>نسبة إنجاز محفظة مشاريع التحول الرقمي</t>
        </is>
      </c>
      <c r="D123" s="69" t="inlineStr">
        <is>
          <t>يقيس نسبة إنجاز محفظة مشاريع التحول الرقمي ضمن محور «أداء المشاريع»،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الابتكار · التحول التقني</t>
        </is>
      </c>
      <c r="H123" s="15" t="inlineStr">
        <is>
          <t>التعلّم والنمو</t>
        </is>
      </c>
      <c r="I123" s="61" t="n">
        <v>0.14</v>
      </c>
      <c r="J123" s="15" t="inlineStr">
        <is>
          <t>مدير التقنية</t>
        </is>
      </c>
      <c r="K123" s="11" t="inlineStr">
        <is>
          <t>سجلات الإدارة</t>
        </is>
      </c>
      <c r="L123" s="15" t="inlineStr">
        <is>
          <t>شهري</t>
        </is>
      </c>
      <c r="M123" s="15" t="inlineStr">
        <is>
          <t>مدير التقنية</t>
        </is>
      </c>
      <c r="N123" s="48" t="n"/>
    </row>
    <row r="124" ht="30" customHeight="1">
      <c r="A124" s="15" t="n">
        <v>122</v>
      </c>
      <c r="B124" s="13" t="inlineStr">
        <is>
          <t>التقنية الرقمية</t>
        </is>
      </c>
      <c r="C124" s="24" t="inlineStr">
        <is>
          <t>معدل تسليم المشاريع في الموعد المحدد</t>
        </is>
      </c>
      <c r="D124" s="69" t="inlineStr">
        <is>
          <t>يقيس معدل تسليم المشاريع في الموعد المحدد ضمن محور «أداء المشاريع»،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🔧 تشغيلي</t>
        </is>
      </c>
      <c r="G124" s="11" t="inlineStr">
        <is>
          <t>الابتكار · التحول التقني</t>
        </is>
      </c>
      <c r="H124" s="15" t="inlineStr">
        <is>
          <t>العمليات الداخلية</t>
        </is>
      </c>
      <c r="I124" s="61" t="n">
        <v>0.1</v>
      </c>
      <c r="J124" s="15" t="inlineStr">
        <is>
          <t>مدير التقنية</t>
        </is>
      </c>
      <c r="K124" s="11" t="inlineStr">
        <is>
          <t>سجلات الإدارة</t>
        </is>
      </c>
      <c r="L124" s="15" t="inlineStr">
        <is>
          <t>شهري</t>
        </is>
      </c>
      <c r="M124" s="15" t="inlineStr">
        <is>
          <t>مدير التقنية</t>
        </is>
      </c>
      <c r="N124" s="48" t="n"/>
    </row>
    <row r="125" ht="30" customHeight="1">
      <c r="A125" s="15" t="n">
        <v>123</v>
      </c>
      <c r="B125" s="13" t="inlineStr">
        <is>
          <t>التقنية الرقمية</t>
        </is>
      </c>
      <c r="C125" s="24" t="inlineStr">
        <is>
          <t>نسبة الالتزام بميزانية المشاريع</t>
        </is>
      </c>
      <c r="D125" s="69" t="inlineStr">
        <is>
          <t>يقيس نسبة الالتزام بميزانية المشاريع ضمن محور «أداء المشاريع»،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الابتكار · التحول التقني</t>
        </is>
      </c>
      <c r="H125" s="15" t="inlineStr">
        <is>
          <t>العمليات الداخلية</t>
        </is>
      </c>
      <c r="I125" s="61" t="n">
        <v>0.1</v>
      </c>
      <c r="J125" s="15" t="inlineStr">
        <is>
          <t>مدير التقنية</t>
        </is>
      </c>
      <c r="K125" s="11" t="inlineStr">
        <is>
          <t>نظام المحاسبة / ERP (D365)</t>
        </is>
      </c>
      <c r="L125" s="15" t="inlineStr">
        <is>
          <t>شهري</t>
        </is>
      </c>
      <c r="M125" s="15" t="inlineStr">
        <is>
          <t>الإدارة المالية</t>
        </is>
      </c>
      <c r="N125" s="48" t="n"/>
    </row>
    <row r="126" ht="30" customHeight="1">
      <c r="A126" s="15" t="n">
        <v>124</v>
      </c>
      <c r="B126" s="13" t="inlineStr">
        <is>
          <t>التقنية الرقمية</t>
        </is>
      </c>
      <c r="C126" s="24" t="inlineStr">
        <is>
          <t>نسبة الالتزام بنطاق العمل</t>
        </is>
      </c>
      <c r="D126" s="69" t="inlineStr">
        <is>
          <t>يقيس نسبة الالتزام بنطاق العمل ضمن محور «أداء المشاريع»،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العمليات الداخلية</t>
        </is>
      </c>
      <c r="I126" s="61" t="n">
        <v>0.1</v>
      </c>
      <c r="J126" s="15" t="inlineStr">
        <is>
          <t>مدير التقنية</t>
        </is>
      </c>
      <c r="K126" s="11" t="inlineStr">
        <is>
          <t>سجلات الإدارة</t>
        </is>
      </c>
      <c r="L126" s="15" t="inlineStr">
        <is>
          <t>شهري</t>
        </is>
      </c>
      <c r="M126" s="15" t="inlineStr">
        <is>
          <t>مدير التقنية</t>
        </is>
      </c>
      <c r="N126" s="48" t="n"/>
    </row>
    <row r="127" ht="30" customHeight="1">
      <c r="A127" s="15" t="n">
        <v>125</v>
      </c>
      <c r="B127" s="13" t="inlineStr">
        <is>
          <t>التقنية الرقمية</t>
        </is>
      </c>
      <c r="C127" s="24" t="inlineStr">
        <is>
          <t>نسبة تفعيل الأنظمة الأساسية بالمحطات</t>
        </is>
      </c>
      <c r="D127" s="69" t="inlineStr">
        <is>
          <t>يقيس نسبة تفعيل الأنظمة الأساسية بالمحطات ضمن محور «الكفاءة التشغيلية»،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🔧 تشغيلي</t>
        </is>
      </c>
      <c r="G127" s="11" t="inlineStr">
        <is>
          <t>الاستدامة · جودة التشغيل</t>
        </is>
      </c>
      <c r="H127" s="15" t="inlineStr">
        <is>
          <t>التعلّم والنمو</t>
        </is>
      </c>
      <c r="I127" s="61" t="n">
        <v>0.14</v>
      </c>
      <c r="J127" s="15" t="inlineStr">
        <is>
          <t>مدير التقنية</t>
        </is>
      </c>
      <c r="K127" s="11" t="inlineStr">
        <is>
          <t>مكتب إدارة المشاريع (PMO)</t>
        </is>
      </c>
      <c r="L127" s="15" t="inlineStr">
        <is>
          <t>شهري</t>
        </is>
      </c>
      <c r="M127" s="15" t="inlineStr">
        <is>
          <t>مدير التقنية</t>
        </is>
      </c>
      <c r="N127" s="48" t="n"/>
    </row>
    <row r="128" ht="30" customHeight="1">
      <c r="A128" s="15" t="n">
        <v>126</v>
      </c>
      <c r="B128" s="13" t="inlineStr">
        <is>
          <t>التقنية الرقمية</t>
        </is>
      </c>
      <c r="C128" s="24" t="inlineStr">
        <is>
          <t>متوسط جاهزية أنظمة المركز الرئيسي (Uptime)</t>
        </is>
      </c>
      <c r="D128" s="69" t="inlineStr">
        <is>
          <t>يقيس متوسط جاهزية أنظمة المركز الرئيسي (Uptime) ضمن محور «الكفاءة التشغيلية»،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جودة التشغيل</t>
        </is>
      </c>
      <c r="H128" s="15" t="inlineStr">
        <is>
          <t>التعلّم والنمو</t>
        </is>
      </c>
      <c r="I128" s="61" t="n">
        <v>0.14</v>
      </c>
      <c r="J128" s="15" t="inlineStr">
        <is>
          <t>مدير التقنية</t>
        </is>
      </c>
      <c r="K128" s="11" t="inlineStr">
        <is>
          <t>مكتب إدارة المشاريع (PMO)</t>
        </is>
      </c>
      <c r="L128" s="15" t="inlineStr">
        <is>
          <t>شهري</t>
        </is>
      </c>
      <c r="M128" s="15" t="inlineStr">
        <is>
          <t>مدير التقنية</t>
        </is>
      </c>
      <c r="N128" s="48" t="n"/>
    </row>
    <row r="129" ht="30" customHeight="1">
      <c r="A129" s="15" t="n">
        <v>127</v>
      </c>
      <c r="B129" s="13" t="inlineStr">
        <is>
          <t>التقنية الرقمية</t>
        </is>
      </c>
      <c r="C129" s="24" t="inlineStr">
        <is>
          <t>نسبة الامتثال للأمن السيبراني</t>
        </is>
      </c>
      <c r="D129" s="69" t="inlineStr">
        <is>
          <t>يقيس نسبة الامتثال للأمن السيبراني ضمن محور «الكفاءة التشغيلية»،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الاستدامة · جودة التشغيل</t>
        </is>
      </c>
      <c r="H129" s="15" t="inlineStr">
        <is>
          <t>التعلّم والنمو</t>
        </is>
      </c>
      <c r="I129" s="61" t="n">
        <v>0.1</v>
      </c>
      <c r="J129" s="15" t="inlineStr">
        <is>
          <t>مدير التقنية</t>
        </is>
      </c>
      <c r="K129" s="11" t="inlineStr">
        <is>
          <t>مكتب إدارة المشاريع (PMO)</t>
        </is>
      </c>
      <c r="L129" s="15" t="inlineStr">
        <is>
          <t>شهري</t>
        </is>
      </c>
      <c r="M129" s="15" t="inlineStr">
        <is>
          <t>مدير التقنية</t>
        </is>
      </c>
      <c r="N129" s="48" t="n"/>
    </row>
    <row r="130" ht="30" customHeight="1">
      <c r="A130" s="15" t="n">
        <v>128</v>
      </c>
      <c r="B130" s="13" t="inlineStr">
        <is>
          <t>التقنية الرقمية</t>
        </is>
      </c>
      <c r="C130" s="24" t="inlineStr">
        <is>
          <t>متوسط زمن استجابة الدعم الفني</t>
        </is>
      </c>
      <c r="D130" s="69" t="inlineStr">
        <is>
          <t>يقيس متوسط زمن استجابة الدعم الفني ضمن محور «الكفاءة التشغيلية»، ويعكس مساهمة الإدارة في ركيزة الاستدامة.</t>
        </is>
      </c>
      <c r="E130" s="11" t="inlineStr">
        <is>
          <t>متوسط ساعة خلال الفترة</t>
        </is>
      </c>
      <c r="F130" s="15" t="inlineStr">
        <is>
          <t>🔧 تشغيلي</t>
        </is>
      </c>
      <c r="G130" s="11" t="inlineStr">
        <is>
          <t>الاستدامة · جودة التشغيل</t>
        </is>
      </c>
      <c r="H130" s="15" t="inlineStr">
        <is>
          <t>العمليات الداخلية</t>
        </is>
      </c>
      <c r="I130" s="61" t="n">
        <v>0.09</v>
      </c>
      <c r="J130" s="15" t="inlineStr">
        <is>
          <t>مدير التقنية</t>
        </is>
      </c>
      <c r="K130" s="11" t="inlineStr">
        <is>
          <t>سجلات الإدارة</t>
        </is>
      </c>
      <c r="L130" s="15" t="inlineStr">
        <is>
          <t>شهري</t>
        </is>
      </c>
      <c r="M130" s="15" t="inlineStr">
        <is>
          <t>مدير التقنية</t>
        </is>
      </c>
      <c r="N130" s="48" t="n"/>
    </row>
    <row r="131" ht="30" customHeight="1">
      <c r="A131" s="15" t="n">
        <v>129</v>
      </c>
      <c r="B131" s="13" t="inlineStr">
        <is>
          <t>التقنية الرقمية</t>
        </is>
      </c>
      <c r="C131" s="24" t="inlineStr">
        <is>
          <t>نسبة التكامل الرقمي (ERP/واثق/الولاء)</t>
        </is>
      </c>
      <c r="D131" s="69" t="inlineStr">
        <is>
          <t>يقيس نسبة التكامل الرقمي (ERP/واثق/الولاء) ضمن محور «الكفاءة التشغيلية»،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جودة التشغيل</t>
        </is>
      </c>
      <c r="H131" s="15" t="inlineStr">
        <is>
          <t>التعلّم والنمو</t>
        </is>
      </c>
      <c r="I131" s="61" t="n">
        <v>0.09</v>
      </c>
      <c r="J131" s="15" t="inlineStr">
        <is>
          <t>مدير التقنية</t>
        </is>
      </c>
      <c r="K131" s="11" t="inlineStr">
        <is>
          <t>أنظمة التسويق الرقمي / تانكي</t>
        </is>
      </c>
      <c r="L131" s="15" t="inlineStr">
        <is>
          <t>شهري</t>
        </is>
      </c>
      <c r="M131" s="15" t="inlineStr">
        <is>
          <t>مدير التقنية</t>
        </is>
      </c>
      <c r="N131" s="48" t="n"/>
    </row>
    <row r="132" ht="30" customHeight="1">
      <c r="A132" s="15" t="n">
        <v>130</v>
      </c>
      <c r="B132" s="13" t="inlineStr">
        <is>
          <t>الموارد البشرية</t>
        </is>
      </c>
      <c r="C132" s="24" t="inlineStr">
        <is>
          <t>نسبة السعودة / التوطين</t>
        </is>
      </c>
      <c r="D132" s="69" t="inlineStr">
        <is>
          <t>يقيس نسبة السعودة / التوطين ضمن محور «التوظيف والتوطين»،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الاستثمار في الموظفين</t>
        </is>
      </c>
      <c r="H132" s="15" t="inlineStr">
        <is>
          <t>التعلّم والنمو</t>
        </is>
      </c>
      <c r="I132" s="61" t="n">
        <v>0.06</v>
      </c>
      <c r="J132" s="15" t="inlineStr">
        <is>
          <t>مدير الموارد البشرية</t>
        </is>
      </c>
      <c r="K132" s="11" t="inlineStr">
        <is>
          <t>نظام الموارد البشرية (HRMS)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48" t="n"/>
    </row>
    <row r="133" ht="30" customHeight="1">
      <c r="A133" s="15" t="n">
        <v>131</v>
      </c>
      <c r="B133" s="13" t="inlineStr">
        <is>
          <t>الموارد البشرية</t>
        </is>
      </c>
      <c r="C133" s="24" t="inlineStr">
        <is>
          <t>الارتقاء بآليات اختيار المرشحين</t>
        </is>
      </c>
      <c r="D133" s="69" t="inlineStr">
        <is>
          <t>يقيس الارتقاء بآليات اختيار المرشحين ضمن محور «التوظيف والتوطين»،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الاستدامة · الاستثمار في الموظفين</t>
        </is>
      </c>
      <c r="H133" s="15" t="inlineStr">
        <is>
          <t>العمليات الداخلية</t>
        </is>
      </c>
      <c r="I133" s="61" t="n">
        <v>0.06</v>
      </c>
      <c r="J133" s="15" t="inlineStr">
        <is>
          <t>مدير الموارد البشرية</t>
        </is>
      </c>
      <c r="K133" s="11" t="inlineStr">
        <is>
          <t>نظام الموارد البشرية (HRMS)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48" t="n"/>
    </row>
    <row r="134" ht="30" customHeight="1">
      <c r="A134" s="15" t="n">
        <v>132</v>
      </c>
      <c r="B134" s="13" t="inlineStr">
        <is>
          <t>الموارد البشرية</t>
        </is>
      </c>
      <c r="C134" s="24" t="inlineStr">
        <is>
          <t>نسبة شغل الشواغر خلال 30 يوم</t>
        </is>
      </c>
      <c r="D134" s="69" t="inlineStr">
        <is>
          <t>يقيس نسبة شغل الشواغر خلال 30 يوم ضمن محور «التوظيف والتوطين»،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الاستدامة · الاستثمار في الموظفين</t>
        </is>
      </c>
      <c r="H134" s="15" t="inlineStr">
        <is>
          <t>العمليات الداخلية</t>
        </is>
      </c>
      <c r="I134" s="61" t="n">
        <v>0.06</v>
      </c>
      <c r="J134" s="15" t="inlineStr">
        <is>
          <t>مدير الموارد البشرية</t>
        </is>
      </c>
      <c r="K134" s="11" t="inlineStr">
        <is>
          <t>نظام الموارد البشرية (HRMS)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48" t="n"/>
    </row>
    <row r="135" ht="30" customHeight="1">
      <c r="A135" s="15" t="n">
        <v>133</v>
      </c>
      <c r="B135" s="13" t="inlineStr">
        <is>
          <t>الموارد البشرية</t>
        </is>
      </c>
      <c r="C135" s="24" t="inlineStr">
        <is>
          <t>معدل استبقاء الموظفين (Retention)</t>
        </is>
      </c>
      <c r="D135" s="69" t="inlineStr">
        <is>
          <t>يقيس معدل استبقاء الموظفين (Retention) ضمن محور «الاستبقاء»،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الاستثمار في الموظفين</t>
        </is>
      </c>
      <c r="H135" s="15" t="inlineStr">
        <is>
          <t>التعلّم والنمو</t>
        </is>
      </c>
      <c r="I135" s="61" t="n">
        <v>0.08</v>
      </c>
      <c r="J135" s="15" t="inlineStr">
        <is>
          <t>مدير الموارد البشرية</t>
        </is>
      </c>
      <c r="K135" s="11" t="inlineStr">
        <is>
          <t>نظام الموارد البشرية (HRMS)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48" t="n"/>
    </row>
    <row r="136" ht="30" customHeight="1">
      <c r="A136" s="15" t="n">
        <v>134</v>
      </c>
      <c r="B136" s="13" t="inlineStr">
        <is>
          <t>الموارد البشرية</t>
        </is>
      </c>
      <c r="C136" s="24" t="inlineStr">
        <is>
          <t>معدل دوران الموظفين (Turnover)</t>
        </is>
      </c>
      <c r="D136" s="69" t="inlineStr">
        <is>
          <t>يقيس معدل دوران الموظفين (Turnover) ضمن محور «الاستبقاء»،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الاستثمار في الموظفين</t>
        </is>
      </c>
      <c r="H136" s="15" t="inlineStr">
        <is>
          <t>التعلّم والنمو</t>
        </is>
      </c>
      <c r="I136" s="61" t="n">
        <v>0.06</v>
      </c>
      <c r="J136" s="15" t="inlineStr">
        <is>
          <t>مدير الموارد البشرية</t>
        </is>
      </c>
      <c r="K136" s="11" t="inlineStr">
        <is>
          <t>نظام الموارد البشرية (HRMS)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48" t="n"/>
    </row>
    <row r="137" ht="30" customHeight="1">
      <c r="A137" s="15" t="n">
        <v>135</v>
      </c>
      <c r="B137" s="13" t="inlineStr">
        <is>
          <t>الموارد البشرية</t>
        </is>
      </c>
      <c r="C137" s="24" t="inlineStr">
        <is>
          <t>عدد الدورات الإدارية المنعقدة</t>
        </is>
      </c>
      <c r="D137" s="69" t="inlineStr">
        <is>
          <t>يقيس عدد الدورات الإدارية المنعقدة ضمن محور «التدريب والتطوير»، ويعكس مساهمة الإدارة في ركيزة الاستدامة.</t>
        </is>
      </c>
      <c r="E137" s="11" t="inlineStr">
        <is>
          <t>إجمالي العدد خلال الفترة</t>
        </is>
      </c>
      <c r="F137" s="15" t="inlineStr">
        <is>
          <t>⚙️ نشاط</t>
        </is>
      </c>
      <c r="G137" s="11" t="inlineStr">
        <is>
          <t>الاستدامة · الاستثمار في الموظفين</t>
        </is>
      </c>
      <c r="H137" s="15" t="inlineStr">
        <is>
          <t>العمليات الداخلية</t>
        </is>
      </c>
      <c r="I137" s="61" t="n">
        <v>0.08</v>
      </c>
      <c r="J137" s="15" t="inlineStr">
        <is>
          <t>مدير الموارد البشرية</t>
        </is>
      </c>
      <c r="K137" s="11" t="inlineStr">
        <is>
          <t>نظام الموارد البشرية (HRMS)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48" t="n"/>
    </row>
    <row r="138" ht="30" customHeight="1">
      <c r="A138" s="15" t="n">
        <v>136</v>
      </c>
      <c r="B138" s="13" t="inlineStr">
        <is>
          <t>الموارد البشرية</t>
        </is>
      </c>
      <c r="C138" s="24" t="inlineStr">
        <is>
          <t>متوسط ساعات التدريب لكل موظف</t>
        </is>
      </c>
      <c r="D138" s="69" t="inlineStr">
        <is>
          <t>يقيس متوسط ساعات التدريب لكل موظف ضمن محور «التدريب والتطوير»، ويعكس مساهمة الإدارة في ركيزة الاستدامة.</t>
        </is>
      </c>
      <c r="E138" s="11" t="inlineStr">
        <is>
          <t>متوسط ساعة خلال الفترة</t>
        </is>
      </c>
      <c r="F138" s="15" t="inlineStr">
        <is>
          <t>⚙️ نشاط</t>
        </is>
      </c>
      <c r="G138" s="11" t="inlineStr">
        <is>
          <t>الاستدامة · الاستثمار في الموظفين</t>
        </is>
      </c>
      <c r="H138" s="15" t="inlineStr">
        <is>
          <t>التعلّم والنمو</t>
        </is>
      </c>
      <c r="I138" s="61" t="n">
        <v>0.06</v>
      </c>
      <c r="J138" s="15" t="inlineStr">
        <is>
          <t>مدير الموارد البشرية</t>
        </is>
      </c>
      <c r="K138" s="11" t="inlineStr">
        <is>
          <t>نظام الموارد البشرية (HRMS)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48" t="n"/>
    </row>
    <row r="139" ht="30" customHeight="1">
      <c r="A139" s="15" t="n">
        <v>137</v>
      </c>
      <c r="B139" s="13" t="inlineStr">
        <is>
          <t>الموارد البشرية</t>
        </is>
      </c>
      <c r="C139" s="24" t="inlineStr">
        <is>
          <t>نسبة الموظفين المشمولين بخطة تطوير</t>
        </is>
      </c>
      <c r="D139" s="69" t="inlineStr">
        <is>
          <t>يقيس نسبة الموظفين المشمولين بخطة تطوير ضمن محور «التدريب والتطوير»،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الاستدامة · الاستثمار في الموظفين</t>
        </is>
      </c>
      <c r="H139" s="15" t="inlineStr">
        <is>
          <t>التعلّم والنمو</t>
        </is>
      </c>
      <c r="I139" s="61" t="n">
        <v>0.05</v>
      </c>
      <c r="J139" s="15" t="inlineStr">
        <is>
          <t>مدير الموارد البشرية</t>
        </is>
      </c>
      <c r="K139" s="11" t="inlineStr">
        <is>
          <t>نظام الموارد البشرية (HRMS)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48" t="n"/>
    </row>
    <row r="140" ht="30" customHeight="1">
      <c r="A140" s="15" t="n">
        <v>138</v>
      </c>
      <c r="B140" s="13" t="inlineStr">
        <is>
          <t>الموارد البشرية</t>
        </is>
      </c>
      <c r="C140" s="24" t="inlineStr">
        <is>
          <t>مؤشر رضا الموظفين (eNPS)</t>
        </is>
      </c>
      <c r="D140" s="69" t="inlineStr">
        <is>
          <t>يقيس مؤشر رضا الموظفين (eNPS) ضمن محور «الرضا والثقافة»، ويعكس مساهمة الإدارة في ركيزة الاستدامة.</t>
        </is>
      </c>
      <c r="E140" s="11" t="inlineStr">
        <is>
          <t>٪ المروّجين − ٪ المنتقدين</t>
        </is>
      </c>
      <c r="F140" s="15" t="inlineStr">
        <is>
          <t>🎯 نتيجة</t>
        </is>
      </c>
      <c r="G140" s="11" t="inlineStr">
        <is>
          <t>الاستدامة · الاستثمار في الموظفين</t>
        </is>
      </c>
      <c r="H140" s="15" t="inlineStr">
        <is>
          <t>التعلّم والنمو</t>
        </is>
      </c>
      <c r="I140" s="61" t="n">
        <v>0.08</v>
      </c>
      <c r="J140" s="15" t="inlineStr">
        <is>
          <t>مدير الموارد البشرية</t>
        </is>
      </c>
      <c r="K140" s="11" t="inlineStr">
        <is>
          <t>استبيان دوري</t>
        </is>
      </c>
      <c r="L140" s="15" t="inlineStr">
        <is>
          <t>ربعي</t>
        </is>
      </c>
      <c r="M140" s="15" t="inlineStr">
        <is>
          <t>مدير الموارد البشرية</t>
        </is>
      </c>
      <c r="N140" s="48" t="n"/>
    </row>
    <row r="141" ht="30" customHeight="1">
      <c r="A141" s="15" t="n">
        <v>139</v>
      </c>
      <c r="B141" s="13" t="inlineStr">
        <is>
          <t>الموارد البشرية</t>
        </is>
      </c>
      <c r="C141" s="24" t="inlineStr">
        <is>
          <t>تحسين مستوى الرضا الوظيفي</t>
        </is>
      </c>
      <c r="D141" s="69" t="inlineStr">
        <is>
          <t>يقيس تحسين مستوى الرضا الوظيفي ضمن محور «الرضا والثقافة»،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الاستدامة · الاستثمار في الموظفين</t>
        </is>
      </c>
      <c r="H141" s="15" t="inlineStr">
        <is>
          <t>العملاء</t>
        </is>
      </c>
      <c r="I141" s="61" t="n">
        <v>0.08</v>
      </c>
      <c r="J141" s="15" t="inlineStr">
        <is>
          <t>مدير الموارد البشرية</t>
        </is>
      </c>
      <c r="K141" s="11" t="inlineStr">
        <is>
          <t>استبيان دوري</t>
        </is>
      </c>
      <c r="L141" s="15" t="inlineStr">
        <is>
          <t>ربعي</t>
        </is>
      </c>
      <c r="M141" s="15" t="inlineStr">
        <is>
          <t>مدير الموارد البشرية</t>
        </is>
      </c>
      <c r="N141" s="48" t="n"/>
    </row>
    <row r="142" ht="30" customHeight="1">
      <c r="A142" s="15" t="n">
        <v>140</v>
      </c>
      <c r="B142" s="13" t="inlineStr">
        <is>
          <t>الموارد البشرية</t>
        </is>
      </c>
      <c r="C142" s="24" t="inlineStr">
        <is>
          <t>ترسيخ القيم والثقافة المؤسسية</t>
        </is>
      </c>
      <c r="D142" s="69" t="inlineStr">
        <is>
          <t>يقيس ترسيخ القيم والثقافة المؤسسية ضمن محور «الرضا والثقافة»،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الاستدامة · الاستثمار في الموظفين</t>
        </is>
      </c>
      <c r="H142" s="15" t="inlineStr">
        <is>
          <t>العمليات الداخلية</t>
        </is>
      </c>
      <c r="I142" s="61" t="n">
        <v>0.05</v>
      </c>
      <c r="J142" s="15" t="inlineStr">
        <is>
          <t>مدير الموارد البشرية</t>
        </is>
      </c>
      <c r="K142" s="11" t="inlineStr">
        <is>
          <t>استبيان دوري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48" t="n"/>
    </row>
    <row r="143" ht="30" customHeight="1">
      <c r="A143" s="15" t="n">
        <v>141</v>
      </c>
      <c r="B143" s="13" t="inlineStr">
        <is>
          <t>الموارد البشرية</t>
        </is>
      </c>
      <c r="C143" s="24" t="inlineStr">
        <is>
          <t>نسبة أتمتة عمليات الموارد البشرية</t>
        </is>
      </c>
      <c r="D143" s="69" t="inlineStr">
        <is>
          <t>يقيس نسبة أتمتة عمليات الموارد البشرية ضمن محور «الأتمتة والتوثيق»، ويعكس مساهمة الإدارة في ركيزة الابتكار.</t>
        </is>
      </c>
      <c r="E143" s="11" t="inlineStr">
        <is>
          <t>(المتحقّق ÷ الإجمالي) × 100٪</t>
        </is>
      </c>
      <c r="F143" s="15" t="inlineStr">
        <is>
          <t>🔧 تشغيلي</t>
        </is>
      </c>
      <c r="G143" s="11" t="inlineStr">
        <is>
          <t>الابتكار · التحول التقني</t>
        </is>
      </c>
      <c r="H143" s="15" t="inlineStr">
        <is>
          <t>التعلّم والنمو</t>
        </is>
      </c>
      <c r="I143" s="61" t="n">
        <v>0.05</v>
      </c>
      <c r="J143" s="15" t="inlineStr">
        <is>
          <t>مدير الموارد البشرية</t>
        </is>
      </c>
      <c r="K143" s="11" t="inlineStr">
        <is>
          <t>مكتب إدارة المشاريع (PMO)</t>
        </is>
      </c>
      <c r="L143" s="15" t="inlineStr">
        <is>
          <t>شهري</t>
        </is>
      </c>
      <c r="M143" s="15" t="inlineStr">
        <is>
          <t>مدير الموارد البشرية</t>
        </is>
      </c>
      <c r="N143" s="48" t="n"/>
    </row>
    <row r="144" ht="30" customHeight="1">
      <c r="A144" s="15" t="n">
        <v>142</v>
      </c>
      <c r="B144" s="13" t="inlineStr">
        <is>
          <t>الموارد البشرية</t>
        </is>
      </c>
      <c r="C144" s="24" t="inlineStr">
        <is>
          <t>نسبة توثيق أنظمة العمل</t>
        </is>
      </c>
      <c r="D144" s="69" t="inlineStr">
        <is>
          <t>يقيس نسبة توثيق أنظمة العمل ضمن محور «الأتمتة والتوثيق»،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الاستدامة · جودة التشغيل</t>
        </is>
      </c>
      <c r="H144" s="15" t="inlineStr">
        <is>
          <t>التعلّم والنمو</t>
        </is>
      </c>
      <c r="I144" s="61" t="n">
        <v>0.03</v>
      </c>
      <c r="J144" s="15" t="inlineStr">
        <is>
          <t>مدير الموارد البشرية</t>
        </is>
      </c>
      <c r="K144" s="11" t="inlineStr">
        <is>
          <t>مكتب إدارة المشاريع (PMO)</t>
        </is>
      </c>
      <c r="L144" s="15" t="inlineStr">
        <is>
          <t>شهري</t>
        </is>
      </c>
      <c r="M144" s="15" t="inlineStr">
        <is>
          <t>مدير الموارد البشرية</t>
        </is>
      </c>
      <c r="N144" s="48" t="n"/>
    </row>
    <row r="145" ht="30" customHeight="1">
      <c r="A145" s="15" t="n">
        <v>143</v>
      </c>
      <c r="B145" s="13" t="inlineStr">
        <is>
          <t>الموارد البشرية</t>
        </is>
      </c>
      <c r="C145" s="24" t="inlineStr">
        <is>
          <t>ترسيخ الأنظمة الإدارية</t>
        </is>
      </c>
      <c r="D145" s="69" t="inlineStr">
        <is>
          <t>يقيس ترسيخ الأنظمة الإدارية ضمن محور «الأتمتة والتوثيق»،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🔧 تشغيلي</t>
        </is>
      </c>
      <c r="G145" s="11" t="inlineStr">
        <is>
          <t>الاستدامة · جودة التشغيل</t>
        </is>
      </c>
      <c r="H145" s="15" t="inlineStr">
        <is>
          <t>التعلّم والنمو</t>
        </is>
      </c>
      <c r="I145" s="61" t="n">
        <v>0.05</v>
      </c>
      <c r="J145" s="15" t="inlineStr">
        <is>
          <t>مدير الموارد البشرية</t>
        </is>
      </c>
      <c r="K145" s="11" t="inlineStr">
        <is>
          <t>مكتب إدارة المشاريع (PMO)</t>
        </is>
      </c>
      <c r="L145" s="15" t="inlineStr">
        <is>
          <t>شهري</t>
        </is>
      </c>
      <c r="M145" s="15" t="inlineStr">
        <is>
          <t>مدير الموارد البشرية</t>
        </is>
      </c>
      <c r="N145" s="48" t="n"/>
    </row>
    <row r="146" ht="30" customHeight="1">
      <c r="A146" s="15" t="n">
        <v>144</v>
      </c>
      <c r="B146" s="13" t="inlineStr">
        <is>
          <t>الموارد البشرية</t>
        </is>
      </c>
      <c r="C146" s="24" t="inlineStr">
        <is>
          <t>اعتماد الهيكل التنظيمي</t>
        </is>
      </c>
      <c r="D146" s="69" t="inlineStr">
        <is>
          <t>يقيس اعتماد الهيكل التنظيمي ضمن محور «الهيكلة»،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⚙️ نشاط</t>
        </is>
      </c>
      <c r="G146" s="11" t="inlineStr">
        <is>
          <t>الاستدامة · جودة التشغيل</t>
        </is>
      </c>
      <c r="H146" s="15" t="inlineStr">
        <is>
          <t>العمليات الداخلية</t>
        </is>
      </c>
      <c r="I146" s="61" t="n">
        <v>0.05</v>
      </c>
      <c r="J146" s="15" t="inlineStr">
        <is>
          <t>مدير الموارد البشرية</t>
        </is>
      </c>
      <c r="K146" s="11" t="inlineStr">
        <is>
          <t>نظام الموارد البشرية (HRMS)</t>
        </is>
      </c>
      <c r="L146" s="15" t="inlineStr">
        <is>
          <t>شهري</t>
        </is>
      </c>
      <c r="M146" s="15" t="inlineStr">
        <is>
          <t>مدير الموارد البشرية</t>
        </is>
      </c>
      <c r="N146" s="48" t="n"/>
    </row>
    <row r="147" ht="30" customHeight="1">
      <c r="A147" s="15" t="n">
        <v>145</v>
      </c>
      <c r="B147" s="13" t="inlineStr">
        <is>
          <t>الموارد البشرية</t>
        </is>
      </c>
      <c r="C147" s="24" t="inlineStr">
        <is>
          <t>اكتمال الأوصاف الوظيفية (+KPI)</t>
        </is>
      </c>
      <c r="D147" s="69" t="inlineStr">
        <is>
          <t>يقيس اكتمال الأوصاف الوظيفية (+KPI) ضمن محور «الهيكلة»،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⚙️ نشاط</t>
        </is>
      </c>
      <c r="G147" s="11" t="inlineStr">
        <is>
          <t>الاستدامة · جودة التشغيل</t>
        </is>
      </c>
      <c r="H147" s="15" t="inlineStr">
        <is>
          <t>العمليات الداخلية</t>
        </is>
      </c>
      <c r="I147" s="61" t="n">
        <v>0.05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48" t="n"/>
    </row>
    <row r="148" ht="30" customHeight="1">
      <c r="A148" s="15" t="n">
        <v>146</v>
      </c>
      <c r="B148" s="13" t="inlineStr">
        <is>
          <t>الموارد البشرية</t>
        </is>
      </c>
      <c r="C148" s="24" t="inlineStr">
        <is>
          <t>نسبة إنجاز تقييمات الأداء في موعدها</t>
        </is>
      </c>
      <c r="D148" s="69" t="inlineStr">
        <is>
          <t>يقيس نسبة إنجاز تقييمات الأداء في موعدها ضمن محور «الأداء»،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الاستثمار في الموظفين</t>
        </is>
      </c>
      <c r="H148" s="15" t="inlineStr">
        <is>
          <t>العمليات الداخلية</t>
        </is>
      </c>
      <c r="I148" s="61" t="n">
        <v>0.05</v>
      </c>
      <c r="J148" s="15" t="inlineStr">
        <is>
          <t>مدير الموارد البشرية</t>
        </is>
      </c>
      <c r="K148" s="11" t="inlineStr">
        <is>
          <t>سجلات الإدارة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48" t="n"/>
    </row>
    <row r="149" ht="30" customHeight="1">
      <c r="A149" s="15" t="n">
        <v>147</v>
      </c>
      <c r="B149" s="13" t="inlineStr">
        <is>
          <t>التسويق</t>
        </is>
      </c>
      <c r="C149" s="24" t="inlineStr">
        <is>
          <t>الوصول الكلي (Total Reach)</t>
        </is>
      </c>
      <c r="D149" s="69" t="inlineStr">
        <is>
          <t>يقيس الوصول الكلي (Total Reach) ضمن محور «الإدارة العامة»، ويعكس مساهمة الإدارة في ركيزة النمو.</t>
        </is>
      </c>
      <c r="E149" s="11" t="inlineStr">
        <is>
          <t>إجمالي العدد خلال الفترة</t>
        </is>
      </c>
      <c r="F149" s="15" t="inlineStr">
        <is>
          <t>🎯 نتيجة</t>
        </is>
      </c>
      <c r="G149" s="11" t="inlineStr">
        <is>
          <t>النمو · زيادة وصول العملاء</t>
        </is>
      </c>
      <c r="H149" s="15" t="inlineStr">
        <is>
          <t>العملاء</t>
        </is>
      </c>
      <c r="I149" s="61" t="n">
        <v>0.08</v>
      </c>
      <c r="J149" s="15" t="inlineStr">
        <is>
          <t>مدير التسويق</t>
        </is>
      </c>
      <c r="K149" s="11" t="inlineStr">
        <is>
          <t>أنظمة التسويق الرقمي / تانكي</t>
        </is>
      </c>
      <c r="L149" s="15" t="inlineStr">
        <is>
          <t>شهري</t>
        </is>
      </c>
      <c r="M149" s="15" t="inlineStr">
        <is>
          <t>مدير التسويق</t>
        </is>
      </c>
      <c r="N149" s="48" t="n"/>
    </row>
    <row r="150" ht="30" customHeight="1">
      <c r="A150" s="15" t="n">
        <v>148</v>
      </c>
      <c r="B150" s="13" t="inlineStr">
        <is>
          <t>التسويق</t>
        </is>
      </c>
      <c r="C150" s="24" t="inlineStr">
        <is>
          <t>عملاء تجاريون جدد</t>
        </is>
      </c>
      <c r="D150" s="69" t="inlineStr">
        <is>
          <t>يقيس عملاء تجاريون جدد ضمن محور «الإدارة العامة»، ويعكس مساهمة الإدارة في ركيزة النمو.</t>
        </is>
      </c>
      <c r="E150" s="11" t="inlineStr">
        <is>
          <t>إجمالي العدد خلال الفترة</t>
        </is>
      </c>
      <c r="F150" s="15" t="inlineStr">
        <is>
          <t>🔧 تشغيلي</t>
        </is>
      </c>
      <c r="G150" s="11" t="inlineStr">
        <is>
          <t>النمو · زيادة وصول العملاء</t>
        </is>
      </c>
      <c r="H150" s="15" t="inlineStr">
        <is>
          <t>العملاء</t>
        </is>
      </c>
      <c r="I150" s="61" t="n">
        <v>0.06</v>
      </c>
      <c r="J150" s="15" t="inlineStr">
        <is>
          <t>مدير التسويق</t>
        </is>
      </c>
      <c r="K150" s="11" t="inlineStr">
        <is>
          <t>سجلات الإدارة</t>
        </is>
      </c>
      <c r="L150" s="15" t="inlineStr">
        <is>
          <t>شهري</t>
        </is>
      </c>
      <c r="M150" s="15" t="inlineStr">
        <is>
          <t>مدير التسويق</t>
        </is>
      </c>
      <c r="N150" s="48" t="n"/>
    </row>
    <row r="151" ht="30" customHeight="1">
      <c r="A151" s="15" t="n">
        <v>149</v>
      </c>
      <c r="B151" s="13" t="inlineStr">
        <is>
          <t>التسويق</t>
        </is>
      </c>
      <c r="C151" s="24" t="inlineStr">
        <is>
          <t>إجمالي المتابعين (كل المنصات)</t>
        </is>
      </c>
      <c r="D151" s="69" t="inlineStr">
        <is>
          <t>يقيس إجمالي المتابعين (كل المنصات) ضمن محور «الفريق الإبداعي»، ويعكس مساهمة الإدارة في ركيزة النمو.</t>
        </is>
      </c>
      <c r="E151" s="11" t="inlineStr">
        <is>
          <t>إجمالي العدد خلال الفترة</t>
        </is>
      </c>
      <c r="F151" s="15" t="inlineStr">
        <is>
          <t>🔧 تشغيلي</t>
        </is>
      </c>
      <c r="G151" s="11" t="inlineStr">
        <is>
          <t>النمو · زيادة وصول العملاء</t>
        </is>
      </c>
      <c r="H151" s="15" t="inlineStr">
        <is>
          <t>العملاء</t>
        </is>
      </c>
      <c r="I151" s="61" t="n">
        <v>0.08</v>
      </c>
      <c r="J151" s="15" t="inlineStr">
        <is>
          <t>مدير التسويق</t>
        </is>
      </c>
      <c r="K151" s="11" t="inlineStr">
        <is>
          <t>أنظمة التسويق الرقمي / تانكي</t>
        </is>
      </c>
      <c r="L151" s="15" t="inlineStr">
        <is>
          <t>شهري</t>
        </is>
      </c>
      <c r="M151" s="15" t="inlineStr">
        <is>
          <t>مدير التسويق</t>
        </is>
      </c>
      <c r="N151" s="48" t="n"/>
    </row>
    <row r="152" ht="30" customHeight="1">
      <c r="A152" s="15" t="n">
        <v>150</v>
      </c>
      <c r="B152" s="13" t="inlineStr">
        <is>
          <t>التسويق</t>
        </is>
      </c>
      <c r="C152" s="24" t="inlineStr">
        <is>
          <t>معدل التفاعل (Engagement)</t>
        </is>
      </c>
      <c r="D152" s="69" t="inlineStr">
        <is>
          <t>يقيس معدل التفاعل (Engagement) ضمن محور «الفريق الإبداعي»، ويعكس مساهمة الإدارة في ركيزة النمو.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النمو · زيادة وصول العملاء</t>
        </is>
      </c>
      <c r="H152" s="15" t="inlineStr">
        <is>
          <t>العملاء</t>
        </is>
      </c>
      <c r="I152" s="61" t="n">
        <v>0.08</v>
      </c>
      <c r="J152" s="15" t="inlineStr">
        <is>
          <t>مدير التسويق</t>
        </is>
      </c>
      <c r="K152" s="11" t="inlineStr">
        <is>
          <t>أنظمة التسويق الرقمي / تانكي</t>
        </is>
      </c>
      <c r="L152" s="15" t="inlineStr">
        <is>
          <t>شهري</t>
        </is>
      </c>
      <c r="M152" s="15" t="inlineStr">
        <is>
          <t>مدير التسويق</t>
        </is>
      </c>
      <c r="N152" s="48" t="n"/>
    </row>
    <row r="153" ht="30" customHeight="1">
      <c r="A153" s="15" t="n">
        <v>151</v>
      </c>
      <c r="B153" s="13" t="inlineStr">
        <is>
          <t>التسويق</t>
        </is>
      </c>
      <c r="C153" s="24" t="inlineStr">
        <is>
          <t>حملات تسويقية منجزة</t>
        </is>
      </c>
      <c r="D153" s="69" t="inlineStr">
        <is>
          <t>يقيس حملات تسويقية منجزة ضمن محور «الحملات التسويقية»، ويعكس مساهمة الإدارة في ركيزة النمو.</t>
        </is>
      </c>
      <c r="E153" s="11" t="inlineStr">
        <is>
          <t>إجمالي العدد خلال الفترة</t>
        </is>
      </c>
      <c r="F153" s="15" t="inlineStr">
        <is>
          <t>⚙️ نشاط</t>
        </is>
      </c>
      <c r="G153" s="11" t="inlineStr">
        <is>
          <t>النمو · زيادة وصول العملاء</t>
        </is>
      </c>
      <c r="H153" s="15" t="inlineStr">
        <is>
          <t>العمليات الداخلية</t>
        </is>
      </c>
      <c r="I153" s="61" t="n">
        <v>0.06</v>
      </c>
      <c r="J153" s="15" t="inlineStr">
        <is>
          <t>مدير التسويق</t>
        </is>
      </c>
      <c r="K153" s="11" t="inlineStr">
        <is>
          <t>أنظمة التسويق الرقمي / تانكي</t>
        </is>
      </c>
      <c r="L153" s="15" t="inlineStr">
        <is>
          <t>شهري</t>
        </is>
      </c>
      <c r="M153" s="15" t="inlineStr">
        <is>
          <t>مدير التسويق</t>
        </is>
      </c>
      <c r="N153" s="48" t="n"/>
    </row>
    <row r="154" ht="30" customHeight="1">
      <c r="A154" s="15" t="n">
        <v>152</v>
      </c>
      <c r="B154" s="13" t="inlineStr">
        <is>
          <t>التسويق</t>
        </is>
      </c>
      <c r="C154" s="24" t="inlineStr">
        <is>
          <t>تحويل الفرص إلى عقود</t>
        </is>
      </c>
      <c r="D154" s="69" t="inlineStr">
        <is>
          <t>يقيس تحويل الفرص إلى عقود ضمن محور «الحملات التسويقية»، ويعكس مساهمة الإدارة في ركيزة النمو.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النمو · زيادة وصول العملاء</t>
        </is>
      </c>
      <c r="H154" s="15" t="inlineStr">
        <is>
          <t>العمليات الداخلية</t>
        </is>
      </c>
      <c r="I154" s="61" t="n">
        <v>0.08</v>
      </c>
      <c r="J154" s="15" t="inlineStr">
        <is>
          <t>مدير التسويق</t>
        </is>
      </c>
      <c r="K154" s="11" t="inlineStr">
        <is>
          <t>أنظمة التسويق الرقمي / تانكي</t>
        </is>
      </c>
      <c r="L154" s="15" t="inlineStr">
        <is>
          <t>شهري</t>
        </is>
      </c>
      <c r="M154" s="15" t="inlineStr">
        <is>
          <t>مدير التسويق</t>
        </is>
      </c>
      <c r="N154" s="48" t="n"/>
    </row>
    <row r="155" ht="30" customHeight="1">
      <c r="A155" s="15" t="n">
        <v>153</v>
      </c>
      <c r="B155" s="13" t="inlineStr">
        <is>
          <t>التسويق</t>
        </is>
      </c>
      <c r="C155" s="24" t="inlineStr">
        <is>
          <t>نسبة المبيعات لكل حملة</t>
        </is>
      </c>
      <c r="D155" s="69" t="inlineStr">
        <is>
          <t>يقيس نسبة المبيعات لكل حملة ضمن محور «الحملات التسويقية»، ويعكس مساهمة الإدارة في ركيزة النمو.</t>
        </is>
      </c>
      <c r="E155" s="11" t="inlineStr">
        <is>
          <t>(المتحقّق ÷ الإجمالي) × 100٪</t>
        </is>
      </c>
      <c r="F155" s="15" t="inlineStr">
        <is>
          <t>⚙️ نشاط</t>
        </is>
      </c>
      <c r="G155" s="11" t="inlineStr">
        <is>
          <t>النمو · زيادة وصول العملاء</t>
        </is>
      </c>
      <c r="H155" s="15" t="inlineStr">
        <is>
          <t>مالي</t>
        </is>
      </c>
      <c r="I155" s="61" t="n">
        <v>0.08</v>
      </c>
      <c r="J155" s="15" t="inlineStr">
        <is>
          <t>مدير التسويق</t>
        </is>
      </c>
      <c r="K155" s="11" t="inlineStr">
        <is>
          <t>أنظمة التسويق الرقمي / تانكي</t>
        </is>
      </c>
      <c r="L155" s="15" t="inlineStr">
        <is>
          <t>شهري</t>
        </is>
      </c>
      <c r="M155" s="15" t="inlineStr">
        <is>
          <t>مدير التسويق</t>
        </is>
      </c>
      <c r="N155" s="48" t="n"/>
    </row>
    <row r="156" ht="30" customHeight="1">
      <c r="A156" s="15" t="n">
        <v>154</v>
      </c>
      <c r="B156" s="13" t="inlineStr">
        <is>
          <t>التسويق</t>
        </is>
      </c>
      <c r="C156" s="24" t="inlineStr">
        <is>
          <t>نسبة التزام الهوية البصرية</t>
        </is>
      </c>
      <c r="D156" s="69" t="inlineStr">
        <is>
          <t>يقيس نسبة التزام الهوية البصرية ضمن محور «الدعاية والإعلان»، ويعكس مساهمة الإدارة في ركيزة الابتكار.</t>
        </is>
      </c>
      <c r="E156" s="11" t="inlineStr">
        <is>
          <t>(المتحقّق ÷ الإجمالي) × 100٪</t>
        </is>
      </c>
      <c r="F156" s="15" t="inlineStr">
        <is>
          <t>🎯 نتيجة</t>
        </is>
      </c>
      <c r="G156" s="11" t="inlineStr">
        <is>
          <t>الابتكار · تطوير التصاميم والهوية</t>
        </is>
      </c>
      <c r="H156" s="15" t="inlineStr">
        <is>
          <t>التعلّم والنمو</t>
        </is>
      </c>
      <c r="I156" s="61" t="n">
        <v>0.08</v>
      </c>
      <c r="J156" s="15" t="inlineStr">
        <is>
          <t>مدير التسويق</t>
        </is>
      </c>
      <c r="K156" s="11" t="inlineStr">
        <is>
          <t>سجلات الإدارة</t>
        </is>
      </c>
      <c r="L156" s="15" t="inlineStr">
        <is>
          <t>شهري</t>
        </is>
      </c>
      <c r="M156" s="15" t="inlineStr">
        <is>
          <t>مدير التسويق</t>
        </is>
      </c>
      <c r="N156" s="48" t="n"/>
    </row>
    <row r="157" ht="30" customHeight="1">
      <c r="A157" s="15" t="n">
        <v>155</v>
      </c>
      <c r="B157" s="13" t="inlineStr">
        <is>
          <t>التسويق</t>
        </is>
      </c>
      <c r="C157" s="24" t="inlineStr">
        <is>
          <t>وصول العلاقات العامة (PR)</t>
        </is>
      </c>
      <c r="D157" s="69" t="inlineStr">
        <is>
          <t>يقيس وصول العلاقات العامة (PR) ضمن محور «العلاقات والشراكات»، ويعكس مساهمة الإدارة في ركيزة النمو.</t>
        </is>
      </c>
      <c r="E157" s="11" t="inlineStr">
        <is>
          <t>إجمالي العدد خلال الفترة</t>
        </is>
      </c>
      <c r="F157" s="15" t="inlineStr">
        <is>
          <t>🔧 تشغيلي</t>
        </is>
      </c>
      <c r="G157" s="11" t="inlineStr">
        <is>
          <t>النمو · زيادة وصول العملاء</t>
        </is>
      </c>
      <c r="H157" s="15" t="inlineStr">
        <is>
          <t>العملاء</t>
        </is>
      </c>
      <c r="I157" s="61" t="n">
        <v>0.06</v>
      </c>
      <c r="J157" s="15" t="inlineStr">
        <is>
          <t>مدير التسويق</t>
        </is>
      </c>
      <c r="K157" s="11" t="inlineStr">
        <is>
          <t>أنظمة التسويق الرقمي / تانكي</t>
        </is>
      </c>
      <c r="L157" s="15" t="inlineStr">
        <is>
          <t>شهري</t>
        </is>
      </c>
      <c r="M157" s="15" t="inlineStr">
        <is>
          <t>مدير التسويق</t>
        </is>
      </c>
      <c r="N157" s="48" t="n"/>
    </row>
    <row r="158" ht="30" customHeight="1">
      <c r="A158" s="15" t="n">
        <v>156</v>
      </c>
      <c r="B158" s="13" t="inlineStr">
        <is>
          <t>التسويق</t>
        </is>
      </c>
      <c r="C158" s="24" t="inlineStr">
        <is>
          <t>عدد المعارض بالسنة</t>
        </is>
      </c>
      <c r="D158" s="69" t="inlineStr">
        <is>
          <t>يقيس عدد المعارض بالسنة ضمن محور «العلاقات والشراكات»، ويعكس مساهمة الإدارة في ركيزة الابتكار.</t>
        </is>
      </c>
      <c r="E158" s="11" t="inlineStr">
        <is>
          <t>إجمالي العدد خلال الفترة</t>
        </is>
      </c>
      <c r="F158" s="15" t="inlineStr">
        <is>
          <t>⚙️ نشاط</t>
        </is>
      </c>
      <c r="G158" s="11" t="inlineStr">
        <is>
          <t>الابتكار · إطلاق مشاريع جديدة</t>
        </is>
      </c>
      <c r="H158" s="15" t="inlineStr">
        <is>
          <t>العمليات الداخلية</t>
        </is>
      </c>
      <c r="I158" s="61" t="n">
        <v>0.06</v>
      </c>
      <c r="J158" s="15" t="inlineStr">
        <is>
          <t>مدير التسويق</t>
        </is>
      </c>
      <c r="K158" s="11" t="inlineStr">
        <is>
          <t>سجلات الإدارة</t>
        </is>
      </c>
      <c r="L158" s="15" t="inlineStr">
        <is>
          <t>شهري</t>
        </is>
      </c>
      <c r="M158" s="15" t="inlineStr">
        <is>
          <t>مدير التسويق</t>
        </is>
      </c>
      <c r="N158" s="48" t="n"/>
    </row>
    <row r="159" ht="30" customHeight="1">
      <c r="A159" s="15" t="n">
        <v>157</v>
      </c>
      <c r="B159" s="13" t="inlineStr">
        <is>
          <t>التسويق</t>
        </is>
      </c>
      <c r="C159" s="24" t="inlineStr">
        <is>
          <t>اتفاقيات استراتيجية</t>
        </is>
      </c>
      <c r="D159" s="69" t="inlineStr">
        <is>
          <t>يقيس اتفاقيات استراتيجية ضمن محور «العلاقات والشراكات»، ويعكس مساهمة الإدارة في ركيزة الابتكار.</t>
        </is>
      </c>
      <c r="E159" s="11" t="inlineStr">
        <is>
          <t>إجمالي العدد خلال الفترة</t>
        </is>
      </c>
      <c r="F159" s="15" t="inlineStr">
        <is>
          <t>🔧 تشغيلي</t>
        </is>
      </c>
      <c r="G159" s="11" t="inlineStr">
        <is>
          <t>الابتكار · إطلاق مشاريع جديدة</t>
        </is>
      </c>
      <c r="H159" s="15" t="inlineStr">
        <is>
          <t>العمليات الداخلية</t>
        </is>
      </c>
      <c r="I159" s="61" t="n">
        <v>0.06</v>
      </c>
      <c r="J159" s="15" t="inlineStr">
        <is>
          <t>مدير التسويق</t>
        </is>
      </c>
      <c r="K159" s="11" t="inlineStr">
        <is>
          <t>سجلات الإدارة</t>
        </is>
      </c>
      <c r="L159" s="15" t="inlineStr">
        <is>
          <t>شهري</t>
        </is>
      </c>
      <c r="M159" s="15" t="inlineStr">
        <is>
          <t>مدير التسويق</t>
        </is>
      </c>
      <c r="N159" s="48" t="n"/>
    </row>
    <row r="160" ht="30" customHeight="1">
      <c r="A160" s="15" t="n">
        <v>158</v>
      </c>
      <c r="B160" s="13" t="inlineStr">
        <is>
          <t>التسويق</t>
        </is>
      </c>
      <c r="C160" s="24" t="inlineStr">
        <is>
          <t>تقييم خرائط قوقل</t>
        </is>
      </c>
      <c r="D160" s="69" t="inlineStr">
        <is>
          <t>يقيس تقييم خرائط قوقل ضمن محور «خدمة العملاء والدعم»، ويعكس مساهمة الإدارة في ركيزة الاستدامة.</t>
        </is>
      </c>
      <c r="E160" s="11" t="inlineStr">
        <is>
          <t>متوسط التقييم (من 5)</t>
        </is>
      </c>
      <c r="F160" s="15" t="inlineStr">
        <is>
          <t>🎯 نتيجة</t>
        </is>
      </c>
      <c r="G160" s="11" t="inlineStr">
        <is>
          <t>الاستدامة · تعزيز تجربة العملاء</t>
        </is>
      </c>
      <c r="H160" s="15" t="inlineStr">
        <is>
          <t>العملاء</t>
        </is>
      </c>
      <c r="I160" s="61" t="n">
        <v>0.06</v>
      </c>
      <c r="J160" s="15" t="inlineStr">
        <is>
          <t>مدير التسويق</t>
        </is>
      </c>
      <c r="K160" s="11" t="inlineStr">
        <is>
          <t>تقييمات خرائط قوقل</t>
        </is>
      </c>
      <c r="L160" s="15" t="inlineStr">
        <is>
          <t>شهري</t>
        </is>
      </c>
      <c r="M160" s="15" t="inlineStr">
        <is>
          <t>مدير التسويق</t>
        </is>
      </c>
      <c r="N160" s="48" t="n"/>
    </row>
    <row r="161" ht="30" customHeight="1">
      <c r="A161" s="15" t="n">
        <v>159</v>
      </c>
      <c r="B161" s="13" t="inlineStr">
        <is>
          <t>التسويق</t>
        </is>
      </c>
      <c r="C161" s="24" t="inlineStr">
        <is>
          <t>معدل خفض الشكاوى</t>
        </is>
      </c>
      <c r="D161" s="69" t="inlineStr">
        <is>
          <t>يقيس معدل خفض الشكاوى ضمن محور «خدمة العملاء والدعم»،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تعزيز تجربة العملاء</t>
        </is>
      </c>
      <c r="H161" s="15" t="inlineStr">
        <is>
          <t>العملاء</t>
        </is>
      </c>
      <c r="I161" s="61" t="n">
        <v>0.06</v>
      </c>
      <c r="J161" s="15" t="inlineStr">
        <is>
          <t>مدير التسويق</t>
        </is>
      </c>
      <c r="K161" s="11" t="inlineStr">
        <is>
          <t>سجلات الإدارة</t>
        </is>
      </c>
      <c r="L161" s="15" t="inlineStr">
        <is>
          <t>شهري</t>
        </is>
      </c>
      <c r="M161" s="15" t="inlineStr">
        <is>
          <t>مدير التسويق</t>
        </is>
      </c>
      <c r="N161" s="48" t="n"/>
    </row>
    <row r="162" ht="30" customHeight="1">
      <c r="A162" s="15" t="n">
        <v>160</v>
      </c>
      <c r="B162" s="13" t="inlineStr">
        <is>
          <t>التسويق</t>
        </is>
      </c>
      <c r="C162" s="24" t="inlineStr">
        <is>
          <t>وصول محتوى تطبيق تانكي</t>
        </is>
      </c>
      <c r="D162" s="69" t="inlineStr">
        <is>
          <t>يقيس وصول محتوى تطبيق تانكي ضمن محور «تطبيق تانكي»، ويعكس مساهمة الإدارة في ركيزة الابتكار.</t>
        </is>
      </c>
      <c r="E162" s="11" t="inlineStr">
        <is>
          <t>إجمالي العدد خلال الفترة</t>
        </is>
      </c>
      <c r="F162" s="15" t="inlineStr">
        <is>
          <t>🔧 تشغيلي</t>
        </is>
      </c>
      <c r="G162" s="11" t="inlineStr">
        <is>
          <t>الابتكار · تطبيق «تانكي»</t>
        </is>
      </c>
      <c r="H162" s="15" t="inlineStr">
        <is>
          <t>العملاء</t>
        </is>
      </c>
      <c r="I162" s="61" t="n">
        <v>0.05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48" t="n"/>
    </row>
    <row r="163" ht="30" customHeight="1">
      <c r="A163" s="15" t="n">
        <v>161</v>
      </c>
      <c r="B163" s="13" t="inlineStr">
        <is>
          <t>التسويق</t>
        </is>
      </c>
      <c r="C163" s="24" t="inlineStr">
        <is>
          <t>مشاركات تطبيق تانكي</t>
        </is>
      </c>
      <c r="D163" s="69" t="inlineStr">
        <is>
          <t>يقيس مشاركات تطبيق تانكي ضمن محور «تطبيق تانكي»، ويعكس مساهمة الإدارة في ركيزة الابتكار.</t>
        </is>
      </c>
      <c r="E163" s="11" t="inlineStr">
        <is>
          <t>إجمالي العدد خلال الفترة</t>
        </is>
      </c>
      <c r="F163" s="15" t="inlineStr">
        <is>
          <t>🔧 تشغيلي</t>
        </is>
      </c>
      <c r="G163" s="11" t="inlineStr">
        <is>
          <t>الابتكار · تطبيق «تانكي»</t>
        </is>
      </c>
      <c r="H163" s="15" t="inlineStr">
        <is>
          <t>العمليات الداخلية</t>
        </is>
      </c>
      <c r="I163" s="61" t="n">
        <v>0.05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48" t="n"/>
    </row>
    <row r="164" ht="30" customHeight="1">
      <c r="A164" s="15" t="n">
        <v>162</v>
      </c>
      <c r="B164" s="13" t="inlineStr">
        <is>
          <t>الجودة</t>
        </is>
      </c>
      <c r="C164" s="24" t="inlineStr">
        <is>
          <t>نسبة المحطات الحرجة</t>
        </is>
      </c>
      <c r="D164" s="69" t="inlineStr">
        <is>
          <t>يقيس نسبة المحطات الحرجة ضمن محور «مخاطر الجودة»،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1" t="n">
        <v>0.1</v>
      </c>
      <c r="J164" s="15" t="inlineStr">
        <is>
          <t>مدير الجودة</t>
        </is>
      </c>
      <c r="K164" s="11" t="inlineStr">
        <is>
          <t>نظام إدارة الجودة (QMS)</t>
        </is>
      </c>
      <c r="L164" s="15" t="inlineStr">
        <is>
          <t>شهري</t>
        </is>
      </c>
      <c r="M164" s="15" t="inlineStr">
        <is>
          <t>مدير الجودة</t>
        </is>
      </c>
      <c r="N164" s="48" t="n"/>
    </row>
    <row r="165" ht="30" customHeight="1">
      <c r="A165" s="15" t="n">
        <v>163</v>
      </c>
      <c r="B165" s="13" t="inlineStr">
        <is>
          <t>الجودة</t>
        </is>
      </c>
      <c r="C165" s="24" t="inlineStr">
        <is>
          <t>نسبة مطابقة جودة الوقود</t>
        </is>
      </c>
      <c r="D165" s="69" t="inlineStr">
        <is>
          <t>يقيس نسبة مطابقة جودة الوقود ضمن محور «جودة الوقود»،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🎯 نتيجة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1" t="n">
        <v>0.07000000000000001</v>
      </c>
      <c r="J165" s="15" t="inlineStr">
        <is>
          <t>مدير الجودة</t>
        </is>
      </c>
      <c r="K165" s="11" t="inlineStr">
        <is>
          <t>نظام إدارة الجودة (QMS)</t>
        </is>
      </c>
      <c r="L165" s="15" t="inlineStr">
        <is>
          <t>شهري</t>
        </is>
      </c>
      <c r="M165" s="15" t="inlineStr">
        <is>
          <t>مدير الجودة</t>
        </is>
      </c>
      <c r="N165" s="48" t="n"/>
    </row>
    <row r="166" ht="30" customHeight="1">
      <c r="A166" s="15" t="n">
        <v>164</v>
      </c>
      <c r="B166" s="13" t="inlineStr">
        <is>
          <t>الجودة</t>
        </is>
      </c>
      <c r="C166" s="24" t="inlineStr">
        <is>
          <t>نسبة إغلاق الملاحظات في الوقت المحدد</t>
        </is>
      </c>
      <c r="D166" s="69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1" t="n">
        <v>0.07000000000000001</v>
      </c>
      <c r="J166" s="15" t="inlineStr">
        <is>
          <t>مدير الجودة</t>
        </is>
      </c>
      <c r="K166" s="11" t="inlineStr">
        <is>
          <t>نظام إدارة الجودة (QMS)</t>
        </is>
      </c>
      <c r="L166" s="15" t="inlineStr">
        <is>
          <t>شهري</t>
        </is>
      </c>
      <c r="M166" s="15" t="inlineStr">
        <is>
          <t>مدير الجودة</t>
        </is>
      </c>
      <c r="N166" s="48" t="n"/>
    </row>
    <row r="167" ht="30" customHeight="1">
      <c r="A167" s="15" t="n">
        <v>165</v>
      </c>
      <c r="B167" s="13" t="inlineStr">
        <is>
          <t>الجودة</t>
        </is>
      </c>
      <c r="C167" s="24" t="inlineStr">
        <is>
          <t>نسبة فعالية الإجراءات التصحيحية</t>
        </is>
      </c>
      <c r="D167" s="69" t="inlineStr">
        <is>
          <t>يقيس نسبة فعالية الإجراءات التصحيحية ضمن محور «تحسين ووقاية»،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🎯 نتيجة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1" t="n">
        <v>0.07000000000000001</v>
      </c>
      <c r="J167" s="15" t="inlineStr">
        <is>
          <t>مدير الجودة</t>
        </is>
      </c>
      <c r="K167" s="11" t="inlineStr">
        <is>
          <t>سجلات الإدارة</t>
        </is>
      </c>
      <c r="L167" s="15" t="inlineStr">
        <is>
          <t>شهري</t>
        </is>
      </c>
      <c r="M167" s="15" t="inlineStr">
        <is>
          <t>مدير الجودة</t>
        </is>
      </c>
      <c r="N167" s="48" t="n"/>
    </row>
    <row r="168" ht="30" customHeight="1">
      <c r="A168" s="15" t="n">
        <v>166</v>
      </c>
      <c r="B168" s="13" t="inlineStr">
        <is>
          <t>الجودة</t>
        </is>
      </c>
      <c r="C168" s="24" t="inlineStr">
        <is>
          <t>نسبة تكرار الملاحظات</t>
        </is>
      </c>
      <c r="D168" s="69" t="inlineStr">
        <is>
          <t>يقيس نسبة تكرار الملاحظات ضمن محور «منع التكرار»،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1" t="n">
        <v>0.07000000000000001</v>
      </c>
      <c r="J168" s="15" t="inlineStr">
        <is>
          <t>مدير الجودة</t>
        </is>
      </c>
      <c r="K168" s="11" t="inlineStr">
        <is>
          <t>نظام إدارة الجودة (QMS)</t>
        </is>
      </c>
      <c r="L168" s="15" t="inlineStr">
        <is>
          <t>شهري</t>
        </is>
      </c>
      <c r="M168" s="15" t="inlineStr">
        <is>
          <t>مدير الجودة</t>
        </is>
      </c>
      <c r="N168" s="48" t="n"/>
    </row>
    <row r="169" ht="30" customHeight="1">
      <c r="A169" s="15" t="n">
        <v>167</v>
      </c>
      <c r="B169" s="13" t="inlineStr">
        <is>
          <t>الجودة</t>
        </is>
      </c>
      <c r="C169" s="24" t="inlineStr">
        <is>
          <t>نسبة تنفيذ خطة التفتيش والتدقيق</t>
        </is>
      </c>
      <c r="D169" s="69" t="inlineStr">
        <is>
          <t>يقيس نسبة تنفيذ خطة التفتيش والتدقيق ضمن محور «تفتيش وتدقيق»،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⚙️ نشاط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1" t="n">
        <v>0.07000000000000001</v>
      </c>
      <c r="J169" s="15" t="inlineStr">
        <is>
          <t>مدير الجودة</t>
        </is>
      </c>
      <c r="K169" s="11" t="inlineStr">
        <is>
          <t>نظام المحاسبة / ERP (D365)</t>
        </is>
      </c>
      <c r="L169" s="15" t="inlineStr">
        <is>
          <t>ربعي</t>
        </is>
      </c>
      <c r="M169" s="15" t="inlineStr">
        <is>
          <t>الإدارة المالية</t>
        </is>
      </c>
      <c r="N169" s="48" t="n"/>
    </row>
    <row r="170" ht="30" customHeight="1">
      <c r="A170" s="15" t="n">
        <v>168</v>
      </c>
      <c r="B170" s="13" t="inlineStr">
        <is>
          <t>الجودة</t>
        </is>
      </c>
      <c r="C170" s="24" t="inlineStr">
        <is>
          <t>نسبة جاهزية نظام إدارة الجودة QMS</t>
        </is>
      </c>
      <c r="D170" s="69" t="inlineStr">
        <is>
          <t>يقيس نسبة جاهزية نظام إدارة الجودة QMS ضمن محور «حوكمة الجودة»،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🎯 نتيجة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1" t="n">
        <v>0.1</v>
      </c>
      <c r="J170" s="15" t="inlineStr">
        <is>
          <t>مدير الجودة</t>
        </is>
      </c>
      <c r="K170" s="11" t="inlineStr">
        <is>
          <t>نظام إدارة الجودة (QMS)</t>
        </is>
      </c>
      <c r="L170" s="15" t="inlineStr">
        <is>
          <t>شهري</t>
        </is>
      </c>
      <c r="M170" s="15" t="inlineStr">
        <is>
          <t>مدير الجودة</t>
        </is>
      </c>
      <c r="N170" s="48" t="n"/>
    </row>
    <row r="171" ht="30" customHeight="1">
      <c r="A171" s="15" t="n">
        <v>169</v>
      </c>
      <c r="B171" s="13" t="inlineStr">
        <is>
          <t>الجودة</t>
        </is>
      </c>
      <c r="C171" s="24" t="inlineStr">
        <is>
          <t>عدد مخاطر الجودة الحرجة المفتوحة</t>
        </is>
      </c>
      <c r="D171" s="69" t="inlineStr">
        <is>
          <t>يقيس عدد مخاطر الجودة الحرجة المفتوحة ضمن محور «مخاطر الجودة»، ويعكس مساهمة الإدارة في ركيزة الاستدامة.</t>
        </is>
      </c>
      <c r="E171" s="11" t="inlineStr">
        <is>
          <t>إجمالي العدد خلال الفترة</t>
        </is>
      </c>
      <c r="F171" s="15" t="inlineStr">
        <is>
          <t>⚙️ نشاط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1" t="n">
        <v>0.07000000000000001</v>
      </c>
      <c r="J171" s="15" t="inlineStr">
        <is>
          <t>مدير الجودة</t>
        </is>
      </c>
      <c r="K171" s="11" t="inlineStr">
        <is>
          <t>نظام إدارة الجودة (QMS)</t>
        </is>
      </c>
      <c r="L171" s="15" t="inlineStr">
        <is>
          <t>شهري</t>
        </is>
      </c>
      <c r="M171" s="15" t="inlineStr">
        <is>
          <t>مدير الجودة</t>
        </is>
      </c>
      <c r="N171" s="48" t="n"/>
    </row>
    <row r="172" ht="30" customHeight="1">
      <c r="A172" s="15" t="n">
        <v>170</v>
      </c>
      <c r="B172" s="13" t="inlineStr">
        <is>
          <t>الجودة</t>
        </is>
      </c>
      <c r="C172" s="24" t="inlineStr">
        <is>
          <t>نسبة إغلاق مخاطر الجودة في الوقت المحدد</t>
        </is>
      </c>
      <c r="D172" s="69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🎯 نتيجة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1" t="n">
        <v>0.07000000000000001</v>
      </c>
      <c r="J172" s="15" t="inlineStr">
        <is>
          <t>مدير الجودة</t>
        </is>
      </c>
      <c r="K172" s="11" t="inlineStr">
        <is>
          <t>نظام إدارة الجودة (QMS)</t>
        </is>
      </c>
      <c r="L172" s="15" t="inlineStr">
        <is>
          <t>شهري</t>
        </is>
      </c>
      <c r="M172" s="15" t="inlineStr">
        <is>
          <t>مدير الجودة</t>
        </is>
      </c>
      <c r="N172" s="48" t="n"/>
    </row>
    <row r="173" ht="30" customHeight="1">
      <c r="A173" s="15" t="n">
        <v>171</v>
      </c>
      <c r="B173" s="13" t="inlineStr">
        <is>
          <t>الجودة</t>
        </is>
      </c>
      <c r="C173" s="24" t="inlineStr">
        <is>
          <t>نسبة انخفاض الشكاوى المتكررة ذات العلاقة بالجودة</t>
        </is>
      </c>
      <c r="D173" s="69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🎯 نتيجة</t>
        </is>
      </c>
      <c r="G173" s="11" t="inlineStr">
        <is>
          <t>الاستدامة · تعزيز تجربة العملاء</t>
        </is>
      </c>
      <c r="H173" s="15" t="inlineStr">
        <is>
          <t>العملاء</t>
        </is>
      </c>
      <c r="I173" s="61" t="n">
        <v>0.07000000000000001</v>
      </c>
      <c r="J173" s="15" t="inlineStr">
        <is>
          <t>مدير الجودة</t>
        </is>
      </c>
      <c r="K173" s="11" t="inlineStr">
        <is>
          <t>نظام إدارة الجودة (QMS)</t>
        </is>
      </c>
      <c r="L173" s="15" t="inlineStr">
        <is>
          <t>شهري</t>
        </is>
      </c>
      <c r="M173" s="15" t="inlineStr">
        <is>
          <t>مدير الجودة</t>
        </is>
      </c>
      <c r="N173" s="48" t="n"/>
    </row>
    <row r="174" ht="30" customHeight="1">
      <c r="A174" s="15" t="n">
        <v>172</v>
      </c>
      <c r="B174" s="13" t="inlineStr">
        <is>
          <t>الجودة</t>
        </is>
      </c>
      <c r="C174" s="24" t="inlineStr">
        <is>
          <t>نسبة اكتمال وتحديث الإجراءات المعتمدة</t>
        </is>
      </c>
      <c r="D174" s="69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1" t="n">
        <v>0.03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48" t="n"/>
    </row>
    <row r="175" ht="30" customHeight="1">
      <c r="A175" s="15" t="n">
        <v>173</v>
      </c>
      <c r="B175" s="13" t="inlineStr">
        <is>
          <t>الجودة</t>
        </is>
      </c>
      <c r="C175" s="24" t="inlineStr">
        <is>
          <t>نسبة اكتمال سجلات الجودة</t>
        </is>
      </c>
      <c r="D175" s="69" t="inlineStr">
        <is>
          <t>يقيس نسبة اكتمال سجلات الجودة ضمن محور «توثيق وحوكمة»،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🔧 تشغيلي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1" t="n">
        <v>0.07000000000000001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48" t="n"/>
    </row>
    <row r="176" ht="30" customHeight="1">
      <c r="A176" s="15" t="n">
        <v>174</v>
      </c>
      <c r="B176" s="13" t="inlineStr">
        <is>
          <t>الجودة</t>
        </is>
      </c>
      <c r="C176" s="24" t="inlineStr">
        <is>
          <t>نسبة رقمنة عمليات الجودة</t>
        </is>
      </c>
      <c r="D176" s="69" t="inlineStr">
        <is>
          <t>يقيس نسبة رقمنة عمليات الجودة ضمن محور «الابتكار والرقمنة»، ويعكس مساهمة الإدارة في ركيزة الابتكار.</t>
        </is>
      </c>
      <c r="E176" s="11" t="inlineStr">
        <is>
          <t>(المتحقّق ÷ الإجمالي) × 100٪</t>
        </is>
      </c>
      <c r="F176" s="15" t="inlineStr">
        <is>
          <t>🔧 تشغيلي</t>
        </is>
      </c>
      <c r="G176" s="11" t="inlineStr">
        <is>
          <t>الابتكار · التحول التقني</t>
        </is>
      </c>
      <c r="H176" s="15" t="inlineStr">
        <is>
          <t>التعلّم والنمو</t>
        </is>
      </c>
      <c r="I176" s="61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48" t="n"/>
    </row>
    <row r="177" ht="30" customHeight="1">
      <c r="A177" s="15" t="n">
        <v>175</v>
      </c>
      <c r="B177" s="13" t="inlineStr">
        <is>
          <t>الجودة</t>
        </is>
      </c>
      <c r="C177" s="24" t="inlineStr">
        <is>
          <t>عدد مبادرات التحسين المؤثرة</t>
        </is>
      </c>
      <c r="D177" s="69" t="inlineStr">
        <is>
          <t>يقيس عدد مبادرات التحسين المؤثرة ضمن محور «التحسين المستمر»، ويعكس مساهمة الإدارة في ركيزة الاستدامة.</t>
        </is>
      </c>
      <c r="E177" s="11" t="inlineStr">
        <is>
          <t>إجمالي العدد خلال الفترة</t>
        </is>
      </c>
      <c r="F177" s="15" t="inlineStr">
        <is>
          <t>⚙️ نشاط</t>
        </is>
      </c>
      <c r="G177" s="11" t="inlineStr">
        <is>
          <t>الاستدامة · جودة التشغيل</t>
        </is>
      </c>
      <c r="H177" s="15" t="inlineStr">
        <is>
          <t>التعلّم والنمو</t>
        </is>
      </c>
      <c r="I177" s="61" t="n">
        <v>0.07000000000000001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ربعي</t>
        </is>
      </c>
      <c r="M177" s="15" t="inlineStr">
        <is>
          <t>مدير الجودة</t>
        </is>
      </c>
      <c r="N177" s="48" t="n"/>
    </row>
    <row r="178" ht="30" customHeight="1">
      <c r="A178" s="15" t="n">
        <v>176</v>
      </c>
      <c r="B178" s="13" t="inlineStr">
        <is>
          <t>الإدارة القانونية</t>
        </is>
      </c>
      <c r="C178" s="24" t="inlineStr">
        <is>
          <t>نسبة العقود المُراجَعة قانونياً قبل التوقيع</t>
        </is>
      </c>
      <c r="D178" s="69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🔧 تشغيلي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1" t="n">
        <v>0.15</v>
      </c>
      <c r="J178" s="15" t="inlineStr">
        <is>
          <t>المدير القانوني</t>
        </is>
      </c>
      <c r="K178" s="11" t="inlineStr">
        <is>
          <t>نظام إدارة العقود (CRM)</t>
        </is>
      </c>
      <c r="L178" s="15" t="inlineStr">
        <is>
          <t>شهري</t>
        </is>
      </c>
      <c r="M178" s="15" t="inlineStr">
        <is>
          <t>المدير القانوني</t>
        </is>
      </c>
      <c r="N178" s="48" t="n"/>
    </row>
    <row r="179" ht="30" customHeight="1">
      <c r="A179" s="15" t="n">
        <v>177</v>
      </c>
      <c r="B179" s="13" t="inlineStr">
        <is>
          <t>الإدارة القانونية</t>
        </is>
      </c>
      <c r="C179" s="24" t="inlineStr">
        <is>
          <t>متوسط زمن صياغة ومراجعة العقد</t>
        </is>
      </c>
      <c r="D179" s="69" t="inlineStr">
        <is>
          <t>يقيس متوسط زمن صياغة ومراجعة العقد ضمن محور «أعمال العقود»، ويعكس مساهمة الإدارة في ركيزة الاستدامة.</t>
        </is>
      </c>
      <c r="E179" s="11" t="inlineStr">
        <is>
          <t>متوسط يوم خلال الفترة</t>
        </is>
      </c>
      <c r="F179" s="15" t="inlineStr">
        <is>
          <t>🔧 تشغيلي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1" t="n">
        <v>0.15</v>
      </c>
      <c r="J179" s="15" t="inlineStr">
        <is>
          <t>المدير القانوني</t>
        </is>
      </c>
      <c r="K179" s="11" t="inlineStr">
        <is>
          <t>نظام إدارة العقود/القضايا</t>
        </is>
      </c>
      <c r="L179" s="15" t="inlineStr">
        <is>
          <t>شهري</t>
        </is>
      </c>
      <c r="M179" s="15" t="inlineStr">
        <is>
          <t>المدير القانوني</t>
        </is>
      </c>
      <c r="N179" s="48" t="n"/>
    </row>
    <row r="180" ht="30" customHeight="1">
      <c r="A180" s="15" t="n">
        <v>178</v>
      </c>
      <c r="B180" s="13" t="inlineStr">
        <is>
          <t>الإدارة القانونية</t>
        </is>
      </c>
      <c r="C180" s="24" t="inlineStr">
        <is>
          <t>نسبة العقود الخالية من الملاحظات والمخاطر القانونية</t>
        </is>
      </c>
      <c r="D180" s="69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1" t="n">
        <v>0.15</v>
      </c>
      <c r="J180" s="15" t="inlineStr">
        <is>
          <t>المدير القانوني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المدير القانوني</t>
        </is>
      </c>
      <c r="N180" s="48" t="n"/>
    </row>
    <row r="181" ht="30" customHeight="1">
      <c r="A181" s="15" t="n">
        <v>179</v>
      </c>
      <c r="B181" s="13" t="inlineStr">
        <is>
          <t>الإدارة القانونية</t>
        </is>
      </c>
      <c r="C181" s="24" t="inlineStr">
        <is>
          <t>نسبة القضايا المُغلقة لصالح الشركة</t>
        </is>
      </c>
      <c r="D181" s="69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🔧 تشغيلي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1" t="n">
        <v>0.1</v>
      </c>
      <c r="J181" s="15" t="inlineStr">
        <is>
          <t>المدير القانوني</t>
        </is>
      </c>
      <c r="K181" s="11" t="inlineStr">
        <is>
          <t>نظام إدارة العقود/القضايا</t>
        </is>
      </c>
      <c r="L181" s="15" t="inlineStr">
        <is>
          <t>شهري</t>
        </is>
      </c>
      <c r="M181" s="15" t="inlineStr">
        <is>
          <t>المدير القانوني</t>
        </is>
      </c>
      <c r="N181" s="48" t="n"/>
    </row>
    <row r="182" ht="30" customHeight="1">
      <c r="A182" s="15" t="n">
        <v>180</v>
      </c>
      <c r="B182" s="13" t="inlineStr">
        <is>
          <t>الإدارة القانونية</t>
        </is>
      </c>
      <c r="C182" s="24" t="inlineStr">
        <is>
          <t>نسبة تقديم المذكرات والردود في المواعيد النظامية</t>
        </is>
      </c>
      <c r="D182" s="69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🔧 تشغيلي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1" t="n">
        <v>0.1</v>
      </c>
      <c r="J182" s="15" t="inlineStr">
        <is>
          <t>المدير القانوني</t>
        </is>
      </c>
      <c r="K182" s="11" t="inlineStr">
        <is>
          <t>نظام إدارة العقود/القضايا</t>
        </is>
      </c>
      <c r="L182" s="15" t="inlineStr">
        <is>
          <t>شهري</t>
        </is>
      </c>
      <c r="M182" s="15" t="inlineStr">
        <is>
          <t>المدير القانوني</t>
        </is>
      </c>
      <c r="N182" s="48" t="n"/>
    </row>
    <row r="183" ht="30" customHeight="1">
      <c r="A183" s="15" t="n">
        <v>181</v>
      </c>
      <c r="B183" s="13" t="inlineStr">
        <is>
          <t>الإدارة القانونية</t>
        </is>
      </c>
      <c r="C183" s="24" t="inlineStr">
        <is>
          <t>متوسط زمن إعداد المذكرة القانونية</t>
        </is>
      </c>
      <c r="D183" s="69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3" s="11" t="inlineStr">
        <is>
          <t>متوسط يوم خلال الفترة</t>
        </is>
      </c>
      <c r="F183" s="15" t="inlineStr">
        <is>
          <t>⚙️ نشاط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1" t="n">
        <v>0.1</v>
      </c>
      <c r="J183" s="15" t="inlineStr">
        <is>
          <t>المدير القانوني</t>
        </is>
      </c>
      <c r="K183" s="11" t="inlineStr">
        <is>
          <t>نظام إدارة العقود/القضايا</t>
        </is>
      </c>
      <c r="L183" s="15" t="inlineStr">
        <is>
          <t>شهري</t>
        </is>
      </c>
      <c r="M183" s="15" t="inlineStr">
        <is>
          <t>المدير القانوني</t>
        </is>
      </c>
      <c r="N183" s="48" t="n"/>
    </row>
    <row r="184" ht="30" customHeight="1">
      <c r="A184" s="15" t="n">
        <v>182</v>
      </c>
      <c r="B184" s="13" t="inlineStr">
        <is>
          <t>الإدارة القانونية</t>
        </is>
      </c>
      <c r="C184" s="24" t="inlineStr">
        <is>
          <t>نسبة الاستشارات المُنجزة ضمن المدة المستهدفة (SLA)</t>
        </is>
      </c>
      <c r="D184" s="69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1" t="n">
        <v>0.1</v>
      </c>
      <c r="J184" s="15" t="inlineStr">
        <is>
          <t>المدير القانوني</t>
        </is>
      </c>
      <c r="K184" s="11" t="inlineStr">
        <is>
          <t>نظام إدارة العقود/القضايا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48" t="n"/>
    </row>
    <row r="185" ht="30" customHeight="1">
      <c r="A185" s="15" t="n">
        <v>183</v>
      </c>
      <c r="B185" s="13" t="inlineStr">
        <is>
          <t>الإدارة القانونية</t>
        </is>
      </c>
      <c r="C185" s="24" t="inlineStr">
        <is>
          <t>مستوى رضا الإدارات عن الدعم القانوني</t>
        </is>
      </c>
      <c r="D185" s="69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🎯 نتيجة</t>
        </is>
      </c>
      <c r="G185" s="11" t="inlineStr">
        <is>
          <t>الاستدامة · جودة التشغيل</t>
        </is>
      </c>
      <c r="H185" s="15" t="inlineStr">
        <is>
          <t>العملاء</t>
        </is>
      </c>
      <c r="I185" s="61" t="n">
        <v>0.15</v>
      </c>
      <c r="J185" s="15" t="inlineStr">
        <is>
          <t>المدير القانوني</t>
        </is>
      </c>
      <c r="K185" s="11" t="inlineStr">
        <is>
          <t>استبيان دوري</t>
        </is>
      </c>
      <c r="L185" s="15" t="inlineStr">
        <is>
          <t>ربعي</t>
        </is>
      </c>
      <c r="M185" s="15" t="inlineStr">
        <is>
          <t>المدير القانوني</t>
        </is>
      </c>
      <c r="N185" s="48" t="n"/>
    </row>
    <row r="186" ht="30" customHeight="1">
      <c r="A186" s="15" t="n">
        <v>184</v>
      </c>
      <c r="B186" s="13" t="inlineStr">
        <is>
          <t>الإدارة المالية</t>
        </is>
      </c>
      <c r="C186" s="24" t="inlineStr">
        <is>
          <t>نمو الإيرادات السنوي</t>
        </is>
      </c>
      <c r="D186" s="69" t="inlineStr">
        <is>
          <t>يقيس نمو الإيرادات السنوي ضمن محور «المالية الاستراتيجية»، ويعكس مساهمة الإدارة في ركيزة النمو.</t>
        </is>
      </c>
      <c r="E186" s="11" t="inlineStr">
        <is>
          <t>(المتحقّق ÷ الإجمالي) × 100٪</t>
        </is>
      </c>
      <c r="F186" s="15" t="inlineStr">
        <is>
          <t>🎯 نتيجة</t>
        </is>
      </c>
      <c r="G186" s="11" t="inlineStr">
        <is>
          <t>النمو · زيادة وصول العملاء</t>
        </is>
      </c>
      <c r="H186" s="15" t="inlineStr">
        <is>
          <t>مالي</t>
        </is>
      </c>
      <c r="I186" s="61" t="n">
        <v>0.05</v>
      </c>
      <c r="J186" s="15" t="inlineStr">
        <is>
          <t>المدير المالي</t>
        </is>
      </c>
      <c r="K186" s="11" t="inlineStr">
        <is>
          <t>نظام المحاسبة / ERP (D365)</t>
        </is>
      </c>
      <c r="L186" s="15" t="inlineStr">
        <is>
          <t>ربعي</t>
        </is>
      </c>
      <c r="M186" s="15" t="inlineStr">
        <is>
          <t>الإدارة المالية</t>
        </is>
      </c>
      <c r="N186" s="48" t="n"/>
    </row>
    <row r="187" ht="30" customHeight="1">
      <c r="A187" s="15" t="n">
        <v>185</v>
      </c>
      <c r="B187" s="13" t="inlineStr">
        <is>
          <t>الإدارة المالية</t>
        </is>
      </c>
      <c r="C187" s="24" t="inlineStr">
        <is>
          <t>هامش EBITDA</t>
        </is>
      </c>
      <c r="D187" s="69" t="inlineStr">
        <is>
          <t>يقيس هامش EBITDA ضمن محور «المالية الاستراتيجية»، ويعكس مساهمة الإدارة في ركيزة النمو.</t>
        </is>
      </c>
      <c r="E187" s="11" t="inlineStr">
        <is>
          <t>(المتحقّق ÷ الإجمالي) × 100٪</t>
        </is>
      </c>
      <c r="F187" s="15" t="inlineStr">
        <is>
          <t>🎯 نتيجة</t>
        </is>
      </c>
      <c r="G187" s="11" t="inlineStr">
        <is>
          <t>النمو · زيادة وصول العملاء</t>
        </is>
      </c>
      <c r="H187" s="15" t="inlineStr">
        <is>
          <t>مالي</t>
        </is>
      </c>
      <c r="I187" s="61" t="n">
        <v>0.04</v>
      </c>
      <c r="J187" s="15" t="inlineStr">
        <is>
          <t>المدير المالي</t>
        </is>
      </c>
      <c r="K187" s="11" t="inlineStr">
        <is>
          <t>نظام المحاسبة / ERP (D365)</t>
        </is>
      </c>
      <c r="L187" s="15" t="inlineStr">
        <is>
          <t>شهري</t>
        </is>
      </c>
      <c r="M187" s="15" t="inlineStr">
        <is>
          <t>الإدارة المالية</t>
        </is>
      </c>
      <c r="N187" s="48" t="n"/>
    </row>
    <row r="188" ht="30" customHeight="1">
      <c r="A188" s="15" t="n">
        <v>186</v>
      </c>
      <c r="B188" s="13" t="inlineStr">
        <is>
          <t>الإدارة المالية</t>
        </is>
      </c>
      <c r="C188" s="24" t="inlineStr">
        <is>
          <t>هامش صافي الربح</t>
        </is>
      </c>
      <c r="D188" s="69" t="inlineStr">
        <is>
          <t>يقيس هامش صافي الربح ضمن محور «المالية الاستراتيجية»، ويعكس مساهمة الإدارة في ركيزة النمو.</t>
        </is>
      </c>
      <c r="E188" s="11" t="inlineStr">
        <is>
          <t>(المتحقّق ÷ الإجمالي) × 100٪</t>
        </is>
      </c>
      <c r="F188" s="15" t="inlineStr">
        <is>
          <t>🎯 نتيجة</t>
        </is>
      </c>
      <c r="G188" s="11" t="inlineStr">
        <is>
          <t>النمو · زيادة وصول العملاء</t>
        </is>
      </c>
      <c r="H188" s="15" t="inlineStr">
        <is>
          <t>مالي</t>
        </is>
      </c>
      <c r="I188" s="61" t="n">
        <v>0.04</v>
      </c>
      <c r="J188" s="15" t="inlineStr">
        <is>
          <t>المدير المالي</t>
        </is>
      </c>
      <c r="K188" s="11" t="inlineStr">
        <is>
          <t>نظام المحاسبة / ERP (D365)</t>
        </is>
      </c>
      <c r="L188" s="15" t="inlineStr">
        <is>
          <t>شهري</t>
        </is>
      </c>
      <c r="M188" s="15" t="inlineStr">
        <is>
          <t>الإدارة المالية</t>
        </is>
      </c>
      <c r="N188" s="48" t="n"/>
    </row>
    <row r="189" ht="30" customHeight="1">
      <c r="A189" s="15" t="n">
        <v>187</v>
      </c>
      <c r="B189" s="13" t="inlineStr">
        <is>
          <t>الإدارة المالية</t>
        </is>
      </c>
      <c r="C189" s="24" t="inlineStr">
        <is>
          <t>العائد على حقوق الملكية (ROE)</t>
        </is>
      </c>
      <c r="D189" s="69" t="inlineStr">
        <is>
          <t>يقيس العائد على حقوق الملكية (ROE) ضمن محور «المالية الاستراتيجية»، ويعكس مساهمة الإدارة في ركيزة النمو.</t>
        </is>
      </c>
      <c r="E189" s="11" t="inlineStr">
        <is>
          <t>(المتحقّق ÷ الإجمالي) × 100٪</t>
        </is>
      </c>
      <c r="F189" s="15" t="inlineStr">
        <is>
          <t>🎯 نتيجة</t>
        </is>
      </c>
      <c r="G189" s="11" t="inlineStr">
        <is>
          <t>النمو · زيادة وصول العملاء</t>
        </is>
      </c>
      <c r="H189" s="15" t="inlineStr">
        <is>
          <t>مالي</t>
        </is>
      </c>
      <c r="I189" s="61" t="n">
        <v>0.05</v>
      </c>
      <c r="J189" s="15" t="inlineStr">
        <is>
          <t>المدير المالي</t>
        </is>
      </c>
      <c r="K189" s="11" t="inlineStr">
        <is>
          <t>نظام المحاسبة / ERP (D365)</t>
        </is>
      </c>
      <c r="L189" s="15" t="inlineStr">
        <is>
          <t>ربعي</t>
        </is>
      </c>
      <c r="M189" s="15" t="inlineStr">
        <is>
          <t>الإدارة المالية</t>
        </is>
      </c>
      <c r="N189" s="48" t="n"/>
    </row>
    <row r="190" ht="30" customHeight="1">
      <c r="A190" s="15" t="n">
        <v>188</v>
      </c>
      <c r="B190" s="13" t="inlineStr">
        <is>
          <t>الإدارة المالية</t>
        </is>
      </c>
      <c r="C190" s="24" t="inlineStr">
        <is>
          <t>نسبة التدفق النقدي التشغيلي</t>
        </is>
      </c>
      <c r="D190" s="69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1" t="n">
        <v>0.04</v>
      </c>
      <c r="J190" s="15" t="inlineStr">
        <is>
          <t>المدير المالي</t>
        </is>
      </c>
      <c r="K190" s="11" t="inlineStr">
        <is>
          <t>نظام المحاسبة / ERP (D365)</t>
        </is>
      </c>
      <c r="L190" s="15" t="inlineStr">
        <is>
          <t>شهري</t>
        </is>
      </c>
      <c r="M190" s="15" t="inlineStr">
        <is>
          <t>الإدارة المالية</t>
        </is>
      </c>
      <c r="N190" s="48" t="n"/>
    </row>
    <row r="191" ht="30" customHeight="1">
      <c r="A191" s="15" t="n">
        <v>189</v>
      </c>
      <c r="B191" s="13" t="inlineStr">
        <is>
          <t>الإدارة المالية</t>
        </is>
      </c>
      <c r="C191" s="24" t="inlineStr">
        <is>
          <t>النسبة الجارية (Current Ratio)</t>
        </is>
      </c>
      <c r="D191" s="69" t="inlineStr">
        <is>
          <t>يقيس النسبة الجارية (Current Ratio) ضمن محور «السيولة ورأس المال»،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1" t="n">
        <v>0.04</v>
      </c>
      <c r="J191" s="15" t="inlineStr">
        <is>
          <t>المدير المالي</t>
        </is>
      </c>
      <c r="K191" s="11" t="inlineStr">
        <is>
          <t>سجلات الإدارة</t>
        </is>
      </c>
      <c r="L191" s="15" t="inlineStr">
        <is>
          <t>شهري</t>
        </is>
      </c>
      <c r="M191" s="15" t="inlineStr">
        <is>
          <t>المدير المالي</t>
        </is>
      </c>
      <c r="N191" s="48" t="n"/>
    </row>
    <row r="192" ht="30" customHeight="1">
      <c r="A192" s="15" t="n">
        <v>190</v>
      </c>
      <c r="B192" s="13" t="inlineStr">
        <is>
          <t>الإدارة المالية</t>
        </is>
      </c>
      <c r="C192" s="24" t="inlineStr">
        <is>
          <t>دورة التحويل النقدي</t>
        </is>
      </c>
      <c r="D192" s="69" t="inlineStr">
        <is>
          <t>يقيس دورة التحويل النقدي ضمن محور «السيولة ورأس المال»، ويعكس مساهمة الإدارة في ركيزة الاستدامة.</t>
        </is>
      </c>
      <c r="E192" s="11" t="inlineStr">
        <is>
          <t>متوسط يوم خلال الفترة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1" t="n">
        <v>0.05</v>
      </c>
      <c r="J192" s="15" t="inlineStr">
        <is>
          <t>المدير المالي</t>
        </is>
      </c>
      <c r="K192" s="11" t="inlineStr">
        <is>
          <t>نظام المحاسبة / ERP (D365)</t>
        </is>
      </c>
      <c r="L192" s="15" t="inlineStr">
        <is>
          <t>شهري</t>
        </is>
      </c>
      <c r="M192" s="15" t="inlineStr">
        <is>
          <t>الإدارة المالية</t>
        </is>
      </c>
      <c r="N192" s="48" t="n"/>
    </row>
    <row r="193" ht="30" customHeight="1">
      <c r="A193" s="15" t="n">
        <v>191</v>
      </c>
      <c r="B193" s="13" t="inlineStr">
        <is>
          <t>الإدارة المالية</t>
        </is>
      </c>
      <c r="C193" s="24" t="inlineStr">
        <is>
          <t>متوسط أيام التحصيل العام (DSO)</t>
        </is>
      </c>
      <c r="D193" s="69" t="inlineStr">
        <is>
          <t>يقيس متوسط أيام التحصيل العام (DSO) ضمن محور «الذمم المدينة»،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🎯 نتيجة</t>
        </is>
      </c>
      <c r="G193" s="11" t="inlineStr">
        <is>
          <t>الاستدامة · جودة التشغيل</t>
        </is>
      </c>
      <c r="H193" s="15" t="inlineStr">
        <is>
          <t>مالي</t>
        </is>
      </c>
      <c r="I193" s="61" t="n">
        <v>0.05</v>
      </c>
      <c r="J193" s="15" t="inlineStr">
        <is>
          <t>المدير المالي</t>
        </is>
      </c>
      <c r="K193" s="11" t="inlineStr">
        <is>
          <t>نظام المحاسبة / ERP (D365)</t>
        </is>
      </c>
      <c r="L193" s="15" t="inlineStr">
        <is>
          <t>شهري</t>
        </is>
      </c>
      <c r="M193" s="15" t="inlineStr">
        <is>
          <t>الإدارة المالية</t>
        </is>
      </c>
      <c r="N193" s="48" t="n"/>
    </row>
    <row r="194" ht="30" customHeight="1">
      <c r="A194" s="15" t="n">
        <v>192</v>
      </c>
      <c r="B194" s="13" t="inlineStr">
        <is>
          <t>الإدارة المالية</t>
        </is>
      </c>
      <c r="C194" s="24" t="inlineStr">
        <is>
          <t>نسبة التحصيل العام (الشركة)</t>
        </is>
      </c>
      <c r="D194" s="69" t="inlineStr">
        <is>
          <t>يقيس نسبة التحصيل العام (الشركة) ضمن محور «الذمم المدينة»،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🎯 نتيجة</t>
        </is>
      </c>
      <c r="G194" s="11" t="inlineStr">
        <is>
          <t>الاستدامة · جودة التشغيل</t>
        </is>
      </c>
      <c r="H194" s="15" t="inlineStr">
        <is>
          <t>مالي</t>
        </is>
      </c>
      <c r="I194" s="61" t="n">
        <v>0.05</v>
      </c>
      <c r="J194" s="15" t="inlineStr">
        <is>
          <t>المدير المالي</t>
        </is>
      </c>
      <c r="K194" s="11" t="inlineStr">
        <is>
          <t>نظام المحاسبة / ERP (D365)</t>
        </is>
      </c>
      <c r="L194" s="15" t="inlineStr">
        <is>
          <t>شهري</t>
        </is>
      </c>
      <c r="M194" s="15" t="inlineStr">
        <is>
          <t>الإدارة المالية</t>
        </is>
      </c>
      <c r="N194" s="48" t="n"/>
    </row>
    <row r="195" ht="30" customHeight="1">
      <c r="A195" s="15" t="n">
        <v>193</v>
      </c>
      <c r="B195" s="13" t="inlineStr">
        <is>
          <t>الإدارة المالية</t>
        </is>
      </c>
      <c r="C195" s="24" t="inlineStr">
        <is>
          <t>نسبة الذمم المتأخرة</t>
        </is>
      </c>
      <c r="D195" s="69" t="inlineStr">
        <is>
          <t>يقيس نسبة الذمم المتأخرة ضمن محور «الذمم المدينة»،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🔧 تشغيلي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1" t="n">
        <v>0.04</v>
      </c>
      <c r="J195" s="15" t="inlineStr">
        <is>
          <t>المدير المالي</t>
        </is>
      </c>
      <c r="K195" s="11" t="inlineStr">
        <is>
          <t>نظام المحاسبة / ERP (D365)</t>
        </is>
      </c>
      <c r="L195" s="15" t="inlineStr">
        <is>
          <t>شهري</t>
        </is>
      </c>
      <c r="M195" s="15" t="inlineStr">
        <is>
          <t>الإدارة المالية</t>
        </is>
      </c>
      <c r="N195" s="48" t="n"/>
    </row>
    <row r="196" ht="30" customHeight="1">
      <c r="A196" s="15" t="n">
        <v>194</v>
      </c>
      <c r="B196" s="13" t="inlineStr">
        <is>
          <t>الإدارة المالية</t>
        </is>
      </c>
      <c r="C196" s="24" t="inlineStr">
        <is>
          <t>نسبة الديون المعدومة</t>
        </is>
      </c>
      <c r="D196" s="69" t="inlineStr">
        <is>
          <t>يقيس نسبة الديون المعدومة ضمن محور «الذمم المدينة»،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🔧 تشغيلي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1" t="n">
        <v>0.04</v>
      </c>
      <c r="J196" s="15" t="inlineStr">
        <is>
          <t>المدير المالي</t>
        </is>
      </c>
      <c r="K196" s="11" t="inlineStr">
        <is>
          <t>نظام المحاسبة / ERP (D365)</t>
        </is>
      </c>
      <c r="L196" s="15" t="inlineStr">
        <is>
          <t>شهري</t>
        </is>
      </c>
      <c r="M196" s="15" t="inlineStr">
        <is>
          <t>الإدارة المالية</t>
        </is>
      </c>
      <c r="N196" s="48" t="n"/>
    </row>
    <row r="197" ht="30" customHeight="1">
      <c r="A197" s="15" t="n">
        <v>195</v>
      </c>
      <c r="B197" s="13" t="inlineStr">
        <is>
          <t>الإدارة المالية</t>
        </is>
      </c>
      <c r="C197" s="24" t="inlineStr">
        <is>
          <t>سداد الموردين في الموعد</t>
        </is>
      </c>
      <c r="D197" s="69" t="inlineStr">
        <is>
          <t>يقيس سداد الموردين في الموعد ضمن محور «الذمم الدائنة»،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مالي</t>
        </is>
      </c>
      <c r="I197" s="61" t="n">
        <v>0.04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شهري</t>
        </is>
      </c>
      <c r="M197" s="15" t="inlineStr">
        <is>
          <t>الإدارة المالية</t>
        </is>
      </c>
      <c r="N197" s="48" t="n"/>
    </row>
    <row r="198" ht="30" customHeight="1">
      <c r="A198" s="15" t="n">
        <v>196</v>
      </c>
      <c r="B198" s="13" t="inlineStr">
        <is>
          <t>الإدارة المالية</t>
        </is>
      </c>
      <c r="C198" s="24" t="inlineStr">
        <is>
          <t>اكتمال مطابقة حسابات الموردين</t>
        </is>
      </c>
      <c r="D198" s="69" t="inlineStr">
        <is>
          <t>يقيس اكتمال مطابقة حسابات الموردين ضمن محور «الذمم الدائنة»، ويعكس مساهمة الإدارة في ركيزة الاستدامة.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1" t="n">
        <v>0.04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48" t="n"/>
    </row>
    <row r="199" ht="30" customHeight="1">
      <c r="A199" s="15" t="n">
        <v>197</v>
      </c>
      <c r="B199" s="13" t="inlineStr">
        <is>
          <t>الإدارة المالية</t>
        </is>
      </c>
      <c r="C199" s="24" t="inlineStr">
        <is>
          <t>دقة التنبؤ النقدي</t>
        </is>
      </c>
      <c r="D199" s="69" t="inlineStr">
        <is>
          <t>يقيس دقة التنبؤ النقدي ضمن محور «الخزينة»،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1" t="n">
        <v>0.04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48" t="n"/>
    </row>
    <row r="200" ht="30" customHeight="1">
      <c r="A200" s="15" t="n">
        <v>198</v>
      </c>
      <c r="B200" s="13" t="inlineStr">
        <is>
          <t>الإدارة المالية</t>
        </is>
      </c>
      <c r="C200" s="24" t="inlineStr">
        <is>
          <t>تباين مخزون الوقود</t>
        </is>
      </c>
      <c r="D200" s="69" t="inlineStr">
        <is>
          <t>يقيس تباين مخزون الوقود ضمن محور «صناعة الوقود»،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🔧 تشغيلي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1" t="n">
        <v>0.04</v>
      </c>
      <c r="J200" s="15" t="inlineStr">
        <is>
          <t>المدير المالي</t>
        </is>
      </c>
      <c r="K200" s="11" t="inlineStr">
        <is>
          <t>نظام تشغيل المحطات</t>
        </is>
      </c>
      <c r="L200" s="15" t="inlineStr">
        <is>
          <t>شهري</t>
        </is>
      </c>
      <c r="M200" s="15" t="inlineStr">
        <is>
          <t>المدير المالي</t>
        </is>
      </c>
      <c r="N200" s="48" t="n"/>
    </row>
    <row r="201" ht="30" customHeight="1">
      <c r="A201" s="15" t="n">
        <v>199</v>
      </c>
      <c r="B201" s="13" t="inlineStr">
        <is>
          <t>الإدارة المالية</t>
        </is>
      </c>
      <c r="C201" s="24" t="inlineStr">
        <is>
          <t>دقة مطابقة المخزون</t>
        </is>
      </c>
      <c r="D201" s="69" t="inlineStr">
        <is>
          <t>يقيس دقة مطابقة المخزون ضمن محور «صناعة الوقود»،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1" t="n">
        <v>0.03</v>
      </c>
      <c r="J201" s="15" t="inlineStr">
        <is>
          <t>المدير المالي</t>
        </is>
      </c>
      <c r="K201" s="11" t="inlineStr">
        <is>
          <t>نظام إدارة الجودة (QMS)</t>
        </is>
      </c>
      <c r="L201" s="15" t="inlineStr">
        <is>
          <t>شهري</t>
        </is>
      </c>
      <c r="M201" s="15" t="inlineStr">
        <is>
          <t>المدير المالي</t>
        </is>
      </c>
      <c r="N201" s="48" t="n"/>
    </row>
    <row r="202" ht="30" customHeight="1">
      <c r="A202" s="15" t="n">
        <v>200</v>
      </c>
      <c r="B202" s="13" t="inlineStr">
        <is>
          <t>الإدارة المالية</t>
        </is>
      </c>
      <c r="C202" s="24" t="inlineStr">
        <is>
          <t>دقة تسوية أرامكو</t>
        </is>
      </c>
      <c r="D202" s="69" t="inlineStr">
        <is>
          <t>يقيس دقة تسوية أرامكو ضمن محور «صناعة الوقود»،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1" t="n">
        <v>0.03</v>
      </c>
      <c r="J202" s="15" t="inlineStr">
        <is>
          <t>المدير المالي</t>
        </is>
      </c>
      <c r="K202" s="11" t="inlineStr">
        <is>
          <t>نظام تشغيل المحطات</t>
        </is>
      </c>
      <c r="L202" s="15" t="inlineStr">
        <is>
          <t>شهري</t>
        </is>
      </c>
      <c r="M202" s="15" t="inlineStr">
        <is>
          <t>المدير المالي</t>
        </is>
      </c>
      <c r="N202" s="48" t="n"/>
    </row>
    <row r="203" ht="30" customHeight="1">
      <c r="A203" s="15" t="n">
        <v>201</v>
      </c>
      <c r="B203" s="13" t="inlineStr">
        <is>
          <t>الإدارة المالية</t>
        </is>
      </c>
      <c r="C203" s="24" t="inlineStr">
        <is>
          <t>نسبة تحصيل الامتياز</t>
        </is>
      </c>
      <c r="D203" s="69" t="inlineStr">
        <is>
          <t>يقيس نسبة تحصيل الامتياز ضمن محور «تمويل الامتياز»، ويعكس مساهمة الإدارة في ركيزة النمو.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النمو · الامتياز التجاري</t>
        </is>
      </c>
      <c r="H203" s="15" t="inlineStr">
        <is>
          <t>مالي</t>
        </is>
      </c>
      <c r="I203" s="61" t="n">
        <v>0.05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48" t="n"/>
    </row>
    <row r="204" ht="30" customHeight="1">
      <c r="A204" s="15" t="n">
        <v>202</v>
      </c>
      <c r="B204" s="13" t="inlineStr">
        <is>
          <t>الإدارة المالية</t>
        </is>
      </c>
      <c r="C204" s="24" t="inlineStr">
        <is>
          <t>أيام تحصيل رسوم الامتياز</t>
        </is>
      </c>
      <c r="D204" s="69" t="inlineStr">
        <is>
          <t>يقيس أيام تحصيل رسوم الامتياز ضمن محور «تمويل الامتياز»، ويعكس مساهمة الإدارة في ركيزة النمو.</t>
        </is>
      </c>
      <c r="E204" s="11" t="inlineStr">
        <is>
          <t>متوسط يوم خلال الفترة</t>
        </is>
      </c>
      <c r="F204" s="15" t="inlineStr">
        <is>
          <t>🎯 نتيجة</t>
        </is>
      </c>
      <c r="G204" s="11" t="inlineStr">
        <is>
          <t>النمو · الامتياز التجاري</t>
        </is>
      </c>
      <c r="H204" s="15" t="inlineStr">
        <is>
          <t>مالي</t>
        </is>
      </c>
      <c r="I204" s="61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48" t="n"/>
    </row>
    <row r="205" ht="30" customHeight="1">
      <c r="A205" s="15" t="n">
        <v>203</v>
      </c>
      <c r="B205" s="13" t="inlineStr">
        <is>
          <t>الإدارة المالية</t>
        </is>
      </c>
      <c r="C205" s="24" t="inlineStr">
        <is>
          <t>نسبة تحصيل الإيجار</t>
        </is>
      </c>
      <c r="D205" s="69" t="inlineStr">
        <is>
          <t>يقيس نسبة تحصيل الإيجار ضمن محور «العقار والإيجار»،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الاستدامة · منظومة التأجير</t>
        </is>
      </c>
      <c r="H205" s="15" t="inlineStr">
        <is>
          <t>مالي</t>
        </is>
      </c>
      <c r="I205" s="61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48" t="n"/>
    </row>
    <row r="206" ht="30" customHeight="1">
      <c r="A206" s="15" t="n">
        <v>204</v>
      </c>
      <c r="B206" s="13" t="inlineStr">
        <is>
          <t>الإدارة المالية</t>
        </is>
      </c>
      <c r="C206" s="24" t="inlineStr">
        <is>
          <t>معدل تجديد عقود الإيجار</t>
        </is>
      </c>
      <c r="D206" s="69" t="inlineStr">
        <is>
          <t>يقيس معدل تجديد عقود الإيجار ضمن محور «العقار والإيجار»،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🎯 نتيجة</t>
        </is>
      </c>
      <c r="G206" s="11" t="inlineStr">
        <is>
          <t>الاستدامة · منظومة التأجير</t>
        </is>
      </c>
      <c r="H206" s="15" t="inlineStr">
        <is>
          <t>العمليات الداخلية</t>
        </is>
      </c>
      <c r="I206" s="61" t="n">
        <v>0.05</v>
      </c>
      <c r="J206" s="15" t="inlineStr">
        <is>
          <t>المدير المالي</t>
        </is>
      </c>
      <c r="K206" s="11" t="inlineStr">
        <is>
          <t>نظام إدارة العقود (CRM)</t>
        </is>
      </c>
      <c r="L206" s="15" t="inlineStr">
        <is>
          <t>شهري</t>
        </is>
      </c>
      <c r="M206" s="15" t="inlineStr">
        <is>
          <t>المدير المالي</t>
        </is>
      </c>
      <c r="N206" s="48" t="n"/>
    </row>
    <row r="207" ht="30" customHeight="1">
      <c r="A207" s="15" t="n">
        <v>205</v>
      </c>
      <c r="B207" s="13" t="inlineStr">
        <is>
          <t>الإدارة المالية</t>
        </is>
      </c>
      <c r="C207" s="24" t="inlineStr">
        <is>
          <t>انحراف الموازنة</t>
        </is>
      </c>
      <c r="D207" s="69" t="inlineStr">
        <is>
          <t>يقيس انحراف الموازنة ضمن محور «الموازنة والتقارير»،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1" t="n">
        <v>0.03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ربعي</t>
        </is>
      </c>
      <c r="M207" s="15" t="inlineStr">
        <is>
          <t>الإدارة المالية</t>
        </is>
      </c>
      <c r="N207" s="48" t="n"/>
    </row>
    <row r="208" ht="30" customHeight="1">
      <c r="A208" s="15" t="n">
        <v>206</v>
      </c>
      <c r="B208" s="13" t="inlineStr">
        <is>
          <t>الإدارة المالية</t>
        </is>
      </c>
      <c r="C208" s="24" t="inlineStr">
        <is>
          <t>أيام الإقفال الشهري</t>
        </is>
      </c>
      <c r="D208" s="69" t="inlineStr">
        <is>
          <t>يقيس أيام الإقفال الشهري ضمن محور «الموازنة والتقارير»، ويعكس مساهمة الإدارة في ركيزة الاستدامة.</t>
        </is>
      </c>
      <c r="E208" s="11" t="inlineStr">
        <is>
          <t>متوسط يوم خلال الفترة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1" t="n">
        <v>0.03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48" t="n"/>
    </row>
    <row r="209" ht="30" customHeight="1">
      <c r="A209" s="15" t="n">
        <v>207</v>
      </c>
      <c r="B209" s="13" t="inlineStr">
        <is>
          <t>الإدارة المالية</t>
        </is>
      </c>
      <c r="C209" s="24" t="inlineStr">
        <is>
          <t>نسبة تسويات التدقيق</t>
        </is>
      </c>
      <c r="D209" s="69" t="inlineStr">
        <is>
          <t>يقيس نسبة تسويات التدقيق ضمن محور «الموازنة والتقارير»،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🔧 تشغيلي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1" t="n">
        <v>0.03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ربعي</t>
        </is>
      </c>
      <c r="M209" s="15" t="inlineStr">
        <is>
          <t>الإدارة المالية</t>
        </is>
      </c>
      <c r="N209" s="48" t="n"/>
    </row>
  </sheetData>
  <autoFilter ref="A2:N209"/>
  <mergeCells count="1"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08"/>
  <sheetViews>
    <sheetView showGridLines="0"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40" customWidth="1" min="3" max="3"/>
    <col width="11" customWidth="1" min="4" max="4"/>
    <col width="8" customWidth="1" min="5" max="5"/>
    <col width="7" customWidth="1" min="6" max="6"/>
    <col width="11" customWidth="1" min="7" max="7"/>
    <col width="8" customWidth="1" min="8" max="8"/>
    <col width="11" customWidth="1" min="9" max="9"/>
    <col width="11" customWidth="1" min="10" max="10"/>
    <col width="12" customWidth="1" min="11" max="11"/>
    <col width="14" customWidth="1" min="12" max="12"/>
    <col width="11" customWidth="1" min="13" max="13"/>
    <col width="20" customWidth="1" min="14" max="14"/>
    <col width="15" customWidth="1" min="15" max="15"/>
    <col width="16" customWidth="1" min="16" max="16"/>
    <col width="22" customWidth="1" min="17" max="17"/>
    <col width="9" customWidth="1" min="18" max="18"/>
    <col width="11" customWidth="1" min="19" max="19"/>
    <col width="12" customWidth="1" min="20" max="20"/>
    <col width="14" customWidth="1" min="21" max="21"/>
    <col width="12" customWidth="1" min="22" max="22"/>
    <col width="9" customWidth="1" min="23" max="23"/>
    <col width="9" customWidth="1" min="24" max="24"/>
    <col width="40" customWidth="1" min="25" max="25"/>
    <col width="42" customWidth="1" min="26" max="26"/>
    <col width="13" customWidth="1" min="27" max="27"/>
    <col width="11" customWidth="1" min="28" max="28"/>
    <col width="12" customWidth="1" min="29" max="29"/>
  </cols>
  <sheetData>
    <row r="1" ht="26" customHeight="1">
      <c r="A1" s="70" t="inlineStr">
        <is>
          <t>الإدارة</t>
        </is>
      </c>
      <c r="B1" s="70" t="inlineStr">
        <is>
          <t>المحور</t>
        </is>
      </c>
      <c r="C1" s="70" t="inlineStr">
        <is>
          <t>المؤشر</t>
        </is>
      </c>
      <c r="D1" s="70" t="inlineStr">
        <is>
          <t>النوع</t>
        </is>
      </c>
      <c r="E1" s="70" t="inlineStr">
        <is>
          <t>الوحدة</t>
        </is>
      </c>
      <c r="F1" s="70" t="inlineStr">
        <is>
          <t>القطبية</t>
        </is>
      </c>
      <c r="G1" s="70" t="inlineStr">
        <is>
          <t>الأولوية</t>
        </is>
      </c>
      <c r="H1" s="70" t="inlineStr">
        <is>
          <t>الوزن</t>
        </is>
      </c>
      <c r="I1" s="70" t="inlineStr">
        <is>
          <t>المستهدف</t>
        </is>
      </c>
      <c r="J1" s="70" t="inlineStr">
        <is>
          <t>المُحقَّق</t>
        </is>
      </c>
      <c r="K1" s="70" t="inlineStr">
        <is>
          <t>نسبة التحقيق</t>
        </is>
      </c>
      <c r="L1" s="70" t="inlineStr">
        <is>
          <t>الحالة</t>
        </is>
      </c>
      <c r="M1" s="70" t="inlineStr">
        <is>
          <t>الركيزة</t>
        </is>
      </c>
      <c r="N1" s="70" t="inlineStr">
        <is>
          <t>المشروع</t>
        </is>
      </c>
      <c r="O1" s="70" t="inlineStr">
        <is>
          <t>منظور BSC</t>
        </is>
      </c>
      <c r="P1" s="70" t="inlineStr">
        <is>
          <t>المالك</t>
        </is>
      </c>
      <c r="Q1" s="70" t="inlineStr">
        <is>
          <t>مصدر البيانات</t>
        </is>
      </c>
      <c r="R1" s="70" t="inlineStr">
        <is>
          <t>الدورية</t>
        </is>
      </c>
      <c r="S1" s="70" t="inlineStr">
        <is>
          <t>خط الأساس</t>
        </is>
      </c>
      <c r="T1" s="70" t="inlineStr">
        <is>
          <t>القيمة السابقة</t>
        </is>
      </c>
      <c r="U1" s="70" t="inlineStr">
        <is>
          <t>التنبؤ بنهاية السنة</t>
        </is>
      </c>
      <c r="V1" s="70" t="inlineStr">
        <is>
          <t>النمو vs الأساس</t>
        </is>
      </c>
      <c r="W1" s="70" t="inlineStr">
        <is>
          <t>حد القبول</t>
        </is>
      </c>
      <c r="X1" s="70" t="inlineStr">
        <is>
          <t>حد التحذير</t>
        </is>
      </c>
      <c r="Y1" s="70" t="inlineStr">
        <is>
          <t>تعليق الانحراف</t>
        </is>
      </c>
      <c r="Z1" s="70" t="inlineStr">
        <is>
          <t>الإجراء التصحيحي</t>
        </is>
      </c>
      <c r="AA1" s="70" t="inlineStr">
        <is>
          <t>الحالة (نص)</t>
        </is>
      </c>
      <c r="AB1" s="70" t="inlineStr">
        <is>
          <t>ترتيب الحالة</t>
        </is>
      </c>
      <c r="AC1" s="70" t="inlineStr">
        <is>
          <t>لون الحالة</t>
        </is>
      </c>
    </row>
    <row r="2">
      <c r="A2" s="9" t="inlineStr">
        <is>
          <t>الإدارة التنفيذية</t>
        </is>
      </c>
      <c r="B2" s="9" t="inlineStr">
        <is>
          <t>النمو</t>
        </is>
      </c>
      <c r="C2" s="9" t="inlineStr">
        <is>
          <t>إجمالي المحطات المشغّلة — الشركة (تراكمي)</t>
        </is>
      </c>
      <c r="D2" s="15" t="inlineStr">
        <is>
          <t>🔧 تشغيلي</t>
        </is>
      </c>
      <c r="E2" s="46" t="inlineStr">
        <is>
          <t>محطة</t>
        </is>
      </c>
      <c r="F2" s="46" t="inlineStr">
        <is>
          <t>↑</t>
        </is>
      </c>
      <c r="G2" s="15" t="inlineStr">
        <is>
          <t>🔴 رئيسي</t>
        </is>
      </c>
      <c r="H2" s="61" t="n">
        <v>0.12</v>
      </c>
      <c r="I2" s="46" t="n">
        <v>235</v>
      </c>
      <c r="J2" s="46" t="n">
        <v>206.1</v>
      </c>
      <c r="K2" s="61" t="n">
        <v>0.8770212765957447</v>
      </c>
      <c r="L2" s="27" t="inlineStr">
        <is>
          <t>🟡 قريب</t>
        </is>
      </c>
      <c r="M2" s="27" t="inlineStr">
        <is>
          <t>النمو</t>
        </is>
      </c>
      <c r="N2" s="13" t="inlineStr">
        <is>
          <t>التوسع في المواقع</t>
        </is>
      </c>
      <c r="O2" s="15" t="inlineStr">
        <is>
          <t>العمليات الداخلية</t>
        </is>
      </c>
      <c r="P2" s="15" t="inlineStr">
        <is>
          <t>الرئيس التنفيذي</t>
        </is>
      </c>
      <c r="Q2" s="13" t="inlineStr">
        <is>
          <t>نظام تشغيل المحطات</t>
        </is>
      </c>
      <c r="R2" s="15" t="inlineStr">
        <is>
          <t>شهري</t>
        </is>
      </c>
      <c r="S2" s="46" t="n">
        <v>183.083</v>
      </c>
      <c r="T2" s="46" t="n">
        <v>194.591</v>
      </c>
      <c r="U2" s="46" t="n">
        <v>206.1</v>
      </c>
      <c r="V2" s="61" t="n">
        <v>0.1257</v>
      </c>
      <c r="W2" s="61" t="n">
        <v>1</v>
      </c>
      <c r="X2" s="61" t="n">
        <v>0.85</v>
      </c>
      <c r="Y2" s="71" t="inlineStr">
        <is>
          <t>قريب من المستهدف — فجوة 12٪، متابعة لإغلاقها.</t>
        </is>
      </c>
      <c r="Z2" s="69" t="inlineStr">
        <is>
          <t>متابعة أسبوعية حتى بلوغ المستهدف.</t>
        </is>
      </c>
      <c r="AA2" s="27" t="inlineStr">
        <is>
          <t>قريب</t>
        </is>
      </c>
      <c r="AB2" s="27" t="n">
        <v>2</v>
      </c>
      <c r="AC2" s="72" t="inlineStr">
        <is>
          <t>#F2C94C</t>
        </is>
      </c>
    </row>
    <row r="3">
      <c r="A3" s="9" t="inlineStr">
        <is>
          <t>الإدارة التنفيذية</t>
        </is>
      </c>
      <c r="B3" s="9" t="inlineStr">
        <is>
          <t>النمو</t>
        </is>
      </c>
      <c r="C3" s="9" t="inlineStr">
        <is>
          <t>إجمالي العقود الجديدة — الشركة</t>
        </is>
      </c>
      <c r="D3" s="15" t="inlineStr">
        <is>
          <t>🔧 تشغيلي</t>
        </is>
      </c>
      <c r="E3" s="46" t="inlineStr">
        <is>
          <t>عقد</t>
        </is>
      </c>
      <c r="F3" s="46" t="inlineStr">
        <is>
          <t>↑</t>
        </is>
      </c>
      <c r="G3" s="15" t="inlineStr">
        <is>
          <t>🔴 رئيسي</t>
        </is>
      </c>
      <c r="H3" s="61" t="n">
        <v>0.12</v>
      </c>
      <c r="I3" s="46" t="n">
        <v>357</v>
      </c>
      <c r="J3" s="46" t="n">
        <v>346.6</v>
      </c>
      <c r="K3" s="61" t="n">
        <v>0.9708683473389357</v>
      </c>
      <c r="L3" s="27" t="inlineStr">
        <is>
          <t>🟡 قريب</t>
        </is>
      </c>
      <c r="M3" s="27" t="inlineStr">
        <is>
          <t>النمو</t>
        </is>
      </c>
      <c r="N3" s="13" t="inlineStr">
        <is>
          <t>الامتياز التجاري</t>
        </is>
      </c>
      <c r="O3" s="15" t="inlineStr">
        <is>
          <t>العمليات الداخلية</t>
        </is>
      </c>
      <c r="P3" s="15" t="inlineStr">
        <is>
          <t>الرئيس التنفيذي</t>
        </is>
      </c>
      <c r="Q3" s="13" t="inlineStr">
        <is>
          <t>نظام إدارة العقود (CRM)</t>
        </is>
      </c>
      <c r="R3" s="15" t="inlineStr">
        <is>
          <t>شهري</t>
        </is>
      </c>
      <c r="S3" s="46" t="n">
        <v>309.847</v>
      </c>
      <c r="T3" s="46" t="n">
        <v>328.224</v>
      </c>
      <c r="U3" s="46" t="n">
        <v>693.2</v>
      </c>
      <c r="V3" s="61" t="n">
        <v>0.1186</v>
      </c>
      <c r="W3" s="61" t="n">
        <v>1</v>
      </c>
      <c r="X3" s="61" t="n">
        <v>0.85</v>
      </c>
      <c r="Y3" s="71" t="inlineStr">
        <is>
          <t>قريب من المستهدف — فجوة 3٪، متابعة لإغلاقها.</t>
        </is>
      </c>
      <c r="Z3" s="69" t="inlineStr">
        <is>
          <t>متابعة أسبوعية حتى بلوغ المستهدف.</t>
        </is>
      </c>
      <c r="AA3" s="27" t="inlineStr">
        <is>
          <t>قريب</t>
        </is>
      </c>
      <c r="AB3" s="27" t="n">
        <v>2</v>
      </c>
      <c r="AC3" s="72" t="inlineStr">
        <is>
          <t>#F2C94C</t>
        </is>
      </c>
    </row>
    <row r="4">
      <c r="A4" s="9" t="inlineStr">
        <is>
          <t>الإدارة التنفيذية</t>
        </is>
      </c>
      <c r="B4" s="9" t="inlineStr">
        <is>
          <t>النمو</t>
        </is>
      </c>
      <c r="C4" s="9" t="inlineStr">
        <is>
          <t>إجمالي إيرادات الشركة السنوية</t>
        </is>
      </c>
      <c r="D4" s="15" t="inlineStr">
        <is>
          <t>🎯 نتيجة</t>
        </is>
      </c>
      <c r="E4" s="46" t="inlineStr">
        <is>
          <t>ر.س</t>
        </is>
      </c>
      <c r="F4" s="46" t="inlineStr">
        <is>
          <t>↑</t>
        </is>
      </c>
      <c r="G4" s="15" t="inlineStr">
        <is>
          <t>🔴 رئيسي</t>
        </is>
      </c>
      <c r="H4" s="61" t="n">
        <v>0.11</v>
      </c>
      <c r="I4" s="46" t="n"/>
      <c r="J4" s="46" t="n"/>
      <c r="K4" s="61" t="n"/>
      <c r="L4" s="27" t="inlineStr">
        <is>
          <t>⏳ بانتظار هدف</t>
        </is>
      </c>
      <c r="M4" s="27" t="inlineStr">
        <is>
          <t>النمو</t>
        </is>
      </c>
      <c r="N4" s="13" t="inlineStr">
        <is>
          <t>زيادة وصول العملاء</t>
        </is>
      </c>
      <c r="O4" s="15" t="inlineStr">
        <is>
          <t>مالي</t>
        </is>
      </c>
      <c r="P4" s="15" t="inlineStr">
        <is>
          <t>الرئيس التنفيذي</t>
        </is>
      </c>
      <c r="Q4" s="13" t="inlineStr">
        <is>
          <t>نظام المحاسبة / ERP (D365)</t>
        </is>
      </c>
      <c r="R4" s="15" t="inlineStr">
        <is>
          <t>شهري</t>
        </is>
      </c>
      <c r="S4" s="46" t="n"/>
      <c r="T4" s="46" t="n"/>
      <c r="U4" s="46" t="n"/>
      <c r="V4" s="61" t="n"/>
      <c r="W4" s="61" t="n">
        <v>1</v>
      </c>
      <c r="X4" s="61" t="n">
        <v>0.85</v>
      </c>
      <c r="Y4" s="71" t="inlineStr"/>
      <c r="Z4" s="69" t="inlineStr"/>
      <c r="AA4" s="27" t="inlineStr">
        <is>
          <t>بانتظار هدف</t>
        </is>
      </c>
      <c r="AB4" s="27" t="n">
        <v>4</v>
      </c>
      <c r="AC4" s="73" t="inlineStr">
        <is>
          <t>#BDBDBD</t>
        </is>
      </c>
    </row>
    <row r="5">
      <c r="A5" s="9" t="inlineStr">
        <is>
          <t>الإدارة التنفيذية</t>
        </is>
      </c>
      <c r="B5" s="9" t="inlineStr">
        <is>
          <t>النمو</t>
        </is>
      </c>
      <c r="C5" s="9" t="inlineStr">
        <is>
          <t>نسبة نمو إيرادات الشركة (سنوي)</t>
        </is>
      </c>
      <c r="D5" s="15" t="inlineStr">
        <is>
          <t>🎯 نتيجة</t>
        </is>
      </c>
      <c r="E5" s="46" t="inlineStr">
        <is>
          <t>%</t>
        </is>
      </c>
      <c r="F5" s="46" t="inlineStr">
        <is>
          <t>↑</t>
        </is>
      </c>
      <c r="G5" s="15" t="inlineStr">
        <is>
          <t>🔴 رئيسي</t>
        </is>
      </c>
      <c r="H5" s="61" t="n">
        <v>0.11</v>
      </c>
      <c r="I5" s="46" t="n"/>
      <c r="J5" s="46" t="n"/>
      <c r="K5" s="61" t="n"/>
      <c r="L5" s="27" t="inlineStr">
        <is>
          <t>⏳ بانتظار هدف</t>
        </is>
      </c>
      <c r="M5" s="27" t="inlineStr">
        <is>
          <t>النمو</t>
        </is>
      </c>
      <c r="N5" s="13" t="inlineStr">
        <is>
          <t>زيادة وصول العملاء</t>
        </is>
      </c>
      <c r="O5" s="15" t="inlineStr">
        <is>
          <t>مالي</t>
        </is>
      </c>
      <c r="P5" s="15" t="inlineStr">
        <is>
          <t>الرئيس التنفيذي</t>
        </is>
      </c>
      <c r="Q5" s="13" t="inlineStr">
        <is>
          <t>نظام المحاسبة / ERP (D365)</t>
        </is>
      </c>
      <c r="R5" s="15" t="inlineStr">
        <is>
          <t>شهري</t>
        </is>
      </c>
      <c r="S5" s="46" t="n"/>
      <c r="T5" s="46" t="n"/>
      <c r="U5" s="46" t="n"/>
      <c r="V5" s="61" t="n"/>
      <c r="W5" s="61" t="n">
        <v>1</v>
      </c>
      <c r="X5" s="61" t="n">
        <v>0.85</v>
      </c>
      <c r="Y5" s="71" t="inlineStr"/>
      <c r="Z5" s="69" t="inlineStr"/>
      <c r="AA5" s="27" t="inlineStr">
        <is>
          <t>بانتظار هدف</t>
        </is>
      </c>
      <c r="AB5" s="27" t="n">
        <v>4</v>
      </c>
      <c r="AC5" s="73" t="inlineStr">
        <is>
          <t>#BDBDBD</t>
        </is>
      </c>
    </row>
    <row r="6">
      <c r="A6" s="9" t="inlineStr">
        <is>
          <t>الإدارة التنفيذية</t>
        </is>
      </c>
      <c r="B6" s="9" t="inlineStr">
        <is>
          <t>الابتكار</t>
        </is>
      </c>
      <c r="C6" s="9" t="inlineStr">
        <is>
          <t>نسبة إنجاز مشاريع الخارطة التنفيذية</t>
        </is>
      </c>
      <c r="D6" s="15" t="inlineStr">
        <is>
          <t>⚙️ نشاط</t>
        </is>
      </c>
      <c r="E6" s="46" t="inlineStr">
        <is>
          <t>%</t>
        </is>
      </c>
      <c r="F6" s="46" t="inlineStr">
        <is>
          <t>↑</t>
        </is>
      </c>
      <c r="G6" s="15" t="inlineStr">
        <is>
          <t>🟠 مهم</t>
        </is>
      </c>
      <c r="H6" s="61" t="n">
        <v>0.08</v>
      </c>
      <c r="I6" s="46" t="n">
        <v>1</v>
      </c>
      <c r="J6" s="46" t="n">
        <v>0.906</v>
      </c>
      <c r="K6" s="61" t="n">
        <v>0.906</v>
      </c>
      <c r="L6" s="27" t="inlineStr">
        <is>
          <t>🟡 قريب</t>
        </is>
      </c>
      <c r="M6" s="27" t="inlineStr">
        <is>
          <t>الابتكار</t>
        </is>
      </c>
      <c r="N6" s="13" t="inlineStr">
        <is>
          <t>إطلاق مشاريع جديدة</t>
        </is>
      </c>
      <c r="O6" s="15" t="inlineStr">
        <is>
          <t>العمليات الداخلية</t>
        </is>
      </c>
      <c r="P6" s="15" t="inlineStr">
        <is>
          <t>الرئيس التنفيذي</t>
        </is>
      </c>
      <c r="Q6" s="13" t="inlineStr">
        <is>
          <t>سجلات الإدارة</t>
        </is>
      </c>
      <c r="R6" s="15" t="inlineStr">
        <is>
          <t>شهري</t>
        </is>
      </c>
      <c r="S6" s="46" t="n">
        <v>0.8100000000000001</v>
      </c>
      <c r="T6" s="46" t="n">
        <v>0.858</v>
      </c>
      <c r="U6" s="46" t="n">
        <v>0.906</v>
      </c>
      <c r="V6" s="61" t="n">
        <v>0.1185</v>
      </c>
      <c r="W6" s="61" t="n">
        <v>1</v>
      </c>
      <c r="X6" s="61" t="n">
        <v>0.85</v>
      </c>
      <c r="Y6" s="71" t="inlineStr">
        <is>
          <t>قريب من المستهدف — فجوة 9٪، متابعة لإغلاقها.</t>
        </is>
      </c>
      <c r="Z6" s="69" t="inlineStr">
        <is>
          <t>متابعة أسبوعية حتى بلوغ المستهدف.</t>
        </is>
      </c>
      <c r="AA6" s="27" t="inlineStr">
        <is>
          <t>قريب</t>
        </is>
      </c>
      <c r="AB6" s="27" t="n">
        <v>2</v>
      </c>
      <c r="AC6" s="72" t="inlineStr">
        <is>
          <t>#F2C94C</t>
        </is>
      </c>
    </row>
    <row r="7">
      <c r="A7" s="9" t="inlineStr">
        <is>
          <t>الإدارة التنفيذية</t>
        </is>
      </c>
      <c r="B7" s="9" t="inlineStr">
        <is>
          <t>الابتكار</t>
        </is>
      </c>
      <c r="C7" s="9" t="inlineStr">
        <is>
          <t>نسبة التحول الرقمي على مستوى الشركة</t>
        </is>
      </c>
      <c r="D7" s="15" t="inlineStr">
        <is>
          <t>🔧 تشغيلي</t>
        </is>
      </c>
      <c r="E7" s="46" t="inlineStr">
        <is>
          <t>%</t>
        </is>
      </c>
      <c r="F7" s="46" t="inlineStr">
        <is>
          <t>↑</t>
        </is>
      </c>
      <c r="G7" s="15" t="inlineStr">
        <is>
          <t>🟠 مهم</t>
        </is>
      </c>
      <c r="H7" s="61" t="n">
        <v>0.08</v>
      </c>
      <c r="I7" s="46" t="n">
        <v>0.9</v>
      </c>
      <c r="J7" s="46" t="n">
        <v>0.9389999999999999</v>
      </c>
      <c r="K7" s="61" t="n">
        <v>1</v>
      </c>
      <c r="L7" s="27" t="inlineStr">
        <is>
          <t>✅ محقق</t>
        </is>
      </c>
      <c r="M7" s="27" t="inlineStr">
        <is>
          <t>الابتكار</t>
        </is>
      </c>
      <c r="N7" s="13" t="inlineStr">
        <is>
          <t>التحول التقني</t>
        </is>
      </c>
      <c r="O7" s="15" t="inlineStr">
        <is>
          <t>التعلّم والنمو</t>
        </is>
      </c>
      <c r="P7" s="15" t="inlineStr">
        <is>
          <t>الرئيس التنفيذي</t>
        </is>
      </c>
      <c r="Q7" s="13" t="inlineStr">
        <is>
          <t>سجلات الإدارة</t>
        </is>
      </c>
      <c r="R7" s="15" t="inlineStr">
        <is>
          <t>شهري</t>
        </is>
      </c>
      <c r="S7" s="46" t="n">
        <v>0.777</v>
      </c>
      <c r="T7" s="46" t="n">
        <v>0.858</v>
      </c>
      <c r="U7" s="46" t="n">
        <v>0.9389999999999999</v>
      </c>
      <c r="V7" s="61" t="n">
        <v>0.2085</v>
      </c>
      <c r="W7" s="61" t="n">
        <v>1</v>
      </c>
      <c r="X7" s="61" t="n">
        <v>0.85</v>
      </c>
      <c r="Y7" s="71" t="inlineStr"/>
      <c r="Z7" s="69" t="inlineStr"/>
      <c r="AA7" s="27" t="inlineStr">
        <is>
          <t>محقق</t>
        </is>
      </c>
      <c r="AB7" s="27" t="n">
        <v>1</v>
      </c>
      <c r="AC7" s="74" t="inlineStr">
        <is>
          <t>#2EAD6B</t>
        </is>
      </c>
    </row>
    <row r="8">
      <c r="A8" s="9" t="inlineStr">
        <is>
          <t>الإدارة التنفيذية</t>
        </is>
      </c>
      <c r="B8" s="9" t="inlineStr">
        <is>
          <t>الاستدامة</t>
        </is>
      </c>
      <c r="C8" s="9" t="inlineStr">
        <is>
          <t>مؤشر رضا العملاء العام (الشركة)</t>
        </is>
      </c>
      <c r="D8" s="15" t="inlineStr">
        <is>
          <t>🎯 نتيجة</t>
        </is>
      </c>
      <c r="E8" s="46" t="inlineStr">
        <is>
          <t>%</t>
        </is>
      </c>
      <c r="F8" s="46" t="inlineStr">
        <is>
          <t>↑</t>
        </is>
      </c>
      <c r="G8" s="15" t="inlineStr">
        <is>
          <t>🔴 رئيسي</t>
        </is>
      </c>
      <c r="H8" s="61" t="n">
        <v>0.11</v>
      </c>
      <c r="I8" s="46" t="n">
        <v>0.9</v>
      </c>
      <c r="J8" s="46" t="n">
        <v>0.922</v>
      </c>
      <c r="K8" s="61" t="n">
        <v>1</v>
      </c>
      <c r="L8" s="27" t="inlineStr">
        <is>
          <t>✅ محقق</t>
        </is>
      </c>
      <c r="M8" s="27" t="inlineStr">
        <is>
          <t>الاستدامة</t>
        </is>
      </c>
      <c r="N8" s="13" t="inlineStr">
        <is>
          <t>تعزيز تجربة العملاء</t>
        </is>
      </c>
      <c r="O8" s="15" t="inlineStr">
        <is>
          <t>العملاء</t>
        </is>
      </c>
      <c r="P8" s="15" t="inlineStr">
        <is>
          <t>الرئيس التنفيذي</t>
        </is>
      </c>
      <c r="Q8" s="13" t="inlineStr">
        <is>
          <t>استبيان دوري</t>
        </is>
      </c>
      <c r="R8" s="15" t="inlineStr">
        <is>
          <t>ربعي</t>
        </is>
      </c>
      <c r="S8" s="46" t="n">
        <v>0.769</v>
      </c>
      <c r="T8" s="46" t="n">
        <v>0.846</v>
      </c>
      <c r="U8" s="46" t="n">
        <v>0.922</v>
      </c>
      <c r="V8" s="61" t="n">
        <v>0.199</v>
      </c>
      <c r="W8" s="61" t="n">
        <v>0.9</v>
      </c>
      <c r="X8" s="61" t="n">
        <v>0.75</v>
      </c>
      <c r="Y8" s="71" t="inlineStr"/>
      <c r="Z8" s="69" t="inlineStr"/>
      <c r="AA8" s="27" t="inlineStr">
        <is>
          <t>محقق</t>
        </is>
      </c>
      <c r="AB8" s="27" t="n">
        <v>1</v>
      </c>
      <c r="AC8" s="74" t="inlineStr">
        <is>
          <t>#2EAD6B</t>
        </is>
      </c>
    </row>
    <row r="9">
      <c r="A9" s="9" t="inlineStr">
        <is>
          <t>الإدارة التنفيذية</t>
        </is>
      </c>
      <c r="B9" s="9" t="inlineStr">
        <is>
          <t>الاستدامة</t>
        </is>
      </c>
      <c r="C9" s="9" t="inlineStr">
        <is>
          <t>مؤشر رضا الموظفين العام (eNPS)</t>
        </is>
      </c>
      <c r="D9" s="15" t="inlineStr">
        <is>
          <t>🎯 نتيجة</t>
        </is>
      </c>
      <c r="E9" s="46" t="inlineStr">
        <is>
          <t>نقطة</t>
        </is>
      </c>
      <c r="F9" s="46" t="inlineStr">
        <is>
          <t>↑</t>
        </is>
      </c>
      <c r="G9" s="15" t="inlineStr">
        <is>
          <t>🔴 رئيسي</t>
        </is>
      </c>
      <c r="H9" s="61" t="n">
        <v>0.11</v>
      </c>
      <c r="I9" s="46" t="n">
        <v>30</v>
      </c>
      <c r="J9" s="46" t="n">
        <v>22.5</v>
      </c>
      <c r="K9" s="61" t="n">
        <v>0.75</v>
      </c>
      <c r="L9" s="27" t="inlineStr">
        <is>
          <t>🟡 قريب</t>
        </is>
      </c>
      <c r="M9" s="27" t="inlineStr">
        <is>
          <t>الاستدامة</t>
        </is>
      </c>
      <c r="N9" s="13" t="inlineStr">
        <is>
          <t>الاستثمار في الموظفين</t>
        </is>
      </c>
      <c r="O9" s="15" t="inlineStr">
        <is>
          <t>التعلّم والنمو</t>
        </is>
      </c>
      <c r="P9" s="15" t="inlineStr">
        <is>
          <t>الرئيس التنفيذي</t>
        </is>
      </c>
      <c r="Q9" s="13" t="inlineStr">
        <is>
          <t>استبيان دوري</t>
        </is>
      </c>
      <c r="R9" s="15" t="inlineStr">
        <is>
          <t>ربعي</t>
        </is>
      </c>
      <c r="S9" s="46" t="n">
        <v>18.589</v>
      </c>
      <c r="T9" s="46" t="n">
        <v>20.544</v>
      </c>
      <c r="U9" s="46" t="n">
        <v>22.5</v>
      </c>
      <c r="V9" s="61" t="n">
        <v>0.2104</v>
      </c>
      <c r="W9" s="61" t="n">
        <v>0.9</v>
      </c>
      <c r="X9" s="61" t="n">
        <v>0.75</v>
      </c>
      <c r="Y9" s="71" t="inlineStr">
        <is>
          <t>قريب من المستهدف — فجوة 25٪، متابعة لإغلاقها.</t>
        </is>
      </c>
      <c r="Z9" s="69" t="inlineStr">
        <is>
          <t>متابعة أسبوعية حتى بلوغ المستهدف.</t>
        </is>
      </c>
      <c r="AA9" s="27" t="inlineStr">
        <is>
          <t>قريب</t>
        </is>
      </c>
      <c r="AB9" s="27" t="n">
        <v>2</v>
      </c>
      <c r="AC9" s="72" t="inlineStr">
        <is>
          <t>#F2C94C</t>
        </is>
      </c>
    </row>
    <row r="10">
      <c r="A10" s="9" t="inlineStr">
        <is>
          <t>الإدارة التنفيذية</t>
        </is>
      </c>
      <c r="B10" s="9" t="inlineStr">
        <is>
          <t>الاستدامة</t>
        </is>
      </c>
      <c r="C10" s="9" t="inlineStr">
        <is>
          <t>نسبة تحقيق المستهدفات الاستراتيجية العامة</t>
        </is>
      </c>
      <c r="D10" s="15" t="inlineStr">
        <is>
          <t>🔧 تشغيلي</t>
        </is>
      </c>
      <c r="E10" s="46" t="inlineStr">
        <is>
          <t>%</t>
        </is>
      </c>
      <c r="F10" s="46" t="inlineStr">
        <is>
          <t>↑</t>
        </is>
      </c>
      <c r="G10" s="15" t="inlineStr">
        <is>
          <t>🟠 مهم</t>
        </is>
      </c>
      <c r="H10" s="61" t="n">
        <v>0.08</v>
      </c>
      <c r="I10" s="46" t="n">
        <v>1</v>
      </c>
      <c r="J10" s="46" t="n">
        <v>0.85</v>
      </c>
      <c r="K10" s="61" t="n">
        <v>0.85</v>
      </c>
      <c r="L10" s="27" t="inlineStr">
        <is>
          <t>🟡 قريب</t>
        </is>
      </c>
      <c r="M10" s="27" t="inlineStr">
        <is>
          <t>الاستدامة</t>
        </is>
      </c>
      <c r="N10" s="13" t="inlineStr">
        <is>
          <t>جودة التشغيل</t>
        </is>
      </c>
      <c r="O10" s="15" t="inlineStr">
        <is>
          <t>العمليات الداخلية</t>
        </is>
      </c>
      <c r="P10" s="15" t="inlineStr">
        <is>
          <t>الرئيس التنفيذي</t>
        </is>
      </c>
      <c r="Q10" s="13" t="inlineStr">
        <is>
          <t>سجلات الإدارة</t>
        </is>
      </c>
      <c r="R10" s="15" t="inlineStr">
        <is>
          <t>شهري</t>
        </is>
      </c>
      <c r="S10" s="46" t="n">
        <v>0.732</v>
      </c>
      <c r="T10" s="46" t="n">
        <v>0.791</v>
      </c>
      <c r="U10" s="46" t="n">
        <v>0.85</v>
      </c>
      <c r="V10" s="61" t="n">
        <v>0.1612</v>
      </c>
      <c r="W10" s="61" t="n">
        <v>1</v>
      </c>
      <c r="X10" s="61" t="n">
        <v>0.85</v>
      </c>
      <c r="Y10" s="71" t="inlineStr">
        <is>
          <t>قريب من المستهدف — فجوة 15٪، متابعة لإغلاقها.</t>
        </is>
      </c>
      <c r="Z10" s="69" t="inlineStr">
        <is>
          <t>متابعة أسبوعية حتى بلوغ المستهدف.</t>
        </is>
      </c>
      <c r="AA10" s="27" t="inlineStr">
        <is>
          <t>قريب</t>
        </is>
      </c>
      <c r="AB10" s="27" t="n">
        <v>2</v>
      </c>
      <c r="AC10" s="72" t="inlineStr">
        <is>
          <t>#F2C94C</t>
        </is>
      </c>
    </row>
    <row r="11">
      <c r="A11" s="9" t="inlineStr">
        <is>
          <t>الإدارة التنفيذية</t>
        </is>
      </c>
      <c r="B11" s="9" t="inlineStr">
        <is>
          <t>النمو</t>
        </is>
      </c>
      <c r="C11" s="9" t="inlineStr">
        <is>
          <t>الالتزام بمعايير وزارة الطاقة (تغطية 13 منطقة)</t>
        </is>
      </c>
      <c r="D11" s="15" t="inlineStr">
        <is>
          <t>🎯 نتيجة</t>
        </is>
      </c>
      <c r="E11" s="46" t="inlineStr">
        <is>
          <t>%</t>
        </is>
      </c>
      <c r="F11" s="46" t="inlineStr">
        <is>
          <t>↑</t>
        </is>
      </c>
      <c r="G11" s="15" t="inlineStr">
        <is>
          <t>🟠 مهم</t>
        </is>
      </c>
      <c r="H11" s="61" t="n">
        <v>0.08</v>
      </c>
      <c r="I11" s="46" t="n">
        <v>1</v>
      </c>
      <c r="J11" s="46" t="n">
        <v>0.749</v>
      </c>
      <c r="K11" s="61" t="n">
        <v>0.749</v>
      </c>
      <c r="L11" s="27" t="inlineStr">
        <is>
          <t>🔴 تحت الهدف</t>
        </is>
      </c>
      <c r="M11" s="27" t="inlineStr">
        <is>
          <t>النمو</t>
        </is>
      </c>
      <c r="N11" s="13" t="inlineStr">
        <is>
          <t>التوسع في المواقع</t>
        </is>
      </c>
      <c r="O11" s="15" t="inlineStr">
        <is>
          <t>العمليات الداخلية</t>
        </is>
      </c>
      <c r="P11" s="15" t="inlineStr">
        <is>
          <t>الرئيس التنفيذي</t>
        </is>
      </c>
      <c r="Q11" s="13" t="inlineStr">
        <is>
          <t>سجلات الإدارة</t>
        </is>
      </c>
      <c r="R11" s="15" t="inlineStr">
        <is>
          <t>شهري</t>
        </is>
      </c>
      <c r="S11" s="46" t="n">
        <v>0.648</v>
      </c>
      <c r="T11" s="46" t="n">
        <v>0.699</v>
      </c>
      <c r="U11" s="46" t="n">
        <v>0.749</v>
      </c>
      <c r="V11" s="61" t="n">
        <v>0.1559</v>
      </c>
      <c r="W11" s="61" t="n">
        <v>1</v>
      </c>
      <c r="X11" s="61" t="n">
        <v>0.85</v>
      </c>
      <c r="Y11" s="75" t="inlineStr">
        <is>
          <t>دون المستهدف — فجوة 25٪، يتطلب إجراءً تصحيحياً عاجلاً.</t>
        </is>
      </c>
      <c r="Z11" s="69" t="inlineStr">
        <is>
          <t>إطلاق إجراء تصحيحي خلال 30 يوماً بإشراف الرئيس التنفيذي.</t>
        </is>
      </c>
      <c r="AA11" s="27" t="inlineStr">
        <is>
          <t>تحت الهدف</t>
        </is>
      </c>
      <c r="AB11" s="27" t="n">
        <v>3</v>
      </c>
      <c r="AC11" s="76" t="inlineStr">
        <is>
          <t>#EB5757</t>
        </is>
      </c>
    </row>
    <row r="12">
      <c r="A12" s="9" t="inlineStr">
        <is>
          <t>الامتياز التجاري</t>
        </is>
      </c>
      <c r="B12" s="9" t="inlineStr">
        <is>
          <t>النمو والتوسع</t>
        </is>
      </c>
      <c r="C12" s="9" t="inlineStr">
        <is>
          <t>عدد محطات الامتياز المشغّلة (تراكمي)</t>
        </is>
      </c>
      <c r="D12" s="15" t="inlineStr">
        <is>
          <t>⚙️ نشاط</t>
        </is>
      </c>
      <c r="E12" s="46" t="inlineStr">
        <is>
          <t>محطة</t>
        </is>
      </c>
      <c r="F12" s="46" t="inlineStr">
        <is>
          <t>↑</t>
        </is>
      </c>
      <c r="G12" s="15" t="inlineStr">
        <is>
          <t>🔴 رئيسي</t>
        </is>
      </c>
      <c r="H12" s="61" t="n">
        <v>0.04</v>
      </c>
      <c r="I12" s="46" t="n">
        <v>150</v>
      </c>
      <c r="J12" s="46" t="n">
        <v>110</v>
      </c>
      <c r="K12" s="61" t="n">
        <v>0.7333333333333333</v>
      </c>
      <c r="L12" s="27" t="inlineStr">
        <is>
          <t>🔴 تحت الهدف</t>
        </is>
      </c>
      <c r="M12" s="27" t="inlineStr">
        <is>
          <t>النمو</t>
        </is>
      </c>
      <c r="N12" s="13" t="inlineStr">
        <is>
          <t>التوسع في المواقع</t>
        </is>
      </c>
      <c r="O12" s="15" t="inlineStr">
        <is>
          <t>العمليات الداخلية</t>
        </is>
      </c>
      <c r="P12" s="15" t="inlineStr">
        <is>
          <t>مدير الامتياز</t>
        </is>
      </c>
      <c r="Q12" s="13" t="inlineStr">
        <is>
          <t>نظام إدارة العقود (CRM)</t>
        </is>
      </c>
      <c r="R12" s="15" t="inlineStr">
        <is>
          <t>شهري</t>
        </is>
      </c>
      <c r="S12" s="46" t="n">
        <v>98.864</v>
      </c>
      <c r="T12" s="46" t="n">
        <v>104.432</v>
      </c>
      <c r="U12" s="46" t="n">
        <v>110</v>
      </c>
      <c r="V12" s="61" t="n">
        <v>0.1126</v>
      </c>
      <c r="W12" s="61" t="n">
        <v>1</v>
      </c>
      <c r="X12" s="61" t="n">
        <v>0.85</v>
      </c>
      <c r="Y12" s="75" t="inlineStr">
        <is>
          <t>دون المستهدف — فجوة 27٪، يتطلب إجراءً تصحيحياً عاجلاً.</t>
        </is>
      </c>
      <c r="Z12" s="69" t="inlineStr">
        <is>
          <t>إطلاق إجراء تصحيحي خلال 30 يوماً بإشراف مدير الامتياز.</t>
        </is>
      </c>
      <c r="AA12" s="27" t="inlineStr">
        <is>
          <t>تحت الهدف</t>
        </is>
      </c>
      <c r="AB12" s="27" t="n">
        <v>3</v>
      </c>
      <c r="AC12" s="76" t="inlineStr">
        <is>
          <t>#EB5757</t>
        </is>
      </c>
    </row>
    <row r="13">
      <c r="A13" s="9" t="inlineStr">
        <is>
          <t>الامتياز التجاري</t>
        </is>
      </c>
      <c r="B13" s="9" t="inlineStr">
        <is>
          <t>النمو والتوسع</t>
        </is>
      </c>
      <c r="C13" s="9" t="inlineStr">
        <is>
          <t>عدد عقود الامتياز الجديدة الموقّعة</t>
        </is>
      </c>
      <c r="D13" s="15" t="inlineStr">
        <is>
          <t>⚙️ نشاط</t>
        </is>
      </c>
      <c r="E13" s="46" t="inlineStr">
        <is>
          <t>عقد</t>
        </is>
      </c>
      <c r="F13" s="46" t="inlineStr">
        <is>
          <t>↑</t>
        </is>
      </c>
      <c r="G13" s="15" t="inlineStr">
        <is>
          <t>🔴 رئيسي</t>
        </is>
      </c>
      <c r="H13" s="61" t="n">
        <v>0.04</v>
      </c>
      <c r="I13" s="46" t="n">
        <v>167</v>
      </c>
      <c r="J13" s="46" t="n">
        <v>159.2</v>
      </c>
      <c r="K13" s="61" t="n">
        <v>0.9532934131736527</v>
      </c>
      <c r="L13" s="27" t="inlineStr">
        <is>
          <t>🟡 قريب</t>
        </is>
      </c>
      <c r="M13" s="27" t="inlineStr">
        <is>
          <t>النمو</t>
        </is>
      </c>
      <c r="N13" s="13" t="inlineStr">
        <is>
          <t>الامتياز التجاري</t>
        </is>
      </c>
      <c r="O13" s="15" t="inlineStr">
        <is>
          <t>العمليات الداخلية</t>
        </is>
      </c>
      <c r="P13" s="15" t="inlineStr">
        <is>
          <t>مدير الامتياز</t>
        </is>
      </c>
      <c r="Q13" s="13" t="inlineStr">
        <is>
          <t>نظام إدارة العقود (CRM)</t>
        </is>
      </c>
      <c r="R13" s="15" t="inlineStr">
        <is>
          <t>شهري</t>
        </is>
      </c>
      <c r="S13" s="46" t="n">
        <v>146.235</v>
      </c>
      <c r="T13" s="46" t="n">
        <v>152.718</v>
      </c>
      <c r="U13" s="46" t="n">
        <v>318.4</v>
      </c>
      <c r="V13" s="61" t="n">
        <v>0.0887</v>
      </c>
      <c r="W13" s="61" t="n">
        <v>1</v>
      </c>
      <c r="X13" s="61" t="n">
        <v>0.85</v>
      </c>
      <c r="Y13" s="71" t="inlineStr">
        <is>
          <t>قريب من المستهدف — فجوة 5٪، متابعة لإغلاقها.</t>
        </is>
      </c>
      <c r="Z13" s="69" t="inlineStr">
        <is>
          <t>متابعة أسبوعية حتى بلوغ المستهدف.</t>
        </is>
      </c>
      <c r="AA13" s="27" t="inlineStr">
        <is>
          <t>قريب</t>
        </is>
      </c>
      <c r="AB13" s="27" t="n">
        <v>2</v>
      </c>
      <c r="AC13" s="72" t="inlineStr">
        <is>
          <t>#F2C94C</t>
        </is>
      </c>
    </row>
    <row r="14">
      <c r="A14" s="9" t="inlineStr">
        <is>
          <t>الامتياز التجاري</t>
        </is>
      </c>
      <c r="B14" s="9" t="inlineStr">
        <is>
          <t>المبيعات والأداء التجاري</t>
        </is>
      </c>
      <c r="C14" s="9" t="inlineStr">
        <is>
          <t>إجمالي مبيعات وقود محطات الامتياز</t>
        </is>
      </c>
      <c r="D14" s="15" t="inlineStr">
        <is>
          <t>🎯 نتيجة</t>
        </is>
      </c>
      <c r="E14" s="46" t="inlineStr">
        <is>
          <t>لتر</t>
        </is>
      </c>
      <c r="F14" s="46" t="inlineStr">
        <is>
          <t>↑</t>
        </is>
      </c>
      <c r="G14" s="15" t="inlineStr">
        <is>
          <t>🔴 رئيسي</t>
        </is>
      </c>
      <c r="H14" s="61" t="n">
        <v>0.04</v>
      </c>
      <c r="I14" s="46" t="n">
        <v>718838077</v>
      </c>
      <c r="J14" s="46" t="n">
        <v>576630340</v>
      </c>
      <c r="K14" s="61" t="n">
        <v>0.8021699996840874</v>
      </c>
      <c r="L14" s="27" t="inlineStr">
        <is>
          <t>🔴 تحت الهدف</t>
        </is>
      </c>
      <c r="M14" s="27" t="inlineStr">
        <is>
          <t>النمو</t>
        </is>
      </c>
      <c r="N14" s="13" t="inlineStr">
        <is>
          <t>زيادة وصول العملاء</t>
        </is>
      </c>
      <c r="O14" s="15" t="inlineStr">
        <is>
          <t>مالي</t>
        </is>
      </c>
      <c r="P14" s="15" t="inlineStr">
        <is>
          <t>مدير الامتياز</t>
        </is>
      </c>
      <c r="Q14" s="13" t="inlineStr">
        <is>
          <t>نظام إدارة العقود (CRM)</t>
        </is>
      </c>
      <c r="R14" s="15" t="inlineStr">
        <is>
          <t>شهري</t>
        </is>
      </c>
      <c r="S14" s="46" t="n">
        <v>487460224.222</v>
      </c>
      <c r="T14" s="46" t="n">
        <v>532045282.111</v>
      </c>
      <c r="U14" s="46" t="n">
        <v>1153260680</v>
      </c>
      <c r="V14" s="61" t="n">
        <v>0.1829</v>
      </c>
      <c r="W14" s="61" t="n">
        <v>1</v>
      </c>
      <c r="X14" s="61" t="n">
        <v>0.85</v>
      </c>
      <c r="Y14" s="75" t="inlineStr">
        <is>
          <t>دون المستهدف — فجوة 20٪، يتطلب إجراءً تصحيحياً عاجلاً.</t>
        </is>
      </c>
      <c r="Z14" s="69" t="inlineStr">
        <is>
          <t>إطلاق إجراء تصحيحي خلال 30 يوماً بإشراف مدير الامتياز.</t>
        </is>
      </c>
      <c r="AA14" s="27" t="inlineStr">
        <is>
          <t>تحت الهدف</t>
        </is>
      </c>
      <c r="AB14" s="27" t="n">
        <v>3</v>
      </c>
      <c r="AC14" s="76" t="inlineStr">
        <is>
          <t>#EB5757</t>
        </is>
      </c>
    </row>
    <row r="15">
      <c r="A15" s="9" t="inlineStr">
        <is>
          <t>الامتياز التجاري</t>
        </is>
      </c>
      <c r="B15" s="9" t="inlineStr">
        <is>
          <t>المبيعات والأداء التجاري</t>
        </is>
      </c>
      <c r="C15" s="9" t="inlineStr">
        <is>
          <t>نسبة المحطات التي حققت مستهدف المبيعات</t>
        </is>
      </c>
      <c r="D15" s="15" t="inlineStr">
        <is>
          <t>🎯 نتيجة</t>
        </is>
      </c>
      <c r="E15" s="46" t="inlineStr">
        <is>
          <t>%</t>
        </is>
      </c>
      <c r="F15" s="46" t="inlineStr">
        <is>
          <t>↑</t>
        </is>
      </c>
      <c r="G15" s="15" t="inlineStr">
        <is>
          <t>🔴 رئيسي</t>
        </is>
      </c>
      <c r="H15" s="61" t="n">
        <v>0.04</v>
      </c>
      <c r="I15" s="46" t="n">
        <v>0.9</v>
      </c>
      <c r="J15" s="46" t="n">
        <v>0.788</v>
      </c>
      <c r="K15" s="61" t="n">
        <v>0.8755555555555555</v>
      </c>
      <c r="L15" s="27" t="inlineStr">
        <is>
          <t>🟡 قريب</t>
        </is>
      </c>
      <c r="M15" s="27" t="inlineStr">
        <is>
          <t>النمو</t>
        </is>
      </c>
      <c r="N15" s="13" t="inlineStr">
        <is>
          <t>زيادة وصول العملاء</t>
        </is>
      </c>
      <c r="O15" s="15" t="inlineStr">
        <is>
          <t>مالي</t>
        </is>
      </c>
      <c r="P15" s="15" t="inlineStr">
        <is>
          <t>مدير الامتياز</t>
        </is>
      </c>
      <c r="Q15" s="13" t="inlineStr">
        <is>
          <t>نظام تشغيل المحطات</t>
        </is>
      </c>
      <c r="R15" s="15" t="inlineStr">
        <is>
          <t>شهري</t>
        </is>
      </c>
      <c r="S15" s="46" t="n">
        <v>0.725</v>
      </c>
      <c r="T15" s="46" t="n">
        <v>0.756</v>
      </c>
      <c r="U15" s="46" t="n">
        <v>0.788</v>
      </c>
      <c r="V15" s="61" t="n">
        <v>0.08690000000000001</v>
      </c>
      <c r="W15" s="61" t="n">
        <v>1</v>
      </c>
      <c r="X15" s="61" t="n">
        <v>0.85</v>
      </c>
      <c r="Y15" s="71" t="inlineStr">
        <is>
          <t>قريب من المستهدف — فجوة 12٪، متابعة لإغلاقها.</t>
        </is>
      </c>
      <c r="Z15" s="69" t="inlineStr">
        <is>
          <t>متابعة أسبوعية حتى بلوغ المستهدف.</t>
        </is>
      </c>
      <c r="AA15" s="27" t="inlineStr">
        <is>
          <t>قريب</t>
        </is>
      </c>
      <c r="AB15" s="27" t="n">
        <v>2</v>
      </c>
      <c r="AC15" s="72" t="inlineStr">
        <is>
          <t>#F2C94C</t>
        </is>
      </c>
    </row>
    <row r="16">
      <c r="A16" s="9" t="inlineStr">
        <is>
          <t>الامتياز التجاري</t>
        </is>
      </c>
      <c r="B16" s="9" t="inlineStr">
        <is>
          <t>المبيعات والأداء التجاري</t>
        </is>
      </c>
      <c r="C16" s="9" t="inlineStr">
        <is>
          <t>متوسط مبيعات المحطة الواحدة شهرياً</t>
        </is>
      </c>
      <c r="D16" s="15" t="inlineStr">
        <is>
          <t>🎯 نتيجة</t>
        </is>
      </c>
      <c r="E16" s="46" t="inlineStr">
        <is>
          <t>لتر/محطة</t>
        </is>
      </c>
      <c r="F16" s="46" t="inlineStr">
        <is>
          <t>↑</t>
        </is>
      </c>
      <c r="G16" s="15" t="inlineStr">
        <is>
          <t>🔴 رئيسي</t>
        </is>
      </c>
      <c r="H16" s="61" t="n">
        <v>0.04</v>
      </c>
      <c r="I16" s="46" t="n"/>
      <c r="J16" s="46" t="n"/>
      <c r="K16" s="61" t="n"/>
      <c r="L16" s="27" t="inlineStr">
        <is>
          <t>⏳ بانتظار هدف</t>
        </is>
      </c>
      <c r="M16" s="27" t="inlineStr">
        <is>
          <t>النمو</t>
        </is>
      </c>
      <c r="N16" s="13" t="inlineStr">
        <is>
          <t>زيادة وصول العملاء</t>
        </is>
      </c>
      <c r="O16" s="15" t="inlineStr">
        <is>
          <t>مالي</t>
        </is>
      </c>
      <c r="P16" s="15" t="inlineStr">
        <is>
          <t>مدير الامتياز</t>
        </is>
      </c>
      <c r="Q16" s="13" t="inlineStr">
        <is>
          <t>نظام تشغيل المحطات</t>
        </is>
      </c>
      <c r="R16" s="15" t="inlineStr">
        <is>
          <t>شهري</t>
        </is>
      </c>
      <c r="S16" s="46" t="n"/>
      <c r="T16" s="46" t="n"/>
      <c r="U16" s="46" t="n"/>
      <c r="V16" s="61" t="n"/>
      <c r="W16" s="61" t="n">
        <v>1</v>
      </c>
      <c r="X16" s="61" t="n">
        <v>0.85</v>
      </c>
      <c r="Y16" s="71" t="inlineStr"/>
      <c r="Z16" s="69" t="inlineStr"/>
      <c r="AA16" s="27" t="inlineStr">
        <is>
          <t>بانتظار هدف</t>
        </is>
      </c>
      <c r="AB16" s="27" t="n">
        <v>4</v>
      </c>
      <c r="AC16" s="73" t="inlineStr">
        <is>
          <t>#BDBDBD</t>
        </is>
      </c>
    </row>
    <row r="17">
      <c r="A17" s="9" t="inlineStr">
        <is>
          <t>الامتياز التجاري</t>
        </is>
      </c>
      <c r="B17" s="9" t="inlineStr">
        <is>
          <t>المبيعات والأداء التجاري</t>
        </is>
      </c>
      <c r="C17" s="9" t="inlineStr">
        <is>
          <t>نسبة تأجير وحدات الامتياز</t>
        </is>
      </c>
      <c r="D17" s="15" t="inlineStr">
        <is>
          <t>🔧 تشغيلي</t>
        </is>
      </c>
      <c r="E17" s="46" t="inlineStr">
        <is>
          <t>%</t>
        </is>
      </c>
      <c r="F17" s="46" t="inlineStr">
        <is>
          <t>↑</t>
        </is>
      </c>
      <c r="G17" s="15" t="inlineStr">
        <is>
          <t>🟠 مهم</t>
        </is>
      </c>
      <c r="H17" s="61" t="n">
        <v>0.03</v>
      </c>
      <c r="I17" s="46" t="n">
        <v>0.7</v>
      </c>
      <c r="J17" s="46" t="n">
        <v>0.709</v>
      </c>
      <c r="K17" s="61" t="n">
        <v>1</v>
      </c>
      <c r="L17" s="27" t="inlineStr">
        <is>
          <t>✅ محقق</t>
        </is>
      </c>
      <c r="M17" s="27" t="inlineStr">
        <is>
          <t>الاستدامة</t>
        </is>
      </c>
      <c r="N17" s="13" t="inlineStr">
        <is>
          <t>منظومة التأجير</t>
        </is>
      </c>
      <c r="O17" s="15" t="inlineStr">
        <is>
          <t>العمليات الداخلية</t>
        </is>
      </c>
      <c r="P17" s="15" t="inlineStr">
        <is>
          <t>مدير الامتياز</t>
        </is>
      </c>
      <c r="Q17" s="13" t="inlineStr">
        <is>
          <t>نظام إدارة العقود (CRM)</t>
        </is>
      </c>
      <c r="R17" s="15" t="inlineStr">
        <is>
          <t>شهري</t>
        </is>
      </c>
      <c r="S17" s="46" t="n">
        <v>0.597</v>
      </c>
      <c r="T17" s="46" t="n">
        <v>0.653</v>
      </c>
      <c r="U17" s="46" t="n">
        <v>0.709</v>
      </c>
      <c r="V17" s="61" t="n">
        <v>0.1876</v>
      </c>
      <c r="W17" s="61" t="n">
        <v>1</v>
      </c>
      <c r="X17" s="61" t="n">
        <v>0.85</v>
      </c>
      <c r="Y17" s="71" t="inlineStr"/>
      <c r="Z17" s="69" t="inlineStr"/>
      <c r="AA17" s="27" t="inlineStr">
        <is>
          <t>محقق</t>
        </is>
      </c>
      <c r="AB17" s="27" t="n">
        <v>1</v>
      </c>
      <c r="AC17" s="74" t="inlineStr">
        <is>
          <t>#2EAD6B</t>
        </is>
      </c>
    </row>
    <row r="18">
      <c r="A18" s="9" t="inlineStr">
        <is>
          <t>الامتياز التجاري</t>
        </is>
      </c>
      <c r="B18" s="9" t="inlineStr">
        <is>
          <t>الأداء المالي</t>
        </is>
      </c>
      <c r="C18" s="9" t="inlineStr">
        <is>
          <t>إجمالي إيرادات إدارة الامتياز</t>
        </is>
      </c>
      <c r="D18" s="15" t="inlineStr">
        <is>
          <t>🎯 نتيجة</t>
        </is>
      </c>
      <c r="E18" s="46" t="inlineStr">
        <is>
          <t>ر.س</t>
        </is>
      </c>
      <c r="F18" s="46" t="inlineStr">
        <is>
          <t>↑</t>
        </is>
      </c>
      <c r="G18" s="15" t="inlineStr">
        <is>
          <t>🔴 رئيسي</t>
        </is>
      </c>
      <c r="H18" s="61" t="n">
        <v>0.04</v>
      </c>
      <c r="I18" s="46" t="n"/>
      <c r="J18" s="46" t="n"/>
      <c r="K18" s="61" t="n"/>
      <c r="L18" s="27" t="inlineStr">
        <is>
          <t>⏳ بانتظار هدف</t>
        </is>
      </c>
      <c r="M18" s="27" t="inlineStr">
        <is>
          <t>النمو</t>
        </is>
      </c>
      <c r="N18" s="13" t="inlineStr">
        <is>
          <t>الامتياز التجاري</t>
        </is>
      </c>
      <c r="O18" s="15" t="inlineStr">
        <is>
          <t>مالي</t>
        </is>
      </c>
      <c r="P18" s="15" t="inlineStr">
        <is>
          <t>مدير الامتياز</t>
        </is>
      </c>
      <c r="Q18" s="13" t="inlineStr">
        <is>
          <t>نظام المحاسبة / ERP (D365)</t>
        </is>
      </c>
      <c r="R18" s="15" t="inlineStr">
        <is>
          <t>شهري</t>
        </is>
      </c>
      <c r="S18" s="46" t="n"/>
      <c r="T18" s="46" t="n"/>
      <c r="U18" s="46" t="n"/>
      <c r="V18" s="61" t="n"/>
      <c r="W18" s="61" t="n">
        <v>1</v>
      </c>
      <c r="X18" s="61" t="n">
        <v>0.85</v>
      </c>
      <c r="Y18" s="71" t="inlineStr"/>
      <c r="Z18" s="69" t="inlineStr"/>
      <c r="AA18" s="27" t="inlineStr">
        <is>
          <t>بانتظار هدف</t>
        </is>
      </c>
      <c r="AB18" s="27" t="n">
        <v>4</v>
      </c>
      <c r="AC18" s="73" t="inlineStr">
        <is>
          <t>#BDBDBD</t>
        </is>
      </c>
    </row>
    <row r="19">
      <c r="A19" s="9" t="inlineStr">
        <is>
          <t>الامتياز التجاري</t>
        </is>
      </c>
      <c r="B19" s="9" t="inlineStr">
        <is>
          <t>الأداء المالي</t>
        </is>
      </c>
      <c r="C19" s="9" t="inlineStr">
        <is>
          <t>رفع هامش الربحية للامتياز</t>
        </is>
      </c>
      <c r="D19" s="15" t="inlineStr">
        <is>
          <t>🎯 نتيجة</t>
        </is>
      </c>
      <c r="E19" s="46" t="inlineStr">
        <is>
          <t>هللة/لتر</t>
        </is>
      </c>
      <c r="F19" s="46" t="inlineStr">
        <is>
          <t>↑</t>
        </is>
      </c>
      <c r="G19" s="15" t="inlineStr">
        <is>
          <t>🟠 مهم</t>
        </is>
      </c>
      <c r="H19" s="61" t="n">
        <v>0.03</v>
      </c>
      <c r="I19" s="46" t="n">
        <v>1.8</v>
      </c>
      <c r="J19" s="46" t="n">
        <v>1.564</v>
      </c>
      <c r="K19" s="61" t="n">
        <v>0.8688888888888889</v>
      </c>
      <c r="L19" s="27" t="inlineStr">
        <is>
          <t>🟡 قريب</t>
        </is>
      </c>
      <c r="M19" s="27" t="inlineStr">
        <is>
          <t>النمو</t>
        </is>
      </c>
      <c r="N19" s="13" t="inlineStr">
        <is>
          <t>الامتياز التجاري</t>
        </is>
      </c>
      <c r="O19" s="15" t="inlineStr">
        <is>
          <t>مالي</t>
        </is>
      </c>
      <c r="P19" s="15" t="inlineStr">
        <is>
          <t>مدير الامتياز</t>
        </is>
      </c>
      <c r="Q19" s="13" t="inlineStr">
        <is>
          <t>نظام المحاسبة / ERP (D365)</t>
        </is>
      </c>
      <c r="R19" s="15" t="inlineStr">
        <is>
          <t>شهري</t>
        </is>
      </c>
      <c r="S19" s="46" t="n">
        <v>1.271</v>
      </c>
      <c r="T19" s="46" t="n">
        <v>1.417</v>
      </c>
      <c r="U19" s="46" t="n">
        <v>1.564</v>
      </c>
      <c r="V19" s="61" t="n">
        <v>0.2305</v>
      </c>
      <c r="W19" s="61" t="n">
        <v>1</v>
      </c>
      <c r="X19" s="61" t="n">
        <v>0.85</v>
      </c>
      <c r="Y19" s="71" t="inlineStr">
        <is>
          <t>قريب من المستهدف — فجوة 13٪، متابعة لإغلاقها.</t>
        </is>
      </c>
      <c r="Z19" s="69" t="inlineStr">
        <is>
          <t>متابعة أسبوعية حتى بلوغ المستهدف.</t>
        </is>
      </c>
      <c r="AA19" s="27" t="inlineStr">
        <is>
          <t>قريب</t>
        </is>
      </c>
      <c r="AB19" s="27" t="n">
        <v>2</v>
      </c>
      <c r="AC19" s="72" t="inlineStr">
        <is>
          <t>#F2C94C</t>
        </is>
      </c>
    </row>
    <row r="20">
      <c r="A20" s="9" t="inlineStr">
        <is>
          <t>الامتياز التجاري</t>
        </is>
      </c>
      <c r="B20" s="9" t="inlineStr">
        <is>
          <t>الأداء المالي</t>
        </is>
      </c>
      <c r="C20" s="9" t="inlineStr">
        <is>
          <t>نسبة التحصيل المالي من شركاء الامتياز</t>
        </is>
      </c>
      <c r="D20" s="15" t="inlineStr">
        <is>
          <t>🎯 نتيجة</t>
        </is>
      </c>
      <c r="E20" s="46" t="inlineStr">
        <is>
          <t>%</t>
        </is>
      </c>
      <c r="F20" s="46" t="inlineStr">
        <is>
          <t>↑</t>
        </is>
      </c>
      <c r="G20" s="15" t="inlineStr">
        <is>
          <t>🔴 رئيسي</t>
        </is>
      </c>
      <c r="H20" s="61" t="n">
        <v>0.04</v>
      </c>
      <c r="I20" s="46" t="n">
        <v>0.95</v>
      </c>
      <c r="J20" s="46" t="n">
        <v>0.8120000000000001</v>
      </c>
      <c r="K20" s="61" t="n">
        <v>0.8547368421052632</v>
      </c>
      <c r="L20" s="27" t="inlineStr">
        <is>
          <t>🟡 قريب</t>
        </is>
      </c>
      <c r="M20" s="27" t="inlineStr">
        <is>
          <t>الاستدامة</t>
        </is>
      </c>
      <c r="N20" s="13" t="inlineStr">
        <is>
          <t>جودة التشغيل</t>
        </is>
      </c>
      <c r="O20" s="15" t="inlineStr">
        <is>
          <t>مالي</t>
        </is>
      </c>
      <c r="P20" s="15" t="inlineStr">
        <is>
          <t>مدير الامتياز</t>
        </is>
      </c>
      <c r="Q20" s="13" t="inlineStr">
        <is>
          <t>نظام المحاسبة / ERP (D365)</t>
        </is>
      </c>
      <c r="R20" s="15" t="inlineStr">
        <is>
          <t>شهري</t>
        </is>
      </c>
      <c r="S20" s="46" t="n">
        <v>0.698</v>
      </c>
      <c r="T20" s="46" t="n">
        <v>0.755</v>
      </c>
      <c r="U20" s="46" t="n">
        <v>0.8120000000000001</v>
      </c>
      <c r="V20" s="61" t="n">
        <v>0.1633</v>
      </c>
      <c r="W20" s="61" t="n">
        <v>1</v>
      </c>
      <c r="X20" s="61" t="n">
        <v>0.85</v>
      </c>
      <c r="Y20" s="71" t="inlineStr">
        <is>
          <t>قريب من المستهدف — فجوة 15٪، متابعة لإغلاقها.</t>
        </is>
      </c>
      <c r="Z20" s="69" t="inlineStr">
        <is>
          <t>متابعة أسبوعية حتى بلوغ المستهدف.</t>
        </is>
      </c>
      <c r="AA20" s="27" t="inlineStr">
        <is>
          <t>قريب</t>
        </is>
      </c>
      <c r="AB20" s="27" t="n">
        <v>2</v>
      </c>
      <c r="AC20" s="72" t="inlineStr">
        <is>
          <t>#F2C94C</t>
        </is>
      </c>
    </row>
    <row r="21">
      <c r="A21" s="9" t="inlineStr">
        <is>
          <t>الامتياز التجاري</t>
        </is>
      </c>
      <c r="B21" s="9" t="inlineStr">
        <is>
          <t>الأداء المالي</t>
        </is>
      </c>
      <c r="C21" s="9" t="inlineStr">
        <is>
          <t>متوسط أيام تحصيل شركاء الامتياز (DSO)</t>
        </is>
      </c>
      <c r="D21" s="15" t="inlineStr">
        <is>
          <t>🎯 نتيجة</t>
        </is>
      </c>
      <c r="E21" s="46" t="inlineStr">
        <is>
          <t>يوم</t>
        </is>
      </c>
      <c r="F21" s="46" t="inlineStr">
        <is>
          <t>↓</t>
        </is>
      </c>
      <c r="G21" s="15" t="inlineStr">
        <is>
          <t>🔴 رئيسي</t>
        </is>
      </c>
      <c r="H21" s="61" t="n">
        <v>0.04</v>
      </c>
      <c r="I21" s="46" t="n">
        <v>30</v>
      </c>
      <c r="J21" s="46" t="n">
        <v>26.2</v>
      </c>
      <c r="K21" s="61" t="n">
        <v>1</v>
      </c>
      <c r="L21" s="27" t="inlineStr">
        <is>
          <t>✅ محقق</t>
        </is>
      </c>
      <c r="M21" s="27" t="inlineStr">
        <is>
          <t>الاستدامة</t>
        </is>
      </c>
      <c r="N21" s="13" t="inlineStr">
        <is>
          <t>جودة التشغيل</t>
        </is>
      </c>
      <c r="O21" s="15" t="inlineStr">
        <is>
          <t>مالي</t>
        </is>
      </c>
      <c r="P21" s="15" t="inlineStr">
        <is>
          <t>مدير الامتياز</t>
        </is>
      </c>
      <c r="Q21" s="13" t="inlineStr">
        <is>
          <t>نظام المحاسبة / ERP (D365)</t>
        </is>
      </c>
      <c r="R21" s="15" t="inlineStr">
        <is>
          <t>شهري</t>
        </is>
      </c>
      <c r="S21" s="46" t="n">
        <v>31.286</v>
      </c>
      <c r="T21" s="46" t="n">
        <v>28.743</v>
      </c>
      <c r="U21" s="46" t="n">
        <v>26.2</v>
      </c>
      <c r="V21" s="61" t="n">
        <v>-0.1626</v>
      </c>
      <c r="W21" s="61" t="n">
        <v>1</v>
      </c>
      <c r="X21" s="61" t="n">
        <v>0.85</v>
      </c>
      <c r="Y21" s="71" t="inlineStr"/>
      <c r="Z21" s="69" t="inlineStr"/>
      <c r="AA21" s="27" t="inlineStr">
        <is>
          <t>محقق</t>
        </is>
      </c>
      <c r="AB21" s="27" t="n">
        <v>1</v>
      </c>
      <c r="AC21" s="74" t="inlineStr">
        <is>
          <t>#2EAD6B</t>
        </is>
      </c>
    </row>
    <row r="22">
      <c r="A22" s="9" t="inlineStr">
        <is>
          <t>الامتياز التجاري</t>
        </is>
      </c>
      <c r="B22" s="9" t="inlineStr">
        <is>
          <t>الأداء المالي</t>
        </is>
      </c>
      <c r="C22" s="9" t="inlineStr">
        <is>
          <t>إجمالي المستحقات المتأخرة (+30 يوم)</t>
        </is>
      </c>
      <c r="D22" s="15" t="inlineStr">
        <is>
          <t>🔧 تشغيلي</t>
        </is>
      </c>
      <c r="E22" s="46" t="inlineStr">
        <is>
          <t>ر.س</t>
        </is>
      </c>
      <c r="F22" s="46" t="inlineStr">
        <is>
          <t>↓</t>
        </is>
      </c>
      <c r="G22" s="15" t="inlineStr">
        <is>
          <t>🟠 مهم</t>
        </is>
      </c>
      <c r="H22" s="61" t="n">
        <v>0.03</v>
      </c>
      <c r="I22" s="46" t="n"/>
      <c r="J22" s="46" t="n"/>
      <c r="K22" s="61" t="n"/>
      <c r="L22" s="27" t="inlineStr">
        <is>
          <t>⏳ بانتظار هدف</t>
        </is>
      </c>
      <c r="M22" s="27" t="inlineStr">
        <is>
          <t>الاستدامة</t>
        </is>
      </c>
      <c r="N22" s="13" t="inlineStr">
        <is>
          <t>جودة التشغيل</t>
        </is>
      </c>
      <c r="O22" s="15" t="inlineStr">
        <is>
          <t>مالي</t>
        </is>
      </c>
      <c r="P22" s="15" t="inlineStr">
        <is>
          <t>مدير الامتياز</t>
        </is>
      </c>
      <c r="Q22" s="13" t="inlineStr">
        <is>
          <t>نظام المحاسبة / ERP (D365)</t>
        </is>
      </c>
      <c r="R22" s="15" t="inlineStr">
        <is>
          <t>شهري</t>
        </is>
      </c>
      <c r="S22" s="46" t="n"/>
      <c r="T22" s="46" t="n"/>
      <c r="U22" s="46" t="n"/>
      <c r="V22" s="61" t="n"/>
      <c r="W22" s="61" t="n">
        <v>1</v>
      </c>
      <c r="X22" s="61" t="n">
        <v>0.85</v>
      </c>
      <c r="Y22" s="71" t="inlineStr"/>
      <c r="Z22" s="69" t="inlineStr"/>
      <c r="AA22" s="27" t="inlineStr">
        <is>
          <t>بانتظار هدف</t>
        </is>
      </c>
      <c r="AB22" s="27" t="n">
        <v>4</v>
      </c>
      <c r="AC22" s="73" t="inlineStr">
        <is>
          <t>#BDBDBD</t>
        </is>
      </c>
    </row>
    <row r="23">
      <c r="A23" s="9" t="inlineStr">
        <is>
          <t>الامتياز التجاري</t>
        </is>
      </c>
      <c r="B23" s="9" t="inlineStr">
        <is>
          <t>الأداء المالي</t>
        </is>
      </c>
      <c r="C23" s="9" t="inlineStr">
        <is>
          <t>نسبة الشركاء الملتزمين بمواعيد السداد</t>
        </is>
      </c>
      <c r="D23" s="15" t="inlineStr">
        <is>
          <t>🔧 تشغيلي</t>
        </is>
      </c>
      <c r="E23" s="46" t="inlineStr">
        <is>
          <t>%</t>
        </is>
      </c>
      <c r="F23" s="46" t="inlineStr">
        <is>
          <t>↑</t>
        </is>
      </c>
      <c r="G23" s="15" t="inlineStr">
        <is>
          <t>🟠 مهم</t>
        </is>
      </c>
      <c r="H23" s="61" t="n">
        <v>0.03</v>
      </c>
      <c r="I23" s="46" t="n">
        <v>0.9</v>
      </c>
      <c r="J23" s="46" t="n">
        <v>0.705</v>
      </c>
      <c r="K23" s="61" t="n">
        <v>0.7833333333333332</v>
      </c>
      <c r="L23" s="27" t="inlineStr">
        <is>
          <t>🔴 تحت الهدف</t>
        </is>
      </c>
      <c r="M23" s="27" t="inlineStr">
        <is>
          <t>الاستدامة</t>
        </is>
      </c>
      <c r="N23" s="13" t="inlineStr">
        <is>
          <t>جودة التشغيل</t>
        </is>
      </c>
      <c r="O23" s="15" t="inlineStr">
        <is>
          <t>مالي</t>
        </is>
      </c>
      <c r="P23" s="15" t="inlineStr">
        <is>
          <t>مدير الامتياز</t>
        </is>
      </c>
      <c r="Q23" s="13" t="inlineStr">
        <is>
          <t>نظام المحاسبة / ERP (D365)</t>
        </is>
      </c>
      <c r="R23" s="15" t="inlineStr">
        <is>
          <t>شهري</t>
        </is>
      </c>
      <c r="S23" s="46" t="n">
        <v>0.643</v>
      </c>
      <c r="T23" s="46" t="n">
        <v>0.674</v>
      </c>
      <c r="U23" s="46" t="n">
        <v>0.705</v>
      </c>
      <c r="V23" s="61" t="n">
        <v>0.0964</v>
      </c>
      <c r="W23" s="61" t="n">
        <v>1</v>
      </c>
      <c r="X23" s="61" t="n">
        <v>0.85</v>
      </c>
      <c r="Y23" s="75" t="inlineStr">
        <is>
          <t>دون المستهدف — فجوة 22٪، يتطلب إجراءً تصحيحياً عاجلاً.</t>
        </is>
      </c>
      <c r="Z23" s="69" t="inlineStr">
        <is>
          <t>إطلاق إجراء تصحيحي خلال 30 يوماً بإشراف مدير الامتياز.</t>
        </is>
      </c>
      <c r="AA23" s="27" t="inlineStr">
        <is>
          <t>تحت الهدف</t>
        </is>
      </c>
      <c r="AB23" s="27" t="n">
        <v>3</v>
      </c>
      <c r="AC23" s="76" t="inlineStr">
        <is>
          <t>#EB5757</t>
        </is>
      </c>
    </row>
    <row r="24">
      <c r="A24" s="9" t="inlineStr">
        <is>
          <t>الامتياز التجاري</t>
        </is>
      </c>
      <c r="B24" s="9" t="inlineStr">
        <is>
          <t>الأداء المالي</t>
        </is>
      </c>
      <c r="C24" s="9" t="inlineStr">
        <is>
          <t>معدل دوران رأس المال (أيام الدورة)</t>
        </is>
      </c>
      <c r="D24" s="15" t="inlineStr">
        <is>
          <t>🔧 تشغيلي</t>
        </is>
      </c>
      <c r="E24" s="46" t="inlineStr">
        <is>
          <t>يوم</t>
        </is>
      </c>
      <c r="F24" s="46" t="inlineStr">
        <is>
          <t>↓</t>
        </is>
      </c>
      <c r="G24" s="15" t="inlineStr">
        <is>
          <t>🟠 مهم</t>
        </is>
      </c>
      <c r="H24" s="61" t="n">
        <v>0.03</v>
      </c>
      <c r="I24" s="46" t="n">
        <v>5</v>
      </c>
      <c r="J24" s="46" t="n">
        <v>4.329</v>
      </c>
      <c r="K24" s="61" t="n">
        <v>1</v>
      </c>
      <c r="L24" s="27" t="inlineStr">
        <is>
          <t>✅ محقق</t>
        </is>
      </c>
      <c r="M24" s="27" t="inlineStr">
        <is>
          <t>الاستدامة</t>
        </is>
      </c>
      <c r="N24" s="13" t="inlineStr">
        <is>
          <t>جودة التشغيل</t>
        </is>
      </c>
      <c r="O24" s="15" t="inlineStr">
        <is>
          <t>مالي</t>
        </is>
      </c>
      <c r="P24" s="15" t="inlineStr">
        <is>
          <t>مدير الامتياز</t>
        </is>
      </c>
      <c r="Q24" s="13" t="inlineStr">
        <is>
          <t>نظام الموارد البشرية (HRMS)</t>
        </is>
      </c>
      <c r="R24" s="15" t="inlineStr">
        <is>
          <t>شهري</t>
        </is>
      </c>
      <c r="S24" s="46" t="n">
        <v>4.845</v>
      </c>
      <c r="T24" s="46" t="n">
        <v>4.587</v>
      </c>
      <c r="U24" s="46" t="n">
        <v>4.329</v>
      </c>
      <c r="V24" s="61" t="n">
        <v>-0.1065</v>
      </c>
      <c r="W24" s="61" t="n">
        <v>1</v>
      </c>
      <c r="X24" s="61" t="n">
        <v>0.85</v>
      </c>
      <c r="Y24" s="71" t="inlineStr"/>
      <c r="Z24" s="69" t="inlineStr"/>
      <c r="AA24" s="27" t="inlineStr">
        <is>
          <t>محقق</t>
        </is>
      </c>
      <c r="AB24" s="27" t="n">
        <v>1</v>
      </c>
      <c r="AC24" s="74" t="inlineStr">
        <is>
          <t>#2EAD6B</t>
        </is>
      </c>
    </row>
    <row r="25">
      <c r="A25" s="9" t="inlineStr">
        <is>
          <t>الامتياز التجاري</t>
        </is>
      </c>
      <c r="B25" s="9" t="inlineStr">
        <is>
          <t>التشغيل والجودة</t>
        </is>
      </c>
      <c r="C25" s="9" t="inlineStr">
        <is>
          <t>نسبة جاهزية محطات الامتياز (صفر انقطاع)</t>
        </is>
      </c>
      <c r="D25" s="15" t="inlineStr">
        <is>
          <t>🎯 نتيجة</t>
        </is>
      </c>
      <c r="E25" s="46" t="inlineStr">
        <is>
          <t>%</t>
        </is>
      </c>
      <c r="F25" s="46" t="inlineStr">
        <is>
          <t>↑</t>
        </is>
      </c>
      <c r="G25" s="15" t="inlineStr">
        <is>
          <t>🔴 رئيسي</t>
        </is>
      </c>
      <c r="H25" s="61" t="n">
        <v>0.04</v>
      </c>
      <c r="I25" s="46" t="n">
        <v>0.99</v>
      </c>
      <c r="J25" s="46" t="n">
        <v>1</v>
      </c>
      <c r="K25" s="61" t="n">
        <v>1</v>
      </c>
      <c r="L25" s="27" t="inlineStr">
        <is>
          <t>✅ محقق</t>
        </is>
      </c>
      <c r="M25" s="27" t="inlineStr">
        <is>
          <t>الاستدامة</t>
        </is>
      </c>
      <c r="N25" s="13" t="inlineStr">
        <is>
          <t>جودة التشغيل</t>
        </is>
      </c>
      <c r="O25" s="15" t="inlineStr">
        <is>
          <t>العمليات الداخلية</t>
        </is>
      </c>
      <c r="P25" s="15" t="inlineStr">
        <is>
          <t>مدير الامتياز</t>
        </is>
      </c>
      <c r="Q25" s="13" t="inlineStr">
        <is>
          <t>نظام إدارة الجودة (QMS)</t>
        </is>
      </c>
      <c r="R25" s="15" t="inlineStr">
        <is>
          <t>شهري</t>
        </is>
      </c>
      <c r="S25" s="46" t="n">
        <v>0.915</v>
      </c>
      <c r="T25" s="46" t="n">
        <v>0.958</v>
      </c>
      <c r="U25" s="46" t="n">
        <v>1</v>
      </c>
      <c r="V25" s="61" t="n">
        <v>0.0929</v>
      </c>
      <c r="W25" s="61" t="n">
        <v>1</v>
      </c>
      <c r="X25" s="61" t="n">
        <v>0.97</v>
      </c>
      <c r="Y25" s="71" t="inlineStr"/>
      <c r="Z25" s="69" t="inlineStr"/>
      <c r="AA25" s="27" t="inlineStr">
        <is>
          <t>محقق</t>
        </is>
      </c>
      <c r="AB25" s="27" t="n">
        <v>1</v>
      </c>
      <c r="AC25" s="74" t="inlineStr">
        <is>
          <t>#2EAD6B</t>
        </is>
      </c>
    </row>
    <row r="26">
      <c r="A26" s="9" t="inlineStr">
        <is>
          <t>الامتياز التجاري</t>
        </is>
      </c>
      <c r="B26" s="9" t="inlineStr">
        <is>
          <t>التشغيل والجودة</t>
        </is>
      </c>
      <c r="C26" s="9" t="inlineStr">
        <is>
          <t>عدد حالات انقطاع الوقود الموثّقة</t>
        </is>
      </c>
      <c r="D26" s="15" t="inlineStr">
        <is>
          <t>⚙️ نشاط</t>
        </is>
      </c>
      <c r="E26" s="46" t="inlineStr">
        <is>
          <t>حالة</t>
        </is>
      </c>
      <c r="F26" s="46" t="inlineStr">
        <is>
          <t>↓</t>
        </is>
      </c>
      <c r="G26" s="15" t="inlineStr">
        <is>
          <t>🔴 رئيسي</t>
        </is>
      </c>
      <c r="H26" s="61" t="n">
        <v>0.04</v>
      </c>
      <c r="I26" s="46" t="n">
        <v>0</v>
      </c>
      <c r="J26" s="46" t="n"/>
      <c r="K26" s="61" t="n"/>
      <c r="L26" s="27" t="inlineStr">
        <is>
          <t>⏳ بانتظار هدف</t>
        </is>
      </c>
      <c r="M26" s="27" t="inlineStr">
        <is>
          <t>الاستدامة</t>
        </is>
      </c>
      <c r="N26" s="13" t="inlineStr">
        <is>
          <t>جودة التشغيل</t>
        </is>
      </c>
      <c r="O26" s="15" t="inlineStr">
        <is>
          <t>العمليات الداخلية</t>
        </is>
      </c>
      <c r="P26" s="15" t="inlineStr">
        <is>
          <t>مدير الامتياز</t>
        </is>
      </c>
      <c r="Q26" s="13" t="inlineStr">
        <is>
          <t>نظام إدارة الجودة (QMS)</t>
        </is>
      </c>
      <c r="R26" s="15" t="inlineStr">
        <is>
          <t>شهري</t>
        </is>
      </c>
      <c r="S26" s="46" t="n"/>
      <c r="T26" s="46" t="n"/>
      <c r="U26" s="46" t="n"/>
      <c r="V26" s="61" t="n"/>
      <c r="W26" s="61" t="n">
        <v>1</v>
      </c>
      <c r="X26" s="61" t="n">
        <v>0.85</v>
      </c>
      <c r="Y26" s="71" t="inlineStr"/>
      <c r="Z26" s="69" t="inlineStr"/>
      <c r="AA26" s="27" t="inlineStr">
        <is>
          <t>بانتظار هدف</t>
        </is>
      </c>
      <c r="AB26" s="27" t="n">
        <v>4</v>
      </c>
      <c r="AC26" s="73" t="inlineStr">
        <is>
          <t>#BDBDBD</t>
        </is>
      </c>
    </row>
    <row r="27">
      <c r="A27" s="9" t="inlineStr">
        <is>
          <t>الامتياز التجاري</t>
        </is>
      </c>
      <c r="B27" s="9" t="inlineStr">
        <is>
          <t>التشغيل والجودة</t>
        </is>
      </c>
      <c r="C27" s="9" t="inlineStr">
        <is>
          <t>نسبة إغلاق ملاحظات الجودة الميدانية</t>
        </is>
      </c>
      <c r="D27" s="15" t="inlineStr">
        <is>
          <t>🎯 نتيجة</t>
        </is>
      </c>
      <c r="E27" s="46" t="inlineStr">
        <is>
          <t>%</t>
        </is>
      </c>
      <c r="F27" s="46" t="inlineStr">
        <is>
          <t>↑</t>
        </is>
      </c>
      <c r="G27" s="15" t="inlineStr">
        <is>
          <t>🟠 مهم</t>
        </is>
      </c>
      <c r="H27" s="61" t="n">
        <v>0.03</v>
      </c>
      <c r="I27" s="46" t="n">
        <v>0.95</v>
      </c>
      <c r="J27" s="46" t="n">
        <v>0.879</v>
      </c>
      <c r="K27" s="61" t="n">
        <v>0.9252631578947369</v>
      </c>
      <c r="L27" s="27" t="inlineStr">
        <is>
          <t>🟡 قريب</t>
        </is>
      </c>
      <c r="M27" s="27" t="inlineStr">
        <is>
          <t>الاستدامة</t>
        </is>
      </c>
      <c r="N27" s="13" t="inlineStr">
        <is>
          <t>جودة التشغيل</t>
        </is>
      </c>
      <c r="O27" s="15" t="inlineStr">
        <is>
          <t>العمليات الداخلية</t>
        </is>
      </c>
      <c r="P27" s="15" t="inlineStr">
        <is>
          <t>مدير الامتياز</t>
        </is>
      </c>
      <c r="Q27" s="13" t="inlineStr">
        <is>
          <t>نظام إدارة الجودة (QMS)</t>
        </is>
      </c>
      <c r="R27" s="15" t="inlineStr">
        <is>
          <t>شهري</t>
        </is>
      </c>
      <c r="S27" s="46" t="n">
        <v>0.8</v>
      </c>
      <c r="T27" s="46" t="n">
        <v>0.84</v>
      </c>
      <c r="U27" s="46" t="n">
        <v>0.879</v>
      </c>
      <c r="V27" s="61" t="n">
        <v>0.0987</v>
      </c>
      <c r="W27" s="61" t="n">
        <v>1</v>
      </c>
      <c r="X27" s="61" t="n">
        <v>0.85</v>
      </c>
      <c r="Y27" s="71" t="inlineStr">
        <is>
          <t>قريب من المستهدف — فجوة 7٪، متابعة لإغلاقها.</t>
        </is>
      </c>
      <c r="Z27" s="69" t="inlineStr">
        <is>
          <t>متابعة أسبوعية حتى بلوغ المستهدف.</t>
        </is>
      </c>
      <c r="AA27" s="27" t="inlineStr">
        <is>
          <t>قريب</t>
        </is>
      </c>
      <c r="AB27" s="27" t="n">
        <v>2</v>
      </c>
      <c r="AC27" s="72" t="inlineStr">
        <is>
          <t>#F2C94C</t>
        </is>
      </c>
    </row>
    <row r="28">
      <c r="A28" s="9" t="inlineStr">
        <is>
          <t>الامتياز التجاري</t>
        </is>
      </c>
      <c r="B28" s="9" t="inlineStr">
        <is>
          <t>التشغيل والجودة</t>
        </is>
      </c>
      <c r="C28" s="9" t="inlineStr">
        <is>
          <t>متوسط درجة تقييم جودة المحطة (قائمة التحقق)</t>
        </is>
      </c>
      <c r="D28" s="15" t="inlineStr">
        <is>
          <t>🎯 نتيجة</t>
        </is>
      </c>
      <c r="E28" s="46" t="inlineStr">
        <is>
          <t>درجة/100</t>
        </is>
      </c>
      <c r="F28" s="46" t="inlineStr">
        <is>
          <t>↑</t>
        </is>
      </c>
      <c r="G28" s="15" t="inlineStr">
        <is>
          <t>🔴 رئيسي</t>
        </is>
      </c>
      <c r="H28" s="61" t="n">
        <v>0.04</v>
      </c>
      <c r="I28" s="46" t="n">
        <v>85</v>
      </c>
      <c r="J28" s="46" t="n">
        <v>78.8</v>
      </c>
      <c r="K28" s="61" t="n">
        <v>0.9270588235294117</v>
      </c>
      <c r="L28" s="27" t="inlineStr">
        <is>
          <t>🟡 قريب</t>
        </is>
      </c>
      <c r="M28" s="27" t="inlineStr">
        <is>
          <t>الاستدامة</t>
        </is>
      </c>
      <c r="N28" s="13" t="inlineStr">
        <is>
          <t>جودة التشغيل</t>
        </is>
      </c>
      <c r="O28" s="15" t="inlineStr">
        <is>
          <t>العمليات الداخلية</t>
        </is>
      </c>
      <c r="P28" s="15" t="inlineStr">
        <is>
          <t>مدير الامتياز</t>
        </is>
      </c>
      <c r="Q28" s="13" t="inlineStr">
        <is>
          <t>نظام إدارة الجودة (QMS)</t>
        </is>
      </c>
      <c r="R28" s="15" t="inlineStr">
        <is>
          <t>شهري</t>
        </is>
      </c>
      <c r="S28" s="46" t="n">
        <v>72.32599999999999</v>
      </c>
      <c r="T28" s="46" t="n">
        <v>75.563</v>
      </c>
      <c r="U28" s="46" t="n">
        <v>78.8</v>
      </c>
      <c r="V28" s="61" t="n">
        <v>0.0895</v>
      </c>
      <c r="W28" s="61" t="n">
        <v>1</v>
      </c>
      <c r="X28" s="61" t="n">
        <v>0.85</v>
      </c>
      <c r="Y28" s="71" t="inlineStr">
        <is>
          <t>قريب من المستهدف — فجوة 7٪، متابعة لإغلاقها.</t>
        </is>
      </c>
      <c r="Z28" s="69" t="inlineStr">
        <is>
          <t>متابعة أسبوعية حتى بلوغ المستهدف.</t>
        </is>
      </c>
      <c r="AA28" s="27" t="inlineStr">
        <is>
          <t>قريب</t>
        </is>
      </c>
      <c r="AB28" s="27" t="n">
        <v>2</v>
      </c>
      <c r="AC28" s="72" t="inlineStr">
        <is>
          <t>#F2C94C</t>
        </is>
      </c>
    </row>
    <row r="29">
      <c r="A29" s="9" t="inlineStr">
        <is>
          <t>الامتياز التجاري</t>
        </is>
      </c>
      <c r="B29" s="9" t="inlineStr">
        <is>
          <t>التشغيل والجودة</t>
        </is>
      </c>
      <c r="C29" s="9" t="inlineStr">
        <is>
          <t>نسبة تنفيذ الزيارات الميدانية المجدولة</t>
        </is>
      </c>
      <c r="D29" s="15" t="inlineStr">
        <is>
          <t>⚙️ نشاط</t>
        </is>
      </c>
      <c r="E29" s="46" t="inlineStr">
        <is>
          <t>%</t>
        </is>
      </c>
      <c r="F29" s="46" t="inlineStr">
        <is>
          <t>↑</t>
        </is>
      </c>
      <c r="G29" s="15" t="inlineStr">
        <is>
          <t>🟠 مهم</t>
        </is>
      </c>
      <c r="H29" s="61" t="n">
        <v>0.03</v>
      </c>
      <c r="I29" s="46" t="n">
        <v>1</v>
      </c>
      <c r="J29" s="46" t="n">
        <v>1.034</v>
      </c>
      <c r="K29" s="61" t="n">
        <v>1</v>
      </c>
      <c r="L29" s="27" t="inlineStr">
        <is>
          <t>✅ محقق</t>
        </is>
      </c>
      <c r="M29" s="27" t="inlineStr">
        <is>
          <t>الاستدامة</t>
        </is>
      </c>
      <c r="N29" s="13" t="inlineStr">
        <is>
          <t>جودة التشغيل</t>
        </is>
      </c>
      <c r="O29" s="15" t="inlineStr">
        <is>
          <t>العمليات الداخلية</t>
        </is>
      </c>
      <c r="P29" s="15" t="inlineStr">
        <is>
          <t>مدير الامتياز</t>
        </is>
      </c>
      <c r="Q29" s="13" t="inlineStr">
        <is>
          <t>نظام إدارة الجودة (QMS)</t>
        </is>
      </c>
      <c r="R29" s="15" t="inlineStr">
        <is>
          <t>شهري</t>
        </is>
      </c>
      <c r="S29" s="46" t="n">
        <v>0.859</v>
      </c>
      <c r="T29" s="46" t="n">
        <v>0.947</v>
      </c>
      <c r="U29" s="46" t="n">
        <v>1.034</v>
      </c>
      <c r="V29" s="61" t="n">
        <v>0.2037</v>
      </c>
      <c r="W29" s="61" t="n">
        <v>1</v>
      </c>
      <c r="X29" s="61" t="n">
        <v>0.85</v>
      </c>
      <c r="Y29" s="71" t="inlineStr"/>
      <c r="Z29" s="69" t="inlineStr"/>
      <c r="AA29" s="27" t="inlineStr">
        <is>
          <t>محقق</t>
        </is>
      </c>
      <c r="AB29" s="27" t="n">
        <v>1</v>
      </c>
      <c r="AC29" s="74" t="inlineStr">
        <is>
          <t>#2EAD6B</t>
        </is>
      </c>
    </row>
    <row r="30">
      <c r="A30" s="9" t="inlineStr">
        <is>
          <t>الامتياز التجاري</t>
        </is>
      </c>
      <c r="B30" s="9" t="inlineStr">
        <is>
          <t>التشغيل والجودة</t>
        </is>
      </c>
      <c r="C30" s="9" t="inlineStr">
        <is>
          <t>نسبة المحطات المستوفية لمعايير السلامة</t>
        </is>
      </c>
      <c r="D30" s="15" t="inlineStr">
        <is>
          <t>🎯 نتيجة</t>
        </is>
      </c>
      <c r="E30" s="46" t="inlineStr">
        <is>
          <t>%</t>
        </is>
      </c>
      <c r="F30" s="46" t="inlineStr">
        <is>
          <t>↑</t>
        </is>
      </c>
      <c r="G30" s="15" t="inlineStr">
        <is>
          <t>🔴 رئيسي</t>
        </is>
      </c>
      <c r="H30" s="61" t="n">
        <v>0.04</v>
      </c>
      <c r="I30" s="46" t="n">
        <v>1</v>
      </c>
      <c r="J30" s="46" t="n">
        <v>0.911</v>
      </c>
      <c r="K30" s="61" t="n">
        <v>0.911</v>
      </c>
      <c r="L30" s="27" t="inlineStr">
        <is>
          <t>🔴 تحت الهدف</t>
        </is>
      </c>
      <c r="M30" s="27" t="inlineStr">
        <is>
          <t>الاستدامة</t>
        </is>
      </c>
      <c r="N30" s="13" t="inlineStr">
        <is>
          <t>جودة التشغيل</t>
        </is>
      </c>
      <c r="O30" s="15" t="inlineStr">
        <is>
          <t>العمليات الداخلية</t>
        </is>
      </c>
      <c r="P30" s="15" t="inlineStr">
        <is>
          <t>مدير الامتياز</t>
        </is>
      </c>
      <c r="Q30" s="13" t="inlineStr">
        <is>
          <t>نظام إدارة الجودة (QMS)</t>
        </is>
      </c>
      <c r="R30" s="15" t="inlineStr">
        <is>
          <t>شهري</t>
        </is>
      </c>
      <c r="S30" s="46" t="n">
        <v>0.832</v>
      </c>
      <c r="T30" s="46" t="n">
        <v>0.871</v>
      </c>
      <c r="U30" s="46" t="n">
        <v>0.911</v>
      </c>
      <c r="V30" s="61" t="n">
        <v>0.095</v>
      </c>
      <c r="W30" s="61" t="n">
        <v>1</v>
      </c>
      <c r="X30" s="61" t="n">
        <v>0.97</v>
      </c>
      <c r="Y30" s="75" t="inlineStr">
        <is>
          <t>دون المستهدف — فجوة 9٪، يتطلب إجراءً تصحيحياً عاجلاً.</t>
        </is>
      </c>
      <c r="Z30" s="69" t="inlineStr">
        <is>
          <t>إطلاق إجراء تصحيحي خلال 30 يوماً بإشراف مدير الامتياز.</t>
        </is>
      </c>
      <c r="AA30" s="27" t="inlineStr">
        <is>
          <t>تحت الهدف</t>
        </is>
      </c>
      <c r="AB30" s="27" t="n">
        <v>3</v>
      </c>
      <c r="AC30" s="76" t="inlineStr">
        <is>
          <t>#EB5757</t>
        </is>
      </c>
    </row>
    <row r="31">
      <c r="A31" s="9" t="inlineStr">
        <is>
          <t>الامتياز التجاري</t>
        </is>
      </c>
      <c r="B31" s="9" t="inlineStr">
        <is>
          <t>التشغيل والجودة</t>
        </is>
      </c>
      <c r="C31" s="9" t="inlineStr">
        <is>
          <t>متوسط وقت معالجة البلاغات التشغيلية</t>
        </is>
      </c>
      <c r="D31" s="15" t="inlineStr">
        <is>
          <t>🎯 نتيجة</t>
        </is>
      </c>
      <c r="E31" s="46" t="inlineStr">
        <is>
          <t>ساعة</t>
        </is>
      </c>
      <c r="F31" s="46" t="inlineStr">
        <is>
          <t>↓</t>
        </is>
      </c>
      <c r="G31" s="15" t="inlineStr">
        <is>
          <t>🟠 مهم</t>
        </is>
      </c>
      <c r="H31" s="61" t="n">
        <v>0.02</v>
      </c>
      <c r="I31" s="46" t="n">
        <v>24</v>
      </c>
      <c r="J31" s="46" t="n">
        <v>26.2</v>
      </c>
      <c r="K31" s="61" t="n">
        <v>0.916030534351145</v>
      </c>
      <c r="L31" s="27" t="inlineStr">
        <is>
          <t>🟡 قريب</t>
        </is>
      </c>
      <c r="M31" s="27" t="inlineStr">
        <is>
          <t>الاستدامة</t>
        </is>
      </c>
      <c r="N31" s="13" t="inlineStr">
        <is>
          <t>جودة التشغيل</t>
        </is>
      </c>
      <c r="O31" s="15" t="inlineStr">
        <is>
          <t>العمليات الداخلية</t>
        </is>
      </c>
      <c r="P31" s="15" t="inlineStr">
        <is>
          <t>مدير الامتياز</t>
        </is>
      </c>
      <c r="Q31" s="13" t="inlineStr">
        <is>
          <t>نظام إدارة الجودة (QMS)</t>
        </is>
      </c>
      <c r="R31" s="15" t="inlineStr">
        <is>
          <t>شهري</t>
        </is>
      </c>
      <c r="S31" s="46" t="n">
        <v>31.333</v>
      </c>
      <c r="T31" s="46" t="n">
        <v>28.767</v>
      </c>
      <c r="U31" s="46" t="n">
        <v>26.2</v>
      </c>
      <c r="V31" s="61" t="n">
        <v>-0.1638</v>
      </c>
      <c r="W31" s="61" t="n">
        <v>1</v>
      </c>
      <c r="X31" s="61" t="n">
        <v>0.85</v>
      </c>
      <c r="Y31" s="71" t="inlineStr">
        <is>
          <t>قريب من المستهدف — فجوة 8٪، متابعة لإغلاقها.</t>
        </is>
      </c>
      <c r="Z31" s="69" t="inlineStr">
        <is>
          <t>متابعة أسبوعية حتى بلوغ المستهدف.</t>
        </is>
      </c>
      <c r="AA31" s="27" t="inlineStr">
        <is>
          <t>قريب</t>
        </is>
      </c>
      <c r="AB31" s="27" t="n">
        <v>2</v>
      </c>
      <c r="AC31" s="72" t="inlineStr">
        <is>
          <t>#F2C94C</t>
        </is>
      </c>
    </row>
    <row r="32">
      <c r="A32" s="9" t="inlineStr">
        <is>
          <t>الامتياز التجاري</t>
        </is>
      </c>
      <c r="B32" s="9" t="inlineStr">
        <is>
          <t>التشغيل والجودة</t>
        </is>
      </c>
      <c r="C32" s="9" t="inlineStr">
        <is>
          <t>نسبة أتمتة محطات الامتياز</t>
        </is>
      </c>
      <c r="D32" s="15" t="inlineStr">
        <is>
          <t>🔧 تشغيلي</t>
        </is>
      </c>
      <c r="E32" s="46" t="inlineStr">
        <is>
          <t>%</t>
        </is>
      </c>
      <c r="F32" s="46" t="inlineStr">
        <is>
          <t>↑</t>
        </is>
      </c>
      <c r="G32" s="15" t="inlineStr">
        <is>
          <t>🔴 رئيسي</t>
        </is>
      </c>
      <c r="H32" s="61" t="n">
        <v>0.04</v>
      </c>
      <c r="I32" s="46" t="n">
        <v>0.9</v>
      </c>
      <c r="J32" s="46" t="n">
        <v>0.674</v>
      </c>
      <c r="K32" s="61" t="n">
        <v>0.7488888888888889</v>
      </c>
      <c r="L32" s="27" t="inlineStr">
        <is>
          <t>🔴 تحت الهدف</t>
        </is>
      </c>
      <c r="M32" s="27" t="inlineStr">
        <is>
          <t>الابتكار</t>
        </is>
      </c>
      <c r="N32" s="13" t="inlineStr">
        <is>
          <t>التحول التقني</t>
        </is>
      </c>
      <c r="O32" s="15" t="inlineStr">
        <is>
          <t>التعلّم والنمو</t>
        </is>
      </c>
      <c r="P32" s="15" t="inlineStr">
        <is>
          <t>مدير الامتياز</t>
        </is>
      </c>
      <c r="Q32" s="13" t="inlineStr">
        <is>
          <t>مكتب إدارة المشاريع (PMO)</t>
        </is>
      </c>
      <c r="R32" s="15" t="inlineStr">
        <is>
          <t>شهري</t>
        </is>
      </c>
      <c r="S32" s="46" t="n">
        <v>0.601</v>
      </c>
      <c r="T32" s="46" t="n">
        <v>0.637</v>
      </c>
      <c r="U32" s="46" t="n">
        <v>0.674</v>
      </c>
      <c r="V32" s="61" t="n">
        <v>0.1215</v>
      </c>
      <c r="W32" s="61" t="n">
        <v>1</v>
      </c>
      <c r="X32" s="61" t="n">
        <v>0.85</v>
      </c>
      <c r="Y32" s="75" t="inlineStr">
        <is>
          <t>دون المستهدف — فجوة 25٪، يتطلب إجراءً تصحيحياً عاجلاً.</t>
        </is>
      </c>
      <c r="Z32" s="69" t="inlineStr">
        <is>
          <t>إطلاق إجراء تصحيحي خلال 30 يوماً بإشراف مدير الامتياز.</t>
        </is>
      </c>
      <c r="AA32" s="27" t="inlineStr">
        <is>
          <t>تحت الهدف</t>
        </is>
      </c>
      <c r="AB32" s="27" t="n">
        <v>3</v>
      </c>
      <c r="AC32" s="76" t="inlineStr">
        <is>
          <t>#EB5757</t>
        </is>
      </c>
    </row>
    <row r="33">
      <c r="A33" s="9" t="inlineStr">
        <is>
          <t>الامتياز التجاري</t>
        </is>
      </c>
      <c r="B33" s="9" t="inlineStr">
        <is>
          <t>التشغيل والجودة</t>
        </is>
      </c>
      <c r="C33" s="9" t="inlineStr">
        <is>
          <t>نسبة تطبيق المعيار الشامل داخل المحطات</t>
        </is>
      </c>
      <c r="D33" s="15" t="inlineStr">
        <is>
          <t>🔧 تشغيلي</t>
        </is>
      </c>
      <c r="E33" s="46" t="inlineStr">
        <is>
          <t>%</t>
        </is>
      </c>
      <c r="F33" s="46" t="inlineStr">
        <is>
          <t>↑</t>
        </is>
      </c>
      <c r="G33" s="15" t="inlineStr">
        <is>
          <t>🟡 متابعة</t>
        </is>
      </c>
      <c r="H33" s="61" t="n">
        <v>0.01</v>
      </c>
      <c r="I33" s="46" t="n">
        <v>0.3</v>
      </c>
      <c r="J33" s="46" t="n">
        <v>0.299</v>
      </c>
      <c r="K33" s="61" t="n">
        <v>0.9966666666666667</v>
      </c>
      <c r="L33" s="27" t="inlineStr">
        <is>
          <t>🟡 قريب</t>
        </is>
      </c>
      <c r="M33" s="27" t="inlineStr">
        <is>
          <t>الابتكار</t>
        </is>
      </c>
      <c r="N33" s="13" t="inlineStr">
        <is>
          <t>التحول التقني</t>
        </is>
      </c>
      <c r="O33" s="15" t="inlineStr">
        <is>
          <t>التعلّم والنمو</t>
        </is>
      </c>
      <c r="P33" s="15" t="inlineStr">
        <is>
          <t>مدير الامتياز</t>
        </is>
      </c>
      <c r="Q33" s="13" t="inlineStr">
        <is>
          <t>نظام إدارة الجودة (QMS)</t>
        </is>
      </c>
      <c r="R33" s="15" t="inlineStr">
        <is>
          <t>شهري</t>
        </is>
      </c>
      <c r="S33" s="46" t="n">
        <v>0.273</v>
      </c>
      <c r="T33" s="46" t="n">
        <v>0.286</v>
      </c>
      <c r="U33" s="46" t="n">
        <v>0.299</v>
      </c>
      <c r="V33" s="61" t="n">
        <v>0.09520000000000001</v>
      </c>
      <c r="W33" s="61" t="n">
        <v>1</v>
      </c>
      <c r="X33" s="61" t="n">
        <v>0.85</v>
      </c>
      <c r="Y33" s="71" t="inlineStr">
        <is>
          <t>قريب من المستهدف — فجوة 0٪، متابعة لإغلاقها.</t>
        </is>
      </c>
      <c r="Z33" s="69" t="inlineStr">
        <is>
          <t>متابعة أسبوعية حتى بلوغ المستهدف.</t>
        </is>
      </c>
      <c r="AA33" s="27" t="inlineStr">
        <is>
          <t>قريب</t>
        </is>
      </c>
      <c r="AB33" s="27" t="n">
        <v>2</v>
      </c>
      <c r="AC33" s="72" t="inlineStr">
        <is>
          <t>#F2C94C</t>
        </is>
      </c>
    </row>
    <row r="34">
      <c r="A34" s="9" t="inlineStr">
        <is>
          <t>الامتياز التجاري</t>
        </is>
      </c>
      <c r="B34" s="9" t="inlineStr">
        <is>
          <t>الهوية والتسويق</t>
        </is>
      </c>
      <c r="C34" s="9" t="inlineStr">
        <is>
          <t>نسبة التزام المحطات بالهوية المؤسسية</t>
        </is>
      </c>
      <c r="D34" s="15" t="inlineStr">
        <is>
          <t>🎯 نتيجة</t>
        </is>
      </c>
      <c r="E34" s="46" t="inlineStr">
        <is>
          <t>%</t>
        </is>
      </c>
      <c r="F34" s="46" t="inlineStr">
        <is>
          <t>↑</t>
        </is>
      </c>
      <c r="G34" s="15" t="inlineStr">
        <is>
          <t>🔴 رئيسي</t>
        </is>
      </c>
      <c r="H34" s="61" t="n">
        <v>0.04</v>
      </c>
      <c r="I34" s="46" t="n">
        <v>0.55</v>
      </c>
      <c r="J34" s="46" t="n">
        <v>0.44</v>
      </c>
      <c r="K34" s="61" t="n">
        <v>0.7999999999999999</v>
      </c>
      <c r="L34" s="27" t="inlineStr">
        <is>
          <t>🔴 تحت الهدف</t>
        </is>
      </c>
      <c r="M34" s="27" t="inlineStr">
        <is>
          <t>الابتكار</t>
        </is>
      </c>
      <c r="N34" s="13" t="inlineStr">
        <is>
          <t>تطوير التصاميم والهوية</t>
        </is>
      </c>
      <c r="O34" s="15" t="inlineStr">
        <is>
          <t>التعلّم والنمو</t>
        </is>
      </c>
      <c r="P34" s="15" t="inlineStr">
        <is>
          <t>مدير الامتياز</t>
        </is>
      </c>
      <c r="Q34" s="13" t="inlineStr">
        <is>
          <t>نظام تشغيل المحطات</t>
        </is>
      </c>
      <c r="R34" s="15" t="inlineStr">
        <is>
          <t>شهري</t>
        </is>
      </c>
      <c r="S34" s="46" t="n">
        <v>0.402</v>
      </c>
      <c r="T34" s="46" t="n">
        <v>0.421</v>
      </c>
      <c r="U34" s="46" t="n">
        <v>0.44</v>
      </c>
      <c r="V34" s="61" t="n">
        <v>0.0945</v>
      </c>
      <c r="W34" s="61" t="n">
        <v>1</v>
      </c>
      <c r="X34" s="61" t="n">
        <v>0.85</v>
      </c>
      <c r="Y34" s="75" t="inlineStr">
        <is>
          <t>دون المستهدف — فجوة 20٪، يتطلب إجراءً تصحيحياً عاجلاً.</t>
        </is>
      </c>
      <c r="Z34" s="69" t="inlineStr">
        <is>
          <t>إطلاق إجراء تصحيحي خلال 30 يوماً بإشراف مدير الامتياز.</t>
        </is>
      </c>
      <c r="AA34" s="27" t="inlineStr">
        <is>
          <t>تحت الهدف</t>
        </is>
      </c>
      <c r="AB34" s="27" t="n">
        <v>3</v>
      </c>
      <c r="AC34" s="76" t="inlineStr">
        <is>
          <t>#EB5757</t>
        </is>
      </c>
    </row>
    <row r="35">
      <c r="A35" s="9" t="inlineStr">
        <is>
          <t>الامتياز التجاري</t>
        </is>
      </c>
      <c r="B35" s="9" t="inlineStr">
        <is>
          <t>تجربة العملاء والشركاء</t>
        </is>
      </c>
      <c r="C35" s="9" t="inlineStr">
        <is>
          <t>متوسط تقييم المحطات على خرائط قوقل</t>
        </is>
      </c>
      <c r="D35" s="15" t="inlineStr">
        <is>
          <t>🎯 نتيجة</t>
        </is>
      </c>
      <c r="E35" s="46" t="inlineStr">
        <is>
          <t>نجمة/5</t>
        </is>
      </c>
      <c r="F35" s="46" t="inlineStr">
        <is>
          <t>↑</t>
        </is>
      </c>
      <c r="G35" s="15" t="inlineStr">
        <is>
          <t>🔴 رئيسي</t>
        </is>
      </c>
      <c r="H35" s="61" t="n">
        <v>0.04</v>
      </c>
      <c r="I35" s="46" t="n">
        <v>4.7</v>
      </c>
      <c r="J35" s="46" t="n">
        <v>3.474</v>
      </c>
      <c r="K35" s="61" t="n">
        <v>0.7391489361702128</v>
      </c>
      <c r="L35" s="27" t="inlineStr">
        <is>
          <t>🔴 تحت الهدف</t>
        </is>
      </c>
      <c r="M35" s="27" t="inlineStr">
        <is>
          <t>الاستدامة</t>
        </is>
      </c>
      <c r="N35" s="13" t="inlineStr">
        <is>
          <t>تعزيز تجربة العملاء</t>
        </is>
      </c>
      <c r="O35" s="15" t="inlineStr">
        <is>
          <t>العملاء</t>
        </is>
      </c>
      <c r="P35" s="15" t="inlineStr">
        <is>
          <t>مدير الامتياز</t>
        </is>
      </c>
      <c r="Q35" s="13" t="inlineStr">
        <is>
          <t>تقييمات خرائط قوقل</t>
        </is>
      </c>
      <c r="R35" s="15" t="inlineStr">
        <is>
          <t>شهري</t>
        </is>
      </c>
      <c r="S35" s="46" t="n">
        <v>2.826</v>
      </c>
      <c r="T35" s="46" t="n">
        <v>3.15</v>
      </c>
      <c r="U35" s="46" t="n">
        <v>3.474</v>
      </c>
      <c r="V35" s="61" t="n">
        <v>0.2293</v>
      </c>
      <c r="W35" s="61" t="n">
        <v>1</v>
      </c>
      <c r="X35" s="61" t="n">
        <v>0.85</v>
      </c>
      <c r="Y35" s="75" t="inlineStr">
        <is>
          <t>دون المستهدف — فجوة 26٪، يتطلب إجراءً تصحيحياً عاجلاً.</t>
        </is>
      </c>
      <c r="Z35" s="69" t="inlineStr">
        <is>
          <t>إطلاق إجراء تصحيحي خلال 30 يوماً بإشراف مدير الامتياز.</t>
        </is>
      </c>
      <c r="AA35" s="27" t="inlineStr">
        <is>
          <t>تحت الهدف</t>
        </is>
      </c>
      <c r="AB35" s="27" t="n">
        <v>3</v>
      </c>
      <c r="AC35" s="76" t="inlineStr">
        <is>
          <t>#EB5757</t>
        </is>
      </c>
    </row>
    <row r="36">
      <c r="A36" s="9" t="inlineStr">
        <is>
          <t>الامتياز التجاري</t>
        </is>
      </c>
      <c r="B36" s="9" t="inlineStr">
        <is>
          <t>تجربة العملاء والشركاء</t>
        </is>
      </c>
      <c r="C36" s="9" t="inlineStr">
        <is>
          <t>معدل رضا شركاء الامتياز (CSAT)</t>
        </is>
      </c>
      <c r="D36" s="15" t="inlineStr">
        <is>
          <t>🎯 نتيجة</t>
        </is>
      </c>
      <c r="E36" s="46" t="inlineStr">
        <is>
          <t>%</t>
        </is>
      </c>
      <c r="F36" s="46" t="inlineStr">
        <is>
          <t>↑</t>
        </is>
      </c>
      <c r="G36" s="15" t="inlineStr">
        <is>
          <t>🔴 رئيسي</t>
        </is>
      </c>
      <c r="H36" s="61" t="n">
        <v>0.04</v>
      </c>
      <c r="I36" s="46" t="n">
        <v>0.9</v>
      </c>
      <c r="J36" s="46" t="n">
        <v>0.837</v>
      </c>
      <c r="K36" s="61" t="n">
        <v>0.9299999999999999</v>
      </c>
      <c r="L36" s="27" t="inlineStr">
        <is>
          <t>✅ محقق</t>
        </is>
      </c>
      <c r="M36" s="27" t="inlineStr">
        <is>
          <t>الاستدامة</t>
        </is>
      </c>
      <c r="N36" s="13" t="inlineStr">
        <is>
          <t>تعزيز تجربة العملاء</t>
        </is>
      </c>
      <c r="O36" s="15" t="inlineStr">
        <is>
          <t>العملاء</t>
        </is>
      </c>
      <c r="P36" s="15" t="inlineStr">
        <is>
          <t>مدير الامتياز</t>
        </is>
      </c>
      <c r="Q36" s="13" t="inlineStr">
        <is>
          <t>استبيان دوري</t>
        </is>
      </c>
      <c r="R36" s="15" t="inlineStr">
        <is>
          <t>ربعي</t>
        </is>
      </c>
      <c r="S36" s="46" t="n">
        <v>0.678</v>
      </c>
      <c r="T36" s="46" t="n">
        <v>0.758</v>
      </c>
      <c r="U36" s="46" t="n">
        <v>0.837</v>
      </c>
      <c r="V36" s="61" t="n">
        <v>0.2345</v>
      </c>
      <c r="W36" s="61" t="n">
        <v>0.9</v>
      </c>
      <c r="X36" s="61" t="n">
        <v>0.75</v>
      </c>
      <c r="Y36" s="71" t="inlineStr"/>
      <c r="Z36" s="69" t="inlineStr"/>
      <c r="AA36" s="27" t="inlineStr">
        <is>
          <t>محقق</t>
        </is>
      </c>
      <c r="AB36" s="27" t="n">
        <v>1</v>
      </c>
      <c r="AC36" s="74" t="inlineStr">
        <is>
          <t>#2EAD6B</t>
        </is>
      </c>
    </row>
    <row r="37">
      <c r="A37" s="9" t="inlineStr">
        <is>
          <t>الامتياز التجاري</t>
        </is>
      </c>
      <c r="B37" s="9" t="inlineStr">
        <is>
          <t>تجربة العملاء والشركاء</t>
        </is>
      </c>
      <c r="C37" s="9" t="inlineStr">
        <is>
          <t>نسبة حل الشكاوى خلال المدة المحددة</t>
        </is>
      </c>
      <c r="D37" s="15" t="inlineStr">
        <is>
          <t>🎯 نتيجة</t>
        </is>
      </c>
      <c r="E37" s="46" t="inlineStr">
        <is>
          <t>%</t>
        </is>
      </c>
      <c r="F37" s="46" t="inlineStr">
        <is>
          <t>↑</t>
        </is>
      </c>
      <c r="G37" s="15" t="inlineStr">
        <is>
          <t>🟠 مهم</t>
        </is>
      </c>
      <c r="H37" s="61" t="n">
        <v>0.02</v>
      </c>
      <c r="I37" s="46" t="n">
        <v>0.95</v>
      </c>
      <c r="J37" s="46" t="n">
        <v>0.922</v>
      </c>
      <c r="K37" s="61" t="n">
        <v>0.9705263157894738</v>
      </c>
      <c r="L37" s="27" t="inlineStr">
        <is>
          <t>🟡 قريب</t>
        </is>
      </c>
      <c r="M37" s="27" t="inlineStr">
        <is>
          <t>الاستدامة</t>
        </is>
      </c>
      <c r="N37" s="13" t="inlineStr">
        <is>
          <t>تعزيز تجربة العملاء</t>
        </is>
      </c>
      <c r="O37" s="15" t="inlineStr">
        <is>
          <t>العملاء</t>
        </is>
      </c>
      <c r="P37" s="15" t="inlineStr">
        <is>
          <t>مدير الامتياز</t>
        </is>
      </c>
      <c r="Q37" s="13" t="inlineStr">
        <is>
          <t>سجلات الإدارة</t>
        </is>
      </c>
      <c r="R37" s="15" t="inlineStr">
        <is>
          <t>شهري</t>
        </is>
      </c>
      <c r="S37" s="46" t="n">
        <v>0.783</v>
      </c>
      <c r="T37" s="46" t="n">
        <v>0.853</v>
      </c>
      <c r="U37" s="46" t="n">
        <v>0.922</v>
      </c>
      <c r="V37" s="61" t="n">
        <v>0.1775</v>
      </c>
      <c r="W37" s="61" t="n">
        <v>1</v>
      </c>
      <c r="X37" s="61" t="n">
        <v>0.85</v>
      </c>
      <c r="Y37" s="71" t="inlineStr">
        <is>
          <t>قريب من المستهدف — فجوة 3٪، متابعة لإغلاقها.</t>
        </is>
      </c>
      <c r="Z37" s="69" t="inlineStr">
        <is>
          <t>متابعة أسبوعية حتى بلوغ المستهدف.</t>
        </is>
      </c>
      <c r="AA37" s="27" t="inlineStr">
        <is>
          <t>قريب</t>
        </is>
      </c>
      <c r="AB37" s="27" t="n">
        <v>2</v>
      </c>
      <c r="AC37" s="72" t="inlineStr">
        <is>
          <t>#F2C94C</t>
        </is>
      </c>
    </row>
    <row r="38">
      <c r="A38" s="9" t="inlineStr">
        <is>
          <t>الامتياز التجاري</t>
        </is>
      </c>
      <c r="B38" s="9" t="inlineStr">
        <is>
          <t>تجربة العملاء والشركاء</t>
        </is>
      </c>
      <c r="C38" s="9" t="inlineStr">
        <is>
          <t>نسبة انخفاض الشكاوى التشغيلية والإدارية</t>
        </is>
      </c>
      <c r="D38" s="15" t="inlineStr">
        <is>
          <t>🎯 نتيجة</t>
        </is>
      </c>
      <c r="E38" s="46" t="inlineStr">
        <is>
          <t>%</t>
        </is>
      </c>
      <c r="F38" s="46" t="inlineStr">
        <is>
          <t>↑</t>
        </is>
      </c>
      <c r="G38" s="15" t="inlineStr">
        <is>
          <t>🟠 مهم</t>
        </is>
      </c>
      <c r="H38" s="61" t="n">
        <v>0.02</v>
      </c>
      <c r="I38" s="46" t="n"/>
      <c r="J38" s="46" t="n"/>
      <c r="K38" s="61" t="n"/>
      <c r="L38" s="27" t="inlineStr">
        <is>
          <t>⏳ بانتظار هدف</t>
        </is>
      </c>
      <c r="M38" s="27" t="inlineStr">
        <is>
          <t>الاستدامة</t>
        </is>
      </c>
      <c r="N38" s="13" t="inlineStr">
        <is>
          <t>تعزيز تجربة العملاء</t>
        </is>
      </c>
      <c r="O38" s="15" t="inlineStr">
        <is>
          <t>العملاء</t>
        </is>
      </c>
      <c r="P38" s="15" t="inlineStr">
        <is>
          <t>مدير الامتياز</t>
        </is>
      </c>
      <c r="Q38" s="13" t="inlineStr">
        <is>
          <t>سجلات الإدارة</t>
        </is>
      </c>
      <c r="R38" s="15" t="inlineStr">
        <is>
          <t>شهري</t>
        </is>
      </c>
      <c r="S38" s="46" t="n"/>
      <c r="T38" s="46" t="n"/>
      <c r="U38" s="46" t="n"/>
      <c r="V38" s="61" t="n"/>
      <c r="W38" s="61" t="n">
        <v>1</v>
      </c>
      <c r="X38" s="61" t="n">
        <v>0.85</v>
      </c>
      <c r="Y38" s="71" t="inlineStr"/>
      <c r="Z38" s="69" t="inlineStr"/>
      <c r="AA38" s="27" t="inlineStr">
        <is>
          <t>بانتظار هدف</t>
        </is>
      </c>
      <c r="AB38" s="27" t="n">
        <v>4</v>
      </c>
      <c r="AC38" s="73" t="inlineStr">
        <is>
          <t>#BDBDBD</t>
        </is>
      </c>
    </row>
    <row r="39">
      <c r="A39" s="9" t="inlineStr">
        <is>
          <t>الامتياز التجاري</t>
        </is>
      </c>
      <c r="B39" s="9" t="inlineStr">
        <is>
          <t>استدامة الشراكة والامتثال</t>
        </is>
      </c>
      <c r="C39" s="9" t="inlineStr">
        <is>
          <t>نسبة استدامة أصحاب الامتياز (Retention)</t>
        </is>
      </c>
      <c r="D39" s="15" t="inlineStr">
        <is>
          <t>🎯 نتيجة</t>
        </is>
      </c>
      <c r="E39" s="46" t="inlineStr">
        <is>
          <t>%</t>
        </is>
      </c>
      <c r="F39" s="46" t="inlineStr">
        <is>
          <t>↑</t>
        </is>
      </c>
      <c r="G39" s="15" t="inlineStr">
        <is>
          <t>🟠 مهم</t>
        </is>
      </c>
      <c r="H39" s="61" t="n">
        <v>0.02</v>
      </c>
      <c r="I39" s="46" t="n">
        <v>0.9</v>
      </c>
      <c r="J39" s="46" t="n">
        <v>0.853</v>
      </c>
      <c r="K39" s="61" t="n">
        <v>0.9477777777777777</v>
      </c>
      <c r="L39" s="27" t="inlineStr">
        <is>
          <t>🟡 قريب</t>
        </is>
      </c>
      <c r="M39" s="27" t="inlineStr">
        <is>
          <t>الاستدامة</t>
        </is>
      </c>
      <c r="N39" s="13" t="inlineStr">
        <is>
          <t>تعزيز تجربة العملاء</t>
        </is>
      </c>
      <c r="O39" s="15" t="inlineStr">
        <is>
          <t>العمليات الداخلية</t>
        </is>
      </c>
      <c r="P39" s="15" t="inlineStr">
        <is>
          <t>مدير الامتياز</t>
        </is>
      </c>
      <c r="Q39" s="13" t="inlineStr">
        <is>
          <t>نظام إدارة الجودة (QMS)</t>
        </is>
      </c>
      <c r="R39" s="15" t="inlineStr">
        <is>
          <t>شهري</t>
        </is>
      </c>
      <c r="S39" s="46" t="n">
        <v>0.6909999999999999</v>
      </c>
      <c r="T39" s="46" t="n">
        <v>0.772</v>
      </c>
      <c r="U39" s="46" t="n">
        <v>0.853</v>
      </c>
      <c r="V39" s="61" t="n">
        <v>0.2344</v>
      </c>
      <c r="W39" s="61" t="n">
        <v>1</v>
      </c>
      <c r="X39" s="61" t="n">
        <v>0.85</v>
      </c>
      <c r="Y39" s="71" t="inlineStr">
        <is>
          <t>قريب من المستهدف — فجوة 5٪، متابعة لإغلاقها.</t>
        </is>
      </c>
      <c r="Z39" s="69" t="inlineStr">
        <is>
          <t>متابعة أسبوعية حتى بلوغ المستهدف.</t>
        </is>
      </c>
      <c r="AA39" s="27" t="inlineStr">
        <is>
          <t>قريب</t>
        </is>
      </c>
      <c r="AB39" s="27" t="n">
        <v>2</v>
      </c>
      <c r="AC39" s="72" t="inlineStr">
        <is>
          <t>#F2C94C</t>
        </is>
      </c>
    </row>
    <row r="40">
      <c r="A40" s="9" t="inlineStr">
        <is>
          <t>الامتياز التجاري</t>
        </is>
      </c>
      <c r="B40" s="9" t="inlineStr">
        <is>
          <t>استدامة الشراكة والامتثال</t>
        </is>
      </c>
      <c r="C40" s="9" t="inlineStr">
        <is>
          <t>نسبة زيادة عدد أصحاب الامتياز</t>
        </is>
      </c>
      <c r="D40" s="15" t="inlineStr">
        <is>
          <t>⚙️ نشاط</t>
        </is>
      </c>
      <c r="E40" s="46" t="inlineStr">
        <is>
          <t>%</t>
        </is>
      </c>
      <c r="F40" s="46" t="inlineStr">
        <is>
          <t>↑</t>
        </is>
      </c>
      <c r="G40" s="15" t="inlineStr">
        <is>
          <t>🟠 مهم</t>
        </is>
      </c>
      <c r="H40" s="61" t="n">
        <v>0.02</v>
      </c>
      <c r="I40" s="46" t="n">
        <v>1</v>
      </c>
      <c r="J40" s="46" t="n">
        <v>0.8100000000000001</v>
      </c>
      <c r="K40" s="61" t="n">
        <v>0.8100000000000001</v>
      </c>
      <c r="L40" s="27" t="inlineStr">
        <is>
          <t>🔴 تحت الهدف</t>
        </is>
      </c>
      <c r="M40" s="27" t="inlineStr">
        <is>
          <t>الاستدامة</t>
        </is>
      </c>
      <c r="N40" s="13" t="inlineStr">
        <is>
          <t>تعزيز تجربة العملاء</t>
        </is>
      </c>
      <c r="O40" s="15" t="inlineStr">
        <is>
          <t>العمليات الداخلية</t>
        </is>
      </c>
      <c r="P40" s="15" t="inlineStr">
        <is>
          <t>مدير الامتياز</t>
        </is>
      </c>
      <c r="Q40" s="13" t="inlineStr">
        <is>
          <t>نظام إدارة الجودة (QMS)</t>
        </is>
      </c>
      <c r="R40" s="15" t="inlineStr">
        <is>
          <t>شهري</t>
        </is>
      </c>
      <c r="S40" s="46" t="n">
        <v>0.728</v>
      </c>
      <c r="T40" s="46" t="n">
        <v>0.769</v>
      </c>
      <c r="U40" s="46" t="n">
        <v>0.8100000000000001</v>
      </c>
      <c r="V40" s="61" t="n">
        <v>0.1126</v>
      </c>
      <c r="W40" s="61" t="n">
        <v>1</v>
      </c>
      <c r="X40" s="61" t="n">
        <v>0.85</v>
      </c>
      <c r="Y40" s="75" t="inlineStr">
        <is>
          <t>دون المستهدف — فجوة 19٪، يتطلب إجراءً تصحيحياً عاجلاً.</t>
        </is>
      </c>
      <c r="Z40" s="69" t="inlineStr">
        <is>
          <t>إطلاق إجراء تصحيحي خلال 30 يوماً بإشراف مدير الامتياز.</t>
        </is>
      </c>
      <c r="AA40" s="27" t="inlineStr">
        <is>
          <t>تحت الهدف</t>
        </is>
      </c>
      <c r="AB40" s="27" t="n">
        <v>3</v>
      </c>
      <c r="AC40" s="76" t="inlineStr">
        <is>
          <t>#EB5757</t>
        </is>
      </c>
    </row>
    <row r="41">
      <c r="A41" s="9" t="inlineStr">
        <is>
          <t>الامتياز التجاري</t>
        </is>
      </c>
      <c r="B41" s="9" t="inlineStr">
        <is>
          <t>استدامة الشراكة والامتثال</t>
        </is>
      </c>
      <c r="C41" s="9" t="inlineStr">
        <is>
          <t>متوسط مدة إغلاق عقد الامتياز</t>
        </is>
      </c>
      <c r="D41" s="15" t="inlineStr">
        <is>
          <t>🎯 نتيجة</t>
        </is>
      </c>
      <c r="E41" s="46" t="inlineStr">
        <is>
          <t>أسبوع</t>
        </is>
      </c>
      <c r="F41" s="46" t="inlineStr">
        <is>
          <t>↓</t>
        </is>
      </c>
      <c r="G41" s="15" t="inlineStr">
        <is>
          <t>🔴 رئيسي</t>
        </is>
      </c>
      <c r="H41" s="61" t="n">
        <v>0.04</v>
      </c>
      <c r="I41" s="46" t="n">
        <v>1</v>
      </c>
      <c r="J41" s="46" t="n">
        <v>0.899</v>
      </c>
      <c r="K41" s="61" t="n">
        <v>1</v>
      </c>
      <c r="L41" s="27" t="inlineStr">
        <is>
          <t>✅ محقق</t>
        </is>
      </c>
      <c r="M41" s="27" t="inlineStr">
        <is>
          <t>النمو</t>
        </is>
      </c>
      <c r="N41" s="13" t="inlineStr">
        <is>
          <t>الامتياز التجاري</t>
        </is>
      </c>
      <c r="O41" s="15" t="inlineStr">
        <is>
          <t>العمليات الداخلية</t>
        </is>
      </c>
      <c r="P41" s="15" t="inlineStr">
        <is>
          <t>مدير الامتياز</t>
        </is>
      </c>
      <c r="Q41" s="13" t="inlineStr">
        <is>
          <t>نظام إدارة الجودة (QMS)</t>
        </is>
      </c>
      <c r="R41" s="15" t="inlineStr">
        <is>
          <t>شهري</t>
        </is>
      </c>
      <c r="S41" s="46" t="n">
        <v>0.983</v>
      </c>
      <c r="T41" s="46" t="n">
        <v>0.9409999999999999</v>
      </c>
      <c r="U41" s="46" t="n">
        <v>0.899</v>
      </c>
      <c r="V41" s="61" t="n">
        <v>-0.08550000000000001</v>
      </c>
      <c r="W41" s="61" t="n">
        <v>1</v>
      </c>
      <c r="X41" s="61" t="n">
        <v>0.85</v>
      </c>
      <c r="Y41" s="71" t="inlineStr"/>
      <c r="Z41" s="69" t="inlineStr"/>
      <c r="AA41" s="27" t="inlineStr">
        <is>
          <t>محقق</t>
        </is>
      </c>
      <c r="AB41" s="27" t="n">
        <v>1</v>
      </c>
      <c r="AC41" s="74" t="inlineStr">
        <is>
          <t>#2EAD6B</t>
        </is>
      </c>
    </row>
    <row r="42">
      <c r="A42" s="9" t="inlineStr">
        <is>
          <t>التشغيل والمحطات</t>
        </is>
      </c>
      <c r="B42" s="9" t="inlineStr">
        <is>
          <t>النمو</t>
        </is>
      </c>
      <c r="C42" s="9" t="inlineStr">
        <is>
          <t>عدد المحطات المشغّلة (تراكمي)</t>
        </is>
      </c>
      <c r="D42" s="15" t="inlineStr">
        <is>
          <t>⚙️ نشاط</t>
        </is>
      </c>
      <c r="E42" s="46" t="inlineStr">
        <is>
          <t>محطة</t>
        </is>
      </c>
      <c r="F42" s="46" t="inlineStr">
        <is>
          <t>↑</t>
        </is>
      </c>
      <c r="G42" s="15" t="inlineStr">
        <is>
          <t>🔴 رئيسي</t>
        </is>
      </c>
      <c r="H42" s="61" t="n">
        <v>0.08</v>
      </c>
      <c r="I42" s="46" t="n">
        <v>85</v>
      </c>
      <c r="J42" s="46" t="n">
        <v>78.5</v>
      </c>
      <c r="K42" s="61" t="n">
        <v>0.9235294117647059</v>
      </c>
      <c r="L42" s="27" t="inlineStr">
        <is>
          <t>🟡 قريب</t>
        </is>
      </c>
      <c r="M42" s="27" t="inlineStr">
        <is>
          <t>النمو</t>
        </is>
      </c>
      <c r="N42" s="13" t="inlineStr">
        <is>
          <t>التوسع في المواقع</t>
        </is>
      </c>
      <c r="O42" s="15" t="inlineStr">
        <is>
          <t>العمليات الداخلية</t>
        </is>
      </c>
      <c r="P42" s="15" t="inlineStr">
        <is>
          <t>مدير التشغيل</t>
        </is>
      </c>
      <c r="Q42" s="13" t="inlineStr">
        <is>
          <t>نظام تشغيل المحطات</t>
        </is>
      </c>
      <c r="R42" s="15" t="inlineStr">
        <is>
          <t>شهري</t>
        </is>
      </c>
      <c r="S42" s="46" t="n">
        <v>71.777</v>
      </c>
      <c r="T42" s="46" t="n">
        <v>75.13800000000001</v>
      </c>
      <c r="U42" s="46" t="n">
        <v>78.5</v>
      </c>
      <c r="V42" s="61" t="n">
        <v>0.09370000000000001</v>
      </c>
      <c r="W42" s="61" t="n">
        <v>1</v>
      </c>
      <c r="X42" s="61" t="n">
        <v>0.85</v>
      </c>
      <c r="Y42" s="71" t="inlineStr">
        <is>
          <t>قريب من المستهدف — فجوة 8٪، متابعة لإغلاقها.</t>
        </is>
      </c>
      <c r="Z42" s="69" t="inlineStr">
        <is>
          <t>متابعة أسبوعية حتى بلوغ المستهدف.</t>
        </is>
      </c>
      <c r="AA42" s="27" t="inlineStr">
        <is>
          <t>قريب</t>
        </is>
      </c>
      <c r="AB42" s="27" t="n">
        <v>2</v>
      </c>
      <c r="AC42" s="72" t="inlineStr">
        <is>
          <t>#F2C94C</t>
        </is>
      </c>
    </row>
    <row r="43">
      <c r="A43" s="9" t="inlineStr">
        <is>
          <t>التشغيل والمحطات</t>
        </is>
      </c>
      <c r="B43" s="9" t="inlineStr">
        <is>
          <t>الربحية</t>
        </is>
      </c>
      <c r="C43" s="9" t="inlineStr">
        <is>
          <t>نمو مبيعات بنزين 91 مقارنة بالعام السابق</t>
        </is>
      </c>
      <c r="D43" s="15" t="inlineStr">
        <is>
          <t>🎯 نتيجة</t>
        </is>
      </c>
      <c r="E43" s="46" t="inlineStr">
        <is>
          <t>%</t>
        </is>
      </c>
      <c r="F43" s="46" t="inlineStr">
        <is>
          <t>↑</t>
        </is>
      </c>
      <c r="G43" s="15" t="inlineStr">
        <is>
          <t>🔴 رئيسي</t>
        </is>
      </c>
      <c r="H43" s="61" t="n">
        <v>0.08</v>
      </c>
      <c r="I43" s="46" t="n"/>
      <c r="J43" s="46" t="n"/>
      <c r="K43" s="61" t="n"/>
      <c r="L43" s="27" t="inlineStr">
        <is>
          <t>⏳ بانتظار هدف</t>
        </is>
      </c>
      <c r="M43" s="27" t="inlineStr">
        <is>
          <t>النمو</t>
        </is>
      </c>
      <c r="N43" s="13" t="inlineStr">
        <is>
          <t>زيادة وصول العملاء</t>
        </is>
      </c>
      <c r="O43" s="15" t="inlineStr">
        <is>
          <t>مالي</t>
        </is>
      </c>
      <c r="P43" s="15" t="inlineStr">
        <is>
          <t>مدير التشغيل</t>
        </is>
      </c>
      <c r="Q43" s="13" t="inlineStr">
        <is>
          <t>نظام المحاسبة / ERP (D365)</t>
        </is>
      </c>
      <c r="R43" s="15" t="inlineStr">
        <is>
          <t>شهري</t>
        </is>
      </c>
      <c r="S43" s="46" t="n"/>
      <c r="T43" s="46" t="n"/>
      <c r="U43" s="46" t="n"/>
      <c r="V43" s="61" t="n"/>
      <c r="W43" s="61" t="n">
        <v>1</v>
      </c>
      <c r="X43" s="61" t="n">
        <v>0.85</v>
      </c>
      <c r="Y43" s="71" t="inlineStr"/>
      <c r="Z43" s="69" t="inlineStr"/>
      <c r="AA43" s="27" t="inlineStr">
        <is>
          <t>بانتظار هدف</t>
        </is>
      </c>
      <c r="AB43" s="27" t="n">
        <v>4</v>
      </c>
      <c r="AC43" s="73" t="inlineStr">
        <is>
          <t>#BDBDBD</t>
        </is>
      </c>
    </row>
    <row r="44">
      <c r="A44" s="9" t="inlineStr">
        <is>
          <t>التشغيل والمحطات</t>
        </is>
      </c>
      <c r="B44" s="9" t="inlineStr">
        <is>
          <t>الربحية</t>
        </is>
      </c>
      <c r="C44" s="9" t="inlineStr">
        <is>
          <t>نمو مبيعات بنزين 95 مقارنة بالعام السابق</t>
        </is>
      </c>
      <c r="D44" s="15" t="inlineStr">
        <is>
          <t>🎯 نتيجة</t>
        </is>
      </c>
      <c r="E44" s="46" t="inlineStr">
        <is>
          <t>%</t>
        </is>
      </c>
      <c r="F44" s="46" t="inlineStr">
        <is>
          <t>↑</t>
        </is>
      </c>
      <c r="G44" s="15" t="inlineStr">
        <is>
          <t>🔴 رئيسي</t>
        </is>
      </c>
      <c r="H44" s="61" t="n">
        <v>0.08</v>
      </c>
      <c r="I44" s="46" t="n"/>
      <c r="J44" s="46" t="n"/>
      <c r="K44" s="61" t="n"/>
      <c r="L44" s="27" t="inlineStr">
        <is>
          <t>⏳ بانتظار هدف</t>
        </is>
      </c>
      <c r="M44" s="27" t="inlineStr">
        <is>
          <t>النمو</t>
        </is>
      </c>
      <c r="N44" s="13" t="inlineStr">
        <is>
          <t>زيادة وصول العملاء</t>
        </is>
      </c>
      <c r="O44" s="15" t="inlineStr">
        <is>
          <t>مالي</t>
        </is>
      </c>
      <c r="P44" s="15" t="inlineStr">
        <is>
          <t>مدير التشغيل</t>
        </is>
      </c>
      <c r="Q44" s="13" t="inlineStr">
        <is>
          <t>نظام المحاسبة / ERP (D365)</t>
        </is>
      </c>
      <c r="R44" s="15" t="inlineStr">
        <is>
          <t>شهري</t>
        </is>
      </c>
      <c r="S44" s="46" t="n"/>
      <c r="T44" s="46" t="n"/>
      <c r="U44" s="46" t="n"/>
      <c r="V44" s="61" t="n"/>
      <c r="W44" s="61" t="n">
        <v>1</v>
      </c>
      <c r="X44" s="61" t="n">
        <v>0.85</v>
      </c>
      <c r="Y44" s="71" t="inlineStr"/>
      <c r="Z44" s="69" t="inlineStr"/>
      <c r="AA44" s="27" t="inlineStr">
        <is>
          <t>بانتظار هدف</t>
        </is>
      </c>
      <c r="AB44" s="27" t="n">
        <v>4</v>
      </c>
      <c r="AC44" s="73" t="inlineStr">
        <is>
          <t>#BDBDBD</t>
        </is>
      </c>
    </row>
    <row r="45">
      <c r="A45" s="9" t="inlineStr">
        <is>
          <t>التشغيل والمحطات</t>
        </is>
      </c>
      <c r="B45" s="9" t="inlineStr">
        <is>
          <t>الربحية</t>
        </is>
      </c>
      <c r="C45" s="9" t="inlineStr">
        <is>
          <t>نمو مبيعات بنزين 98 مقارنة بالعام السابق</t>
        </is>
      </c>
      <c r="D45" s="15" t="inlineStr">
        <is>
          <t>🎯 نتيجة</t>
        </is>
      </c>
      <c r="E45" s="46" t="inlineStr">
        <is>
          <t>%</t>
        </is>
      </c>
      <c r="F45" s="46" t="inlineStr">
        <is>
          <t>↑</t>
        </is>
      </c>
      <c r="G45" s="15" t="inlineStr">
        <is>
          <t>🔴 رئيسي</t>
        </is>
      </c>
      <c r="H45" s="61" t="n">
        <v>0.08</v>
      </c>
      <c r="I45" s="46" t="n"/>
      <c r="J45" s="46" t="n"/>
      <c r="K45" s="61" t="n"/>
      <c r="L45" s="27" t="inlineStr">
        <is>
          <t>⏳ بانتظار هدف</t>
        </is>
      </c>
      <c r="M45" s="27" t="inlineStr">
        <is>
          <t>النمو</t>
        </is>
      </c>
      <c r="N45" s="13" t="inlineStr">
        <is>
          <t>زيادة وصول العملاء</t>
        </is>
      </c>
      <c r="O45" s="15" t="inlineStr">
        <is>
          <t>مالي</t>
        </is>
      </c>
      <c r="P45" s="15" t="inlineStr">
        <is>
          <t>مدير التشغيل</t>
        </is>
      </c>
      <c r="Q45" s="13" t="inlineStr">
        <is>
          <t>نظام المحاسبة / ERP (D365)</t>
        </is>
      </c>
      <c r="R45" s="15" t="inlineStr">
        <is>
          <t>شهري</t>
        </is>
      </c>
      <c r="S45" s="46" t="n"/>
      <c r="T45" s="46" t="n"/>
      <c r="U45" s="46" t="n"/>
      <c r="V45" s="61" t="n"/>
      <c r="W45" s="61" t="n">
        <v>1</v>
      </c>
      <c r="X45" s="61" t="n">
        <v>0.85</v>
      </c>
      <c r="Y45" s="71" t="inlineStr"/>
      <c r="Z45" s="69" t="inlineStr"/>
      <c r="AA45" s="27" t="inlineStr">
        <is>
          <t>بانتظار هدف</t>
        </is>
      </c>
      <c r="AB45" s="27" t="n">
        <v>4</v>
      </c>
      <c r="AC45" s="73" t="inlineStr">
        <is>
          <t>#BDBDBD</t>
        </is>
      </c>
    </row>
    <row r="46">
      <c r="A46" s="9" t="inlineStr">
        <is>
          <t>التشغيل والمحطات</t>
        </is>
      </c>
      <c r="B46" s="9" t="inlineStr">
        <is>
          <t>الربحية</t>
        </is>
      </c>
      <c r="C46" s="9" t="inlineStr">
        <is>
          <t>نمو مبيعات الديزل مقارنة بالعام السابق</t>
        </is>
      </c>
      <c r="D46" s="15" t="inlineStr">
        <is>
          <t>🎯 نتيجة</t>
        </is>
      </c>
      <c r="E46" s="46" t="inlineStr">
        <is>
          <t>%</t>
        </is>
      </c>
      <c r="F46" s="46" t="inlineStr">
        <is>
          <t>↑</t>
        </is>
      </c>
      <c r="G46" s="15" t="inlineStr">
        <is>
          <t>🔴 رئيسي</t>
        </is>
      </c>
      <c r="H46" s="61" t="n">
        <v>0.08</v>
      </c>
      <c r="I46" s="46" t="n"/>
      <c r="J46" s="46" t="n"/>
      <c r="K46" s="61" t="n"/>
      <c r="L46" s="27" t="inlineStr">
        <is>
          <t>⏳ بانتظار هدف</t>
        </is>
      </c>
      <c r="M46" s="27" t="inlineStr">
        <is>
          <t>النمو</t>
        </is>
      </c>
      <c r="N46" s="13" t="inlineStr">
        <is>
          <t>زيادة وصول العملاء</t>
        </is>
      </c>
      <c r="O46" s="15" t="inlineStr">
        <is>
          <t>مالي</t>
        </is>
      </c>
      <c r="P46" s="15" t="inlineStr">
        <is>
          <t>مدير التشغيل</t>
        </is>
      </c>
      <c r="Q46" s="13" t="inlineStr">
        <is>
          <t>نظام المحاسبة / ERP (D365)</t>
        </is>
      </c>
      <c r="R46" s="15" t="inlineStr">
        <is>
          <t>شهري</t>
        </is>
      </c>
      <c r="S46" s="46" t="n"/>
      <c r="T46" s="46" t="n"/>
      <c r="U46" s="46" t="n"/>
      <c r="V46" s="61" t="n"/>
      <c r="W46" s="61" t="n">
        <v>1</v>
      </c>
      <c r="X46" s="61" t="n">
        <v>0.85</v>
      </c>
      <c r="Y46" s="71" t="inlineStr"/>
      <c r="Z46" s="69" t="inlineStr"/>
      <c r="AA46" s="27" t="inlineStr">
        <is>
          <t>بانتظار هدف</t>
        </is>
      </c>
      <c r="AB46" s="27" t="n">
        <v>4</v>
      </c>
      <c r="AC46" s="73" t="inlineStr">
        <is>
          <t>#BDBDBD</t>
        </is>
      </c>
    </row>
    <row r="47">
      <c r="A47" s="9" t="inlineStr">
        <is>
          <t>التشغيل والمحطات</t>
        </is>
      </c>
      <c r="B47" s="9" t="inlineStr">
        <is>
          <t>حماية الإيراد</t>
        </is>
      </c>
      <c r="C47" s="9" t="inlineStr">
        <is>
          <t>نسبة جاهزية المحطة الشاملة (Uptime)</t>
        </is>
      </c>
      <c r="D47" s="15" t="inlineStr">
        <is>
          <t>🎯 نتيجة</t>
        </is>
      </c>
      <c r="E47" s="46" t="inlineStr">
        <is>
          <t>%</t>
        </is>
      </c>
      <c r="F47" s="46" t="inlineStr">
        <is>
          <t>↑</t>
        </is>
      </c>
      <c r="G47" s="15" t="inlineStr">
        <is>
          <t>🔴 رئيسي</t>
        </is>
      </c>
      <c r="H47" s="61" t="n">
        <v>0.07000000000000001</v>
      </c>
      <c r="I47" s="46" t="n">
        <v>0.99</v>
      </c>
      <c r="J47" s="46" t="n">
        <v>0.831</v>
      </c>
      <c r="K47" s="61" t="n">
        <v>0.8393939393939394</v>
      </c>
      <c r="L47" s="27" t="inlineStr">
        <is>
          <t>🔴 تحت الهدف</t>
        </is>
      </c>
      <c r="M47" s="27" t="inlineStr">
        <is>
          <t>الاستدامة</t>
        </is>
      </c>
      <c r="N47" s="13" t="inlineStr">
        <is>
          <t>جودة التشغيل</t>
        </is>
      </c>
      <c r="O47" s="15" t="inlineStr">
        <is>
          <t>العمليات الداخلية</t>
        </is>
      </c>
      <c r="P47" s="15" t="inlineStr">
        <is>
          <t>مدير التشغيل</t>
        </is>
      </c>
      <c r="Q47" s="13" t="inlineStr">
        <is>
          <t>نظام المحاسبة / ERP (D365)</t>
        </is>
      </c>
      <c r="R47" s="15" t="inlineStr">
        <is>
          <t>شهري</t>
        </is>
      </c>
      <c r="S47" s="46" t="n">
        <v>0.751</v>
      </c>
      <c r="T47" s="46" t="n">
        <v>0.791</v>
      </c>
      <c r="U47" s="46" t="n">
        <v>0.831</v>
      </c>
      <c r="V47" s="61" t="n">
        <v>0.1065</v>
      </c>
      <c r="W47" s="61" t="n">
        <v>1</v>
      </c>
      <c r="X47" s="61" t="n">
        <v>0.97</v>
      </c>
      <c r="Y47" s="75" t="inlineStr">
        <is>
          <t>دون المستهدف — فجوة 16٪، يتطلب إجراءً تصحيحياً عاجلاً.</t>
        </is>
      </c>
      <c r="Z47" s="69" t="inlineStr">
        <is>
          <t>إطلاق إجراء تصحيحي خلال 30 يوماً بإشراف مدير التشغيل.</t>
        </is>
      </c>
      <c r="AA47" s="27" t="inlineStr">
        <is>
          <t>تحت الهدف</t>
        </is>
      </c>
      <c r="AB47" s="27" t="n">
        <v>3</v>
      </c>
      <c r="AC47" s="76" t="inlineStr">
        <is>
          <t>#EB5757</t>
        </is>
      </c>
    </row>
    <row r="48">
      <c r="A48" s="9" t="inlineStr">
        <is>
          <t>التشغيل والمحطات</t>
        </is>
      </c>
      <c r="B48" s="9" t="inlineStr">
        <is>
          <t>حماية الإيراد</t>
        </is>
      </c>
      <c r="C48" s="9" t="inlineStr">
        <is>
          <t>نسبة المضخات العاملة</t>
        </is>
      </c>
      <c r="D48" s="15" t="inlineStr">
        <is>
          <t>🔧 تشغيلي</t>
        </is>
      </c>
      <c r="E48" s="46" t="inlineStr">
        <is>
          <t>%</t>
        </is>
      </c>
      <c r="F48" s="46" t="inlineStr">
        <is>
          <t>↑</t>
        </is>
      </c>
      <c r="G48" s="15" t="inlineStr">
        <is>
          <t>🟠 مهم</t>
        </is>
      </c>
      <c r="H48" s="61" t="n">
        <v>0.05</v>
      </c>
      <c r="I48" s="46" t="n">
        <v>0.97</v>
      </c>
      <c r="J48" s="46" t="n">
        <v>0.953</v>
      </c>
      <c r="K48" s="61" t="n">
        <v>0.9824742268041237</v>
      </c>
      <c r="L48" s="27" t="inlineStr">
        <is>
          <t>🟡 قريب</t>
        </is>
      </c>
      <c r="M48" s="27" t="inlineStr">
        <is>
          <t>الاستدامة</t>
        </is>
      </c>
      <c r="N48" s="13" t="inlineStr">
        <is>
          <t>جودة التشغيل</t>
        </is>
      </c>
      <c r="O48" s="15" t="inlineStr">
        <is>
          <t>العمليات الداخلية</t>
        </is>
      </c>
      <c r="P48" s="15" t="inlineStr">
        <is>
          <t>مدير التشغيل</t>
        </is>
      </c>
      <c r="Q48" s="13" t="inlineStr">
        <is>
          <t>نظام المحاسبة / ERP (D365)</t>
        </is>
      </c>
      <c r="R48" s="15" t="inlineStr">
        <is>
          <t>شهري</t>
        </is>
      </c>
      <c r="S48" s="46" t="n">
        <v>0.843</v>
      </c>
      <c r="T48" s="46" t="n">
        <v>0.898</v>
      </c>
      <c r="U48" s="46" t="n">
        <v>0.953</v>
      </c>
      <c r="V48" s="61" t="n">
        <v>0.1305</v>
      </c>
      <c r="W48" s="61" t="n">
        <v>1</v>
      </c>
      <c r="X48" s="61" t="n">
        <v>0.85</v>
      </c>
      <c r="Y48" s="71" t="inlineStr">
        <is>
          <t>قريب من المستهدف — فجوة 2٪، متابعة لإغلاقها.</t>
        </is>
      </c>
      <c r="Z48" s="69" t="inlineStr">
        <is>
          <t>متابعة أسبوعية حتى بلوغ المستهدف.</t>
        </is>
      </c>
      <c r="AA48" s="27" t="inlineStr">
        <is>
          <t>قريب</t>
        </is>
      </c>
      <c r="AB48" s="27" t="n">
        <v>2</v>
      </c>
      <c r="AC48" s="72" t="inlineStr">
        <is>
          <t>#F2C94C</t>
        </is>
      </c>
    </row>
    <row r="49">
      <c r="A49" s="9" t="inlineStr">
        <is>
          <t>التشغيل والمحطات</t>
        </is>
      </c>
      <c r="B49" s="9" t="inlineStr">
        <is>
          <t>ضغط التكلفة</t>
        </is>
      </c>
      <c r="C49" s="9" t="inlineStr">
        <is>
          <t>تكلفة التشغيل لكل لتر مباع</t>
        </is>
      </c>
      <c r="D49" s="15" t="inlineStr">
        <is>
          <t>🔧 تشغيلي</t>
        </is>
      </c>
      <c r="E49" s="46" t="inlineStr">
        <is>
          <t>هللة/لتر</t>
        </is>
      </c>
      <c r="F49" s="46" t="inlineStr">
        <is>
          <t>↓</t>
        </is>
      </c>
      <c r="G49" s="15" t="inlineStr">
        <is>
          <t>🟠 مهم</t>
        </is>
      </c>
      <c r="H49" s="61" t="n">
        <v>0.05</v>
      </c>
      <c r="I49" s="46" t="n"/>
      <c r="J49" s="46" t="n"/>
      <c r="K49" s="61" t="n"/>
      <c r="L49" s="27" t="inlineStr">
        <is>
          <t>⏳ بانتظار هدف</t>
        </is>
      </c>
      <c r="M49" s="27" t="inlineStr">
        <is>
          <t>الاستدامة</t>
        </is>
      </c>
      <c r="N49" s="13" t="inlineStr">
        <is>
          <t>جودة التشغيل</t>
        </is>
      </c>
      <c r="O49" s="15" t="inlineStr">
        <is>
          <t>مالي</t>
        </is>
      </c>
      <c r="P49" s="15" t="inlineStr">
        <is>
          <t>مدير التشغيل</t>
        </is>
      </c>
      <c r="Q49" s="13" t="inlineStr">
        <is>
          <t>نظام تشغيل المحطات</t>
        </is>
      </c>
      <c r="R49" s="15" t="inlineStr">
        <is>
          <t>ربعي</t>
        </is>
      </c>
      <c r="S49" s="46" t="n"/>
      <c r="T49" s="46" t="n"/>
      <c r="U49" s="46" t="n"/>
      <c r="V49" s="61" t="n"/>
      <c r="W49" s="61" t="n">
        <v>1</v>
      </c>
      <c r="X49" s="61" t="n">
        <v>0.85</v>
      </c>
      <c r="Y49" s="71" t="inlineStr"/>
      <c r="Z49" s="69" t="inlineStr"/>
      <c r="AA49" s="27" t="inlineStr">
        <is>
          <t>بانتظار هدف</t>
        </is>
      </c>
      <c r="AB49" s="27" t="n">
        <v>4</v>
      </c>
      <c r="AC49" s="73" t="inlineStr">
        <is>
          <t>#BDBDBD</t>
        </is>
      </c>
    </row>
    <row r="50">
      <c r="A50" s="9" t="inlineStr">
        <is>
          <t>التشغيل والمحطات</t>
        </is>
      </c>
      <c r="B50" s="9" t="inlineStr">
        <is>
          <t>حماية الأصول</t>
        </is>
      </c>
      <c r="C50" s="9" t="inlineStr">
        <is>
          <t>نسبة الصيانة الوقائية المنفذة في موعدها</t>
        </is>
      </c>
      <c r="D50" s="15" t="inlineStr">
        <is>
          <t>🔧 تشغيلي</t>
        </is>
      </c>
      <c r="E50" s="46" t="inlineStr">
        <is>
          <t>%</t>
        </is>
      </c>
      <c r="F50" s="46" t="inlineStr">
        <is>
          <t>↑</t>
        </is>
      </c>
      <c r="G50" s="15" t="inlineStr">
        <is>
          <t>🟠 مهم</t>
        </is>
      </c>
      <c r="H50" s="61" t="n">
        <v>0.05</v>
      </c>
      <c r="I50" s="46" t="n">
        <v>0.95</v>
      </c>
      <c r="J50" s="46" t="n">
        <v>0.758</v>
      </c>
      <c r="K50" s="61" t="n">
        <v>0.7978947368421053</v>
      </c>
      <c r="L50" s="27" t="inlineStr">
        <is>
          <t>🔴 تحت الهدف</t>
        </is>
      </c>
      <c r="M50" s="27" t="inlineStr">
        <is>
          <t>الاستدامة</t>
        </is>
      </c>
      <c r="N50" s="13" t="inlineStr">
        <is>
          <t>جودة التشغيل</t>
        </is>
      </c>
      <c r="O50" s="15" t="inlineStr">
        <is>
          <t>العمليات الداخلية</t>
        </is>
      </c>
      <c r="P50" s="15" t="inlineStr">
        <is>
          <t>مدير التشغيل</t>
        </is>
      </c>
      <c r="Q50" s="13" t="inlineStr">
        <is>
          <t>نظام تشغيل المحطات</t>
        </is>
      </c>
      <c r="R50" s="15" t="inlineStr">
        <is>
          <t>شهري</t>
        </is>
      </c>
      <c r="S50" s="46" t="n">
        <v>0.659</v>
      </c>
      <c r="T50" s="46" t="n">
        <v>0.709</v>
      </c>
      <c r="U50" s="46" t="n">
        <v>0.758</v>
      </c>
      <c r="V50" s="61" t="n">
        <v>0.1502</v>
      </c>
      <c r="W50" s="61" t="n">
        <v>1</v>
      </c>
      <c r="X50" s="61" t="n">
        <v>0.85</v>
      </c>
      <c r="Y50" s="75" t="inlineStr">
        <is>
          <t>دون المستهدف — فجوة 20٪، يتطلب إجراءً تصحيحياً عاجلاً.</t>
        </is>
      </c>
      <c r="Z50" s="69" t="inlineStr">
        <is>
          <t>إطلاق إجراء تصحيحي خلال 30 يوماً بإشراف مدير التشغيل.</t>
        </is>
      </c>
      <c r="AA50" s="27" t="inlineStr">
        <is>
          <t>تحت الهدف</t>
        </is>
      </c>
      <c r="AB50" s="27" t="n">
        <v>3</v>
      </c>
      <c r="AC50" s="76" t="inlineStr">
        <is>
          <t>#EB5757</t>
        </is>
      </c>
    </row>
    <row r="51">
      <c r="A51" s="9" t="inlineStr">
        <is>
          <t>التشغيل والمحطات</t>
        </is>
      </c>
      <c r="B51" s="9" t="inlineStr">
        <is>
          <t>تجربة العميل</t>
        </is>
      </c>
      <c r="C51" s="9" t="inlineStr">
        <is>
          <t>نسبة انخفاض الشكاوى مقارنة بالشهر السابق</t>
        </is>
      </c>
      <c r="D51" s="15" t="inlineStr">
        <is>
          <t>🎯 نتيجة</t>
        </is>
      </c>
      <c r="E51" s="46" t="inlineStr">
        <is>
          <t>%</t>
        </is>
      </c>
      <c r="F51" s="46" t="inlineStr">
        <is>
          <t>↑</t>
        </is>
      </c>
      <c r="G51" s="15" t="inlineStr">
        <is>
          <t>🟠 مهم</t>
        </is>
      </c>
      <c r="H51" s="61" t="n">
        <v>0.05</v>
      </c>
      <c r="I51" s="46" t="n"/>
      <c r="J51" s="46" t="n"/>
      <c r="K51" s="61" t="n"/>
      <c r="L51" s="27" t="inlineStr">
        <is>
          <t>⏳ بانتظار هدف</t>
        </is>
      </c>
      <c r="M51" s="27" t="inlineStr">
        <is>
          <t>الاستدامة</t>
        </is>
      </c>
      <c r="N51" s="13" t="inlineStr">
        <is>
          <t>تعزيز تجربة العملاء</t>
        </is>
      </c>
      <c r="O51" s="15" t="inlineStr">
        <is>
          <t>العملاء</t>
        </is>
      </c>
      <c r="P51" s="15" t="inlineStr">
        <is>
          <t>مدير التشغيل</t>
        </is>
      </c>
      <c r="Q51" s="13" t="inlineStr">
        <is>
          <t>سجلات الإدارة</t>
        </is>
      </c>
      <c r="R51" s="15" t="inlineStr">
        <is>
          <t>شهري</t>
        </is>
      </c>
      <c r="S51" s="46" t="n"/>
      <c r="T51" s="46" t="n"/>
      <c r="U51" s="46" t="n"/>
      <c r="V51" s="61" t="n"/>
      <c r="W51" s="61" t="n">
        <v>1</v>
      </c>
      <c r="X51" s="61" t="n">
        <v>0.85</v>
      </c>
      <c r="Y51" s="71" t="inlineStr"/>
      <c r="Z51" s="69" t="inlineStr"/>
      <c r="AA51" s="27" t="inlineStr">
        <is>
          <t>بانتظار هدف</t>
        </is>
      </c>
      <c r="AB51" s="27" t="n">
        <v>4</v>
      </c>
      <c r="AC51" s="73" t="inlineStr">
        <is>
          <t>#BDBDBD</t>
        </is>
      </c>
    </row>
    <row r="52">
      <c r="A52" s="9" t="inlineStr">
        <is>
          <t>التشغيل والمحطات</t>
        </is>
      </c>
      <c r="B52" s="9" t="inlineStr">
        <is>
          <t>تجربة العميل</t>
        </is>
      </c>
      <c r="C52" s="9" t="inlineStr">
        <is>
          <t>تقييم Google Maps للمحطات</t>
        </is>
      </c>
      <c r="D52" s="15" t="inlineStr">
        <is>
          <t>🎯 نتيجة</t>
        </is>
      </c>
      <c r="E52" s="46" t="inlineStr">
        <is>
          <t>نجمة/5</t>
        </is>
      </c>
      <c r="F52" s="46" t="inlineStr">
        <is>
          <t>↑</t>
        </is>
      </c>
      <c r="G52" s="15" t="inlineStr">
        <is>
          <t>🔴 رئيسي</t>
        </is>
      </c>
      <c r="H52" s="61" t="n">
        <v>0.07000000000000001</v>
      </c>
      <c r="I52" s="46" t="n">
        <v>4.5</v>
      </c>
      <c r="J52" s="46" t="n">
        <v>4.048</v>
      </c>
      <c r="K52" s="61" t="n">
        <v>0.8995555555555556</v>
      </c>
      <c r="L52" s="27" t="inlineStr">
        <is>
          <t>🟡 قريب</t>
        </is>
      </c>
      <c r="M52" s="27" t="inlineStr">
        <is>
          <t>الاستدامة</t>
        </is>
      </c>
      <c r="N52" s="13" t="inlineStr">
        <is>
          <t>تعزيز تجربة العملاء</t>
        </is>
      </c>
      <c r="O52" s="15" t="inlineStr">
        <is>
          <t>العملاء</t>
        </is>
      </c>
      <c r="P52" s="15" t="inlineStr">
        <is>
          <t>مدير التشغيل</t>
        </is>
      </c>
      <c r="Q52" s="13" t="inlineStr">
        <is>
          <t>تقييمات خرائط قوقل</t>
        </is>
      </c>
      <c r="R52" s="15" t="inlineStr">
        <is>
          <t>شهري</t>
        </is>
      </c>
      <c r="S52" s="46" t="n">
        <v>3.322</v>
      </c>
      <c r="T52" s="46" t="n">
        <v>3.685</v>
      </c>
      <c r="U52" s="46" t="n">
        <v>4.048</v>
      </c>
      <c r="V52" s="61" t="n">
        <v>0.2185</v>
      </c>
      <c r="W52" s="61" t="n">
        <v>1</v>
      </c>
      <c r="X52" s="61" t="n">
        <v>0.85</v>
      </c>
      <c r="Y52" s="71" t="inlineStr">
        <is>
          <t>قريب من المستهدف — فجوة 10٪، متابعة لإغلاقها.</t>
        </is>
      </c>
      <c r="Z52" s="69" t="inlineStr">
        <is>
          <t>متابعة أسبوعية حتى بلوغ المستهدف.</t>
        </is>
      </c>
      <c r="AA52" s="27" t="inlineStr">
        <is>
          <t>قريب</t>
        </is>
      </c>
      <c r="AB52" s="27" t="n">
        <v>2</v>
      </c>
      <c r="AC52" s="72" t="inlineStr">
        <is>
          <t>#F2C94C</t>
        </is>
      </c>
    </row>
    <row r="53">
      <c r="A53" s="9" t="inlineStr">
        <is>
          <t>التشغيل والمحطات</t>
        </is>
      </c>
      <c r="B53" s="9" t="inlineStr">
        <is>
          <t>تجربة العميل</t>
        </is>
      </c>
      <c r="C53" s="9" t="inlineStr">
        <is>
          <t>سرعة تعبئة الوقود</t>
        </is>
      </c>
      <c r="D53" s="15" t="inlineStr">
        <is>
          <t>🔧 تشغيلي</t>
        </is>
      </c>
      <c r="E53" s="46" t="inlineStr">
        <is>
          <t>دقيقة</t>
        </is>
      </c>
      <c r="F53" s="46" t="inlineStr">
        <is>
          <t>↓</t>
        </is>
      </c>
      <c r="G53" s="15" t="inlineStr">
        <is>
          <t>🟠 مهم</t>
        </is>
      </c>
      <c r="H53" s="61" t="n">
        <v>0.05</v>
      </c>
      <c r="I53" s="46" t="n">
        <v>3</v>
      </c>
      <c r="J53" s="46" t="n">
        <v>3.352</v>
      </c>
      <c r="K53" s="61" t="n">
        <v>0.8949880668257757</v>
      </c>
      <c r="L53" s="27" t="inlineStr">
        <is>
          <t>🟡 قريب</t>
        </is>
      </c>
      <c r="M53" s="27" t="inlineStr">
        <is>
          <t>الاستدامة</t>
        </is>
      </c>
      <c r="N53" s="13" t="inlineStr">
        <is>
          <t>تعزيز تجربة العملاء</t>
        </is>
      </c>
      <c r="O53" s="15" t="inlineStr">
        <is>
          <t>العمليات الداخلية</t>
        </is>
      </c>
      <c r="P53" s="15" t="inlineStr">
        <is>
          <t>مدير التشغيل</t>
        </is>
      </c>
      <c r="Q53" s="13" t="inlineStr">
        <is>
          <t>نظام تشغيل المحطات</t>
        </is>
      </c>
      <c r="R53" s="15" t="inlineStr">
        <is>
          <t>شهري</t>
        </is>
      </c>
      <c r="S53" s="46" t="n">
        <v>3.687</v>
      </c>
      <c r="T53" s="46" t="n">
        <v>3.519</v>
      </c>
      <c r="U53" s="46" t="n">
        <v>3.352</v>
      </c>
      <c r="V53" s="61" t="n">
        <v>-0.09089999999999999</v>
      </c>
      <c r="W53" s="61" t="n">
        <v>1</v>
      </c>
      <c r="X53" s="61" t="n">
        <v>0.85</v>
      </c>
      <c r="Y53" s="71" t="inlineStr">
        <is>
          <t>قريب من المستهدف — فجوة 11٪، متابعة لإغلاقها.</t>
        </is>
      </c>
      <c r="Z53" s="69" t="inlineStr">
        <is>
          <t>متابعة أسبوعية حتى بلوغ المستهدف.</t>
        </is>
      </c>
      <c r="AA53" s="27" t="inlineStr">
        <is>
          <t>قريب</t>
        </is>
      </c>
      <c r="AB53" s="27" t="n">
        <v>2</v>
      </c>
      <c r="AC53" s="72" t="inlineStr">
        <is>
          <t>#F2C94C</t>
        </is>
      </c>
    </row>
    <row r="54">
      <c r="A54" s="9" t="inlineStr">
        <is>
          <t>التشغيل والمحطات</t>
        </is>
      </c>
      <c r="B54" s="9" t="inlineStr">
        <is>
          <t>تجربة العميل</t>
        </is>
      </c>
      <c r="C54" s="9" t="inlineStr">
        <is>
          <t>دقة التعبئة بدون أخطاء</t>
        </is>
      </c>
      <c r="D54" s="15" t="inlineStr">
        <is>
          <t>🎯 نتيجة</t>
        </is>
      </c>
      <c r="E54" s="46" t="inlineStr">
        <is>
          <t>%</t>
        </is>
      </c>
      <c r="F54" s="46" t="inlineStr">
        <is>
          <t>↑</t>
        </is>
      </c>
      <c r="G54" s="15" t="inlineStr">
        <is>
          <t>🟠 مهم</t>
        </is>
      </c>
      <c r="H54" s="61" t="n">
        <v>0.05</v>
      </c>
      <c r="I54" s="46" t="n">
        <v>0.99</v>
      </c>
      <c r="J54" s="46" t="n">
        <v>0.831</v>
      </c>
      <c r="K54" s="61" t="n">
        <v>0.8393939393939394</v>
      </c>
      <c r="L54" s="27" t="inlineStr">
        <is>
          <t>🔴 تحت الهدف</t>
        </is>
      </c>
      <c r="M54" s="27" t="inlineStr">
        <is>
          <t>الاستدامة</t>
        </is>
      </c>
      <c r="N54" s="13" t="inlineStr">
        <is>
          <t>جودة التشغيل</t>
        </is>
      </c>
      <c r="O54" s="15" t="inlineStr">
        <is>
          <t>العمليات الداخلية</t>
        </is>
      </c>
      <c r="P54" s="15" t="inlineStr">
        <is>
          <t>مدير التشغيل</t>
        </is>
      </c>
      <c r="Q54" s="13" t="inlineStr">
        <is>
          <t>نظام تشغيل المحطات</t>
        </is>
      </c>
      <c r="R54" s="15" t="inlineStr">
        <is>
          <t>شهري</t>
        </is>
      </c>
      <c r="S54" s="46" t="n">
        <v>0.737</v>
      </c>
      <c r="T54" s="46" t="n">
        <v>0.784</v>
      </c>
      <c r="U54" s="46" t="n">
        <v>0.831</v>
      </c>
      <c r="V54" s="61" t="n">
        <v>0.1275</v>
      </c>
      <c r="W54" s="61" t="n">
        <v>1</v>
      </c>
      <c r="X54" s="61" t="n">
        <v>0.97</v>
      </c>
      <c r="Y54" s="75" t="inlineStr">
        <is>
          <t>دون المستهدف — فجوة 16٪، يتطلب إجراءً تصحيحياً عاجلاً.</t>
        </is>
      </c>
      <c r="Z54" s="69" t="inlineStr">
        <is>
          <t>إطلاق إجراء تصحيحي خلال 30 يوماً بإشراف مدير التشغيل.</t>
        </is>
      </c>
      <c r="AA54" s="27" t="inlineStr">
        <is>
          <t>تحت الهدف</t>
        </is>
      </c>
      <c r="AB54" s="27" t="n">
        <v>3</v>
      </c>
      <c r="AC54" s="76" t="inlineStr">
        <is>
          <t>#EB5757</t>
        </is>
      </c>
    </row>
    <row r="55">
      <c r="A55" s="9" t="inlineStr">
        <is>
          <t>التشغيل والمحطات</t>
        </is>
      </c>
      <c r="B55" s="9" t="inlineStr">
        <is>
          <t>تجربة العميل</t>
        </is>
      </c>
      <c r="C55" s="9" t="inlineStr">
        <is>
          <t>تطبيق المعيار الشامل في المحطات</t>
        </is>
      </c>
      <c r="D55" s="15" t="inlineStr">
        <is>
          <t>🔧 تشغيلي</t>
        </is>
      </c>
      <c r="E55" s="46" t="inlineStr">
        <is>
          <t>%</t>
        </is>
      </c>
      <c r="F55" s="46" t="inlineStr">
        <is>
          <t>↑</t>
        </is>
      </c>
      <c r="G55" s="15" t="inlineStr">
        <is>
          <t>🟡 متابعة</t>
        </is>
      </c>
      <c r="H55" s="61" t="n">
        <v>0.02</v>
      </c>
      <c r="I55" s="46" t="n">
        <v>0.8</v>
      </c>
      <c r="J55" s="46" t="n">
        <v>0.787</v>
      </c>
      <c r="K55" s="61" t="n">
        <v>0.98375</v>
      </c>
      <c r="L55" s="27" t="inlineStr">
        <is>
          <t>🟡 قريب</t>
        </is>
      </c>
      <c r="M55" s="27" t="inlineStr">
        <is>
          <t>الابتكار</t>
        </is>
      </c>
      <c r="N55" s="13" t="inlineStr">
        <is>
          <t>التحول التقني</t>
        </is>
      </c>
      <c r="O55" s="15" t="inlineStr">
        <is>
          <t>التعلّم والنمو</t>
        </is>
      </c>
      <c r="P55" s="15" t="inlineStr">
        <is>
          <t>مدير التشغيل</t>
        </is>
      </c>
      <c r="Q55" s="13" t="inlineStr">
        <is>
          <t>نظام تشغيل المحطات</t>
        </is>
      </c>
      <c r="R55" s="15" t="inlineStr">
        <is>
          <t>شهري</t>
        </is>
      </c>
      <c r="S55" s="46" t="n">
        <v>0.669</v>
      </c>
      <c r="T55" s="46" t="n">
        <v>0.728</v>
      </c>
      <c r="U55" s="46" t="n">
        <v>0.787</v>
      </c>
      <c r="V55" s="61" t="n">
        <v>0.1764</v>
      </c>
      <c r="W55" s="61" t="n">
        <v>1</v>
      </c>
      <c r="X55" s="61" t="n">
        <v>0.85</v>
      </c>
      <c r="Y55" s="71" t="inlineStr">
        <is>
          <t>قريب من المستهدف — فجوة 2٪، متابعة لإغلاقها.</t>
        </is>
      </c>
      <c r="Z55" s="69" t="inlineStr">
        <is>
          <t>متابعة أسبوعية حتى بلوغ المستهدف.</t>
        </is>
      </c>
      <c r="AA55" s="27" t="inlineStr">
        <is>
          <t>قريب</t>
        </is>
      </c>
      <c r="AB55" s="27" t="n">
        <v>2</v>
      </c>
      <c r="AC55" s="72" t="inlineStr">
        <is>
          <t>#F2C94C</t>
        </is>
      </c>
    </row>
    <row r="56">
      <c r="A56" s="9" t="inlineStr">
        <is>
          <t>التشغيل والمحطات</t>
        </is>
      </c>
      <c r="B56" s="9" t="inlineStr">
        <is>
          <t>السلامة</t>
        </is>
      </c>
      <c r="C56" s="9" t="inlineStr">
        <is>
          <t>الالتزام بمعايير السلامة داخل المحطة</t>
        </is>
      </c>
      <c r="D56" s="15" t="inlineStr">
        <is>
          <t>🎯 نتيجة</t>
        </is>
      </c>
      <c r="E56" s="46" t="inlineStr">
        <is>
          <t>%</t>
        </is>
      </c>
      <c r="F56" s="46" t="inlineStr">
        <is>
          <t>↑</t>
        </is>
      </c>
      <c r="G56" s="15" t="inlineStr">
        <is>
          <t>🔴 رئيسي</t>
        </is>
      </c>
      <c r="H56" s="61" t="n">
        <v>0.07000000000000001</v>
      </c>
      <c r="I56" s="46" t="n">
        <v>1</v>
      </c>
      <c r="J56" s="46" t="n">
        <v>0.837</v>
      </c>
      <c r="K56" s="61" t="n">
        <v>0.837</v>
      </c>
      <c r="L56" s="27" t="inlineStr">
        <is>
          <t>🔴 تحت الهدف</t>
        </is>
      </c>
      <c r="M56" s="27" t="inlineStr">
        <is>
          <t>الاستدامة</t>
        </is>
      </c>
      <c r="N56" s="13" t="inlineStr">
        <is>
          <t>جودة التشغيل</t>
        </is>
      </c>
      <c r="O56" s="15" t="inlineStr">
        <is>
          <t>العمليات الداخلية</t>
        </is>
      </c>
      <c r="P56" s="15" t="inlineStr">
        <is>
          <t>مدير التشغيل</t>
        </is>
      </c>
      <c r="Q56" s="13" t="inlineStr">
        <is>
          <t>نظام تشغيل المحطات</t>
        </is>
      </c>
      <c r="R56" s="15" t="inlineStr">
        <is>
          <t>شهري</t>
        </is>
      </c>
      <c r="S56" s="46" t="n">
        <v>0.6889999999999999</v>
      </c>
      <c r="T56" s="46" t="n">
        <v>0.763</v>
      </c>
      <c r="U56" s="46" t="n">
        <v>0.837</v>
      </c>
      <c r="V56" s="61" t="n">
        <v>0.2148</v>
      </c>
      <c r="W56" s="61" t="n">
        <v>1</v>
      </c>
      <c r="X56" s="61" t="n">
        <v>0.97</v>
      </c>
      <c r="Y56" s="75" t="inlineStr">
        <is>
          <t>دون المستهدف — فجوة 16٪، يتطلب إجراءً تصحيحياً عاجلاً.</t>
        </is>
      </c>
      <c r="Z56" s="69" t="inlineStr">
        <is>
          <t>إطلاق إجراء تصحيحي خلال 30 يوماً بإشراف مدير التشغيل.</t>
        </is>
      </c>
      <c r="AA56" s="27" t="inlineStr">
        <is>
          <t>تحت الهدف</t>
        </is>
      </c>
      <c r="AB56" s="27" t="n">
        <v>3</v>
      </c>
      <c r="AC56" s="76" t="inlineStr">
        <is>
          <t>#EB5757</t>
        </is>
      </c>
    </row>
    <row r="57">
      <c r="A57" s="9" t="inlineStr">
        <is>
          <t>التشغيل والمحطات</t>
        </is>
      </c>
      <c r="B57" s="9" t="inlineStr">
        <is>
          <t>البيئة</t>
        </is>
      </c>
      <c r="C57" s="9" t="inlineStr">
        <is>
          <t>التشجير داخل المحطة (معيار الوزارة)</t>
        </is>
      </c>
      <c r="D57" s="15" t="inlineStr">
        <is>
          <t>🔧 تشغيلي</t>
        </is>
      </c>
      <c r="E57" s="46" t="inlineStr">
        <is>
          <t>%</t>
        </is>
      </c>
      <c r="F57" s="46" t="inlineStr">
        <is>
          <t>↑</t>
        </is>
      </c>
      <c r="G57" s="15" t="inlineStr">
        <is>
          <t>🔴 رئيسي</t>
        </is>
      </c>
      <c r="H57" s="61" t="n">
        <v>0.07000000000000001</v>
      </c>
      <c r="I57" s="46" t="n">
        <v>1</v>
      </c>
      <c r="J57" s="46" t="n">
        <v>0.747</v>
      </c>
      <c r="K57" s="61" t="n">
        <v>0.747</v>
      </c>
      <c r="L57" s="27" t="inlineStr">
        <is>
          <t>🔴 تحت الهدف</t>
        </is>
      </c>
      <c r="M57" s="27" t="inlineStr">
        <is>
          <t>الاستدامة</t>
        </is>
      </c>
      <c r="N57" s="13" t="inlineStr">
        <is>
          <t>جودة التشغيل</t>
        </is>
      </c>
      <c r="O57" s="15" t="inlineStr">
        <is>
          <t>العمليات الداخلية</t>
        </is>
      </c>
      <c r="P57" s="15" t="inlineStr">
        <is>
          <t>مدير التشغيل</t>
        </is>
      </c>
      <c r="Q57" s="13" t="inlineStr">
        <is>
          <t>نظام تشغيل المحطات</t>
        </is>
      </c>
      <c r="R57" s="15" t="inlineStr">
        <is>
          <t>شهري</t>
        </is>
      </c>
      <c r="S57" s="46" t="n">
        <v>0.609</v>
      </c>
      <c r="T57" s="46" t="n">
        <v>0.678</v>
      </c>
      <c r="U57" s="46" t="n">
        <v>0.747</v>
      </c>
      <c r="V57" s="61" t="n">
        <v>0.2266</v>
      </c>
      <c r="W57" s="61" t="n">
        <v>1</v>
      </c>
      <c r="X57" s="61" t="n">
        <v>0.85</v>
      </c>
      <c r="Y57" s="75" t="inlineStr">
        <is>
          <t>دون المستهدف — فجوة 25٪، يتطلب إجراءً تصحيحياً عاجلاً.</t>
        </is>
      </c>
      <c r="Z57" s="69" t="inlineStr">
        <is>
          <t>إطلاق إجراء تصحيحي خلال 30 يوماً بإشراف مدير التشغيل.</t>
        </is>
      </c>
      <c r="AA57" s="27" t="inlineStr">
        <is>
          <t>تحت الهدف</t>
        </is>
      </c>
      <c r="AB57" s="27" t="n">
        <v>3</v>
      </c>
      <c r="AC57" s="76" t="inlineStr">
        <is>
          <t>#EB5757</t>
        </is>
      </c>
    </row>
    <row r="58">
      <c r="A58" s="9" t="inlineStr">
        <is>
          <t>الاستثمار</t>
        </is>
      </c>
      <c r="B58" s="9" t="inlineStr">
        <is>
          <t>نمو المحفظة</t>
        </is>
      </c>
      <c r="C58" s="9" t="inlineStr">
        <is>
          <t>إجمالي عقود الاستثمار الجديدة (جميع النماذج)</t>
        </is>
      </c>
      <c r="D58" s="15" t="inlineStr">
        <is>
          <t>🔧 تشغيلي</t>
        </is>
      </c>
      <c r="E58" s="46" t="inlineStr">
        <is>
          <t>عقد</t>
        </is>
      </c>
      <c r="F58" s="46" t="inlineStr">
        <is>
          <t>↑</t>
        </is>
      </c>
      <c r="G58" s="15" t="inlineStr">
        <is>
          <t>🔴 رئيسي</t>
        </is>
      </c>
      <c r="H58" s="61" t="n">
        <v>0.05</v>
      </c>
      <c r="I58" s="46" t="n">
        <v>190</v>
      </c>
      <c r="J58" s="46" t="n">
        <v>165.7</v>
      </c>
      <c r="K58" s="61" t="n">
        <v>0.8721052631578947</v>
      </c>
      <c r="L58" s="27" t="inlineStr">
        <is>
          <t>🟡 قريب</t>
        </is>
      </c>
      <c r="M58" s="27" t="inlineStr">
        <is>
          <t>النمو</t>
        </is>
      </c>
      <c r="N58" s="13" t="inlineStr">
        <is>
          <t>التوسع في المواقع</t>
        </is>
      </c>
      <c r="O58" s="15" t="inlineStr">
        <is>
          <t>العمليات الداخلية</t>
        </is>
      </c>
      <c r="P58" s="15" t="inlineStr">
        <is>
          <t>مدير الاستثمار</t>
        </is>
      </c>
      <c r="Q58" s="13" t="inlineStr">
        <is>
          <t>نظام إدارة العقود (CRM)</t>
        </is>
      </c>
      <c r="R58" s="15" t="inlineStr">
        <is>
          <t>شهري</t>
        </is>
      </c>
      <c r="S58" s="46" t="n">
        <v>141.388</v>
      </c>
      <c r="T58" s="46" t="n">
        <v>153.544</v>
      </c>
      <c r="U58" s="46" t="n">
        <v>331.4</v>
      </c>
      <c r="V58" s="61" t="n">
        <v>0.172</v>
      </c>
      <c r="W58" s="61" t="n">
        <v>1</v>
      </c>
      <c r="X58" s="61" t="n">
        <v>0.85</v>
      </c>
      <c r="Y58" s="71" t="inlineStr">
        <is>
          <t>قريب من المستهدف — فجوة 13٪، متابعة لإغلاقها.</t>
        </is>
      </c>
      <c r="Z58" s="69" t="inlineStr">
        <is>
          <t>متابعة أسبوعية حتى بلوغ المستهدف.</t>
        </is>
      </c>
      <c r="AA58" s="27" t="inlineStr">
        <is>
          <t>قريب</t>
        </is>
      </c>
      <c r="AB58" s="27" t="n">
        <v>2</v>
      </c>
      <c r="AC58" s="72" t="inlineStr">
        <is>
          <t>#F2C94C</t>
        </is>
      </c>
    </row>
    <row r="59">
      <c r="A59" s="9" t="inlineStr">
        <is>
          <t>الاستثمار</t>
        </is>
      </c>
      <c r="B59" s="9" t="inlineStr">
        <is>
          <t>نمو المحفظة</t>
        </is>
      </c>
      <c r="C59" s="9" t="inlineStr">
        <is>
          <t>عقود الاستثمار العادي الجديدة</t>
        </is>
      </c>
      <c r="D59" s="15" t="inlineStr">
        <is>
          <t>🔧 تشغيلي</t>
        </is>
      </c>
      <c r="E59" s="46" t="inlineStr">
        <is>
          <t>عقد</t>
        </is>
      </c>
      <c r="F59" s="46" t="inlineStr">
        <is>
          <t>↑</t>
        </is>
      </c>
      <c r="G59" s="15" t="inlineStr">
        <is>
          <t>🔴 رئيسي</t>
        </is>
      </c>
      <c r="H59" s="61" t="n">
        <v>0.05</v>
      </c>
      <c r="I59" s="46" t="n">
        <v>90</v>
      </c>
      <c r="J59" s="46" t="n">
        <v>76.3</v>
      </c>
      <c r="K59" s="61" t="n">
        <v>0.8477777777777777</v>
      </c>
      <c r="L59" s="27" t="inlineStr">
        <is>
          <t>🔴 تحت الهدف</t>
        </is>
      </c>
      <c r="M59" s="27" t="inlineStr">
        <is>
          <t>النمو</t>
        </is>
      </c>
      <c r="N59" s="13" t="inlineStr">
        <is>
          <t>التوسع في المواقع</t>
        </is>
      </c>
      <c r="O59" s="15" t="inlineStr">
        <is>
          <t>العمليات الداخلية</t>
        </is>
      </c>
      <c r="P59" s="15" t="inlineStr">
        <is>
          <t>مدير الاستثمار</t>
        </is>
      </c>
      <c r="Q59" s="13" t="inlineStr">
        <is>
          <t>نظام إدارة العقود (CRM)</t>
        </is>
      </c>
      <c r="R59" s="15" t="inlineStr">
        <is>
          <t>شهري</t>
        </is>
      </c>
      <c r="S59" s="46" t="n">
        <v>61.525</v>
      </c>
      <c r="T59" s="46" t="n">
        <v>68.91200000000001</v>
      </c>
      <c r="U59" s="46" t="n">
        <v>152.6</v>
      </c>
      <c r="V59" s="61" t="n">
        <v>0.2401</v>
      </c>
      <c r="W59" s="61" t="n">
        <v>1</v>
      </c>
      <c r="X59" s="61" t="n">
        <v>0.85</v>
      </c>
      <c r="Y59" s="75" t="inlineStr">
        <is>
          <t>دون المستهدف — فجوة 15٪، يتطلب إجراءً تصحيحياً عاجلاً.</t>
        </is>
      </c>
      <c r="Z59" s="69" t="inlineStr">
        <is>
          <t>إطلاق إجراء تصحيحي خلال 30 يوماً بإشراف مدير الاستثمار.</t>
        </is>
      </c>
      <c r="AA59" s="27" t="inlineStr">
        <is>
          <t>تحت الهدف</t>
        </is>
      </c>
      <c r="AB59" s="27" t="n">
        <v>3</v>
      </c>
      <c r="AC59" s="76" t="inlineStr">
        <is>
          <t>#EB5757</t>
        </is>
      </c>
    </row>
    <row r="60">
      <c r="A60" s="9" t="inlineStr">
        <is>
          <t>الاستثمار</t>
        </is>
      </c>
      <c r="B60" s="9" t="inlineStr">
        <is>
          <t>نمو المحفظة</t>
        </is>
      </c>
      <c r="C60" s="9" t="inlineStr">
        <is>
          <t>عقود الاستحواذ الجديدة</t>
        </is>
      </c>
      <c r="D60" s="15" t="inlineStr">
        <is>
          <t>🔧 تشغيلي</t>
        </is>
      </c>
      <c r="E60" s="46" t="inlineStr">
        <is>
          <t>عقد</t>
        </is>
      </c>
      <c r="F60" s="46" t="inlineStr">
        <is>
          <t>↑</t>
        </is>
      </c>
      <c r="G60" s="15" t="inlineStr">
        <is>
          <t>🔴 رئيسي</t>
        </is>
      </c>
      <c r="H60" s="61" t="n">
        <v>0.05</v>
      </c>
      <c r="I60" s="46" t="n">
        <v>100</v>
      </c>
      <c r="J60" s="46" t="n">
        <v>82.2</v>
      </c>
      <c r="K60" s="61" t="n">
        <v>0.8220000000000001</v>
      </c>
      <c r="L60" s="27" t="inlineStr">
        <is>
          <t>🔴 تحت الهدف</t>
        </is>
      </c>
      <c r="M60" s="27" t="inlineStr">
        <is>
          <t>النمو</t>
        </is>
      </c>
      <c r="N60" s="13" t="inlineStr">
        <is>
          <t>التوسع في المواقع</t>
        </is>
      </c>
      <c r="O60" s="15" t="inlineStr">
        <is>
          <t>العمليات الداخلية</t>
        </is>
      </c>
      <c r="P60" s="15" t="inlineStr">
        <is>
          <t>مدير الاستثمار</t>
        </is>
      </c>
      <c r="Q60" s="13" t="inlineStr">
        <is>
          <t>نظام إدارة العقود (CRM)</t>
        </is>
      </c>
      <c r="R60" s="15" t="inlineStr">
        <is>
          <t>شهري</t>
        </is>
      </c>
      <c r="S60" s="46" t="n">
        <v>68.196</v>
      </c>
      <c r="T60" s="46" t="n">
        <v>75.19799999999999</v>
      </c>
      <c r="U60" s="46" t="n">
        <v>164.4</v>
      </c>
      <c r="V60" s="61" t="n">
        <v>0.2053</v>
      </c>
      <c r="W60" s="61" t="n">
        <v>1</v>
      </c>
      <c r="X60" s="61" t="n">
        <v>0.85</v>
      </c>
      <c r="Y60" s="75" t="inlineStr">
        <is>
          <t>دون المستهدف — فجوة 18٪، يتطلب إجراءً تصحيحياً عاجلاً.</t>
        </is>
      </c>
      <c r="Z60" s="69" t="inlineStr">
        <is>
          <t>إطلاق إجراء تصحيحي خلال 30 يوماً بإشراف مدير الاستثمار.</t>
        </is>
      </c>
      <c r="AA60" s="27" t="inlineStr">
        <is>
          <t>تحت الهدف</t>
        </is>
      </c>
      <c r="AB60" s="27" t="n">
        <v>3</v>
      </c>
      <c r="AC60" s="76" t="inlineStr">
        <is>
          <t>#EB5757</t>
        </is>
      </c>
    </row>
    <row r="61">
      <c r="A61" s="9" t="inlineStr">
        <is>
          <t>الاستثمار</t>
        </is>
      </c>
      <c r="B61" s="9" t="inlineStr">
        <is>
          <t>نمو المحفظة</t>
        </is>
      </c>
      <c r="C61" s="9" t="inlineStr">
        <is>
          <t>المحطات المستحوَذ عليها المشغّلة (تراكمي)</t>
        </is>
      </c>
      <c r="D61" s="15" t="inlineStr">
        <is>
          <t>🔧 تشغيلي</t>
        </is>
      </c>
      <c r="E61" s="46" t="inlineStr">
        <is>
          <t>محطة</t>
        </is>
      </c>
      <c r="F61" s="46" t="inlineStr">
        <is>
          <t>↑</t>
        </is>
      </c>
      <c r="G61" s="15" t="inlineStr">
        <is>
          <t>🔴 رئيسي</t>
        </is>
      </c>
      <c r="H61" s="61" t="n">
        <v>0.05</v>
      </c>
      <c r="I61" s="46" t="n">
        <v>120</v>
      </c>
      <c r="J61" s="46" t="n">
        <v>125.8</v>
      </c>
      <c r="K61" s="61" t="n">
        <v>1</v>
      </c>
      <c r="L61" s="27" t="inlineStr">
        <is>
          <t>✅ محقق</t>
        </is>
      </c>
      <c r="M61" s="27" t="inlineStr">
        <is>
          <t>النمو</t>
        </is>
      </c>
      <c r="N61" s="13" t="inlineStr">
        <is>
          <t>التوسع في المواقع</t>
        </is>
      </c>
      <c r="O61" s="15" t="inlineStr">
        <is>
          <t>العمليات الداخلية</t>
        </is>
      </c>
      <c r="P61" s="15" t="inlineStr">
        <is>
          <t>مدير الاستثمار</t>
        </is>
      </c>
      <c r="Q61" s="13" t="inlineStr">
        <is>
          <t>نظام تشغيل المحطات</t>
        </is>
      </c>
      <c r="R61" s="15" t="inlineStr">
        <is>
          <t>شهري</t>
        </is>
      </c>
      <c r="S61" s="46" t="n">
        <v>106.769</v>
      </c>
      <c r="T61" s="46" t="n">
        <v>116.285</v>
      </c>
      <c r="U61" s="46" t="n">
        <v>125.8</v>
      </c>
      <c r="V61" s="61" t="n">
        <v>0.1782</v>
      </c>
      <c r="W61" s="61" t="n">
        <v>1</v>
      </c>
      <c r="X61" s="61" t="n">
        <v>0.85</v>
      </c>
      <c r="Y61" s="71" t="inlineStr"/>
      <c r="Z61" s="69" t="inlineStr"/>
      <c r="AA61" s="27" t="inlineStr">
        <is>
          <t>محقق</t>
        </is>
      </c>
      <c r="AB61" s="27" t="n">
        <v>1</v>
      </c>
      <c r="AC61" s="74" t="inlineStr">
        <is>
          <t>#2EAD6B</t>
        </is>
      </c>
    </row>
    <row r="62">
      <c r="A62" s="9" t="inlineStr">
        <is>
          <t>الاستثمار</t>
        </is>
      </c>
      <c r="B62" s="9" t="inlineStr">
        <is>
          <t>نمو المحفظة</t>
        </is>
      </c>
      <c r="C62" s="9" t="inlineStr">
        <is>
          <t>عقود تأجير الأرض الجديدة</t>
        </is>
      </c>
      <c r="D62" s="15" t="inlineStr">
        <is>
          <t>🔧 تشغيلي</t>
        </is>
      </c>
      <c r="E62" s="46" t="inlineStr">
        <is>
          <t>عقد</t>
        </is>
      </c>
      <c r="F62" s="46" t="inlineStr">
        <is>
          <t>↑</t>
        </is>
      </c>
      <c r="G62" s="15" t="inlineStr">
        <is>
          <t>🔴 رئيسي</t>
        </is>
      </c>
      <c r="H62" s="61" t="n">
        <v>0.05</v>
      </c>
      <c r="I62" s="46" t="n">
        <v>11</v>
      </c>
      <c r="J62" s="46" t="n">
        <v>8.1</v>
      </c>
      <c r="K62" s="61" t="n">
        <v>0.7363636363636363</v>
      </c>
      <c r="L62" s="27" t="inlineStr">
        <is>
          <t>🔴 تحت الهدف</t>
        </is>
      </c>
      <c r="M62" s="27" t="inlineStr">
        <is>
          <t>النمو</t>
        </is>
      </c>
      <c r="N62" s="13" t="inlineStr">
        <is>
          <t>التوسع في المواقع</t>
        </is>
      </c>
      <c r="O62" s="15" t="inlineStr">
        <is>
          <t>العمليات الداخلية</t>
        </is>
      </c>
      <c r="P62" s="15" t="inlineStr">
        <is>
          <t>مدير الاستثمار</t>
        </is>
      </c>
      <c r="Q62" s="13" t="inlineStr">
        <is>
          <t>نظام إدارة العقود (CRM)</t>
        </is>
      </c>
      <c r="R62" s="15" t="inlineStr">
        <is>
          <t>شهري</t>
        </is>
      </c>
      <c r="S62" s="46" t="n">
        <v>6.495</v>
      </c>
      <c r="T62" s="46" t="n">
        <v>7.297</v>
      </c>
      <c r="U62" s="46" t="n">
        <v>16.2</v>
      </c>
      <c r="V62" s="61" t="n">
        <v>0.2471</v>
      </c>
      <c r="W62" s="61" t="n">
        <v>1</v>
      </c>
      <c r="X62" s="61" t="n">
        <v>0.85</v>
      </c>
      <c r="Y62" s="75" t="inlineStr">
        <is>
          <t>دون المستهدف — فجوة 26٪، يتطلب إجراءً تصحيحياً عاجلاً.</t>
        </is>
      </c>
      <c r="Z62" s="69" t="inlineStr">
        <is>
          <t>إطلاق إجراء تصحيحي خلال 30 يوماً بإشراف مدير الاستثمار.</t>
        </is>
      </c>
      <c r="AA62" s="27" t="inlineStr">
        <is>
          <t>تحت الهدف</t>
        </is>
      </c>
      <c r="AB62" s="27" t="n">
        <v>3</v>
      </c>
      <c r="AC62" s="76" t="inlineStr">
        <is>
          <t>#EB5757</t>
        </is>
      </c>
    </row>
    <row r="63">
      <c r="A63" s="9" t="inlineStr">
        <is>
          <t>الاستثمار</t>
        </is>
      </c>
      <c r="B63" s="9" t="inlineStr">
        <is>
          <t>نمو المحفظة</t>
        </is>
      </c>
      <c r="C63" s="9" t="inlineStr">
        <is>
          <t>عقود إيجار المحطة الجديدة</t>
        </is>
      </c>
      <c r="D63" s="15" t="inlineStr">
        <is>
          <t>🔧 تشغيلي</t>
        </is>
      </c>
      <c r="E63" s="46" t="inlineStr">
        <is>
          <t>عقد</t>
        </is>
      </c>
      <c r="F63" s="46" t="inlineStr">
        <is>
          <t>↑</t>
        </is>
      </c>
      <c r="G63" s="15" t="inlineStr">
        <is>
          <t>🔴 رئيسي</t>
        </is>
      </c>
      <c r="H63" s="61" t="n">
        <v>0.05</v>
      </c>
      <c r="I63" s="46" t="n">
        <v>12</v>
      </c>
      <c r="J63" s="46" t="n">
        <v>12.2</v>
      </c>
      <c r="K63" s="61" t="n">
        <v>1</v>
      </c>
      <c r="L63" s="27" t="inlineStr">
        <is>
          <t>✅ محقق</t>
        </is>
      </c>
      <c r="M63" s="27" t="inlineStr">
        <is>
          <t>النمو</t>
        </is>
      </c>
      <c r="N63" s="13" t="inlineStr">
        <is>
          <t>التوسع في المواقع</t>
        </is>
      </c>
      <c r="O63" s="15" t="inlineStr">
        <is>
          <t>العمليات الداخلية</t>
        </is>
      </c>
      <c r="P63" s="15" t="inlineStr">
        <is>
          <t>مدير الاستثمار</t>
        </is>
      </c>
      <c r="Q63" s="13" t="inlineStr">
        <is>
          <t>نظام إدارة العقود (CRM)</t>
        </is>
      </c>
      <c r="R63" s="15" t="inlineStr">
        <is>
          <t>شهري</t>
        </is>
      </c>
      <c r="S63" s="46" t="n">
        <v>10.42</v>
      </c>
      <c r="T63" s="46" t="n">
        <v>11.31</v>
      </c>
      <c r="U63" s="46" t="n">
        <v>24.4</v>
      </c>
      <c r="V63" s="61" t="n">
        <v>0.1708</v>
      </c>
      <c r="W63" s="61" t="n">
        <v>1</v>
      </c>
      <c r="X63" s="61" t="n">
        <v>0.85</v>
      </c>
      <c r="Y63" s="71" t="inlineStr"/>
      <c r="Z63" s="69" t="inlineStr"/>
      <c r="AA63" s="27" t="inlineStr">
        <is>
          <t>محقق</t>
        </is>
      </c>
      <c r="AB63" s="27" t="n">
        <v>1</v>
      </c>
      <c r="AC63" s="74" t="inlineStr">
        <is>
          <t>#2EAD6B</t>
        </is>
      </c>
    </row>
    <row r="64">
      <c r="A64" s="9" t="inlineStr">
        <is>
          <t>الاستثمار</t>
        </is>
      </c>
      <c r="B64" s="9" t="inlineStr">
        <is>
          <t>نمو المحفظة</t>
        </is>
      </c>
      <c r="C64" s="9" t="inlineStr">
        <is>
          <t>عقود تشغيل المحطة الجديدة</t>
        </is>
      </c>
      <c r="D64" s="15" t="inlineStr">
        <is>
          <t>🔧 تشغيلي</t>
        </is>
      </c>
      <c r="E64" s="46" t="inlineStr">
        <is>
          <t>عقد</t>
        </is>
      </c>
      <c r="F64" s="46" t="inlineStr">
        <is>
          <t>↑</t>
        </is>
      </c>
      <c r="G64" s="15" t="inlineStr">
        <is>
          <t>🔴 رئيسي</t>
        </is>
      </c>
      <c r="H64" s="61" t="n">
        <v>0.05</v>
      </c>
      <c r="I64" s="46" t="n">
        <v>68</v>
      </c>
      <c r="J64" s="46" t="n">
        <v>49.4</v>
      </c>
      <c r="K64" s="61" t="n">
        <v>0.7264705882352941</v>
      </c>
      <c r="L64" s="27" t="inlineStr">
        <is>
          <t>🔴 تحت الهدف</t>
        </is>
      </c>
      <c r="M64" s="27" t="inlineStr">
        <is>
          <t>النمو</t>
        </is>
      </c>
      <c r="N64" s="13" t="inlineStr">
        <is>
          <t>التوسع في المواقع</t>
        </is>
      </c>
      <c r="O64" s="15" t="inlineStr">
        <is>
          <t>العمليات الداخلية</t>
        </is>
      </c>
      <c r="P64" s="15" t="inlineStr">
        <is>
          <t>مدير الاستثمار</t>
        </is>
      </c>
      <c r="Q64" s="13" t="inlineStr">
        <is>
          <t>نظام إدارة العقود (CRM)</t>
        </is>
      </c>
      <c r="R64" s="15" t="inlineStr">
        <is>
          <t>شهري</t>
        </is>
      </c>
      <c r="S64" s="46" t="n">
        <v>40.64</v>
      </c>
      <c r="T64" s="46" t="n">
        <v>45.02</v>
      </c>
      <c r="U64" s="46" t="n">
        <v>98.8</v>
      </c>
      <c r="V64" s="61" t="n">
        <v>0.2156</v>
      </c>
      <c r="W64" s="61" t="n">
        <v>1</v>
      </c>
      <c r="X64" s="61" t="n">
        <v>0.85</v>
      </c>
      <c r="Y64" s="75" t="inlineStr">
        <is>
          <t>دون المستهدف — فجوة 27٪، يتطلب إجراءً تصحيحياً عاجلاً.</t>
        </is>
      </c>
      <c r="Z64" s="69" t="inlineStr">
        <is>
          <t>إطلاق إجراء تصحيحي خلال 30 يوماً بإشراف مدير الاستثمار.</t>
        </is>
      </c>
      <c r="AA64" s="27" t="inlineStr">
        <is>
          <t>تحت الهدف</t>
        </is>
      </c>
      <c r="AB64" s="27" t="n">
        <v>3</v>
      </c>
      <c r="AC64" s="76" t="inlineStr">
        <is>
          <t>#EB5757</t>
        </is>
      </c>
    </row>
    <row r="65">
      <c r="A65" s="9" t="inlineStr">
        <is>
          <t>الاستثمار</t>
        </is>
      </c>
      <c r="B65" s="9" t="inlineStr">
        <is>
          <t>الربحية وجودة الموقع</t>
        </is>
      </c>
      <c r="C65" s="9" t="inlineStr">
        <is>
          <t>نسبة المواقع المعتمدة ذات العائد المجدي</t>
        </is>
      </c>
      <c r="D65" s="15" t="inlineStr">
        <is>
          <t>🎯 نتيجة</t>
        </is>
      </c>
      <c r="E65" s="46" t="inlineStr">
        <is>
          <t>%</t>
        </is>
      </c>
      <c r="F65" s="46" t="inlineStr">
        <is>
          <t>↑</t>
        </is>
      </c>
      <c r="G65" s="15" t="inlineStr">
        <is>
          <t>🔴 رئيسي</t>
        </is>
      </c>
      <c r="H65" s="61" t="n">
        <v>0.05</v>
      </c>
      <c r="I65" s="46" t="n">
        <v>0.8</v>
      </c>
      <c r="J65" s="46" t="n">
        <v>0.649</v>
      </c>
      <c r="K65" s="61" t="n">
        <v>0.81125</v>
      </c>
      <c r="L65" s="27" t="inlineStr">
        <is>
          <t>🔴 تحت الهدف</t>
        </is>
      </c>
      <c r="M65" s="27" t="inlineStr">
        <is>
          <t>الاستدامة</t>
        </is>
      </c>
      <c r="N65" s="13" t="inlineStr">
        <is>
          <t>جودة التشغيل</t>
        </is>
      </c>
      <c r="O65" s="15" t="inlineStr">
        <is>
          <t>مالي</t>
        </is>
      </c>
      <c r="P65" s="15" t="inlineStr">
        <is>
          <t>مدير الاستثمار</t>
        </is>
      </c>
      <c r="Q65" s="13" t="inlineStr">
        <is>
          <t>نظام المحاسبة / ERP (D365)</t>
        </is>
      </c>
      <c r="R65" s="15" t="inlineStr">
        <is>
          <t>شهري</t>
        </is>
      </c>
      <c r="S65" s="46" t="n">
        <v>0.552</v>
      </c>
      <c r="T65" s="46" t="n">
        <v>0.601</v>
      </c>
      <c r="U65" s="46" t="n">
        <v>0.649</v>
      </c>
      <c r="V65" s="61" t="n">
        <v>0.1757</v>
      </c>
      <c r="W65" s="61" t="n">
        <v>1</v>
      </c>
      <c r="X65" s="61" t="n">
        <v>0.85</v>
      </c>
      <c r="Y65" s="75" t="inlineStr">
        <is>
          <t>دون المستهدف — فجوة 19٪، يتطلب إجراءً تصحيحياً عاجلاً.</t>
        </is>
      </c>
      <c r="Z65" s="69" t="inlineStr">
        <is>
          <t>إطلاق إجراء تصحيحي خلال 30 يوماً بإشراف مدير الاستثمار.</t>
        </is>
      </c>
      <c r="AA65" s="27" t="inlineStr">
        <is>
          <t>تحت الهدف</t>
        </is>
      </c>
      <c r="AB65" s="27" t="n">
        <v>3</v>
      </c>
      <c r="AC65" s="76" t="inlineStr">
        <is>
          <t>#EB5757</t>
        </is>
      </c>
    </row>
    <row r="66">
      <c r="A66" s="9" t="inlineStr">
        <is>
          <t>الاستثمار</t>
        </is>
      </c>
      <c r="B66" s="9" t="inlineStr">
        <is>
          <t>الربحية وجودة الموقع</t>
        </is>
      </c>
      <c r="C66" s="9" t="inlineStr">
        <is>
          <t>متوسط فترة استرداد رأس المال</t>
        </is>
      </c>
      <c r="D66" s="15" t="inlineStr">
        <is>
          <t>🔧 تشغيلي</t>
        </is>
      </c>
      <c r="E66" s="46" t="inlineStr">
        <is>
          <t>سنة</t>
        </is>
      </c>
      <c r="F66" s="46" t="inlineStr">
        <is>
          <t>↓</t>
        </is>
      </c>
      <c r="G66" s="15" t="inlineStr">
        <is>
          <t>🟠 مهم</t>
        </is>
      </c>
      <c r="H66" s="61" t="n">
        <v>0.03</v>
      </c>
      <c r="I66" s="46" t="n">
        <v>5</v>
      </c>
      <c r="J66" s="46" t="n">
        <v>4.983</v>
      </c>
      <c r="K66" s="61" t="n">
        <v>1</v>
      </c>
      <c r="L66" s="27" t="inlineStr">
        <is>
          <t>✅ محقق</t>
        </is>
      </c>
      <c r="M66" s="27" t="inlineStr">
        <is>
          <t>الاستدامة</t>
        </is>
      </c>
      <c r="N66" s="13" t="inlineStr">
        <is>
          <t>جودة التشغيل</t>
        </is>
      </c>
      <c r="O66" s="15" t="inlineStr">
        <is>
          <t>مالي</t>
        </is>
      </c>
      <c r="P66" s="15" t="inlineStr">
        <is>
          <t>مدير الاستثمار</t>
        </is>
      </c>
      <c r="Q66" s="13" t="inlineStr">
        <is>
          <t>نظام المحاسبة / ERP (D365)</t>
        </is>
      </c>
      <c r="R66" s="15" t="inlineStr">
        <is>
          <t>شهري</t>
        </is>
      </c>
      <c r="S66" s="46" t="n">
        <v>5.443</v>
      </c>
      <c r="T66" s="46" t="n">
        <v>5.213</v>
      </c>
      <c r="U66" s="46" t="n">
        <v>4.983</v>
      </c>
      <c r="V66" s="61" t="n">
        <v>-0.08450000000000001</v>
      </c>
      <c r="W66" s="61" t="n">
        <v>1</v>
      </c>
      <c r="X66" s="61" t="n">
        <v>0.85</v>
      </c>
      <c r="Y66" s="71" t="inlineStr"/>
      <c r="Z66" s="69" t="inlineStr"/>
      <c r="AA66" s="27" t="inlineStr">
        <is>
          <t>محقق</t>
        </is>
      </c>
      <c r="AB66" s="27" t="n">
        <v>1</v>
      </c>
      <c r="AC66" s="74" t="inlineStr">
        <is>
          <t>#2EAD6B</t>
        </is>
      </c>
    </row>
    <row r="67">
      <c r="A67" s="9" t="inlineStr">
        <is>
          <t>الاستثمار</t>
        </is>
      </c>
      <c r="B67" s="9" t="inlineStr">
        <is>
          <t>الربحية وجودة الموقع</t>
        </is>
      </c>
      <c r="C67" s="9" t="inlineStr">
        <is>
          <t>متوسط قيمة عقد الإيجار السنوي (أرض)</t>
        </is>
      </c>
      <c r="D67" s="15" t="inlineStr">
        <is>
          <t>🎯 نتيجة</t>
        </is>
      </c>
      <c r="E67" s="46" t="inlineStr">
        <is>
          <t>ر.س</t>
        </is>
      </c>
      <c r="F67" s="46" t="inlineStr">
        <is>
          <t>↑</t>
        </is>
      </c>
      <c r="G67" s="15" t="inlineStr">
        <is>
          <t>🔴 رئيسي</t>
        </is>
      </c>
      <c r="H67" s="61" t="n">
        <v>0.05</v>
      </c>
      <c r="I67" s="46" t="n"/>
      <c r="J67" s="46" t="n"/>
      <c r="K67" s="61" t="n"/>
      <c r="L67" s="27" t="inlineStr">
        <is>
          <t>⏳ بانتظار هدف</t>
        </is>
      </c>
      <c r="M67" s="27" t="inlineStr">
        <is>
          <t>النمو</t>
        </is>
      </c>
      <c r="N67" s="13" t="inlineStr">
        <is>
          <t>التوسع في المواقع</t>
        </is>
      </c>
      <c r="O67" s="15" t="inlineStr">
        <is>
          <t>مالي</t>
        </is>
      </c>
      <c r="P67" s="15" t="inlineStr">
        <is>
          <t>مدير الاستثمار</t>
        </is>
      </c>
      <c r="Q67" s="13" t="inlineStr">
        <is>
          <t>نظام المحاسبة / ERP (D365)</t>
        </is>
      </c>
      <c r="R67" s="15" t="inlineStr">
        <is>
          <t>شهري</t>
        </is>
      </c>
      <c r="S67" s="46" t="n"/>
      <c r="T67" s="46" t="n"/>
      <c r="U67" s="46" t="n"/>
      <c r="V67" s="61" t="n"/>
      <c r="W67" s="61" t="n">
        <v>1</v>
      </c>
      <c r="X67" s="61" t="n">
        <v>0.85</v>
      </c>
      <c r="Y67" s="71" t="inlineStr"/>
      <c r="Z67" s="69" t="inlineStr"/>
      <c r="AA67" s="27" t="inlineStr">
        <is>
          <t>بانتظار هدف</t>
        </is>
      </c>
      <c r="AB67" s="27" t="n">
        <v>4</v>
      </c>
      <c r="AC67" s="73" t="inlineStr">
        <is>
          <t>#BDBDBD</t>
        </is>
      </c>
    </row>
    <row r="68">
      <c r="A68" s="9" t="inlineStr">
        <is>
          <t>الاستثمار</t>
        </is>
      </c>
      <c r="B68" s="9" t="inlineStr">
        <is>
          <t>التوسع الإقليمي</t>
        </is>
      </c>
      <c r="C68" s="9" t="inlineStr">
        <is>
          <t>نسبة العقود التي تغطي المناطق الـ13</t>
        </is>
      </c>
      <c r="D68" s="15" t="inlineStr">
        <is>
          <t>🔧 تشغيلي</t>
        </is>
      </c>
      <c r="E68" s="46" t="inlineStr">
        <is>
          <t>%</t>
        </is>
      </c>
      <c r="F68" s="46" t="inlineStr">
        <is>
          <t>↑</t>
        </is>
      </c>
      <c r="G68" s="15" t="inlineStr">
        <is>
          <t>🔴 رئيسي</t>
        </is>
      </c>
      <c r="H68" s="61" t="n">
        <v>0.05</v>
      </c>
      <c r="I68" s="46" t="n">
        <v>1</v>
      </c>
      <c r="J68" s="46" t="n">
        <v>1.028</v>
      </c>
      <c r="K68" s="61" t="n">
        <v>1</v>
      </c>
      <c r="L68" s="27" t="inlineStr">
        <is>
          <t>✅ محقق</t>
        </is>
      </c>
      <c r="M68" s="27" t="inlineStr">
        <is>
          <t>النمو</t>
        </is>
      </c>
      <c r="N68" s="13" t="inlineStr">
        <is>
          <t>التوسع في المواقع</t>
        </is>
      </c>
      <c r="O68" s="15" t="inlineStr">
        <is>
          <t>العمليات الداخلية</t>
        </is>
      </c>
      <c r="P68" s="15" t="inlineStr">
        <is>
          <t>مدير الاستثمار</t>
        </is>
      </c>
      <c r="Q68" s="13" t="inlineStr">
        <is>
          <t>نظام إدارة العقود (CRM)</t>
        </is>
      </c>
      <c r="R68" s="15" t="inlineStr">
        <is>
          <t>شهري</t>
        </is>
      </c>
      <c r="S68" s="46" t="n">
        <v>0.854</v>
      </c>
      <c r="T68" s="46" t="n">
        <v>0.9409999999999999</v>
      </c>
      <c r="U68" s="46" t="n">
        <v>1.028</v>
      </c>
      <c r="V68" s="61" t="n">
        <v>0.2037</v>
      </c>
      <c r="W68" s="61" t="n">
        <v>1</v>
      </c>
      <c r="X68" s="61" t="n">
        <v>0.85</v>
      </c>
      <c r="Y68" s="71" t="inlineStr"/>
      <c r="Z68" s="69" t="inlineStr"/>
      <c r="AA68" s="27" t="inlineStr">
        <is>
          <t>محقق</t>
        </is>
      </c>
      <c r="AB68" s="27" t="n">
        <v>1</v>
      </c>
      <c r="AC68" s="74" t="inlineStr">
        <is>
          <t>#2EAD6B</t>
        </is>
      </c>
    </row>
    <row r="69">
      <c r="A69" s="9" t="inlineStr">
        <is>
          <t>الاستثمار</t>
        </is>
      </c>
      <c r="B69" s="9" t="inlineStr">
        <is>
          <t>التوسع الإقليمي</t>
        </is>
      </c>
      <c r="C69" s="9" t="inlineStr">
        <is>
          <t>نسبة العقود خارج المدن الرئيسية</t>
        </is>
      </c>
      <c r="D69" s="15" t="inlineStr">
        <is>
          <t>🔧 تشغيلي</t>
        </is>
      </c>
      <c r="E69" s="46" t="inlineStr">
        <is>
          <t>%</t>
        </is>
      </c>
      <c r="F69" s="46" t="inlineStr">
        <is>
          <t>↑</t>
        </is>
      </c>
      <c r="G69" s="15" t="inlineStr">
        <is>
          <t>🔴 رئيسي</t>
        </is>
      </c>
      <c r="H69" s="61" t="n">
        <v>0.05</v>
      </c>
      <c r="I69" s="46" t="n">
        <v>0.6</v>
      </c>
      <c r="J69" s="46" t="n">
        <v>0.516</v>
      </c>
      <c r="K69" s="61" t="n">
        <v>0.8600000000000001</v>
      </c>
      <c r="L69" s="27" t="inlineStr">
        <is>
          <t>🟡 قريب</t>
        </is>
      </c>
      <c r="M69" s="27" t="inlineStr">
        <is>
          <t>النمو</t>
        </is>
      </c>
      <c r="N69" s="13" t="inlineStr">
        <is>
          <t>التوسع في المواقع</t>
        </is>
      </c>
      <c r="O69" s="15" t="inlineStr">
        <is>
          <t>العمليات الداخلية</t>
        </is>
      </c>
      <c r="P69" s="15" t="inlineStr">
        <is>
          <t>مدير الاستثمار</t>
        </is>
      </c>
      <c r="Q69" s="13" t="inlineStr">
        <is>
          <t>نظام إدارة العقود (CRM)</t>
        </is>
      </c>
      <c r="R69" s="15" t="inlineStr">
        <is>
          <t>شهري</t>
        </is>
      </c>
      <c r="S69" s="46" t="n">
        <v>0.424</v>
      </c>
      <c r="T69" s="46" t="n">
        <v>0.47</v>
      </c>
      <c r="U69" s="46" t="n">
        <v>0.516</v>
      </c>
      <c r="V69" s="61" t="n">
        <v>0.217</v>
      </c>
      <c r="W69" s="61" t="n">
        <v>1</v>
      </c>
      <c r="X69" s="61" t="n">
        <v>0.85</v>
      </c>
      <c r="Y69" s="71" t="inlineStr">
        <is>
          <t>قريب من المستهدف — فجوة 14٪، متابعة لإغلاقها.</t>
        </is>
      </c>
      <c r="Z69" s="69" t="inlineStr">
        <is>
          <t>متابعة أسبوعية حتى بلوغ المستهدف.</t>
        </is>
      </c>
      <c r="AA69" s="27" t="inlineStr">
        <is>
          <t>قريب</t>
        </is>
      </c>
      <c r="AB69" s="27" t="n">
        <v>2</v>
      </c>
      <c r="AC69" s="72" t="inlineStr">
        <is>
          <t>#F2C94C</t>
        </is>
      </c>
    </row>
    <row r="70">
      <c r="A70" s="9" t="inlineStr">
        <is>
          <t>الاستثمار</t>
        </is>
      </c>
      <c r="B70" s="9" t="inlineStr">
        <is>
          <t>التوسع الإقليمي</t>
        </is>
      </c>
      <c r="C70" s="9" t="inlineStr">
        <is>
          <t>نسبة العقود في الـ12 مدينة الرئيسية</t>
        </is>
      </c>
      <c r="D70" s="15" t="inlineStr">
        <is>
          <t>🔧 تشغيلي</t>
        </is>
      </c>
      <c r="E70" s="46" t="inlineStr">
        <is>
          <t>%</t>
        </is>
      </c>
      <c r="F70" s="46" t="inlineStr">
        <is>
          <t>↓</t>
        </is>
      </c>
      <c r="G70" s="15" t="inlineStr">
        <is>
          <t>🔴 رئيسي</t>
        </is>
      </c>
      <c r="H70" s="61" t="n">
        <v>0.05</v>
      </c>
      <c r="I70" s="46" t="n">
        <v>0.4</v>
      </c>
      <c r="J70" s="46" t="n">
        <v>0.415</v>
      </c>
      <c r="K70" s="61" t="n">
        <v>0.9638554216867471</v>
      </c>
      <c r="L70" s="27" t="inlineStr">
        <is>
          <t>🟡 قريب</t>
        </is>
      </c>
      <c r="M70" s="27" t="inlineStr">
        <is>
          <t>النمو</t>
        </is>
      </c>
      <c r="N70" s="13" t="inlineStr">
        <is>
          <t>التوسع في المواقع</t>
        </is>
      </c>
      <c r="O70" s="15" t="inlineStr">
        <is>
          <t>العمليات الداخلية</t>
        </is>
      </c>
      <c r="P70" s="15" t="inlineStr">
        <is>
          <t>مدير الاستثمار</t>
        </is>
      </c>
      <c r="Q70" s="13" t="inlineStr">
        <is>
          <t>نظام المحاسبة / ERP (D365)</t>
        </is>
      </c>
      <c r="R70" s="15" t="inlineStr">
        <is>
          <t>شهري</t>
        </is>
      </c>
      <c r="S70" s="46" t="n">
        <v>0.486</v>
      </c>
      <c r="T70" s="46" t="n">
        <v>0.451</v>
      </c>
      <c r="U70" s="46" t="n">
        <v>0.415</v>
      </c>
      <c r="V70" s="61" t="n">
        <v>-0.1461</v>
      </c>
      <c r="W70" s="61" t="n">
        <v>1</v>
      </c>
      <c r="X70" s="61" t="n">
        <v>0.85</v>
      </c>
      <c r="Y70" s="71" t="inlineStr">
        <is>
          <t>قريب من المستهدف — فجوة 4٪، متابعة لإغلاقها.</t>
        </is>
      </c>
      <c r="Z70" s="69" t="inlineStr">
        <is>
          <t>متابعة أسبوعية حتى بلوغ المستهدف.</t>
        </is>
      </c>
      <c r="AA70" s="27" t="inlineStr">
        <is>
          <t>قريب</t>
        </is>
      </c>
      <c r="AB70" s="27" t="n">
        <v>2</v>
      </c>
      <c r="AC70" s="72" t="inlineStr">
        <is>
          <t>#F2C94C</t>
        </is>
      </c>
    </row>
    <row r="71">
      <c r="A71" s="9" t="inlineStr">
        <is>
          <t>الاستثمار</t>
        </is>
      </c>
      <c r="B71" s="9" t="inlineStr">
        <is>
          <t>التوسع الإقليمي</t>
        </is>
      </c>
      <c r="C71" s="9" t="inlineStr">
        <is>
          <t>نسبة العقود على الطرق الإقليمية</t>
        </is>
      </c>
      <c r="D71" s="15" t="inlineStr">
        <is>
          <t>🔧 تشغيلي</t>
        </is>
      </c>
      <c r="E71" s="46" t="inlineStr">
        <is>
          <t>%</t>
        </is>
      </c>
      <c r="F71" s="46" t="inlineStr">
        <is>
          <t>↑</t>
        </is>
      </c>
      <c r="G71" s="15" t="inlineStr">
        <is>
          <t>🔴 رئيسي</t>
        </is>
      </c>
      <c r="H71" s="61" t="n">
        <v>0.05</v>
      </c>
      <c r="I71" s="46" t="n">
        <v>0.25</v>
      </c>
      <c r="J71" s="46" t="n">
        <v>0.236</v>
      </c>
      <c r="K71" s="61" t="n">
        <v>0.944</v>
      </c>
      <c r="L71" s="27" t="inlineStr">
        <is>
          <t>🟡 قريب</t>
        </is>
      </c>
      <c r="M71" s="27" t="inlineStr">
        <is>
          <t>النمو</t>
        </is>
      </c>
      <c r="N71" s="13" t="inlineStr">
        <is>
          <t>التوسع في المواقع</t>
        </is>
      </c>
      <c r="O71" s="15" t="inlineStr">
        <is>
          <t>العمليات الداخلية</t>
        </is>
      </c>
      <c r="P71" s="15" t="inlineStr">
        <is>
          <t>مدير الاستثمار</t>
        </is>
      </c>
      <c r="Q71" s="13" t="inlineStr">
        <is>
          <t>نظام إدارة العقود (CRM)</t>
        </is>
      </c>
      <c r="R71" s="15" t="inlineStr">
        <is>
          <t>شهري</t>
        </is>
      </c>
      <c r="S71" s="46" t="n">
        <v>0.197</v>
      </c>
      <c r="T71" s="46" t="n">
        <v>0.216</v>
      </c>
      <c r="U71" s="46" t="n">
        <v>0.236</v>
      </c>
      <c r="V71" s="61" t="n">
        <v>0.198</v>
      </c>
      <c r="W71" s="61" t="n">
        <v>1</v>
      </c>
      <c r="X71" s="61" t="n">
        <v>0.85</v>
      </c>
      <c r="Y71" s="71" t="inlineStr">
        <is>
          <t>قريب من المستهدف — فجوة 6٪، متابعة لإغلاقها.</t>
        </is>
      </c>
      <c r="Z71" s="69" t="inlineStr">
        <is>
          <t>متابعة أسبوعية حتى بلوغ المستهدف.</t>
        </is>
      </c>
      <c r="AA71" s="27" t="inlineStr">
        <is>
          <t>قريب</t>
        </is>
      </c>
      <c r="AB71" s="27" t="n">
        <v>2</v>
      </c>
      <c r="AC71" s="72" t="inlineStr">
        <is>
          <t>#F2C94C</t>
        </is>
      </c>
    </row>
    <row r="72">
      <c r="A72" s="9" t="inlineStr">
        <is>
          <t>الاستثمار</t>
        </is>
      </c>
      <c r="B72" s="9" t="inlineStr">
        <is>
          <t>كفاءة الدورة</t>
        </is>
      </c>
      <c r="C72" s="9" t="inlineStr">
        <is>
          <t>متوسط مدة إغلاق عقد الاستثمار</t>
        </is>
      </c>
      <c r="D72" s="15" t="inlineStr">
        <is>
          <t>🎯 نتيجة</t>
        </is>
      </c>
      <c r="E72" s="46" t="inlineStr">
        <is>
          <t>أسبوع</t>
        </is>
      </c>
      <c r="F72" s="46" t="inlineStr">
        <is>
          <t>↓</t>
        </is>
      </c>
      <c r="G72" s="15" t="inlineStr">
        <is>
          <t>🔴 رئيسي</t>
        </is>
      </c>
      <c r="H72" s="61" t="n">
        <v>0.05</v>
      </c>
      <c r="I72" s="46" t="n">
        <v>1</v>
      </c>
      <c r="J72" s="46" t="n">
        <v>0.912</v>
      </c>
      <c r="K72" s="61" t="n">
        <v>1</v>
      </c>
      <c r="L72" s="27" t="inlineStr">
        <is>
          <t>✅ محقق</t>
        </is>
      </c>
      <c r="M72" s="27" t="inlineStr">
        <is>
          <t>النمو</t>
        </is>
      </c>
      <c r="N72" s="13" t="inlineStr">
        <is>
          <t>التوسع في المواقع</t>
        </is>
      </c>
      <c r="O72" s="15" t="inlineStr">
        <is>
          <t>العمليات الداخلية</t>
        </is>
      </c>
      <c r="P72" s="15" t="inlineStr">
        <is>
          <t>مدير الاستثمار</t>
        </is>
      </c>
      <c r="Q72" s="13" t="inlineStr">
        <is>
          <t>نظام إدارة العقود (CRM)</t>
        </is>
      </c>
      <c r="R72" s="15" t="inlineStr">
        <is>
          <t>شهري</t>
        </is>
      </c>
      <c r="S72" s="46" t="n">
        <v>0.998</v>
      </c>
      <c r="T72" s="46" t="n">
        <v>0.955</v>
      </c>
      <c r="U72" s="46" t="n">
        <v>0.912</v>
      </c>
      <c r="V72" s="61" t="n">
        <v>-0.0862</v>
      </c>
      <c r="W72" s="61" t="n">
        <v>1</v>
      </c>
      <c r="X72" s="61" t="n">
        <v>0.85</v>
      </c>
      <c r="Y72" s="71" t="inlineStr"/>
      <c r="Z72" s="69" t="inlineStr"/>
      <c r="AA72" s="27" t="inlineStr">
        <is>
          <t>محقق</t>
        </is>
      </c>
      <c r="AB72" s="27" t="n">
        <v>1</v>
      </c>
      <c r="AC72" s="74" t="inlineStr">
        <is>
          <t>#2EAD6B</t>
        </is>
      </c>
    </row>
    <row r="73">
      <c r="A73" s="9" t="inlineStr">
        <is>
          <t>الاستثمار</t>
        </is>
      </c>
      <c r="B73" s="9" t="inlineStr">
        <is>
          <t>كفاءة الدورة</t>
        </is>
      </c>
      <c r="C73" s="9" t="inlineStr">
        <is>
          <t>نسبة العقود المتحوّلة لمحطات مشغّلة</t>
        </is>
      </c>
      <c r="D73" s="15" t="inlineStr">
        <is>
          <t>🔧 تشغيلي</t>
        </is>
      </c>
      <c r="E73" s="46" t="inlineStr">
        <is>
          <t>%</t>
        </is>
      </c>
      <c r="F73" s="46" t="inlineStr">
        <is>
          <t>↑</t>
        </is>
      </c>
      <c r="G73" s="15" t="inlineStr">
        <is>
          <t>🔴 رئيسي</t>
        </is>
      </c>
      <c r="H73" s="61" t="n">
        <v>0.05</v>
      </c>
      <c r="I73" s="46" t="n">
        <v>0.3</v>
      </c>
      <c r="J73" s="46" t="n">
        <v>0.308</v>
      </c>
      <c r="K73" s="61" t="n">
        <v>1</v>
      </c>
      <c r="L73" s="27" t="inlineStr">
        <is>
          <t>✅ محقق</t>
        </is>
      </c>
      <c r="M73" s="27" t="inlineStr">
        <is>
          <t>النمو</t>
        </is>
      </c>
      <c r="N73" s="13" t="inlineStr">
        <is>
          <t>التوسع في المواقع</t>
        </is>
      </c>
      <c r="O73" s="15" t="inlineStr">
        <is>
          <t>العمليات الداخلية</t>
        </is>
      </c>
      <c r="P73" s="15" t="inlineStr">
        <is>
          <t>مدير الاستثمار</t>
        </is>
      </c>
      <c r="Q73" s="13" t="inlineStr">
        <is>
          <t>نظام إدارة العقود (CRM)</t>
        </is>
      </c>
      <c r="R73" s="15" t="inlineStr">
        <is>
          <t>شهري</t>
        </is>
      </c>
      <c r="S73" s="46" t="n">
        <v>0.258</v>
      </c>
      <c r="T73" s="46" t="n">
        <v>0.283</v>
      </c>
      <c r="U73" s="46" t="n">
        <v>0.308</v>
      </c>
      <c r="V73" s="61" t="n">
        <v>0.1938</v>
      </c>
      <c r="W73" s="61" t="n">
        <v>1</v>
      </c>
      <c r="X73" s="61" t="n">
        <v>0.85</v>
      </c>
      <c r="Y73" s="71" t="inlineStr"/>
      <c r="Z73" s="69" t="inlineStr"/>
      <c r="AA73" s="27" t="inlineStr">
        <is>
          <t>محقق</t>
        </is>
      </c>
      <c r="AB73" s="27" t="n">
        <v>1</v>
      </c>
      <c r="AC73" s="74" t="inlineStr">
        <is>
          <t>#2EAD6B</t>
        </is>
      </c>
    </row>
    <row r="74">
      <c r="A74" s="9" t="inlineStr">
        <is>
          <t>الاستثمار</t>
        </is>
      </c>
      <c r="B74" s="9" t="inlineStr">
        <is>
          <t>كفاءة الدورة</t>
        </is>
      </c>
      <c r="C74" s="9" t="inlineStr">
        <is>
          <t>نسبة تخفيض إيجار المواقع عالية التكاليف</t>
        </is>
      </c>
      <c r="D74" s="15" t="inlineStr">
        <is>
          <t>🔧 تشغيلي</t>
        </is>
      </c>
      <c r="E74" s="46" t="inlineStr">
        <is>
          <t>%</t>
        </is>
      </c>
      <c r="F74" s="46" t="inlineStr">
        <is>
          <t>↑</t>
        </is>
      </c>
      <c r="G74" s="15" t="inlineStr">
        <is>
          <t>🟠 مهم</t>
        </is>
      </c>
      <c r="H74" s="61" t="n">
        <v>0.03</v>
      </c>
      <c r="I74" s="46" t="n">
        <v>0.3</v>
      </c>
      <c r="J74" s="46" t="n">
        <v>0.221</v>
      </c>
      <c r="K74" s="61" t="n">
        <v>0.7366666666666667</v>
      </c>
      <c r="L74" s="27" t="inlineStr">
        <is>
          <t>🔴 تحت الهدف</t>
        </is>
      </c>
      <c r="M74" s="27" t="inlineStr">
        <is>
          <t>الاستدامة</t>
        </is>
      </c>
      <c r="N74" s="13" t="inlineStr">
        <is>
          <t>جودة التشغيل</t>
        </is>
      </c>
      <c r="O74" s="15" t="inlineStr">
        <is>
          <t>العمليات الداخلية</t>
        </is>
      </c>
      <c r="P74" s="15" t="inlineStr">
        <is>
          <t>مدير الاستثمار</t>
        </is>
      </c>
      <c r="Q74" s="13" t="inlineStr">
        <is>
          <t>نظام إدارة العقود (CRM)</t>
        </is>
      </c>
      <c r="R74" s="15" t="inlineStr">
        <is>
          <t>شهري</t>
        </is>
      </c>
      <c r="S74" s="46" t="n">
        <v>0.179</v>
      </c>
      <c r="T74" s="46" t="n">
        <v>0.2</v>
      </c>
      <c r="U74" s="46" t="n">
        <v>0.221</v>
      </c>
      <c r="V74" s="61" t="n">
        <v>0.2346</v>
      </c>
      <c r="W74" s="61" t="n">
        <v>1</v>
      </c>
      <c r="X74" s="61" t="n">
        <v>0.85</v>
      </c>
      <c r="Y74" s="75" t="inlineStr">
        <is>
          <t>دون المستهدف — فجوة 26٪، يتطلب إجراءً تصحيحياً عاجلاً.</t>
        </is>
      </c>
      <c r="Z74" s="69" t="inlineStr">
        <is>
          <t>إطلاق إجراء تصحيحي خلال 30 يوماً بإشراف مدير الاستثمار.</t>
        </is>
      </c>
      <c r="AA74" s="27" t="inlineStr">
        <is>
          <t>تحت الهدف</t>
        </is>
      </c>
      <c r="AB74" s="27" t="n">
        <v>3</v>
      </c>
      <c r="AC74" s="76" t="inlineStr">
        <is>
          <t>#EB5757</t>
        </is>
      </c>
    </row>
    <row r="75">
      <c r="A75" s="9" t="inlineStr">
        <is>
          <t>الاستثمار</t>
        </is>
      </c>
      <c r="B75" s="9" t="inlineStr">
        <is>
          <t>الامتثال</t>
        </is>
      </c>
      <c r="C75" s="9" t="inlineStr">
        <is>
          <t>نسبة اكتمال المستندات النظامية قبل التوقيع</t>
        </is>
      </c>
      <c r="D75" s="15" t="inlineStr">
        <is>
          <t>⚙️ نشاط</t>
        </is>
      </c>
      <c r="E75" s="46" t="inlineStr">
        <is>
          <t>%</t>
        </is>
      </c>
      <c r="F75" s="46" t="inlineStr">
        <is>
          <t>↑</t>
        </is>
      </c>
      <c r="G75" s="15" t="inlineStr">
        <is>
          <t>🏁 معلم</t>
        </is>
      </c>
      <c r="H75" s="61" t="n">
        <v>0.01</v>
      </c>
      <c r="I75" s="46" t="n">
        <v>1</v>
      </c>
      <c r="J75" s="46" t="n">
        <v>0.751</v>
      </c>
      <c r="K75" s="61" t="n">
        <v>0.751</v>
      </c>
      <c r="L75" s="27" t="inlineStr">
        <is>
          <t>🔴 تحت الهدف</t>
        </is>
      </c>
      <c r="M75" s="27" t="inlineStr">
        <is>
          <t>الاستدامة</t>
        </is>
      </c>
      <c r="N75" s="13" t="inlineStr">
        <is>
          <t>جودة التشغيل</t>
        </is>
      </c>
      <c r="O75" s="15" t="inlineStr">
        <is>
          <t>العمليات الداخلية</t>
        </is>
      </c>
      <c r="P75" s="15" t="inlineStr">
        <is>
          <t>مدير الاستثمار</t>
        </is>
      </c>
      <c r="Q75" s="13" t="inlineStr">
        <is>
          <t>نظام إدارة الجودة (QMS)</t>
        </is>
      </c>
      <c r="R75" s="15" t="inlineStr">
        <is>
          <t>شهري</t>
        </is>
      </c>
      <c r="S75" s="46" t="n">
        <v>0.637</v>
      </c>
      <c r="T75" s="46" t="n">
        <v>0.694</v>
      </c>
      <c r="U75" s="46" t="n">
        <v>0.751</v>
      </c>
      <c r="V75" s="61" t="n">
        <v>0.179</v>
      </c>
      <c r="W75" s="61" t="n">
        <v>1</v>
      </c>
      <c r="X75" s="61" t="n">
        <v>0.85</v>
      </c>
      <c r="Y75" s="75" t="inlineStr">
        <is>
          <t>دون المستهدف — فجوة 25٪، يتطلب إجراءً تصحيحياً عاجلاً.</t>
        </is>
      </c>
      <c r="Z75" s="69" t="inlineStr">
        <is>
          <t>إطلاق إجراء تصحيحي خلال 30 يوماً بإشراف مدير الاستثمار.</t>
        </is>
      </c>
      <c r="AA75" s="27" t="inlineStr">
        <is>
          <t>تحت الهدف</t>
        </is>
      </c>
      <c r="AB75" s="27" t="n">
        <v>3</v>
      </c>
      <c r="AC75" s="76" t="inlineStr">
        <is>
          <t>#EB5757</t>
        </is>
      </c>
    </row>
    <row r="76">
      <c r="A76" s="9" t="inlineStr">
        <is>
          <t>الاستثمار</t>
        </is>
      </c>
      <c r="B76" s="9" t="inlineStr">
        <is>
          <t>الامتثال</t>
        </is>
      </c>
      <c r="C76" s="9" t="inlineStr">
        <is>
          <t>نسبة العقود المؤرشفة إلكترونياً خلال 48 ساعة</t>
        </is>
      </c>
      <c r="D76" s="15" t="inlineStr">
        <is>
          <t>🔧 تشغيلي</t>
        </is>
      </c>
      <c r="E76" s="46" t="inlineStr">
        <is>
          <t>%</t>
        </is>
      </c>
      <c r="F76" s="46" t="inlineStr">
        <is>
          <t>↑</t>
        </is>
      </c>
      <c r="G76" s="15" t="inlineStr">
        <is>
          <t>🔴 رئيسي</t>
        </is>
      </c>
      <c r="H76" s="61" t="n">
        <v>0.05</v>
      </c>
      <c r="I76" s="46" t="n">
        <v>0.95</v>
      </c>
      <c r="J76" s="46" t="n">
        <v>0.736</v>
      </c>
      <c r="K76" s="61" t="n">
        <v>0.7747368421052632</v>
      </c>
      <c r="L76" s="27" t="inlineStr">
        <is>
          <t>🔴 تحت الهدف</t>
        </is>
      </c>
      <c r="M76" s="27" t="inlineStr">
        <is>
          <t>الاستدامة</t>
        </is>
      </c>
      <c r="N76" s="13" t="inlineStr">
        <is>
          <t>جودة التشغيل</t>
        </is>
      </c>
      <c r="O76" s="15" t="inlineStr">
        <is>
          <t>العمليات الداخلية</t>
        </is>
      </c>
      <c r="P76" s="15" t="inlineStr">
        <is>
          <t>مدير الاستثمار</t>
        </is>
      </c>
      <c r="Q76" s="13" t="inlineStr">
        <is>
          <t>نظام إدارة الجودة (QMS)</t>
        </is>
      </c>
      <c r="R76" s="15" t="inlineStr">
        <is>
          <t>شهري</t>
        </is>
      </c>
      <c r="S76" s="46" t="n">
        <v>0.634</v>
      </c>
      <c r="T76" s="46" t="n">
        <v>0.6850000000000001</v>
      </c>
      <c r="U76" s="46" t="n">
        <v>0.736</v>
      </c>
      <c r="V76" s="61" t="n">
        <v>0.1609</v>
      </c>
      <c r="W76" s="61" t="n">
        <v>1</v>
      </c>
      <c r="X76" s="61" t="n">
        <v>0.85</v>
      </c>
      <c r="Y76" s="75" t="inlineStr">
        <is>
          <t>دون المستهدف — فجوة 23٪، يتطلب إجراءً تصحيحياً عاجلاً.</t>
        </is>
      </c>
      <c r="Z76" s="69" t="inlineStr">
        <is>
          <t>إطلاق إجراء تصحيحي خلال 30 يوماً بإشراف مدير الاستثمار.</t>
        </is>
      </c>
      <c r="AA76" s="27" t="inlineStr">
        <is>
          <t>تحت الهدف</t>
        </is>
      </c>
      <c r="AB76" s="27" t="n">
        <v>3</v>
      </c>
      <c r="AC76" s="76" t="inlineStr">
        <is>
          <t>#EB5757</t>
        </is>
      </c>
    </row>
    <row r="77">
      <c r="A77" s="9" t="inlineStr">
        <is>
          <t>الاستثمار</t>
        </is>
      </c>
      <c r="B77" s="9" t="inlineStr">
        <is>
          <t>جودة التعاقد</t>
        </is>
      </c>
      <c r="C77" s="9" t="inlineStr">
        <is>
          <t>جودة التفاوض مع المستثمرين</t>
        </is>
      </c>
      <c r="D77" s="15" t="inlineStr">
        <is>
          <t>🔧 تشغيلي</t>
        </is>
      </c>
      <c r="E77" s="46" t="inlineStr">
        <is>
          <t>%</t>
        </is>
      </c>
      <c r="F77" s="46" t="inlineStr">
        <is>
          <t>↑</t>
        </is>
      </c>
      <c r="G77" s="15" t="inlineStr">
        <is>
          <t>🟠 مهم</t>
        </is>
      </c>
      <c r="H77" s="61" t="n">
        <v>0.03</v>
      </c>
      <c r="I77" s="46" t="n">
        <v>0.98</v>
      </c>
      <c r="J77" s="46" t="n">
        <v>1.009</v>
      </c>
      <c r="K77" s="61" t="n">
        <v>1</v>
      </c>
      <c r="L77" s="27" t="inlineStr">
        <is>
          <t>✅ محقق</t>
        </is>
      </c>
      <c r="M77" s="27" t="inlineStr">
        <is>
          <t>النمو</t>
        </is>
      </c>
      <c r="N77" s="13" t="inlineStr">
        <is>
          <t>التوسع في المواقع</t>
        </is>
      </c>
      <c r="O77" s="15" t="inlineStr">
        <is>
          <t>العمليات الداخلية</t>
        </is>
      </c>
      <c r="P77" s="15" t="inlineStr">
        <is>
          <t>مدير الاستثمار</t>
        </is>
      </c>
      <c r="Q77" s="13" t="inlineStr">
        <is>
          <t>نظام إدارة الجودة (QMS)</t>
        </is>
      </c>
      <c r="R77" s="15" t="inlineStr">
        <is>
          <t>شهري</t>
        </is>
      </c>
      <c r="S77" s="46" t="n">
        <v>0.895</v>
      </c>
      <c r="T77" s="46" t="n">
        <v>0.952</v>
      </c>
      <c r="U77" s="46" t="n">
        <v>1.009</v>
      </c>
      <c r="V77" s="61" t="n">
        <v>0.1274</v>
      </c>
      <c r="W77" s="61" t="n">
        <v>1</v>
      </c>
      <c r="X77" s="61" t="n">
        <v>0.85</v>
      </c>
      <c r="Y77" s="71" t="inlineStr"/>
      <c r="Z77" s="69" t="inlineStr"/>
      <c r="AA77" s="27" t="inlineStr">
        <is>
          <t>محقق</t>
        </is>
      </c>
      <c r="AB77" s="27" t="n">
        <v>1</v>
      </c>
      <c r="AC77" s="74" t="inlineStr">
        <is>
          <t>#2EAD6B</t>
        </is>
      </c>
    </row>
    <row r="78">
      <c r="A78" s="9" t="inlineStr">
        <is>
          <t>الاستثمار</t>
        </is>
      </c>
      <c r="B78" s="9" t="inlineStr">
        <is>
          <t>جودة التعاقد</t>
        </is>
      </c>
      <c r="C78" s="9" t="inlineStr">
        <is>
          <t>سرعة إنجاز إجراءات التعاقد</t>
        </is>
      </c>
      <c r="D78" s="15" t="inlineStr">
        <is>
          <t>🔧 تشغيلي</t>
        </is>
      </c>
      <c r="E78" s="46" t="inlineStr">
        <is>
          <t>أسبوع</t>
        </is>
      </c>
      <c r="F78" s="46" t="inlineStr">
        <is>
          <t>↓</t>
        </is>
      </c>
      <c r="G78" s="15" t="inlineStr">
        <is>
          <t>🟠 مهم</t>
        </is>
      </c>
      <c r="H78" s="61" t="n">
        <v>0.03</v>
      </c>
      <c r="I78" s="46" t="n">
        <v>1</v>
      </c>
      <c r="J78" s="46" t="n">
        <v>1.061</v>
      </c>
      <c r="K78" s="61" t="n">
        <v>0.942507068803016</v>
      </c>
      <c r="L78" s="27" t="inlineStr">
        <is>
          <t>🟡 قريب</t>
        </is>
      </c>
      <c r="M78" s="27" t="inlineStr">
        <is>
          <t>النمو</t>
        </is>
      </c>
      <c r="N78" s="13" t="inlineStr">
        <is>
          <t>التوسع في المواقع</t>
        </is>
      </c>
      <c r="O78" s="15" t="inlineStr">
        <is>
          <t>العمليات الداخلية</t>
        </is>
      </c>
      <c r="P78" s="15" t="inlineStr">
        <is>
          <t>مدير الاستثمار</t>
        </is>
      </c>
      <c r="Q78" s="13" t="inlineStr">
        <is>
          <t>نظام إدارة الجودة (QMS)</t>
        </is>
      </c>
      <c r="R78" s="15" t="inlineStr">
        <is>
          <t>شهري</t>
        </is>
      </c>
      <c r="S78" s="46" t="n">
        <v>1.162</v>
      </c>
      <c r="T78" s="46" t="n">
        <v>1.111</v>
      </c>
      <c r="U78" s="46" t="n">
        <v>1.061</v>
      </c>
      <c r="V78" s="61" t="n">
        <v>-0.08690000000000001</v>
      </c>
      <c r="W78" s="61" t="n">
        <v>1</v>
      </c>
      <c r="X78" s="61" t="n">
        <v>0.85</v>
      </c>
      <c r="Y78" s="71" t="inlineStr">
        <is>
          <t>قريب من المستهدف — فجوة 6٪، متابعة لإغلاقها.</t>
        </is>
      </c>
      <c r="Z78" s="69" t="inlineStr">
        <is>
          <t>متابعة أسبوعية حتى بلوغ المستهدف.</t>
        </is>
      </c>
      <c r="AA78" s="27" t="inlineStr">
        <is>
          <t>قريب</t>
        </is>
      </c>
      <c r="AB78" s="27" t="n">
        <v>2</v>
      </c>
      <c r="AC78" s="72" t="inlineStr">
        <is>
          <t>#F2C94C</t>
        </is>
      </c>
    </row>
    <row r="79">
      <c r="A79" s="9" t="inlineStr">
        <is>
          <t>الاستثمار</t>
        </is>
      </c>
      <c r="B79" s="9" t="inlineStr">
        <is>
          <t>جودة التعاقد</t>
        </is>
      </c>
      <c r="C79" s="9" t="inlineStr">
        <is>
          <t>مدى رضا المستثمرين وشركاء الاستثمار</t>
        </is>
      </c>
      <c r="D79" s="15" t="inlineStr">
        <is>
          <t>🎯 نتيجة</t>
        </is>
      </c>
      <c r="E79" s="46" t="inlineStr">
        <is>
          <t>%</t>
        </is>
      </c>
      <c r="F79" s="46" t="inlineStr">
        <is>
          <t>↑</t>
        </is>
      </c>
      <c r="G79" s="15" t="inlineStr">
        <is>
          <t>🔴 رئيسي</t>
        </is>
      </c>
      <c r="H79" s="61" t="n">
        <v>0.05</v>
      </c>
      <c r="I79" s="46" t="n">
        <v>0.8</v>
      </c>
      <c r="J79" s="46" t="n">
        <v>0.786</v>
      </c>
      <c r="K79" s="61" t="n">
        <v>0.9825</v>
      </c>
      <c r="L79" s="27" t="inlineStr">
        <is>
          <t>✅ محقق</t>
        </is>
      </c>
      <c r="M79" s="27" t="inlineStr">
        <is>
          <t>الاستدامة</t>
        </is>
      </c>
      <c r="N79" s="13" t="inlineStr">
        <is>
          <t>تعزيز تجربة العملاء</t>
        </is>
      </c>
      <c r="O79" s="15" t="inlineStr">
        <is>
          <t>العملاء</t>
        </is>
      </c>
      <c r="P79" s="15" t="inlineStr">
        <is>
          <t>مدير الاستثمار</t>
        </is>
      </c>
      <c r="Q79" s="13" t="inlineStr">
        <is>
          <t>استبيان دوري</t>
        </is>
      </c>
      <c r="R79" s="15" t="inlineStr">
        <is>
          <t>ربعي</t>
        </is>
      </c>
      <c r="S79" s="46" t="n">
        <v>0.719</v>
      </c>
      <c r="T79" s="46" t="n">
        <v>0.752</v>
      </c>
      <c r="U79" s="46" t="n">
        <v>0.786</v>
      </c>
      <c r="V79" s="61" t="n">
        <v>0.09320000000000001</v>
      </c>
      <c r="W79" s="61" t="n">
        <v>0.9</v>
      </c>
      <c r="X79" s="61" t="n">
        <v>0.75</v>
      </c>
      <c r="Y79" s="71" t="inlineStr"/>
      <c r="Z79" s="69" t="inlineStr"/>
      <c r="AA79" s="27" t="inlineStr">
        <is>
          <t>محقق</t>
        </is>
      </c>
      <c r="AB79" s="27" t="n">
        <v>1</v>
      </c>
      <c r="AC79" s="74" t="inlineStr">
        <is>
          <t>#2EAD6B</t>
        </is>
      </c>
    </row>
    <row r="80">
      <c r="A80" s="9" t="inlineStr">
        <is>
          <t>الاستثمار</t>
        </is>
      </c>
      <c r="B80" s="9" t="inlineStr">
        <is>
          <t>جودة التعاقد</t>
        </is>
      </c>
      <c r="C80" s="9" t="inlineStr">
        <is>
          <t>نسبة اكتمال أرشفة ملفات العملاء</t>
        </is>
      </c>
      <c r="D80" s="15" t="inlineStr">
        <is>
          <t>⚙️ نشاط</t>
        </is>
      </c>
      <c r="E80" s="46" t="inlineStr">
        <is>
          <t>%</t>
        </is>
      </c>
      <c r="F80" s="46" t="inlineStr">
        <is>
          <t>↑</t>
        </is>
      </c>
      <c r="G80" s="15" t="inlineStr">
        <is>
          <t>🏁 معلم</t>
        </is>
      </c>
      <c r="H80" s="61" t="n">
        <v>0.01</v>
      </c>
      <c r="I80" s="46" t="n">
        <v>1</v>
      </c>
      <c r="J80" s="46" t="n">
        <v>0.972</v>
      </c>
      <c r="K80" s="61" t="n">
        <v>0.972</v>
      </c>
      <c r="L80" s="27" t="inlineStr">
        <is>
          <t>🟡 قريب</t>
        </is>
      </c>
      <c r="M80" s="27" t="inlineStr">
        <is>
          <t>الاستدامة</t>
        </is>
      </c>
      <c r="N80" s="13" t="inlineStr">
        <is>
          <t>جودة التشغيل</t>
        </is>
      </c>
      <c r="O80" s="15" t="inlineStr">
        <is>
          <t>العملاء</t>
        </is>
      </c>
      <c r="P80" s="15" t="inlineStr">
        <is>
          <t>مدير الاستثمار</t>
        </is>
      </c>
      <c r="Q80" s="13" t="inlineStr">
        <is>
          <t>نظام إدارة الجودة (QMS)</t>
        </is>
      </c>
      <c r="R80" s="15" t="inlineStr">
        <is>
          <t>شهري</t>
        </is>
      </c>
      <c r="S80" s="46" t="n">
        <v>0.89</v>
      </c>
      <c r="T80" s="46" t="n">
        <v>0.931</v>
      </c>
      <c r="U80" s="46" t="n">
        <v>0.972</v>
      </c>
      <c r="V80" s="61" t="n">
        <v>0.0921</v>
      </c>
      <c r="W80" s="61" t="n">
        <v>1</v>
      </c>
      <c r="X80" s="61" t="n">
        <v>0.85</v>
      </c>
      <c r="Y80" s="71" t="inlineStr">
        <is>
          <t>قريب من المستهدف — فجوة 3٪، متابعة لإغلاقها.</t>
        </is>
      </c>
      <c r="Z80" s="69" t="inlineStr">
        <is>
          <t>متابعة أسبوعية حتى بلوغ المستهدف.</t>
        </is>
      </c>
      <c r="AA80" s="27" t="inlineStr">
        <is>
          <t>قريب</t>
        </is>
      </c>
      <c r="AB80" s="27" t="n">
        <v>2</v>
      </c>
      <c r="AC80" s="72" t="inlineStr">
        <is>
          <t>#F2C94C</t>
        </is>
      </c>
    </row>
    <row r="81">
      <c r="A81" s="9" t="inlineStr">
        <is>
          <t>الاستثمار</t>
        </is>
      </c>
      <c r="B81" s="9" t="inlineStr">
        <is>
          <t>جودة التعاقد</t>
        </is>
      </c>
      <c r="C81" s="9" t="inlineStr">
        <is>
          <t>نسبة إنجاز التقارير الدورية في موعدها</t>
        </is>
      </c>
      <c r="D81" s="15" t="inlineStr">
        <is>
          <t>⚙️ نشاط</t>
        </is>
      </c>
      <c r="E81" s="46" t="inlineStr">
        <is>
          <t>%</t>
        </is>
      </c>
      <c r="F81" s="46" t="inlineStr">
        <is>
          <t>↑</t>
        </is>
      </c>
      <c r="G81" s="15" t="inlineStr">
        <is>
          <t>🟡 متابعة</t>
        </is>
      </c>
      <c r="H81" s="61" t="n">
        <v>0.01</v>
      </c>
      <c r="I81" s="46" t="n">
        <v>1</v>
      </c>
      <c r="J81" s="46" t="n">
        <v>0.961</v>
      </c>
      <c r="K81" s="61" t="n">
        <v>0.961</v>
      </c>
      <c r="L81" s="27" t="inlineStr">
        <is>
          <t>🟡 قريب</t>
        </is>
      </c>
      <c r="M81" s="27" t="inlineStr">
        <is>
          <t>الاستدامة</t>
        </is>
      </c>
      <c r="N81" s="13" t="inlineStr">
        <is>
          <t>جودة التشغيل</t>
        </is>
      </c>
      <c r="O81" s="15" t="inlineStr">
        <is>
          <t>العمليات الداخلية</t>
        </is>
      </c>
      <c r="P81" s="15" t="inlineStr">
        <is>
          <t>مدير الاستثمار</t>
        </is>
      </c>
      <c r="Q81" s="13" t="inlineStr">
        <is>
          <t>نظام إدارة الجودة (QMS)</t>
        </is>
      </c>
      <c r="R81" s="15" t="inlineStr">
        <is>
          <t>شهري</t>
        </is>
      </c>
      <c r="S81" s="46" t="n">
        <v>0.836</v>
      </c>
      <c r="T81" s="46" t="n">
        <v>0.898</v>
      </c>
      <c r="U81" s="46" t="n">
        <v>0.961</v>
      </c>
      <c r="V81" s="61" t="n">
        <v>0.1495</v>
      </c>
      <c r="W81" s="61" t="n">
        <v>1</v>
      </c>
      <c r="X81" s="61" t="n">
        <v>0.85</v>
      </c>
      <c r="Y81" s="71" t="inlineStr">
        <is>
          <t>قريب من المستهدف — فجوة 4٪، متابعة لإغلاقها.</t>
        </is>
      </c>
      <c r="Z81" s="69" t="inlineStr">
        <is>
          <t>متابعة أسبوعية حتى بلوغ المستهدف.</t>
        </is>
      </c>
      <c r="AA81" s="27" t="inlineStr">
        <is>
          <t>قريب</t>
        </is>
      </c>
      <c r="AB81" s="27" t="n">
        <v>2</v>
      </c>
      <c r="AC81" s="72" t="inlineStr">
        <is>
          <t>#F2C94C</t>
        </is>
      </c>
    </row>
    <row r="82">
      <c r="A82" s="9" t="inlineStr">
        <is>
          <t>العقار</t>
        </is>
      </c>
      <c r="B82" s="9" t="inlineStr">
        <is>
          <t>الإدارة</t>
        </is>
      </c>
      <c r="C82" s="9" t="inlineStr">
        <is>
          <t>نمو الإيرادات الإيجارية</t>
        </is>
      </c>
      <c r="D82" s="15" t="inlineStr">
        <is>
          <t>🎯 نتيجة</t>
        </is>
      </c>
      <c r="E82" s="46" t="inlineStr">
        <is>
          <t>%</t>
        </is>
      </c>
      <c r="F82" s="46" t="inlineStr">
        <is>
          <t>↑</t>
        </is>
      </c>
      <c r="G82" s="15" t="inlineStr">
        <is>
          <t>🔴 رئيسي</t>
        </is>
      </c>
      <c r="H82" s="61" t="n">
        <v>0.08</v>
      </c>
      <c r="I82" s="46" t="n">
        <v>0.08</v>
      </c>
      <c r="J82" s="46" t="n">
        <v>0.068</v>
      </c>
      <c r="K82" s="61" t="n">
        <v>0.8500000000000001</v>
      </c>
      <c r="L82" s="27" t="inlineStr">
        <is>
          <t>🟡 قريب</t>
        </is>
      </c>
      <c r="M82" s="27" t="inlineStr">
        <is>
          <t>الاستدامة</t>
        </is>
      </c>
      <c r="N82" s="13" t="inlineStr">
        <is>
          <t>منظومة التأجير</t>
        </is>
      </c>
      <c r="O82" s="15" t="inlineStr">
        <is>
          <t>مالي</t>
        </is>
      </c>
      <c r="P82" s="15" t="inlineStr">
        <is>
          <t>مدير العقار</t>
        </is>
      </c>
      <c r="Q82" s="13" t="inlineStr">
        <is>
          <t>نظام المحاسبة / ERP (D365)</t>
        </is>
      </c>
      <c r="R82" s="15" t="inlineStr">
        <is>
          <t>ربعي</t>
        </is>
      </c>
      <c r="S82" s="46" t="n">
        <v>0.059</v>
      </c>
      <c r="T82" s="46" t="n">
        <v>0.064</v>
      </c>
      <c r="U82" s="46" t="n">
        <v>0.068</v>
      </c>
      <c r="V82" s="61" t="n">
        <v>0.1525</v>
      </c>
      <c r="W82" s="61" t="n">
        <v>1</v>
      </c>
      <c r="X82" s="61" t="n">
        <v>0.85</v>
      </c>
      <c r="Y82" s="71" t="inlineStr">
        <is>
          <t>قريب من المستهدف — فجوة 15٪، متابعة لإغلاقها.</t>
        </is>
      </c>
      <c r="Z82" s="69" t="inlineStr">
        <is>
          <t>متابعة أسبوعية حتى بلوغ المستهدف.</t>
        </is>
      </c>
      <c r="AA82" s="27" t="inlineStr">
        <is>
          <t>قريب</t>
        </is>
      </c>
      <c r="AB82" s="27" t="n">
        <v>2</v>
      </c>
      <c r="AC82" s="72" t="inlineStr">
        <is>
          <t>#F2C94C</t>
        </is>
      </c>
    </row>
    <row r="83">
      <c r="A83" s="9" t="inlineStr">
        <is>
          <t>العقار</t>
        </is>
      </c>
      <c r="B83" s="9" t="inlineStr">
        <is>
          <t>الإدارة</t>
        </is>
      </c>
      <c r="C83" s="9" t="inlineStr">
        <is>
          <t>نسبة الالتزام بالعقود</t>
        </is>
      </c>
      <c r="D83" s="15" t="inlineStr">
        <is>
          <t>🎯 نتيجة</t>
        </is>
      </c>
      <c r="E83" s="46" t="inlineStr">
        <is>
          <t>%</t>
        </is>
      </c>
      <c r="F83" s="46" t="inlineStr">
        <is>
          <t>↑</t>
        </is>
      </c>
      <c r="G83" s="15" t="inlineStr">
        <is>
          <t>🔴 رئيسي</t>
        </is>
      </c>
      <c r="H83" s="61" t="n">
        <v>0.08</v>
      </c>
      <c r="I83" s="46" t="n">
        <v>1</v>
      </c>
      <c r="J83" s="46" t="n">
        <v>1.03</v>
      </c>
      <c r="K83" s="61" t="n">
        <v>1</v>
      </c>
      <c r="L83" s="27" t="inlineStr">
        <is>
          <t>✅ محقق</t>
        </is>
      </c>
      <c r="M83" s="27" t="inlineStr">
        <is>
          <t>الاستدامة</t>
        </is>
      </c>
      <c r="N83" s="13" t="inlineStr">
        <is>
          <t>منظومة التأجير</t>
        </is>
      </c>
      <c r="O83" s="15" t="inlineStr">
        <is>
          <t>العمليات الداخلية</t>
        </is>
      </c>
      <c r="P83" s="15" t="inlineStr">
        <is>
          <t>مدير العقار</t>
        </is>
      </c>
      <c r="Q83" s="13" t="inlineStr">
        <is>
          <t>نظام إدارة العقود (CRM)</t>
        </is>
      </c>
      <c r="R83" s="15" t="inlineStr">
        <is>
          <t>شهري</t>
        </is>
      </c>
      <c r="S83" s="46" t="n">
        <v>0.846</v>
      </c>
      <c r="T83" s="46" t="n">
        <v>0.9379999999999999</v>
      </c>
      <c r="U83" s="46" t="n">
        <v>1.03</v>
      </c>
      <c r="V83" s="61" t="n">
        <v>0.2175</v>
      </c>
      <c r="W83" s="61" t="n">
        <v>1</v>
      </c>
      <c r="X83" s="61" t="n">
        <v>0.85</v>
      </c>
      <c r="Y83" s="71" t="inlineStr"/>
      <c r="Z83" s="69" t="inlineStr"/>
      <c r="AA83" s="27" t="inlineStr">
        <is>
          <t>محقق</t>
        </is>
      </c>
      <c r="AB83" s="27" t="n">
        <v>1</v>
      </c>
      <c r="AC83" s="74" t="inlineStr">
        <is>
          <t>#2EAD6B</t>
        </is>
      </c>
    </row>
    <row r="84">
      <c r="A84" s="9" t="inlineStr">
        <is>
          <t>العقار</t>
        </is>
      </c>
      <c r="B84" s="9" t="inlineStr">
        <is>
          <t>الإدارة</t>
        </is>
      </c>
      <c r="C84" s="9" t="inlineStr">
        <is>
          <t>نسبة تحصيل الإيجارات</t>
        </is>
      </c>
      <c r="D84" s="15" t="inlineStr">
        <is>
          <t>🎯 نتيجة</t>
        </is>
      </c>
      <c r="E84" s="46" t="inlineStr">
        <is>
          <t>%</t>
        </is>
      </c>
      <c r="F84" s="46" t="inlineStr">
        <is>
          <t>↑</t>
        </is>
      </c>
      <c r="G84" s="15" t="inlineStr">
        <is>
          <t>🔴 رئيسي</t>
        </is>
      </c>
      <c r="H84" s="61" t="n">
        <v>0.08</v>
      </c>
      <c r="I84" s="46" t="n">
        <v>0.95</v>
      </c>
      <c r="J84" s="46" t="n">
        <v>0.805</v>
      </c>
      <c r="K84" s="61" t="n">
        <v>0.8473684210526317</v>
      </c>
      <c r="L84" s="27" t="inlineStr">
        <is>
          <t>🔴 تحت الهدف</t>
        </is>
      </c>
      <c r="M84" s="27" t="inlineStr">
        <is>
          <t>الاستدامة</t>
        </is>
      </c>
      <c r="N84" s="13" t="inlineStr">
        <is>
          <t>منظومة التأجير</t>
        </is>
      </c>
      <c r="O84" s="15" t="inlineStr">
        <is>
          <t>مالي</t>
        </is>
      </c>
      <c r="P84" s="15" t="inlineStr">
        <is>
          <t>مدير العقار</t>
        </is>
      </c>
      <c r="Q84" s="13" t="inlineStr">
        <is>
          <t>نظام المحاسبة / ERP (D365)</t>
        </is>
      </c>
      <c r="R84" s="15" t="inlineStr">
        <is>
          <t>شهري</t>
        </is>
      </c>
      <c r="S84" s="46" t="n">
        <v>0.67</v>
      </c>
      <c r="T84" s="46" t="n">
        <v>0.738</v>
      </c>
      <c r="U84" s="46" t="n">
        <v>0.805</v>
      </c>
      <c r="V84" s="61" t="n">
        <v>0.2015</v>
      </c>
      <c r="W84" s="61" t="n">
        <v>1</v>
      </c>
      <c r="X84" s="61" t="n">
        <v>0.85</v>
      </c>
      <c r="Y84" s="75" t="inlineStr">
        <is>
          <t>دون المستهدف — فجوة 15٪، يتطلب إجراءً تصحيحياً عاجلاً.</t>
        </is>
      </c>
      <c r="Z84" s="69" t="inlineStr">
        <is>
          <t>إطلاق إجراء تصحيحي خلال 30 يوماً بإشراف مدير العقار.</t>
        </is>
      </c>
      <c r="AA84" s="27" t="inlineStr">
        <is>
          <t>تحت الهدف</t>
        </is>
      </c>
      <c r="AB84" s="27" t="n">
        <v>3</v>
      </c>
      <c r="AC84" s="76" t="inlineStr">
        <is>
          <t>#EB5757</t>
        </is>
      </c>
    </row>
    <row r="85">
      <c r="A85" s="9" t="inlineStr">
        <is>
          <t>العقار</t>
        </is>
      </c>
      <c r="B85" s="9" t="inlineStr">
        <is>
          <t>التأجير</t>
        </is>
      </c>
      <c r="C85" s="9" t="inlineStr">
        <is>
          <t>نسبة الإشغال</t>
        </is>
      </c>
      <c r="D85" s="15" t="inlineStr">
        <is>
          <t>🎯 نتيجة</t>
        </is>
      </c>
      <c r="E85" s="46" t="inlineStr">
        <is>
          <t>%</t>
        </is>
      </c>
      <c r="F85" s="46" t="inlineStr">
        <is>
          <t>↑</t>
        </is>
      </c>
      <c r="G85" s="15" t="inlineStr">
        <is>
          <t>🔴 رئيسي</t>
        </is>
      </c>
      <c r="H85" s="61" t="n">
        <v>0.08</v>
      </c>
      <c r="I85" s="46" t="n">
        <v>0.6</v>
      </c>
      <c r="J85" s="46" t="n">
        <v>0.611</v>
      </c>
      <c r="K85" s="61" t="n">
        <v>1</v>
      </c>
      <c r="L85" s="27" t="inlineStr">
        <is>
          <t>✅ محقق</t>
        </is>
      </c>
      <c r="M85" s="27" t="inlineStr">
        <is>
          <t>الاستدامة</t>
        </is>
      </c>
      <c r="N85" s="13" t="inlineStr">
        <is>
          <t>منظومة التأجير</t>
        </is>
      </c>
      <c r="O85" s="15" t="inlineStr">
        <is>
          <t>العمليات الداخلية</t>
        </is>
      </c>
      <c r="P85" s="15" t="inlineStr">
        <is>
          <t>مدير العقار</t>
        </is>
      </c>
      <c r="Q85" s="13" t="inlineStr">
        <is>
          <t>نظام إدارة العقود (CRM)</t>
        </is>
      </c>
      <c r="R85" s="15" t="inlineStr">
        <is>
          <t>شهري</t>
        </is>
      </c>
      <c r="S85" s="46" t="n">
        <v>0.52</v>
      </c>
      <c r="T85" s="46" t="n">
        <v>0.5659999999999999</v>
      </c>
      <c r="U85" s="46" t="n">
        <v>0.611</v>
      </c>
      <c r="V85" s="61" t="n">
        <v>0.175</v>
      </c>
      <c r="W85" s="61" t="n">
        <v>1</v>
      </c>
      <c r="X85" s="61" t="n">
        <v>0.85</v>
      </c>
      <c r="Y85" s="71" t="inlineStr"/>
      <c r="Z85" s="69" t="inlineStr"/>
      <c r="AA85" s="27" t="inlineStr">
        <is>
          <t>محقق</t>
        </is>
      </c>
      <c r="AB85" s="27" t="n">
        <v>1</v>
      </c>
      <c r="AC85" s="74" t="inlineStr">
        <is>
          <t>#2EAD6B</t>
        </is>
      </c>
    </row>
    <row r="86">
      <c r="A86" s="9" t="inlineStr">
        <is>
          <t>العقار</t>
        </is>
      </c>
      <c r="B86" s="9" t="inlineStr">
        <is>
          <t>التأجير</t>
        </is>
      </c>
      <c r="C86" s="9" t="inlineStr">
        <is>
          <t>الوحدات المؤجَّرة شهرياً</t>
        </is>
      </c>
      <c r="D86" s="15" t="inlineStr">
        <is>
          <t>🔧 تشغيلي</t>
        </is>
      </c>
      <c r="E86" s="46" t="inlineStr">
        <is>
          <t>وحدة</t>
        </is>
      </c>
      <c r="F86" s="46" t="inlineStr">
        <is>
          <t>↑</t>
        </is>
      </c>
      <c r="G86" s="15" t="inlineStr">
        <is>
          <t>🟠 مهم</t>
        </is>
      </c>
      <c r="H86" s="61" t="n">
        <v>0.05</v>
      </c>
      <c r="I86" s="46" t="n">
        <v>68</v>
      </c>
      <c r="J86" s="46" t="n">
        <v>54.8</v>
      </c>
      <c r="K86" s="61" t="n">
        <v>0.8058823529411764</v>
      </c>
      <c r="L86" s="27" t="inlineStr">
        <is>
          <t>🔴 تحت الهدف</t>
        </is>
      </c>
      <c r="M86" s="27" t="inlineStr">
        <is>
          <t>الاستدامة</t>
        </is>
      </c>
      <c r="N86" s="13" t="inlineStr">
        <is>
          <t>منظومة التأجير</t>
        </is>
      </c>
      <c r="O86" s="15" t="inlineStr">
        <is>
          <t>العمليات الداخلية</t>
        </is>
      </c>
      <c r="P86" s="15" t="inlineStr">
        <is>
          <t>مدير العقار</t>
        </is>
      </c>
      <c r="Q86" s="13" t="inlineStr">
        <is>
          <t>نظام إدارة العقود (CRM)</t>
        </is>
      </c>
      <c r="R86" s="15" t="inlineStr">
        <is>
          <t>شهري</t>
        </is>
      </c>
      <c r="S86" s="46" t="n">
        <v>49.548</v>
      </c>
      <c r="T86" s="46" t="n">
        <v>52.174</v>
      </c>
      <c r="U86" s="46" t="n">
        <v>54.8</v>
      </c>
      <c r="V86" s="61" t="n">
        <v>0.106</v>
      </c>
      <c r="W86" s="61" t="n">
        <v>1</v>
      </c>
      <c r="X86" s="61" t="n">
        <v>0.85</v>
      </c>
      <c r="Y86" s="75" t="inlineStr">
        <is>
          <t>دون المستهدف — فجوة 19٪، يتطلب إجراءً تصحيحياً عاجلاً.</t>
        </is>
      </c>
      <c r="Z86" s="69" t="inlineStr">
        <is>
          <t>إطلاق إجراء تصحيحي خلال 30 يوماً بإشراف مدير العقار.</t>
        </is>
      </c>
      <c r="AA86" s="27" t="inlineStr">
        <is>
          <t>تحت الهدف</t>
        </is>
      </c>
      <c r="AB86" s="27" t="n">
        <v>3</v>
      </c>
      <c r="AC86" s="76" t="inlineStr">
        <is>
          <t>#EB5757</t>
        </is>
      </c>
    </row>
    <row r="87">
      <c r="A87" s="9" t="inlineStr">
        <is>
          <t>العقار</t>
        </is>
      </c>
      <c r="B87" s="9" t="inlineStr">
        <is>
          <t>التأجير</t>
        </is>
      </c>
      <c r="C87" s="9" t="inlineStr">
        <is>
          <t>العملاء المحتملون (LEADS)</t>
        </is>
      </c>
      <c r="D87" s="15" t="inlineStr">
        <is>
          <t>🔧 تشغيلي</t>
        </is>
      </c>
      <c r="E87" s="46" t="inlineStr">
        <is>
          <t>عميل</t>
        </is>
      </c>
      <c r="F87" s="46" t="inlineStr">
        <is>
          <t>↑</t>
        </is>
      </c>
      <c r="G87" s="15" t="inlineStr">
        <is>
          <t>🟠 مهم</t>
        </is>
      </c>
      <c r="H87" s="61" t="n">
        <v>0.05</v>
      </c>
      <c r="I87" s="46" t="n">
        <v>680</v>
      </c>
      <c r="J87" s="46" t="n">
        <v>531.8</v>
      </c>
      <c r="K87" s="61" t="n">
        <v>0.7820588235294117</v>
      </c>
      <c r="L87" s="27" t="inlineStr">
        <is>
          <t>🔴 تحت الهدف</t>
        </is>
      </c>
      <c r="M87" s="27" t="inlineStr">
        <is>
          <t>النمو</t>
        </is>
      </c>
      <c r="N87" s="13" t="inlineStr">
        <is>
          <t>زيادة وصول العملاء</t>
        </is>
      </c>
      <c r="O87" s="15" t="inlineStr">
        <is>
          <t>العملاء</t>
        </is>
      </c>
      <c r="P87" s="15" t="inlineStr">
        <is>
          <t>مدير العقار</t>
        </is>
      </c>
      <c r="Q87" s="13" t="inlineStr">
        <is>
          <t>نظام إدارة العقود (CRM)</t>
        </is>
      </c>
      <c r="R87" s="15" t="inlineStr">
        <is>
          <t>شهري</t>
        </is>
      </c>
      <c r="S87" s="46" t="n">
        <v>449.307</v>
      </c>
      <c r="T87" s="46" t="n">
        <v>490.553</v>
      </c>
      <c r="U87" s="46" t="n">
        <v>531.8</v>
      </c>
      <c r="V87" s="61" t="n">
        <v>0.1836</v>
      </c>
      <c r="W87" s="61" t="n">
        <v>1</v>
      </c>
      <c r="X87" s="61" t="n">
        <v>0.85</v>
      </c>
      <c r="Y87" s="75" t="inlineStr">
        <is>
          <t>دون المستهدف — فجوة 22٪، يتطلب إجراءً تصحيحياً عاجلاً.</t>
        </is>
      </c>
      <c r="Z87" s="69" t="inlineStr">
        <is>
          <t>إطلاق إجراء تصحيحي خلال 30 يوماً بإشراف مدير العقار.</t>
        </is>
      </c>
      <c r="AA87" s="27" t="inlineStr">
        <is>
          <t>تحت الهدف</t>
        </is>
      </c>
      <c r="AB87" s="27" t="n">
        <v>3</v>
      </c>
      <c r="AC87" s="76" t="inlineStr">
        <is>
          <t>#EB5757</t>
        </is>
      </c>
    </row>
    <row r="88">
      <c r="A88" s="9" t="inlineStr">
        <is>
          <t>العقار</t>
        </is>
      </c>
      <c r="B88" s="9" t="inlineStr">
        <is>
          <t>التأجير</t>
        </is>
      </c>
      <c r="C88" s="9" t="inlineStr">
        <is>
          <t>معدل التحويل</t>
        </is>
      </c>
      <c r="D88" s="15" t="inlineStr">
        <is>
          <t>🔧 تشغيلي</t>
        </is>
      </c>
      <c r="E88" s="46" t="inlineStr">
        <is>
          <t>%</t>
        </is>
      </c>
      <c r="F88" s="46" t="inlineStr">
        <is>
          <t>↑</t>
        </is>
      </c>
      <c r="G88" s="15" t="inlineStr">
        <is>
          <t>🔴 رئيسي</t>
        </is>
      </c>
      <c r="H88" s="61" t="n">
        <v>0.08</v>
      </c>
      <c r="I88" s="46" t="n">
        <v>0.2</v>
      </c>
      <c r="J88" s="46" t="n">
        <v>0.208</v>
      </c>
      <c r="K88" s="61" t="n">
        <v>1</v>
      </c>
      <c r="L88" s="27" t="inlineStr">
        <is>
          <t>✅ محقق</t>
        </is>
      </c>
      <c r="M88" s="27" t="inlineStr">
        <is>
          <t>النمو</t>
        </is>
      </c>
      <c r="N88" s="13" t="inlineStr">
        <is>
          <t>زيادة وصول العملاء</t>
        </is>
      </c>
      <c r="O88" s="15" t="inlineStr">
        <is>
          <t>العمليات الداخلية</t>
        </is>
      </c>
      <c r="P88" s="15" t="inlineStr">
        <is>
          <t>مدير العقار</t>
        </is>
      </c>
      <c r="Q88" s="13" t="inlineStr">
        <is>
          <t>نظام إدارة العقود (CRM)</t>
        </is>
      </c>
      <c r="R88" s="15" t="inlineStr">
        <is>
          <t>شهري</t>
        </is>
      </c>
      <c r="S88" s="46" t="n">
        <v>0.177</v>
      </c>
      <c r="T88" s="46" t="n">
        <v>0.193</v>
      </c>
      <c r="U88" s="46" t="n">
        <v>0.208</v>
      </c>
      <c r="V88" s="61" t="n">
        <v>0.1751</v>
      </c>
      <c r="W88" s="61" t="n">
        <v>1</v>
      </c>
      <c r="X88" s="61" t="n">
        <v>0.85</v>
      </c>
      <c r="Y88" s="71" t="inlineStr"/>
      <c r="Z88" s="69" t="inlineStr"/>
      <c r="AA88" s="27" t="inlineStr">
        <is>
          <t>محقق</t>
        </is>
      </c>
      <c r="AB88" s="27" t="n">
        <v>1</v>
      </c>
      <c r="AC88" s="74" t="inlineStr">
        <is>
          <t>#2EAD6B</t>
        </is>
      </c>
    </row>
    <row r="89">
      <c r="A89" s="9" t="inlineStr">
        <is>
          <t>العقار</t>
        </is>
      </c>
      <c r="B89" s="9" t="inlineStr">
        <is>
          <t>التأجير</t>
        </is>
      </c>
      <c r="C89" s="9" t="inlineStr">
        <is>
          <t>زيادة عدد العلامات التجارية</t>
        </is>
      </c>
      <c r="D89" s="15" t="inlineStr">
        <is>
          <t>⚙️ نشاط</t>
        </is>
      </c>
      <c r="E89" s="46" t="inlineStr">
        <is>
          <t>علامة</t>
        </is>
      </c>
      <c r="F89" s="46" t="inlineStr">
        <is>
          <t>↑</t>
        </is>
      </c>
      <c r="G89" s="15" t="inlineStr">
        <is>
          <t>🟠 مهم</t>
        </is>
      </c>
      <c r="H89" s="61" t="n">
        <v>0.05</v>
      </c>
      <c r="I89" s="46" t="n">
        <v>246</v>
      </c>
      <c r="J89" s="46" t="n">
        <v>202.6</v>
      </c>
      <c r="K89" s="61" t="n">
        <v>0.8235772357723578</v>
      </c>
      <c r="L89" s="27" t="inlineStr">
        <is>
          <t>🔴 تحت الهدف</t>
        </is>
      </c>
      <c r="M89" s="27" t="inlineStr">
        <is>
          <t>الاستدامة</t>
        </is>
      </c>
      <c r="N89" s="13" t="inlineStr">
        <is>
          <t>منظومة التأجير</t>
        </is>
      </c>
      <c r="O89" s="15" t="inlineStr">
        <is>
          <t>العمليات الداخلية</t>
        </is>
      </c>
      <c r="P89" s="15" t="inlineStr">
        <is>
          <t>مدير العقار</t>
        </is>
      </c>
      <c r="Q89" s="13" t="inlineStr">
        <is>
          <t>نظام إدارة العقود (CRM)</t>
        </is>
      </c>
      <c r="R89" s="15" t="inlineStr">
        <is>
          <t>شهري</t>
        </is>
      </c>
      <c r="S89" s="46" t="n">
        <v>166.626</v>
      </c>
      <c r="T89" s="46" t="n">
        <v>184.613</v>
      </c>
      <c r="U89" s="46" t="n">
        <v>202.6</v>
      </c>
      <c r="V89" s="61" t="n">
        <v>0.2159</v>
      </c>
      <c r="W89" s="61" t="n">
        <v>1</v>
      </c>
      <c r="X89" s="61" t="n">
        <v>0.85</v>
      </c>
      <c r="Y89" s="75" t="inlineStr">
        <is>
          <t>دون المستهدف — فجوة 18٪، يتطلب إجراءً تصحيحياً عاجلاً.</t>
        </is>
      </c>
      <c r="Z89" s="69" t="inlineStr">
        <is>
          <t>إطلاق إجراء تصحيحي خلال 30 يوماً بإشراف مدير العقار.</t>
        </is>
      </c>
      <c r="AA89" s="27" t="inlineStr">
        <is>
          <t>تحت الهدف</t>
        </is>
      </c>
      <c r="AB89" s="27" t="n">
        <v>3</v>
      </c>
      <c r="AC89" s="76" t="inlineStr">
        <is>
          <t>#EB5757</t>
        </is>
      </c>
    </row>
    <row r="90">
      <c r="A90" s="9" t="inlineStr">
        <is>
          <t>العقار</t>
        </is>
      </c>
      <c r="B90" s="9" t="inlineStr">
        <is>
          <t>الإبداع والتكامل</t>
        </is>
      </c>
      <c r="C90" s="9" t="inlineStr">
        <is>
          <t>نسبة تأجير ساحة درب</t>
        </is>
      </c>
      <c r="D90" s="15" t="inlineStr">
        <is>
          <t>🔧 تشغيلي</t>
        </is>
      </c>
      <c r="E90" s="46" t="inlineStr">
        <is>
          <t>%</t>
        </is>
      </c>
      <c r="F90" s="46" t="inlineStr">
        <is>
          <t>↑</t>
        </is>
      </c>
      <c r="G90" s="15" t="inlineStr">
        <is>
          <t>🟠 مهم</t>
        </is>
      </c>
      <c r="H90" s="61" t="n">
        <v>0.05</v>
      </c>
      <c r="I90" s="46" t="n">
        <v>0.8</v>
      </c>
      <c r="J90" s="46" t="n">
        <v>0.671</v>
      </c>
      <c r="K90" s="61" t="n">
        <v>0.83875</v>
      </c>
      <c r="L90" s="27" t="inlineStr">
        <is>
          <t>🔴 تحت الهدف</t>
        </is>
      </c>
      <c r="M90" s="27" t="inlineStr">
        <is>
          <t>الابتكار</t>
        </is>
      </c>
      <c r="N90" s="13" t="inlineStr">
        <is>
          <t>ساحات درب</t>
        </is>
      </c>
      <c r="O90" s="15" t="inlineStr">
        <is>
          <t>العمليات الداخلية</t>
        </is>
      </c>
      <c r="P90" s="15" t="inlineStr">
        <is>
          <t>مدير العقار</t>
        </is>
      </c>
      <c r="Q90" s="13" t="inlineStr">
        <is>
          <t>مكتب إدارة المشاريع (PMO)</t>
        </is>
      </c>
      <c r="R90" s="15" t="inlineStr">
        <is>
          <t>شهري</t>
        </is>
      </c>
      <c r="S90" s="46" t="n">
        <v>0.61</v>
      </c>
      <c r="T90" s="46" t="n">
        <v>0.641</v>
      </c>
      <c r="U90" s="46" t="n">
        <v>0.671</v>
      </c>
      <c r="V90" s="61" t="n">
        <v>0.1</v>
      </c>
      <c r="W90" s="61" t="n">
        <v>1</v>
      </c>
      <c r="X90" s="61" t="n">
        <v>0.85</v>
      </c>
      <c r="Y90" s="75" t="inlineStr">
        <is>
          <t>دون المستهدف — فجوة 16٪، يتطلب إجراءً تصحيحياً عاجلاً.</t>
        </is>
      </c>
      <c r="Z90" s="69" t="inlineStr">
        <is>
          <t>إطلاق إجراء تصحيحي خلال 30 يوماً بإشراف مدير العقار.</t>
        </is>
      </c>
      <c r="AA90" s="27" t="inlineStr">
        <is>
          <t>تحت الهدف</t>
        </is>
      </c>
      <c r="AB90" s="27" t="n">
        <v>3</v>
      </c>
      <c r="AC90" s="76" t="inlineStr">
        <is>
          <t>#EB5757</t>
        </is>
      </c>
    </row>
    <row r="91">
      <c r="A91" s="9" t="inlineStr">
        <is>
          <t>العقار</t>
        </is>
      </c>
      <c r="B91" s="9" t="inlineStr">
        <is>
          <t>الإبداع والتكامل</t>
        </is>
      </c>
      <c r="C91" s="9" t="inlineStr">
        <is>
          <t>علامات تجارية جديدة (ساحة درب)</t>
        </is>
      </c>
      <c r="D91" s="15" t="inlineStr">
        <is>
          <t>🔧 تشغيلي</t>
        </is>
      </c>
      <c r="E91" s="46" t="inlineStr">
        <is>
          <t>علامة</t>
        </is>
      </c>
      <c r="F91" s="46" t="inlineStr">
        <is>
          <t>↑</t>
        </is>
      </c>
      <c r="G91" s="15" t="inlineStr">
        <is>
          <t>🟠 مهم</t>
        </is>
      </c>
      <c r="H91" s="61" t="n">
        <v>0.05</v>
      </c>
      <c r="I91" s="46" t="n">
        <v>6</v>
      </c>
      <c r="J91" s="46" t="n">
        <v>5.769</v>
      </c>
      <c r="K91" s="61" t="n">
        <v>0.9615</v>
      </c>
      <c r="L91" s="27" t="inlineStr">
        <is>
          <t>🟡 قريب</t>
        </is>
      </c>
      <c r="M91" s="27" t="inlineStr">
        <is>
          <t>الابتكار</t>
        </is>
      </c>
      <c r="N91" s="13" t="inlineStr">
        <is>
          <t>ساحات درب</t>
        </is>
      </c>
      <c r="O91" s="15" t="inlineStr">
        <is>
          <t>العمليات الداخلية</t>
        </is>
      </c>
      <c r="P91" s="15" t="inlineStr">
        <is>
          <t>مدير العقار</t>
        </is>
      </c>
      <c r="Q91" s="13" t="inlineStr">
        <is>
          <t>مكتب إدارة المشاريع (PMO)</t>
        </is>
      </c>
      <c r="R91" s="15" t="inlineStr">
        <is>
          <t>شهري</t>
        </is>
      </c>
      <c r="S91" s="46" t="n">
        <v>5.298</v>
      </c>
      <c r="T91" s="46" t="n">
        <v>5.534</v>
      </c>
      <c r="U91" s="46" t="n">
        <v>11.538</v>
      </c>
      <c r="V91" s="61" t="n">
        <v>0.08890000000000001</v>
      </c>
      <c r="W91" s="61" t="n">
        <v>1</v>
      </c>
      <c r="X91" s="61" t="n">
        <v>0.85</v>
      </c>
      <c r="Y91" s="71" t="inlineStr">
        <is>
          <t>قريب من المستهدف — فجوة 4٪، متابعة لإغلاقها.</t>
        </is>
      </c>
      <c r="Z91" s="69" t="inlineStr">
        <is>
          <t>متابعة أسبوعية حتى بلوغ المستهدف.</t>
        </is>
      </c>
      <c r="AA91" s="27" t="inlineStr">
        <is>
          <t>قريب</t>
        </is>
      </c>
      <c r="AB91" s="27" t="n">
        <v>2</v>
      </c>
      <c r="AC91" s="72" t="inlineStr">
        <is>
          <t>#F2C94C</t>
        </is>
      </c>
    </row>
    <row r="92">
      <c r="A92" s="9" t="inlineStr">
        <is>
          <t>العقار</t>
        </is>
      </c>
      <c r="B92" s="9" t="inlineStr">
        <is>
          <t>الإبداع والتكامل</t>
        </is>
      </c>
      <c r="C92" s="9" t="inlineStr">
        <is>
          <t>الشراكات الاستراتيجية</t>
        </is>
      </c>
      <c r="D92" s="15" t="inlineStr">
        <is>
          <t>🔧 تشغيلي</t>
        </is>
      </c>
      <c r="E92" s="46" t="inlineStr">
        <is>
          <t>شراكة</t>
        </is>
      </c>
      <c r="F92" s="46" t="inlineStr">
        <is>
          <t>↑</t>
        </is>
      </c>
      <c r="G92" s="15" t="inlineStr">
        <is>
          <t>🟠 مهم</t>
        </is>
      </c>
      <c r="H92" s="61" t="n">
        <v>0.05</v>
      </c>
      <c r="I92" s="46" t="n">
        <v>5</v>
      </c>
      <c r="J92" s="46" t="n">
        <v>4.59</v>
      </c>
      <c r="K92" s="61" t="n">
        <v>0.9179999999999999</v>
      </c>
      <c r="L92" s="27" t="inlineStr">
        <is>
          <t>🟡 قريب</t>
        </is>
      </c>
      <c r="M92" s="27" t="inlineStr">
        <is>
          <t>الابتكار</t>
        </is>
      </c>
      <c r="N92" s="13" t="inlineStr">
        <is>
          <t>إطلاق مشاريع جديدة</t>
        </is>
      </c>
      <c r="O92" s="15" t="inlineStr">
        <is>
          <t>التعلّم والنمو</t>
        </is>
      </c>
      <c r="P92" s="15" t="inlineStr">
        <is>
          <t>مدير العقار</t>
        </is>
      </c>
      <c r="Q92" s="13" t="inlineStr">
        <is>
          <t>مكتب إدارة المشاريع (PMO)</t>
        </is>
      </c>
      <c r="R92" s="15" t="inlineStr">
        <is>
          <t>شهري</t>
        </is>
      </c>
      <c r="S92" s="46" t="n">
        <v>4.161</v>
      </c>
      <c r="T92" s="46" t="n">
        <v>4.375</v>
      </c>
      <c r="U92" s="46" t="n">
        <v>9.18</v>
      </c>
      <c r="V92" s="61" t="n">
        <v>0.1031</v>
      </c>
      <c r="W92" s="61" t="n">
        <v>1</v>
      </c>
      <c r="X92" s="61" t="n">
        <v>0.85</v>
      </c>
      <c r="Y92" s="71" t="inlineStr">
        <is>
          <t>قريب من المستهدف — فجوة 8٪، متابعة لإغلاقها.</t>
        </is>
      </c>
      <c r="Z92" s="69" t="inlineStr">
        <is>
          <t>متابعة أسبوعية حتى بلوغ المستهدف.</t>
        </is>
      </c>
      <c r="AA92" s="27" t="inlineStr">
        <is>
          <t>قريب</t>
        </is>
      </c>
      <c r="AB92" s="27" t="n">
        <v>2</v>
      </c>
      <c r="AC92" s="72" t="inlineStr">
        <is>
          <t>#F2C94C</t>
        </is>
      </c>
    </row>
    <row r="93">
      <c r="A93" s="9" t="inlineStr">
        <is>
          <t>العقار</t>
        </is>
      </c>
      <c r="B93" s="9" t="inlineStr">
        <is>
          <t>إدارة الأملاك</t>
        </is>
      </c>
      <c r="C93" s="9" t="inlineStr">
        <is>
          <t>نسبة تجديد العقود</t>
        </is>
      </c>
      <c r="D93" s="15" t="inlineStr">
        <is>
          <t>🎯 نتيجة</t>
        </is>
      </c>
      <c r="E93" s="46" t="inlineStr">
        <is>
          <t>%</t>
        </is>
      </c>
      <c r="F93" s="46" t="inlineStr">
        <is>
          <t>↑</t>
        </is>
      </c>
      <c r="G93" s="15" t="inlineStr">
        <is>
          <t>🔴 رئيسي</t>
        </is>
      </c>
      <c r="H93" s="61" t="n">
        <v>0.08</v>
      </c>
      <c r="I93" s="46" t="n">
        <v>1</v>
      </c>
      <c r="J93" s="46" t="n">
        <v>0.792</v>
      </c>
      <c r="K93" s="61" t="n">
        <v>0.792</v>
      </c>
      <c r="L93" s="27" t="inlineStr">
        <is>
          <t>🔴 تحت الهدف</t>
        </is>
      </c>
      <c r="M93" s="27" t="inlineStr">
        <is>
          <t>الاستدامة</t>
        </is>
      </c>
      <c r="N93" s="13" t="inlineStr">
        <is>
          <t>منظومة التأجير</t>
        </is>
      </c>
      <c r="O93" s="15" t="inlineStr">
        <is>
          <t>العمليات الداخلية</t>
        </is>
      </c>
      <c r="P93" s="15" t="inlineStr">
        <is>
          <t>مدير العقار</t>
        </is>
      </c>
      <c r="Q93" s="13" t="inlineStr">
        <is>
          <t>نظام إدارة العقود (CRM)</t>
        </is>
      </c>
      <c r="R93" s="15" t="inlineStr">
        <is>
          <t>شهري</t>
        </is>
      </c>
      <c r="S93" s="46" t="n">
        <v>0.6909999999999999</v>
      </c>
      <c r="T93" s="46" t="n">
        <v>0.742</v>
      </c>
      <c r="U93" s="46" t="n">
        <v>0.792</v>
      </c>
      <c r="V93" s="61" t="n">
        <v>0.1462</v>
      </c>
      <c r="W93" s="61" t="n">
        <v>1</v>
      </c>
      <c r="X93" s="61" t="n">
        <v>0.85</v>
      </c>
      <c r="Y93" s="75" t="inlineStr">
        <is>
          <t>دون المستهدف — فجوة 21٪، يتطلب إجراءً تصحيحياً عاجلاً.</t>
        </is>
      </c>
      <c r="Z93" s="69" t="inlineStr">
        <is>
          <t>إطلاق إجراء تصحيحي خلال 30 يوماً بإشراف مدير العقار.</t>
        </is>
      </c>
      <c r="AA93" s="27" t="inlineStr">
        <is>
          <t>تحت الهدف</t>
        </is>
      </c>
      <c r="AB93" s="27" t="n">
        <v>3</v>
      </c>
      <c r="AC93" s="76" t="inlineStr">
        <is>
          <t>#EB5757</t>
        </is>
      </c>
    </row>
    <row r="94">
      <c r="A94" s="9" t="inlineStr">
        <is>
          <t>العقار</t>
        </is>
      </c>
      <c r="B94" s="9" t="inlineStr">
        <is>
          <t>تنسيق المشاريع</t>
        </is>
      </c>
      <c r="C94" s="9" t="inlineStr">
        <is>
          <t>متوسط زمن تسليم الوحدة</t>
        </is>
      </c>
      <c r="D94" s="15" t="inlineStr">
        <is>
          <t>🔧 تشغيلي</t>
        </is>
      </c>
      <c r="E94" s="46" t="inlineStr">
        <is>
          <t>يوم</t>
        </is>
      </c>
      <c r="F94" s="46" t="inlineStr">
        <is>
          <t>↓</t>
        </is>
      </c>
      <c r="G94" s="15" t="inlineStr">
        <is>
          <t>🟠 مهم</t>
        </is>
      </c>
      <c r="H94" s="61" t="n">
        <v>0.05</v>
      </c>
      <c r="I94" s="46" t="n">
        <v>7</v>
      </c>
      <c r="J94" s="46" t="n">
        <v>7.983</v>
      </c>
      <c r="K94" s="61" t="n">
        <v>0.8768633345859953</v>
      </c>
      <c r="L94" s="27" t="inlineStr">
        <is>
          <t>🟡 قريب</t>
        </is>
      </c>
      <c r="M94" s="27" t="inlineStr">
        <is>
          <t>الاستدامة</t>
        </is>
      </c>
      <c r="N94" s="13" t="inlineStr">
        <is>
          <t>جودة التشغيل</t>
        </is>
      </c>
      <c r="O94" s="15" t="inlineStr">
        <is>
          <t>العمليات الداخلية</t>
        </is>
      </c>
      <c r="P94" s="15" t="inlineStr">
        <is>
          <t>مدير العقار</t>
        </is>
      </c>
      <c r="Q94" s="13" t="inlineStr">
        <is>
          <t>سجلات الإدارة</t>
        </is>
      </c>
      <c r="R94" s="15" t="inlineStr">
        <is>
          <t>شهري</t>
        </is>
      </c>
      <c r="S94" s="46" t="n">
        <v>9.095000000000001</v>
      </c>
      <c r="T94" s="46" t="n">
        <v>8.539</v>
      </c>
      <c r="U94" s="46" t="n">
        <v>7.983</v>
      </c>
      <c r="V94" s="61" t="n">
        <v>-0.1223</v>
      </c>
      <c r="W94" s="61" t="n">
        <v>1</v>
      </c>
      <c r="X94" s="61" t="n">
        <v>0.85</v>
      </c>
      <c r="Y94" s="71" t="inlineStr">
        <is>
          <t>قريب من المستهدف — فجوة 12٪، متابعة لإغلاقها.</t>
        </is>
      </c>
      <c r="Z94" s="69" t="inlineStr">
        <is>
          <t>متابعة أسبوعية حتى بلوغ المستهدف.</t>
        </is>
      </c>
      <c r="AA94" s="27" t="inlineStr">
        <is>
          <t>قريب</t>
        </is>
      </c>
      <c r="AB94" s="27" t="n">
        <v>2</v>
      </c>
      <c r="AC94" s="72" t="inlineStr">
        <is>
          <t>#F2C94C</t>
        </is>
      </c>
    </row>
    <row r="95">
      <c r="A95" s="9" t="inlineStr">
        <is>
          <t>العقار</t>
        </is>
      </c>
      <c r="B95" s="9" t="inlineStr">
        <is>
          <t>تنسيق المشاريع</t>
        </is>
      </c>
      <c r="C95" s="9" t="inlineStr">
        <is>
          <t>نسبة إغلاق الطلبات خلال 3 أسابيع</t>
        </is>
      </c>
      <c r="D95" s="15" t="inlineStr">
        <is>
          <t>🎯 نتيجة</t>
        </is>
      </c>
      <c r="E95" s="46" t="inlineStr">
        <is>
          <t>%</t>
        </is>
      </c>
      <c r="F95" s="46" t="inlineStr">
        <is>
          <t>↑</t>
        </is>
      </c>
      <c r="G95" s="15" t="inlineStr">
        <is>
          <t>🟠 مهم</t>
        </is>
      </c>
      <c r="H95" s="61" t="n">
        <v>0.05</v>
      </c>
      <c r="I95" s="46" t="n">
        <v>0.9</v>
      </c>
      <c r="J95" s="46" t="n">
        <v>0.698</v>
      </c>
      <c r="K95" s="61" t="n">
        <v>0.7755555555555554</v>
      </c>
      <c r="L95" s="27" t="inlineStr">
        <is>
          <t>🔴 تحت الهدف</t>
        </is>
      </c>
      <c r="M95" s="27" t="inlineStr">
        <is>
          <t>الاستدامة</t>
        </is>
      </c>
      <c r="N95" s="13" t="inlineStr">
        <is>
          <t>جودة التشغيل</t>
        </is>
      </c>
      <c r="O95" s="15" t="inlineStr">
        <is>
          <t>العمليات الداخلية</t>
        </is>
      </c>
      <c r="P95" s="15" t="inlineStr">
        <is>
          <t>مدير العقار</t>
        </is>
      </c>
      <c r="Q95" s="13" t="inlineStr">
        <is>
          <t>سجلات الإدارة</t>
        </is>
      </c>
      <c r="R95" s="15" t="inlineStr">
        <is>
          <t>شهري</t>
        </is>
      </c>
      <c r="S95" s="46" t="n">
        <v>0.623</v>
      </c>
      <c r="T95" s="46" t="n">
        <v>0.66</v>
      </c>
      <c r="U95" s="46" t="n">
        <v>0.698</v>
      </c>
      <c r="V95" s="61" t="n">
        <v>0.1204</v>
      </c>
      <c r="W95" s="61" t="n">
        <v>1</v>
      </c>
      <c r="X95" s="61" t="n">
        <v>0.85</v>
      </c>
      <c r="Y95" s="75" t="inlineStr">
        <is>
          <t>دون المستهدف — فجوة 22٪، يتطلب إجراءً تصحيحياً عاجلاً.</t>
        </is>
      </c>
      <c r="Z95" s="69" t="inlineStr">
        <is>
          <t>إطلاق إجراء تصحيحي خلال 30 يوماً بإشراف مدير العقار.</t>
        </is>
      </c>
      <c r="AA95" s="27" t="inlineStr">
        <is>
          <t>تحت الهدف</t>
        </is>
      </c>
      <c r="AB95" s="27" t="n">
        <v>3</v>
      </c>
      <c r="AC95" s="76" t="inlineStr">
        <is>
          <t>#EB5757</t>
        </is>
      </c>
    </row>
    <row r="96">
      <c r="A96" s="9" t="inlineStr">
        <is>
          <t>العقار</t>
        </is>
      </c>
      <c r="B96" s="9" t="inlineStr">
        <is>
          <t>الجودة والاستدامة</t>
        </is>
      </c>
      <c r="C96" s="9" t="inlineStr">
        <is>
          <t>استدامة المستأجرين (لم يُنهَ مبكراً)</t>
        </is>
      </c>
      <c r="D96" s="15" t="inlineStr">
        <is>
          <t>🎯 نتيجة</t>
        </is>
      </c>
      <c r="E96" s="46" t="inlineStr">
        <is>
          <t>%</t>
        </is>
      </c>
      <c r="F96" s="46" t="inlineStr">
        <is>
          <t>↑</t>
        </is>
      </c>
      <c r="G96" s="15" t="inlineStr">
        <is>
          <t>🟠 مهم</t>
        </is>
      </c>
      <c r="H96" s="61" t="n">
        <v>0.05</v>
      </c>
      <c r="I96" s="46" t="n">
        <v>0.8</v>
      </c>
      <c r="J96" s="46" t="n">
        <v>0.695</v>
      </c>
      <c r="K96" s="61" t="n">
        <v>0.8687499999999999</v>
      </c>
      <c r="L96" s="27" t="inlineStr">
        <is>
          <t>🟡 قريب</t>
        </is>
      </c>
      <c r="M96" s="27" t="inlineStr">
        <is>
          <t>الاستدامة</t>
        </is>
      </c>
      <c r="N96" s="13" t="inlineStr">
        <is>
          <t>تعزيز تجربة العملاء</t>
        </is>
      </c>
      <c r="O96" s="15" t="inlineStr">
        <is>
          <t>العملاء</t>
        </is>
      </c>
      <c r="P96" s="15" t="inlineStr">
        <is>
          <t>مدير العقار</t>
        </is>
      </c>
      <c r="Q96" s="13" t="inlineStr">
        <is>
          <t>نظام إدارة الجودة (QMS)</t>
        </is>
      </c>
      <c r="R96" s="15" t="inlineStr">
        <is>
          <t>شهري</t>
        </is>
      </c>
      <c r="S96" s="46" t="n">
        <v>0.629</v>
      </c>
      <c r="T96" s="46" t="n">
        <v>0.662</v>
      </c>
      <c r="U96" s="46" t="n">
        <v>0.695</v>
      </c>
      <c r="V96" s="61" t="n">
        <v>0.1049</v>
      </c>
      <c r="W96" s="61" t="n">
        <v>1</v>
      </c>
      <c r="X96" s="61" t="n">
        <v>0.85</v>
      </c>
      <c r="Y96" s="71" t="inlineStr">
        <is>
          <t>قريب من المستهدف — فجوة 13٪، متابعة لإغلاقها.</t>
        </is>
      </c>
      <c r="Z96" s="69" t="inlineStr">
        <is>
          <t>متابعة أسبوعية حتى بلوغ المستهدف.</t>
        </is>
      </c>
      <c r="AA96" s="27" t="inlineStr">
        <is>
          <t>قريب</t>
        </is>
      </c>
      <c r="AB96" s="27" t="n">
        <v>2</v>
      </c>
      <c r="AC96" s="72" t="inlineStr">
        <is>
          <t>#F2C94C</t>
        </is>
      </c>
    </row>
    <row r="97">
      <c r="A97" s="9" t="inlineStr">
        <is>
          <t>العقار</t>
        </is>
      </c>
      <c r="B97" s="9" t="inlineStr">
        <is>
          <t>الجودة والاستدامة</t>
        </is>
      </c>
      <c r="C97" s="9" t="inlineStr">
        <is>
          <t>معدل رضا المستأجرين (استبيان ربعي)</t>
        </is>
      </c>
      <c r="D97" s="15" t="inlineStr">
        <is>
          <t>🎯 نتيجة</t>
        </is>
      </c>
      <c r="E97" s="46" t="inlineStr">
        <is>
          <t>%</t>
        </is>
      </c>
      <c r="F97" s="46" t="inlineStr">
        <is>
          <t>↑</t>
        </is>
      </c>
      <c r="G97" s="15" t="inlineStr">
        <is>
          <t>🔴 رئيسي</t>
        </is>
      </c>
      <c r="H97" s="61" t="n">
        <v>0.07000000000000001</v>
      </c>
      <c r="I97" s="46" t="n">
        <v>0.9</v>
      </c>
      <c r="J97" s="46" t="n">
        <v>0.894</v>
      </c>
      <c r="K97" s="61" t="n">
        <v>0.9933333333333333</v>
      </c>
      <c r="L97" s="27" t="inlineStr">
        <is>
          <t>✅ محقق</t>
        </is>
      </c>
      <c r="M97" s="27" t="inlineStr">
        <is>
          <t>الاستدامة</t>
        </is>
      </c>
      <c r="N97" s="13" t="inlineStr">
        <is>
          <t>تعزيز تجربة العملاء</t>
        </is>
      </c>
      <c r="O97" s="15" t="inlineStr">
        <is>
          <t>العملاء</t>
        </is>
      </c>
      <c r="P97" s="15" t="inlineStr">
        <is>
          <t>مدير العقار</t>
        </is>
      </c>
      <c r="Q97" s="13" t="inlineStr">
        <is>
          <t>استبيان دوري</t>
        </is>
      </c>
      <c r="R97" s="15" t="inlineStr">
        <is>
          <t>ربعي</t>
        </is>
      </c>
      <c r="S97" s="46" t="n">
        <v>0.743</v>
      </c>
      <c r="T97" s="46" t="n">
        <v>0.819</v>
      </c>
      <c r="U97" s="46" t="n">
        <v>0.894</v>
      </c>
      <c r="V97" s="61" t="n">
        <v>0.2032</v>
      </c>
      <c r="W97" s="61" t="n">
        <v>0.9</v>
      </c>
      <c r="X97" s="61" t="n">
        <v>0.75</v>
      </c>
      <c r="Y97" s="71" t="inlineStr"/>
      <c r="Z97" s="69" t="inlineStr"/>
      <c r="AA97" s="27" t="inlineStr">
        <is>
          <t>محقق</t>
        </is>
      </c>
      <c r="AB97" s="27" t="n">
        <v>1</v>
      </c>
      <c r="AC97" s="74" t="inlineStr">
        <is>
          <t>#2EAD6B</t>
        </is>
      </c>
    </row>
    <row r="98">
      <c r="A98" s="9" t="inlineStr">
        <is>
          <t>إدارة المشاريع</t>
        </is>
      </c>
      <c r="B98" s="9" t="inlineStr">
        <is>
          <t>تسليم محطات الشركة</t>
        </is>
      </c>
      <c r="C98" s="9" t="inlineStr">
        <is>
          <t>عدد محطات الشركة المُسلَّمة</t>
        </is>
      </c>
      <c r="D98" s="15" t="inlineStr">
        <is>
          <t>⚙️ نشاط</t>
        </is>
      </c>
      <c r="E98" s="46" t="inlineStr">
        <is>
          <t>محطة</t>
        </is>
      </c>
      <c r="F98" s="46" t="inlineStr">
        <is>
          <t>↑</t>
        </is>
      </c>
      <c r="G98" s="15" t="inlineStr">
        <is>
          <t>🔴 رئيسي</t>
        </is>
      </c>
      <c r="H98" s="61" t="n">
        <v>0.08</v>
      </c>
      <c r="I98" s="46" t="n">
        <v>20</v>
      </c>
      <c r="J98" s="46" t="n">
        <v>18.8</v>
      </c>
      <c r="K98" s="61" t="n">
        <v>0.9400000000000001</v>
      </c>
      <c r="L98" s="27" t="inlineStr">
        <is>
          <t>🟡 قريب</t>
        </is>
      </c>
      <c r="M98" s="27" t="inlineStr">
        <is>
          <t>النمو</t>
        </is>
      </c>
      <c r="N98" s="13" t="inlineStr">
        <is>
          <t>التوسع في المواقع</t>
        </is>
      </c>
      <c r="O98" s="15" t="inlineStr">
        <is>
          <t>العمليات الداخلية</t>
        </is>
      </c>
      <c r="P98" s="15" t="inlineStr">
        <is>
          <t>مدير إدارة المشاريع</t>
        </is>
      </c>
      <c r="Q98" s="13" t="inlineStr">
        <is>
          <t>نظام إدارة المشاريع (PMO/Primavera)</t>
        </is>
      </c>
      <c r="R98" s="15" t="inlineStr">
        <is>
          <t>شهري</t>
        </is>
      </c>
      <c r="S98" s="46" t="n">
        <v>15.448</v>
      </c>
      <c r="T98" s="46" t="n">
        <v>17.124</v>
      </c>
      <c r="U98" s="46" t="n">
        <v>37.6</v>
      </c>
      <c r="V98" s="61" t="n">
        <v>0.217</v>
      </c>
      <c r="W98" s="61" t="n">
        <v>1</v>
      </c>
      <c r="X98" s="61" t="n">
        <v>0.85</v>
      </c>
      <c r="Y98" s="71" t="inlineStr">
        <is>
          <t>قريب من المستهدف — فجوة 6٪، متابعة لإغلاقها.</t>
        </is>
      </c>
      <c r="Z98" s="69" t="inlineStr">
        <is>
          <t>متابعة أسبوعية حتى بلوغ المستهدف.</t>
        </is>
      </c>
      <c r="AA98" s="27" t="inlineStr">
        <is>
          <t>قريب</t>
        </is>
      </c>
      <c r="AB98" s="27" t="n">
        <v>2</v>
      </c>
      <c r="AC98" s="72" t="inlineStr">
        <is>
          <t>#F2C94C</t>
        </is>
      </c>
    </row>
    <row r="99">
      <c r="A99" s="9" t="inlineStr">
        <is>
          <t>إدارة المشاريع</t>
        </is>
      </c>
      <c r="B99" s="9" t="inlineStr">
        <is>
          <t>تسليم محطات الشركة</t>
        </is>
      </c>
      <c r="C99" s="9" t="inlineStr">
        <is>
          <t>نسبة إنجاز محفظة مشاريع التوسع</t>
        </is>
      </c>
      <c r="D99" s="15" t="inlineStr">
        <is>
          <t>🎯 نتيجة</t>
        </is>
      </c>
      <c r="E99" s="46" t="inlineStr">
        <is>
          <t>%</t>
        </is>
      </c>
      <c r="F99" s="46" t="inlineStr">
        <is>
          <t>↑</t>
        </is>
      </c>
      <c r="G99" s="15" t="inlineStr">
        <is>
          <t>🔴 رئيسي</t>
        </is>
      </c>
      <c r="H99" s="61" t="n">
        <v>0.08</v>
      </c>
      <c r="I99" s="46" t="n">
        <v>0.7</v>
      </c>
      <c r="J99" s="46" t="n">
        <v>0.676</v>
      </c>
      <c r="K99" s="61" t="n">
        <v>0.9657142857142859</v>
      </c>
      <c r="L99" s="27" t="inlineStr">
        <is>
          <t>🟡 قريب</t>
        </is>
      </c>
      <c r="M99" s="27" t="inlineStr">
        <is>
          <t>النمو</t>
        </is>
      </c>
      <c r="N99" s="13" t="inlineStr">
        <is>
          <t>التوسع في المواقع</t>
        </is>
      </c>
      <c r="O99" s="15" t="inlineStr">
        <is>
          <t>العمليات الداخلية</t>
        </is>
      </c>
      <c r="P99" s="15" t="inlineStr">
        <is>
          <t>مدير إدارة المشاريع</t>
        </is>
      </c>
      <c r="Q99" s="13" t="inlineStr">
        <is>
          <t>نظام إدارة المشاريع (PMO/Primavera)</t>
        </is>
      </c>
      <c r="R99" s="15" t="inlineStr">
        <is>
          <t>شهري</t>
        </is>
      </c>
      <c r="S99" s="46" t="n">
        <v>0.576</v>
      </c>
      <c r="T99" s="46" t="n">
        <v>0.626</v>
      </c>
      <c r="U99" s="46" t="n">
        <v>0.676</v>
      </c>
      <c r="V99" s="61" t="n">
        <v>0.1736</v>
      </c>
      <c r="W99" s="61" t="n">
        <v>1</v>
      </c>
      <c r="X99" s="61" t="n">
        <v>0.85</v>
      </c>
      <c r="Y99" s="71" t="inlineStr">
        <is>
          <t>قريب من المستهدف — فجوة 3٪، متابعة لإغلاقها.</t>
        </is>
      </c>
      <c r="Z99" s="69" t="inlineStr">
        <is>
          <t>متابعة أسبوعية حتى بلوغ المستهدف.</t>
        </is>
      </c>
      <c r="AA99" s="27" t="inlineStr">
        <is>
          <t>قريب</t>
        </is>
      </c>
      <c r="AB99" s="27" t="n">
        <v>2</v>
      </c>
      <c r="AC99" s="72" t="inlineStr">
        <is>
          <t>#F2C94C</t>
        </is>
      </c>
    </row>
    <row r="100">
      <c r="A100" s="9" t="inlineStr">
        <is>
          <t>إدارة المشاريع</t>
        </is>
      </c>
      <c r="B100" s="9" t="inlineStr">
        <is>
          <t>تسليم محطات الشركة</t>
        </is>
      </c>
      <c r="C100" s="9" t="inlineStr">
        <is>
          <t>نسبة تسليم المحطات في الموعد المخطط</t>
        </is>
      </c>
      <c r="D100" s="15" t="inlineStr">
        <is>
          <t>🔧 تشغيلي</t>
        </is>
      </c>
      <c r="E100" s="46" t="inlineStr">
        <is>
          <t>%</t>
        </is>
      </c>
      <c r="F100" s="46" t="inlineStr">
        <is>
          <t>↑</t>
        </is>
      </c>
      <c r="G100" s="15" t="inlineStr">
        <is>
          <t>🔴 رئيسي</t>
        </is>
      </c>
      <c r="H100" s="61" t="n">
        <v>0.08</v>
      </c>
      <c r="I100" s="46" t="n">
        <v>0.8</v>
      </c>
      <c r="J100" s="46" t="n">
        <v>0.805</v>
      </c>
      <c r="K100" s="61" t="n">
        <v>1</v>
      </c>
      <c r="L100" s="27" t="inlineStr">
        <is>
          <t>✅ محقق</t>
        </is>
      </c>
      <c r="M100" s="27" t="inlineStr">
        <is>
          <t>النمو</t>
        </is>
      </c>
      <c r="N100" s="13" t="inlineStr">
        <is>
          <t>التوسع في المواقع</t>
        </is>
      </c>
      <c r="O100" s="15" t="inlineStr">
        <is>
          <t>العمليات الداخلية</t>
        </is>
      </c>
      <c r="P100" s="15" t="inlineStr">
        <is>
          <t>مدير إدارة المشاريع</t>
        </is>
      </c>
      <c r="Q100" s="13" t="inlineStr">
        <is>
          <t>نظام إدارة المشاريع (PMO/Primavera)</t>
        </is>
      </c>
      <c r="R100" s="15" t="inlineStr">
        <is>
          <t>شهري</t>
        </is>
      </c>
      <c r="S100" s="46" t="n">
        <v>0.678</v>
      </c>
      <c r="T100" s="46" t="n">
        <v>0.742</v>
      </c>
      <c r="U100" s="46" t="n">
        <v>0.805</v>
      </c>
      <c r="V100" s="61" t="n">
        <v>0.1873</v>
      </c>
      <c r="W100" s="61" t="n">
        <v>1</v>
      </c>
      <c r="X100" s="61" t="n">
        <v>0.85</v>
      </c>
      <c r="Y100" s="71" t="inlineStr"/>
      <c r="Z100" s="69" t="inlineStr"/>
      <c r="AA100" s="27" t="inlineStr">
        <is>
          <t>محقق</t>
        </is>
      </c>
      <c r="AB100" s="27" t="n">
        <v>1</v>
      </c>
      <c r="AC100" s="74" t="inlineStr">
        <is>
          <t>#2EAD6B</t>
        </is>
      </c>
    </row>
    <row r="101">
      <c r="A101" s="9" t="inlineStr">
        <is>
          <t>إدارة المشاريع</t>
        </is>
      </c>
      <c r="B101" s="9" t="inlineStr">
        <is>
          <t>تسليم محطات الشركة</t>
        </is>
      </c>
      <c r="C101" s="9" t="inlineStr">
        <is>
          <t>نسبة المشاريع المنفّذة ضمن الميزانية</t>
        </is>
      </c>
      <c r="D101" s="15" t="inlineStr">
        <is>
          <t>🔧 تشغيلي</t>
        </is>
      </c>
      <c r="E101" s="46" t="inlineStr">
        <is>
          <t>%</t>
        </is>
      </c>
      <c r="F101" s="46" t="inlineStr">
        <is>
          <t>↑</t>
        </is>
      </c>
      <c r="G101" s="15" t="inlineStr">
        <is>
          <t>🟠 مهم</t>
        </is>
      </c>
      <c r="H101" s="61" t="n">
        <v>0.06</v>
      </c>
      <c r="I101" s="46" t="n">
        <v>0.85</v>
      </c>
      <c r="J101" s="46" t="n">
        <v>0.774</v>
      </c>
      <c r="K101" s="61" t="n">
        <v>0.9105882352941177</v>
      </c>
      <c r="L101" s="27" t="inlineStr">
        <is>
          <t>🟡 قريب</t>
        </is>
      </c>
      <c r="M101" s="27" t="inlineStr">
        <is>
          <t>الاستدامة</t>
        </is>
      </c>
      <c r="N101" s="13" t="inlineStr">
        <is>
          <t>جودة التشغيل</t>
        </is>
      </c>
      <c r="O101" s="15" t="inlineStr">
        <is>
          <t>العمليات الداخلية</t>
        </is>
      </c>
      <c r="P101" s="15" t="inlineStr">
        <is>
          <t>مدير إدارة المشاريع</t>
        </is>
      </c>
      <c r="Q101" s="13" t="inlineStr">
        <is>
          <t>نظام إدارة المشاريع (PMO/Primavera)</t>
        </is>
      </c>
      <c r="R101" s="15" t="inlineStr">
        <is>
          <t>شهري</t>
        </is>
      </c>
      <c r="S101" s="46" t="n">
        <v>0.7</v>
      </c>
      <c r="T101" s="46" t="n">
        <v>0.737</v>
      </c>
      <c r="U101" s="46" t="n">
        <v>0.774</v>
      </c>
      <c r="V101" s="61" t="n">
        <v>0.1057</v>
      </c>
      <c r="W101" s="61" t="n">
        <v>1</v>
      </c>
      <c r="X101" s="61" t="n">
        <v>0.85</v>
      </c>
      <c r="Y101" s="71" t="inlineStr">
        <is>
          <t>قريب من المستهدف — فجوة 9٪، متابعة لإغلاقها.</t>
        </is>
      </c>
      <c r="Z101" s="69" t="inlineStr">
        <is>
          <t>متابعة أسبوعية حتى بلوغ المستهدف.</t>
        </is>
      </c>
      <c r="AA101" s="27" t="inlineStr">
        <is>
          <t>قريب</t>
        </is>
      </c>
      <c r="AB101" s="27" t="n">
        <v>2</v>
      </c>
      <c r="AC101" s="72" t="inlineStr">
        <is>
          <t>#F2C94C</t>
        </is>
      </c>
    </row>
    <row r="102">
      <c r="A102" s="9" t="inlineStr">
        <is>
          <t>إدارة المشاريع</t>
        </is>
      </c>
      <c r="B102" s="9" t="inlineStr">
        <is>
          <t>الإشراف على الامتياز</t>
        </is>
      </c>
      <c r="C102" s="9" t="inlineStr">
        <is>
          <t>عدد محطات الامتياز المُسلَّمة بالهوية</t>
        </is>
      </c>
      <c r="D102" s="15" t="inlineStr">
        <is>
          <t>⚙️ نشاط</t>
        </is>
      </c>
      <c r="E102" s="46" t="inlineStr">
        <is>
          <t>محطة</t>
        </is>
      </c>
      <c r="F102" s="46" t="inlineStr">
        <is>
          <t>↑</t>
        </is>
      </c>
      <c r="G102" s="15" t="inlineStr">
        <is>
          <t>🔴 رئيسي</t>
        </is>
      </c>
      <c r="H102" s="61" t="n">
        <v>0.08</v>
      </c>
      <c r="I102" s="46" t="n">
        <v>40</v>
      </c>
      <c r="J102" s="46" t="n">
        <v>34.7</v>
      </c>
      <c r="K102" s="61" t="n">
        <v>0.8675</v>
      </c>
      <c r="L102" s="27" t="inlineStr">
        <is>
          <t>🟡 قريب</t>
        </is>
      </c>
      <c r="M102" s="27" t="inlineStr">
        <is>
          <t>النمو</t>
        </is>
      </c>
      <c r="N102" s="13" t="inlineStr">
        <is>
          <t>الامتياز التجاري</t>
        </is>
      </c>
      <c r="O102" s="15" t="inlineStr">
        <is>
          <t>التعلّم والنمو</t>
        </is>
      </c>
      <c r="P102" s="15" t="inlineStr">
        <is>
          <t>مدير إدارة المشاريع</t>
        </is>
      </c>
      <c r="Q102" s="13" t="inlineStr">
        <is>
          <t>نظام إدارة المشاريع (PMO/Primavera)</t>
        </is>
      </c>
      <c r="R102" s="15" t="inlineStr">
        <is>
          <t>شهري</t>
        </is>
      </c>
      <c r="S102" s="46" t="n">
        <v>29.642</v>
      </c>
      <c r="T102" s="46" t="n">
        <v>32.171</v>
      </c>
      <c r="U102" s="46" t="n">
        <v>69.40000000000001</v>
      </c>
      <c r="V102" s="61" t="n">
        <v>0.1706</v>
      </c>
      <c r="W102" s="61" t="n">
        <v>1</v>
      </c>
      <c r="X102" s="61" t="n">
        <v>0.85</v>
      </c>
      <c r="Y102" s="71" t="inlineStr">
        <is>
          <t>قريب من المستهدف — فجوة 13٪، متابعة لإغلاقها.</t>
        </is>
      </c>
      <c r="Z102" s="69" t="inlineStr">
        <is>
          <t>متابعة أسبوعية حتى بلوغ المستهدف.</t>
        </is>
      </c>
      <c r="AA102" s="27" t="inlineStr">
        <is>
          <t>قريب</t>
        </is>
      </c>
      <c r="AB102" s="27" t="n">
        <v>2</v>
      </c>
      <c r="AC102" s="72" t="inlineStr">
        <is>
          <t>#F2C94C</t>
        </is>
      </c>
    </row>
    <row r="103">
      <c r="A103" s="9" t="inlineStr">
        <is>
          <t>إدارة المشاريع</t>
        </is>
      </c>
      <c r="B103" s="9" t="inlineStr">
        <is>
          <t>الإشراف على الامتياز</t>
        </is>
      </c>
      <c r="C103" s="9" t="inlineStr">
        <is>
          <t>نسبة تنفيذ زيارات الإشراف المجدولة</t>
        </is>
      </c>
      <c r="D103" s="15" t="inlineStr">
        <is>
          <t>⚙️ نشاط</t>
        </is>
      </c>
      <c r="E103" s="46" t="inlineStr">
        <is>
          <t>%</t>
        </is>
      </c>
      <c r="F103" s="46" t="inlineStr">
        <is>
          <t>↑</t>
        </is>
      </c>
      <c r="G103" s="15" t="inlineStr">
        <is>
          <t>🟠 مهم</t>
        </is>
      </c>
      <c r="H103" s="61" t="n">
        <v>0.06</v>
      </c>
      <c r="I103" s="46" t="n">
        <v>0.9</v>
      </c>
      <c r="J103" s="46" t="n">
        <v>0.928</v>
      </c>
      <c r="K103" s="61" t="n">
        <v>1</v>
      </c>
      <c r="L103" s="27" t="inlineStr">
        <is>
          <t>✅ محقق</t>
        </is>
      </c>
      <c r="M103" s="27" t="inlineStr">
        <is>
          <t>الاستدامة</t>
        </is>
      </c>
      <c r="N103" s="13" t="inlineStr">
        <is>
          <t>الامتياز التجاري</t>
        </is>
      </c>
      <c r="O103" s="15" t="inlineStr">
        <is>
          <t>العمليات الداخلية</t>
        </is>
      </c>
      <c r="P103" s="15" t="inlineStr">
        <is>
          <t>مدير إدارة المشاريع</t>
        </is>
      </c>
      <c r="Q103" s="13" t="inlineStr">
        <is>
          <t>نظام إدارة المشاريع (PMO/Primavera)</t>
        </is>
      </c>
      <c r="R103" s="15" t="inlineStr">
        <is>
          <t>شهري</t>
        </is>
      </c>
      <c r="S103" s="46" t="n">
        <v>0.79</v>
      </c>
      <c r="T103" s="46" t="n">
        <v>0.859</v>
      </c>
      <c r="U103" s="46" t="n">
        <v>0.928</v>
      </c>
      <c r="V103" s="61" t="n">
        <v>0.1747</v>
      </c>
      <c r="W103" s="61" t="n">
        <v>1</v>
      </c>
      <c r="X103" s="61" t="n">
        <v>0.85</v>
      </c>
      <c r="Y103" s="71" t="inlineStr"/>
      <c r="Z103" s="69" t="inlineStr"/>
      <c r="AA103" s="27" t="inlineStr">
        <is>
          <t>محقق</t>
        </is>
      </c>
      <c r="AB103" s="27" t="n">
        <v>1</v>
      </c>
      <c r="AC103" s="74" t="inlineStr">
        <is>
          <t>#2EAD6B</t>
        </is>
      </c>
    </row>
    <row r="104">
      <c r="A104" s="9" t="inlineStr">
        <is>
          <t>إدارة المشاريع</t>
        </is>
      </c>
      <c r="B104" s="9" t="inlineStr">
        <is>
          <t>الإشراف على الامتياز</t>
        </is>
      </c>
      <c r="C104" s="9" t="inlineStr">
        <is>
          <t>نسبة التزام المطوّرين بالجدول الزمني</t>
        </is>
      </c>
      <c r="D104" s="15" t="inlineStr">
        <is>
          <t>🎯 نتيجة</t>
        </is>
      </c>
      <c r="E104" s="46" t="inlineStr">
        <is>
          <t>%</t>
        </is>
      </c>
      <c r="F104" s="46" t="inlineStr">
        <is>
          <t>↑</t>
        </is>
      </c>
      <c r="G104" s="15" t="inlineStr">
        <is>
          <t>🟠 مهم</t>
        </is>
      </c>
      <c r="H104" s="61" t="n">
        <v>0.06</v>
      </c>
      <c r="I104" s="46" t="n">
        <v>0.75</v>
      </c>
      <c r="J104" s="46" t="n">
        <v>0.652</v>
      </c>
      <c r="K104" s="61" t="n">
        <v>0.8693333333333334</v>
      </c>
      <c r="L104" s="27" t="inlineStr">
        <is>
          <t>🟡 قريب</t>
        </is>
      </c>
      <c r="M104" s="27" t="inlineStr">
        <is>
          <t>الاستدامة</t>
        </is>
      </c>
      <c r="N104" s="13" t="inlineStr">
        <is>
          <t>الامتياز التجاري</t>
        </is>
      </c>
      <c r="O104" s="15" t="inlineStr">
        <is>
          <t>العمليات الداخلية</t>
        </is>
      </c>
      <c r="P104" s="15" t="inlineStr">
        <is>
          <t>مدير إدارة المشاريع</t>
        </is>
      </c>
      <c r="Q104" s="13" t="inlineStr">
        <is>
          <t>نظام إدارة المشاريع (PMO/Primavera)</t>
        </is>
      </c>
      <c r="R104" s="15" t="inlineStr">
        <is>
          <t>شهري</t>
        </is>
      </c>
      <c r="S104" s="46" t="n">
        <v>0.556</v>
      </c>
      <c r="T104" s="46" t="n">
        <v>0.604</v>
      </c>
      <c r="U104" s="46" t="n">
        <v>0.652</v>
      </c>
      <c r="V104" s="61" t="n">
        <v>0.1727</v>
      </c>
      <c r="W104" s="61" t="n">
        <v>1</v>
      </c>
      <c r="X104" s="61" t="n">
        <v>0.85</v>
      </c>
      <c r="Y104" s="71" t="inlineStr">
        <is>
          <t>قريب من المستهدف — فجوة 13٪، متابعة لإغلاقها.</t>
        </is>
      </c>
      <c r="Z104" s="69" t="inlineStr">
        <is>
          <t>متابعة أسبوعية حتى بلوغ المستهدف.</t>
        </is>
      </c>
      <c r="AA104" s="27" t="inlineStr">
        <is>
          <t>قريب</t>
        </is>
      </c>
      <c r="AB104" s="27" t="n">
        <v>2</v>
      </c>
      <c r="AC104" s="72" t="inlineStr">
        <is>
          <t>#F2C94C</t>
        </is>
      </c>
    </row>
    <row r="105">
      <c r="A105" s="9" t="inlineStr">
        <is>
          <t>إدارة المشاريع</t>
        </is>
      </c>
      <c r="B105" s="9" t="inlineStr">
        <is>
          <t>الإشراف على الامتياز</t>
        </is>
      </c>
      <c r="C105" s="9" t="inlineStr">
        <is>
          <t>نسبة إغلاق ملاحظات الجودة على المطوّرين</t>
        </is>
      </c>
      <c r="D105" s="15" t="inlineStr">
        <is>
          <t>🎯 نتيجة</t>
        </is>
      </c>
      <c r="E105" s="46" t="inlineStr">
        <is>
          <t>%</t>
        </is>
      </c>
      <c r="F105" s="46" t="inlineStr">
        <is>
          <t>↑</t>
        </is>
      </c>
      <c r="G105" s="15" t="inlineStr">
        <is>
          <t>🟠 مهم</t>
        </is>
      </c>
      <c r="H105" s="61" t="n">
        <v>0.06</v>
      </c>
      <c r="I105" s="46" t="n">
        <v>0.9</v>
      </c>
      <c r="J105" s="46" t="n">
        <v>0.777</v>
      </c>
      <c r="K105" s="61" t="n">
        <v>0.8633333333333333</v>
      </c>
      <c r="L105" s="27" t="inlineStr">
        <is>
          <t>🟡 قريب</t>
        </is>
      </c>
      <c r="M105" s="27" t="inlineStr">
        <is>
          <t>الاستدامة</t>
        </is>
      </c>
      <c r="N105" s="13" t="inlineStr">
        <is>
          <t>الامتياز التجاري</t>
        </is>
      </c>
      <c r="O105" s="15" t="inlineStr">
        <is>
          <t>العمليات الداخلية</t>
        </is>
      </c>
      <c r="P105" s="15" t="inlineStr">
        <is>
          <t>مدير إدارة المشاريع</t>
        </is>
      </c>
      <c r="Q105" s="13" t="inlineStr">
        <is>
          <t>نظام إدارة المشاريع (PMO/Primavera)</t>
        </is>
      </c>
      <c r="R105" s="15" t="inlineStr">
        <is>
          <t>شهري</t>
        </is>
      </c>
      <c r="S105" s="46" t="n">
        <v>0.6830000000000001</v>
      </c>
      <c r="T105" s="46" t="n">
        <v>0.73</v>
      </c>
      <c r="U105" s="46" t="n">
        <v>0.777</v>
      </c>
      <c r="V105" s="61" t="n">
        <v>0.1376</v>
      </c>
      <c r="W105" s="61" t="n">
        <v>1</v>
      </c>
      <c r="X105" s="61" t="n">
        <v>0.85</v>
      </c>
      <c r="Y105" s="71" t="inlineStr">
        <is>
          <t>قريب من المستهدف — فجوة 14٪، متابعة لإغلاقها.</t>
        </is>
      </c>
      <c r="Z105" s="69" t="inlineStr">
        <is>
          <t>متابعة أسبوعية حتى بلوغ المستهدف.</t>
        </is>
      </c>
      <c r="AA105" s="27" t="inlineStr">
        <is>
          <t>قريب</t>
        </is>
      </c>
      <c r="AB105" s="27" t="n">
        <v>2</v>
      </c>
      <c r="AC105" s="72" t="inlineStr">
        <is>
          <t>#F2C94C</t>
        </is>
      </c>
    </row>
    <row r="106">
      <c r="A106" s="9" t="inlineStr">
        <is>
          <t>إدارة المشاريع</t>
        </is>
      </c>
      <c r="B106" s="9" t="inlineStr">
        <is>
          <t>إجمالي التسليم</t>
        </is>
      </c>
      <c r="C106" s="9" t="inlineStr">
        <is>
          <t>إجمالي المحطات المُسلَّمة بالهوية (شركة + امتياز)</t>
        </is>
      </c>
      <c r="D106" s="15" t="inlineStr">
        <is>
          <t>🔧 تشغيلي</t>
        </is>
      </c>
      <c r="E106" s="46" t="inlineStr">
        <is>
          <t>محطة</t>
        </is>
      </c>
      <c r="F106" s="46" t="inlineStr">
        <is>
          <t>↑</t>
        </is>
      </c>
      <c r="G106" s="15" t="inlineStr">
        <is>
          <t>🔴 رئيسي</t>
        </is>
      </c>
      <c r="H106" s="61" t="n">
        <v>0.08</v>
      </c>
      <c r="I106" s="46" t="n">
        <v>60</v>
      </c>
      <c r="J106" s="46" t="n">
        <v>61.6</v>
      </c>
      <c r="K106" s="61" t="n">
        <v>1</v>
      </c>
      <c r="L106" s="27" t="inlineStr">
        <is>
          <t>✅ محقق</t>
        </is>
      </c>
      <c r="M106" s="27" t="inlineStr">
        <is>
          <t>النمو</t>
        </is>
      </c>
      <c r="N106" s="13" t="inlineStr">
        <is>
          <t>التوسع في المواقع</t>
        </is>
      </c>
      <c r="O106" s="15" t="inlineStr">
        <is>
          <t>التعلّم والنمو</t>
        </is>
      </c>
      <c r="P106" s="15" t="inlineStr">
        <is>
          <t>مدير إدارة المشاريع</t>
        </is>
      </c>
      <c r="Q106" s="13" t="inlineStr">
        <is>
          <t>نظام إدارة المشاريع (PMO/Primavera)</t>
        </is>
      </c>
      <c r="R106" s="15" t="inlineStr">
        <is>
          <t>شهري</t>
        </is>
      </c>
      <c r="S106" s="46" t="n">
        <v>55.112</v>
      </c>
      <c r="T106" s="46" t="n">
        <v>58.356</v>
      </c>
      <c r="U106" s="46" t="n">
        <v>123.2</v>
      </c>
      <c r="V106" s="61" t="n">
        <v>0.1177</v>
      </c>
      <c r="W106" s="61" t="n">
        <v>1</v>
      </c>
      <c r="X106" s="61" t="n">
        <v>0.85</v>
      </c>
      <c r="Y106" s="71" t="inlineStr"/>
      <c r="Z106" s="69" t="inlineStr"/>
      <c r="AA106" s="27" t="inlineStr">
        <is>
          <t>محقق</t>
        </is>
      </c>
      <c r="AB106" s="27" t="n">
        <v>1</v>
      </c>
      <c r="AC106" s="74" t="inlineStr">
        <is>
          <t>#2EAD6B</t>
        </is>
      </c>
    </row>
    <row r="107">
      <c r="A107" s="9" t="inlineStr">
        <is>
          <t>إدارة المشاريع</t>
        </is>
      </c>
      <c r="B107" s="9" t="inlineStr">
        <is>
          <t>الجودة والمقاولون</t>
        </is>
      </c>
      <c r="C107" s="9" t="inlineStr">
        <is>
          <t>نسبة المشاريع الخالية من مخالفات الجودة</t>
        </is>
      </c>
      <c r="D107" s="15" t="inlineStr">
        <is>
          <t>🔧 تشغيلي</t>
        </is>
      </c>
      <c r="E107" s="46" t="inlineStr">
        <is>
          <t>%</t>
        </is>
      </c>
      <c r="F107" s="46" t="inlineStr">
        <is>
          <t>↑</t>
        </is>
      </c>
      <c r="G107" s="15" t="inlineStr">
        <is>
          <t>🟠 مهم</t>
        </is>
      </c>
      <c r="H107" s="61" t="n">
        <v>0.06</v>
      </c>
      <c r="I107" s="46" t="n">
        <v>0.9</v>
      </c>
      <c r="J107" s="46" t="n">
        <v>0.697</v>
      </c>
      <c r="K107" s="61" t="n">
        <v>0.7744444444444444</v>
      </c>
      <c r="L107" s="27" t="inlineStr">
        <is>
          <t>🔴 تحت الهدف</t>
        </is>
      </c>
      <c r="M107" s="27" t="inlineStr">
        <is>
          <t>الاستدامة</t>
        </is>
      </c>
      <c r="N107" s="13" t="inlineStr">
        <is>
          <t>جودة التشغيل</t>
        </is>
      </c>
      <c r="O107" s="15" t="inlineStr">
        <is>
          <t>العمليات الداخلية</t>
        </is>
      </c>
      <c r="P107" s="15" t="inlineStr">
        <is>
          <t>مدير إدارة المشاريع</t>
        </is>
      </c>
      <c r="Q107" s="13" t="inlineStr">
        <is>
          <t>نظام إدارة المشاريع (PMO/Primavera)</t>
        </is>
      </c>
      <c r="R107" s="15" t="inlineStr">
        <is>
          <t>شهري</t>
        </is>
      </c>
      <c r="S107" s="46" t="n">
        <v>0.584</v>
      </c>
      <c r="T107" s="46" t="n">
        <v>0.64</v>
      </c>
      <c r="U107" s="46" t="n">
        <v>0.697</v>
      </c>
      <c r="V107" s="61" t="n">
        <v>0.1935</v>
      </c>
      <c r="W107" s="61" t="n">
        <v>1</v>
      </c>
      <c r="X107" s="61" t="n">
        <v>0.85</v>
      </c>
      <c r="Y107" s="75" t="inlineStr">
        <is>
          <t>دون المستهدف — فجوة 23٪، يتطلب إجراءً تصحيحياً عاجلاً.</t>
        </is>
      </c>
      <c r="Z107" s="69" t="inlineStr">
        <is>
          <t>إطلاق إجراء تصحيحي خلال 30 يوماً بإشراف مدير إدارة المشاريع.</t>
        </is>
      </c>
      <c r="AA107" s="27" t="inlineStr">
        <is>
          <t>تحت الهدف</t>
        </is>
      </c>
      <c r="AB107" s="27" t="n">
        <v>3</v>
      </c>
      <c r="AC107" s="76" t="inlineStr">
        <is>
          <t>#EB5757</t>
        </is>
      </c>
    </row>
    <row r="108">
      <c r="A108" s="9" t="inlineStr">
        <is>
          <t>إدارة المشاريع</t>
        </is>
      </c>
      <c r="B108" s="9" t="inlineStr">
        <is>
          <t>الجودة والمقاولون</t>
        </is>
      </c>
      <c r="C108" s="9" t="inlineStr">
        <is>
          <t>عدد مخالفات المقاولين (سنوي)</t>
        </is>
      </c>
      <c r="D108" s="15" t="inlineStr">
        <is>
          <t>⚙️ نشاط</t>
        </is>
      </c>
      <c r="E108" s="46" t="inlineStr">
        <is>
          <t>مخالفة</t>
        </is>
      </c>
      <c r="F108" s="46" t="inlineStr">
        <is>
          <t>↓</t>
        </is>
      </c>
      <c r="G108" s="15" t="inlineStr">
        <is>
          <t>🟠 مهم</t>
        </is>
      </c>
      <c r="H108" s="61" t="n">
        <v>0.06</v>
      </c>
      <c r="I108" s="46" t="n">
        <v>10</v>
      </c>
      <c r="J108" s="46" t="n">
        <v>10.4</v>
      </c>
      <c r="K108" s="61" t="n">
        <v>0.9615384615384615</v>
      </c>
      <c r="L108" s="27" t="inlineStr">
        <is>
          <t>🟡 قريب</t>
        </is>
      </c>
      <c r="M108" s="27" t="inlineStr">
        <is>
          <t>الاستدامة</t>
        </is>
      </c>
      <c r="N108" s="13" t="inlineStr">
        <is>
          <t>جودة التشغيل</t>
        </is>
      </c>
      <c r="O108" s="15" t="inlineStr">
        <is>
          <t>العمليات الداخلية</t>
        </is>
      </c>
      <c r="P108" s="15" t="inlineStr">
        <is>
          <t>مدير إدارة المشاريع</t>
        </is>
      </c>
      <c r="Q108" s="13" t="inlineStr">
        <is>
          <t>نظام إدارة المشاريع (PMO/Primavera)</t>
        </is>
      </c>
      <c r="R108" s="15" t="inlineStr">
        <is>
          <t>شهري</t>
        </is>
      </c>
      <c r="S108" s="46" t="n">
        <v>11.611</v>
      </c>
      <c r="T108" s="46" t="n">
        <v>11.006</v>
      </c>
      <c r="U108" s="46" t="n">
        <v>20.8</v>
      </c>
      <c r="V108" s="61" t="n">
        <v>-0.1043</v>
      </c>
      <c r="W108" s="61" t="n">
        <v>1</v>
      </c>
      <c r="X108" s="61" t="n">
        <v>0.85</v>
      </c>
      <c r="Y108" s="71" t="inlineStr">
        <is>
          <t>قريب من المستهدف — فجوة 4٪، متابعة لإغلاقها.</t>
        </is>
      </c>
      <c r="Z108" s="69" t="inlineStr">
        <is>
          <t>متابعة أسبوعية حتى بلوغ المستهدف.</t>
        </is>
      </c>
      <c r="AA108" s="27" t="inlineStr">
        <is>
          <t>قريب</t>
        </is>
      </c>
      <c r="AB108" s="27" t="n">
        <v>2</v>
      </c>
      <c r="AC108" s="72" t="inlineStr">
        <is>
          <t>#F2C94C</t>
        </is>
      </c>
    </row>
    <row r="109">
      <c r="A109" s="9" t="inlineStr">
        <is>
          <t>إدارة المشاريع</t>
        </is>
      </c>
      <c r="B109" s="9" t="inlineStr">
        <is>
          <t>الجودة والمقاولون</t>
        </is>
      </c>
      <c r="C109" s="9" t="inlineStr">
        <is>
          <t>نسبة التزام المقاولين بمعايير السلامة</t>
        </is>
      </c>
      <c r="D109" s="15" t="inlineStr">
        <is>
          <t>🎯 نتيجة</t>
        </is>
      </c>
      <c r="E109" s="46" t="inlineStr">
        <is>
          <t>%</t>
        </is>
      </c>
      <c r="F109" s="46" t="inlineStr">
        <is>
          <t>↑</t>
        </is>
      </c>
      <c r="G109" s="15" t="inlineStr">
        <is>
          <t>🔴 رئيسي</t>
        </is>
      </c>
      <c r="H109" s="61" t="n">
        <v>0.08</v>
      </c>
      <c r="I109" s="46" t="n">
        <v>0.95</v>
      </c>
      <c r="J109" s="46" t="n">
        <v>0.852</v>
      </c>
      <c r="K109" s="61" t="n">
        <v>0.8968421052631579</v>
      </c>
      <c r="L109" s="27" t="inlineStr">
        <is>
          <t>🔴 تحت الهدف</t>
        </is>
      </c>
      <c r="M109" s="27" t="inlineStr">
        <is>
          <t>الاستدامة</t>
        </is>
      </c>
      <c r="N109" s="13" t="inlineStr">
        <is>
          <t>جودة التشغيل</t>
        </is>
      </c>
      <c r="O109" s="15" t="inlineStr">
        <is>
          <t>العمليات الداخلية</t>
        </is>
      </c>
      <c r="P109" s="15" t="inlineStr">
        <is>
          <t>مدير إدارة المشاريع</t>
        </is>
      </c>
      <c r="Q109" s="13" t="inlineStr">
        <is>
          <t>نظام إدارة المشاريع (PMO/Primavera)</t>
        </is>
      </c>
      <c r="R109" s="15" t="inlineStr">
        <is>
          <t>شهري</t>
        </is>
      </c>
      <c r="S109" s="46" t="n">
        <v>0.753</v>
      </c>
      <c r="T109" s="46" t="n">
        <v>0.802</v>
      </c>
      <c r="U109" s="46" t="n">
        <v>0.852</v>
      </c>
      <c r="V109" s="61" t="n">
        <v>0.1315</v>
      </c>
      <c r="W109" s="61" t="n">
        <v>1</v>
      </c>
      <c r="X109" s="61" t="n">
        <v>0.97</v>
      </c>
      <c r="Y109" s="75" t="inlineStr">
        <is>
          <t>دون المستهدف — فجوة 10٪، يتطلب إجراءً تصحيحياً عاجلاً.</t>
        </is>
      </c>
      <c r="Z109" s="69" t="inlineStr">
        <is>
          <t>إطلاق إجراء تصحيحي خلال 30 يوماً بإشراف مدير إدارة المشاريع.</t>
        </is>
      </c>
      <c r="AA109" s="27" t="inlineStr">
        <is>
          <t>تحت الهدف</t>
        </is>
      </c>
      <c r="AB109" s="27" t="n">
        <v>3</v>
      </c>
      <c r="AC109" s="76" t="inlineStr">
        <is>
          <t>#EB5757</t>
        </is>
      </c>
    </row>
    <row r="110">
      <c r="A110" s="9" t="inlineStr">
        <is>
          <t>إدارة المشاريع</t>
        </is>
      </c>
      <c r="B110" s="9" t="inlineStr">
        <is>
          <t>الالتزام بالخطة</t>
        </is>
      </c>
      <c r="C110" s="9" t="inlineStr">
        <is>
          <t>نسبة الالتزام بالميزانية المعتمدة</t>
        </is>
      </c>
      <c r="D110" s="15" t="inlineStr">
        <is>
          <t>🎯 نتيجة</t>
        </is>
      </c>
      <c r="E110" s="46" t="inlineStr">
        <is>
          <t>%</t>
        </is>
      </c>
      <c r="F110" s="46" t="inlineStr">
        <is>
          <t>↑</t>
        </is>
      </c>
      <c r="G110" s="15" t="inlineStr">
        <is>
          <t>🟠 مهم</t>
        </is>
      </c>
      <c r="H110" s="61" t="n">
        <v>0.06</v>
      </c>
      <c r="I110" s="46" t="n">
        <v>1</v>
      </c>
      <c r="J110" s="46" t="n">
        <v>0.96</v>
      </c>
      <c r="K110" s="61" t="n">
        <v>0.96</v>
      </c>
      <c r="L110" s="27" t="inlineStr">
        <is>
          <t>🟡 قريب</t>
        </is>
      </c>
      <c r="M110" s="27" t="inlineStr">
        <is>
          <t>الاستدامة</t>
        </is>
      </c>
      <c r="N110" s="13" t="inlineStr">
        <is>
          <t>جودة التشغيل</t>
        </is>
      </c>
      <c r="O110" s="15" t="inlineStr">
        <is>
          <t>العمليات الداخلية</t>
        </is>
      </c>
      <c r="P110" s="15" t="inlineStr">
        <is>
          <t>مدير إدارة المشاريع</t>
        </is>
      </c>
      <c r="Q110" s="13" t="inlineStr">
        <is>
          <t>نظام إدارة المشاريع (PMO/Primavera)</t>
        </is>
      </c>
      <c r="R110" s="15" t="inlineStr">
        <is>
          <t>شهري</t>
        </is>
      </c>
      <c r="S110" s="46" t="n">
        <v>0.868</v>
      </c>
      <c r="T110" s="46" t="n">
        <v>0.914</v>
      </c>
      <c r="U110" s="46" t="n">
        <v>0.96</v>
      </c>
      <c r="V110" s="61" t="n">
        <v>0.106</v>
      </c>
      <c r="W110" s="61" t="n">
        <v>1</v>
      </c>
      <c r="X110" s="61" t="n">
        <v>0.85</v>
      </c>
      <c r="Y110" s="71" t="inlineStr">
        <is>
          <t>قريب من المستهدف — فجوة 4٪، متابعة لإغلاقها.</t>
        </is>
      </c>
      <c r="Z110" s="69" t="inlineStr">
        <is>
          <t>متابعة أسبوعية حتى بلوغ المستهدف.</t>
        </is>
      </c>
      <c r="AA110" s="27" t="inlineStr">
        <is>
          <t>قريب</t>
        </is>
      </c>
      <c r="AB110" s="27" t="n">
        <v>2</v>
      </c>
      <c r="AC110" s="72" t="inlineStr">
        <is>
          <t>#F2C94C</t>
        </is>
      </c>
    </row>
    <row r="111">
      <c r="A111" s="9" t="inlineStr">
        <is>
          <t>إدارة المشاريع</t>
        </is>
      </c>
      <c r="B111" s="9" t="inlineStr">
        <is>
          <t>الالتزام بالخطة</t>
        </is>
      </c>
      <c r="C111" s="9" t="inlineStr">
        <is>
          <t>نسبة الالتزام بالجدول الزمني العام</t>
        </is>
      </c>
      <c r="D111" s="15" t="inlineStr">
        <is>
          <t>🎯 نتيجة</t>
        </is>
      </c>
      <c r="E111" s="46" t="inlineStr">
        <is>
          <t>%</t>
        </is>
      </c>
      <c r="F111" s="46" t="inlineStr">
        <is>
          <t>↑</t>
        </is>
      </c>
      <c r="G111" s="15" t="inlineStr">
        <is>
          <t>🟠 مهم</t>
        </is>
      </c>
      <c r="H111" s="61" t="n">
        <v>0.05</v>
      </c>
      <c r="I111" s="46" t="n">
        <v>1</v>
      </c>
      <c r="J111" s="46" t="n">
        <v>0.798</v>
      </c>
      <c r="K111" s="61" t="n">
        <v>0.798</v>
      </c>
      <c r="L111" s="27" t="inlineStr">
        <is>
          <t>🔴 تحت الهدف</t>
        </is>
      </c>
      <c r="M111" s="27" t="inlineStr">
        <is>
          <t>الاستدامة</t>
        </is>
      </c>
      <c r="N111" s="13" t="inlineStr">
        <is>
          <t>جودة التشغيل</t>
        </is>
      </c>
      <c r="O111" s="15" t="inlineStr">
        <is>
          <t>العمليات الداخلية</t>
        </is>
      </c>
      <c r="P111" s="15" t="inlineStr">
        <is>
          <t>مدير إدارة المشاريع</t>
        </is>
      </c>
      <c r="Q111" s="13" t="inlineStr">
        <is>
          <t>نظام إدارة المشاريع (PMO/Primavera)</t>
        </is>
      </c>
      <c r="R111" s="15" t="inlineStr">
        <is>
          <t>شهري</t>
        </is>
      </c>
      <c r="S111" s="46" t="n">
        <v>0.647</v>
      </c>
      <c r="T111" s="46" t="n">
        <v>0.723</v>
      </c>
      <c r="U111" s="46" t="n">
        <v>0.798</v>
      </c>
      <c r="V111" s="61" t="n">
        <v>0.2334</v>
      </c>
      <c r="W111" s="61" t="n">
        <v>1</v>
      </c>
      <c r="X111" s="61" t="n">
        <v>0.85</v>
      </c>
      <c r="Y111" s="75" t="inlineStr">
        <is>
          <t>دون المستهدف — فجوة 20٪، يتطلب إجراءً تصحيحياً عاجلاً.</t>
        </is>
      </c>
      <c r="Z111" s="69" t="inlineStr">
        <is>
          <t>إطلاق إجراء تصحيحي خلال 30 يوماً بإشراف مدير إدارة المشاريع.</t>
        </is>
      </c>
      <c r="AA111" s="27" t="inlineStr">
        <is>
          <t>تحت الهدف</t>
        </is>
      </c>
      <c r="AB111" s="27" t="n">
        <v>3</v>
      </c>
      <c r="AC111" s="76" t="inlineStr">
        <is>
          <t>#EB5757</t>
        </is>
      </c>
    </row>
    <row r="112">
      <c r="A112" s="9" t="inlineStr">
        <is>
          <t>إدارة المشاريع</t>
        </is>
      </c>
      <c r="B112" s="9" t="inlineStr">
        <is>
          <t>التصاميم وأوامر التغيير</t>
        </is>
      </c>
      <c r="C112" s="9" t="inlineStr">
        <is>
          <t>متوسط مدة إغلاق قائمة الملاحظات النهائية</t>
        </is>
      </c>
      <c r="D112" s="15" t="inlineStr">
        <is>
          <t>🎯 نتيجة</t>
        </is>
      </c>
      <c r="E112" s="46" t="inlineStr">
        <is>
          <t>يوم</t>
        </is>
      </c>
      <c r="F112" s="46" t="inlineStr">
        <is>
          <t>↓</t>
        </is>
      </c>
      <c r="G112" s="15" t="inlineStr">
        <is>
          <t>🟠 مهم</t>
        </is>
      </c>
      <c r="H112" s="61" t="n">
        <v>0.05</v>
      </c>
      <c r="I112" s="46" t="n">
        <v>30</v>
      </c>
      <c r="J112" s="46" t="n">
        <v>32.4</v>
      </c>
      <c r="K112" s="61" t="n">
        <v>0.9259259259259259</v>
      </c>
      <c r="L112" s="27" t="inlineStr">
        <is>
          <t>🟡 قريب</t>
        </is>
      </c>
      <c r="M112" s="27" t="inlineStr">
        <is>
          <t>الاستدامة</t>
        </is>
      </c>
      <c r="N112" s="13" t="inlineStr">
        <is>
          <t>جودة التشغيل</t>
        </is>
      </c>
      <c r="O112" s="15" t="inlineStr">
        <is>
          <t>العمليات الداخلية</t>
        </is>
      </c>
      <c r="P112" s="15" t="inlineStr">
        <is>
          <t>مدير إدارة المشاريع</t>
        </is>
      </c>
      <c r="Q112" s="13" t="inlineStr">
        <is>
          <t>نظام إدارة المشاريع (PMO/Primavera)</t>
        </is>
      </c>
      <c r="R112" s="15" t="inlineStr">
        <is>
          <t>شهري</t>
        </is>
      </c>
      <c r="S112" s="46" t="n">
        <v>38.005</v>
      </c>
      <c r="T112" s="46" t="n">
        <v>35.203</v>
      </c>
      <c r="U112" s="46" t="n">
        <v>32.4</v>
      </c>
      <c r="V112" s="61" t="n">
        <v>-0.1475</v>
      </c>
      <c r="W112" s="61" t="n">
        <v>1</v>
      </c>
      <c r="X112" s="61" t="n">
        <v>0.85</v>
      </c>
      <c r="Y112" s="71" t="inlineStr">
        <is>
          <t>قريب من المستهدف — فجوة 7٪، متابعة لإغلاقها.</t>
        </is>
      </c>
      <c r="Z112" s="69" t="inlineStr">
        <is>
          <t>متابعة أسبوعية حتى بلوغ المستهدف.</t>
        </is>
      </c>
      <c r="AA112" s="27" t="inlineStr">
        <is>
          <t>قريب</t>
        </is>
      </c>
      <c r="AB112" s="27" t="n">
        <v>2</v>
      </c>
      <c r="AC112" s="72" t="inlineStr">
        <is>
          <t>#F2C94C</t>
        </is>
      </c>
    </row>
    <row r="113">
      <c r="A113" s="9" t="inlineStr">
        <is>
          <t>سلاسل الإمداد</t>
        </is>
      </c>
      <c r="B113" s="9" t="inlineStr">
        <is>
          <t>خدمة العميل</t>
        </is>
      </c>
      <c r="C113" s="9" t="inlineStr">
        <is>
          <t>عدد انقطاعات الوقود الشهرية</t>
        </is>
      </c>
      <c r="D113" s="15" t="inlineStr">
        <is>
          <t>⚙️ نشاط</t>
        </is>
      </c>
      <c r="E113" s="46" t="inlineStr">
        <is>
          <t>انقطاع</t>
        </is>
      </c>
      <c r="F113" s="46" t="inlineStr">
        <is>
          <t>↓</t>
        </is>
      </c>
      <c r="G113" s="15" t="inlineStr">
        <is>
          <t>🔴 رئيسي</t>
        </is>
      </c>
      <c r="H113" s="61" t="n">
        <v>0.14</v>
      </c>
      <c r="I113" s="46" t="n">
        <v>0</v>
      </c>
      <c r="J113" s="46" t="n"/>
      <c r="K113" s="61" t="n"/>
      <c r="L113" s="27" t="inlineStr">
        <is>
          <t>⏳ بانتظار هدف</t>
        </is>
      </c>
      <c r="M113" s="27" t="inlineStr">
        <is>
          <t>الاستدامة</t>
        </is>
      </c>
      <c r="N113" s="13" t="inlineStr">
        <is>
          <t>جودة التشغيل</t>
        </is>
      </c>
      <c r="O113" s="15" t="inlineStr">
        <is>
          <t>العمليات الداخلية</t>
        </is>
      </c>
      <c r="P113" s="15" t="inlineStr">
        <is>
          <t>مدير سلاسل الإمداد</t>
        </is>
      </c>
      <c r="Q113" s="13" t="inlineStr">
        <is>
          <t>نظام سلاسل الإمداد والمخزون (WMS/ERP)</t>
        </is>
      </c>
      <c r="R113" s="15" t="inlineStr">
        <is>
          <t>شهري</t>
        </is>
      </c>
      <c r="S113" s="46" t="n"/>
      <c r="T113" s="46" t="n"/>
      <c r="U113" s="46" t="n"/>
      <c r="V113" s="61" t="n"/>
      <c r="W113" s="61" t="n">
        <v>1</v>
      </c>
      <c r="X113" s="61" t="n">
        <v>0.85</v>
      </c>
      <c r="Y113" s="71" t="inlineStr"/>
      <c r="Z113" s="69" t="inlineStr"/>
      <c r="AA113" s="27" t="inlineStr">
        <is>
          <t>بانتظار هدف</t>
        </is>
      </c>
      <c r="AB113" s="27" t="n">
        <v>4</v>
      </c>
      <c r="AC113" s="73" t="inlineStr">
        <is>
          <t>#BDBDBD</t>
        </is>
      </c>
    </row>
    <row r="114">
      <c r="A114" s="9" t="inlineStr">
        <is>
          <t>سلاسل الإمداد</t>
        </is>
      </c>
      <c r="B114" s="9" t="inlineStr">
        <is>
          <t>خدمة العميل</t>
        </is>
      </c>
      <c r="C114" s="9" t="inlineStr">
        <is>
          <t>نسبة توفّر المواد المخزنية (تسليم ≤ 3 أيام)</t>
        </is>
      </c>
      <c r="D114" s="15" t="inlineStr">
        <is>
          <t>🔧 تشغيلي</t>
        </is>
      </c>
      <c r="E114" s="46" t="inlineStr">
        <is>
          <t>%</t>
        </is>
      </c>
      <c r="F114" s="46" t="inlineStr">
        <is>
          <t>↑</t>
        </is>
      </c>
      <c r="G114" s="15" t="inlineStr">
        <is>
          <t>🔴 رئيسي</t>
        </is>
      </c>
      <c r="H114" s="61" t="n">
        <v>0.14</v>
      </c>
      <c r="I114" s="46" t="n">
        <v>1</v>
      </c>
      <c r="J114" s="46" t="n">
        <v>0.983</v>
      </c>
      <c r="K114" s="61" t="n">
        <v>0.983</v>
      </c>
      <c r="L114" s="27" t="inlineStr">
        <is>
          <t>🟡 قريب</t>
        </is>
      </c>
      <c r="M114" s="27" t="inlineStr">
        <is>
          <t>الاستدامة</t>
        </is>
      </c>
      <c r="N114" s="13" t="inlineStr">
        <is>
          <t>جودة التشغيل</t>
        </is>
      </c>
      <c r="O114" s="15" t="inlineStr">
        <is>
          <t>العمليات الداخلية</t>
        </is>
      </c>
      <c r="P114" s="15" t="inlineStr">
        <is>
          <t>مدير سلاسل الإمداد</t>
        </is>
      </c>
      <c r="Q114" s="13" t="inlineStr">
        <is>
          <t>نظام سلاسل الإمداد والمخزون (WMS/ERP)</t>
        </is>
      </c>
      <c r="R114" s="15" t="inlineStr">
        <is>
          <t>شهري</t>
        </is>
      </c>
      <c r="S114" s="46" t="n">
        <v>0.83</v>
      </c>
      <c r="T114" s="46" t="n">
        <v>0.906</v>
      </c>
      <c r="U114" s="46" t="n">
        <v>0.983</v>
      </c>
      <c r="V114" s="61" t="n">
        <v>0.1843</v>
      </c>
      <c r="W114" s="61" t="n">
        <v>1</v>
      </c>
      <c r="X114" s="61" t="n">
        <v>0.85</v>
      </c>
      <c r="Y114" s="71" t="inlineStr">
        <is>
          <t>قريب من المستهدف — فجوة 2٪، متابعة لإغلاقها.</t>
        </is>
      </c>
      <c r="Z114" s="69" t="inlineStr">
        <is>
          <t>متابعة أسبوعية حتى بلوغ المستهدف.</t>
        </is>
      </c>
      <c r="AA114" s="27" t="inlineStr">
        <is>
          <t>قريب</t>
        </is>
      </c>
      <c r="AB114" s="27" t="n">
        <v>2</v>
      </c>
      <c r="AC114" s="72" t="inlineStr">
        <is>
          <t>#F2C94C</t>
        </is>
      </c>
    </row>
    <row r="115">
      <c r="A115" s="9" t="inlineStr">
        <is>
          <t>سلاسل الإمداد</t>
        </is>
      </c>
      <c r="B115" s="9" t="inlineStr">
        <is>
          <t>خدمة العميل</t>
        </is>
      </c>
      <c r="C115" s="9" t="inlineStr">
        <is>
          <t>نسبة إصدار أوامر الشراء خلال ≤ 5 أيام عمل</t>
        </is>
      </c>
      <c r="D115" s="15" t="inlineStr">
        <is>
          <t>🔧 تشغيلي</t>
        </is>
      </c>
      <c r="E115" s="46" t="inlineStr">
        <is>
          <t>%</t>
        </is>
      </c>
      <c r="F115" s="46" t="inlineStr">
        <is>
          <t>↑</t>
        </is>
      </c>
      <c r="G115" s="15" t="inlineStr">
        <is>
          <t>🟠 مهم</t>
        </is>
      </c>
      <c r="H115" s="61" t="n">
        <v>0.1</v>
      </c>
      <c r="I115" s="46" t="n">
        <v>0.95</v>
      </c>
      <c r="J115" s="46" t="n">
        <v>0.745</v>
      </c>
      <c r="K115" s="61" t="n">
        <v>0.7842105263157895</v>
      </c>
      <c r="L115" s="27" t="inlineStr">
        <is>
          <t>🔴 تحت الهدف</t>
        </is>
      </c>
      <c r="M115" s="27" t="inlineStr">
        <is>
          <t>الاستدامة</t>
        </is>
      </c>
      <c r="N115" s="13" t="inlineStr">
        <is>
          <t>جودة التشغيل</t>
        </is>
      </c>
      <c r="O115" s="15" t="inlineStr">
        <is>
          <t>العمليات الداخلية</t>
        </is>
      </c>
      <c r="P115" s="15" t="inlineStr">
        <is>
          <t>مدير سلاسل الإمداد</t>
        </is>
      </c>
      <c r="Q115" s="13" t="inlineStr">
        <is>
          <t>نظام سلاسل الإمداد والمخزون (WMS/ERP)</t>
        </is>
      </c>
      <c r="R115" s="15" t="inlineStr">
        <is>
          <t>شهري</t>
        </is>
      </c>
      <c r="S115" s="46" t="n">
        <v>0.639</v>
      </c>
      <c r="T115" s="46" t="n">
        <v>0.6919999999999999</v>
      </c>
      <c r="U115" s="46" t="n">
        <v>0.745</v>
      </c>
      <c r="V115" s="61" t="n">
        <v>0.1659</v>
      </c>
      <c r="W115" s="61" t="n">
        <v>1</v>
      </c>
      <c r="X115" s="61" t="n">
        <v>0.85</v>
      </c>
      <c r="Y115" s="75" t="inlineStr">
        <is>
          <t>دون المستهدف — فجوة 22٪، يتطلب إجراءً تصحيحياً عاجلاً.</t>
        </is>
      </c>
      <c r="Z115" s="69" t="inlineStr">
        <is>
          <t>إطلاق إجراء تصحيحي خلال 30 يوماً بإشراف مدير سلاسل الإمداد.</t>
        </is>
      </c>
      <c r="AA115" s="27" t="inlineStr">
        <is>
          <t>تحت الهدف</t>
        </is>
      </c>
      <c r="AB115" s="27" t="n">
        <v>3</v>
      </c>
      <c r="AC115" s="76" t="inlineStr">
        <is>
          <t>#EB5757</t>
        </is>
      </c>
    </row>
    <row r="116">
      <c r="A116" s="9" t="inlineStr">
        <is>
          <t>سلاسل الإمداد</t>
        </is>
      </c>
      <c r="B116" s="9" t="inlineStr">
        <is>
          <t>خدمة العميل</t>
        </is>
      </c>
      <c r="C116" s="9" t="inlineStr">
        <is>
          <t>نسبة استيفاء طلبات المحطات (Fill Rate)</t>
        </is>
      </c>
      <c r="D116" s="15" t="inlineStr">
        <is>
          <t>🔧 تشغيلي</t>
        </is>
      </c>
      <c r="E116" s="46" t="inlineStr">
        <is>
          <t>%</t>
        </is>
      </c>
      <c r="F116" s="46" t="inlineStr">
        <is>
          <t>↑</t>
        </is>
      </c>
      <c r="G116" s="15" t="inlineStr">
        <is>
          <t>🔴 رئيسي</t>
        </is>
      </c>
      <c r="H116" s="61" t="n">
        <v>0.14</v>
      </c>
      <c r="I116" s="46" t="n">
        <v>0.98</v>
      </c>
      <c r="J116" s="46" t="n">
        <v>0.967</v>
      </c>
      <c r="K116" s="61" t="n">
        <v>0.986734693877551</v>
      </c>
      <c r="L116" s="27" t="inlineStr">
        <is>
          <t>🟡 قريب</t>
        </is>
      </c>
      <c r="M116" s="27" t="inlineStr">
        <is>
          <t>النمو</t>
        </is>
      </c>
      <c r="N116" s="13" t="inlineStr">
        <is>
          <t>زيادة وصول العملاء</t>
        </is>
      </c>
      <c r="O116" s="15" t="inlineStr">
        <is>
          <t>العمليات الداخلية</t>
        </is>
      </c>
      <c r="P116" s="15" t="inlineStr">
        <is>
          <t>مدير سلاسل الإمداد</t>
        </is>
      </c>
      <c r="Q116" s="13" t="inlineStr">
        <is>
          <t>نظام سلاسل الإمداد والمخزون (WMS/ERP)</t>
        </is>
      </c>
      <c r="R116" s="15" t="inlineStr">
        <is>
          <t>شهري</t>
        </is>
      </c>
      <c r="S116" s="46" t="n">
        <v>0.8139999999999999</v>
      </c>
      <c r="T116" s="46" t="n">
        <v>0.89</v>
      </c>
      <c r="U116" s="46" t="n">
        <v>0.967</v>
      </c>
      <c r="V116" s="61" t="n">
        <v>0.188</v>
      </c>
      <c r="W116" s="61" t="n">
        <v>1</v>
      </c>
      <c r="X116" s="61" t="n">
        <v>0.85</v>
      </c>
      <c r="Y116" s="71" t="inlineStr">
        <is>
          <t>قريب من المستهدف — فجوة 1٪، متابعة لإغلاقها.</t>
        </is>
      </c>
      <c r="Z116" s="69" t="inlineStr">
        <is>
          <t>متابعة أسبوعية حتى بلوغ المستهدف.</t>
        </is>
      </c>
      <c r="AA116" s="27" t="inlineStr">
        <is>
          <t>قريب</t>
        </is>
      </c>
      <c r="AB116" s="27" t="n">
        <v>2</v>
      </c>
      <c r="AC116" s="72" t="inlineStr">
        <is>
          <t>#F2C94C</t>
        </is>
      </c>
    </row>
    <row r="117">
      <c r="A117" s="9" t="inlineStr">
        <is>
          <t>سلاسل الإمداد</t>
        </is>
      </c>
      <c r="B117" s="9" t="inlineStr">
        <is>
          <t>كفاءة التكاليف</t>
        </is>
      </c>
      <c r="C117" s="9" t="inlineStr">
        <is>
          <t>فاقد الوقود لكل 33 ألف لتر</t>
        </is>
      </c>
      <c r="D117" s="15" t="inlineStr">
        <is>
          <t>🔧 تشغيلي</t>
        </is>
      </c>
      <c r="E117" s="46" t="inlineStr">
        <is>
          <t>لتر</t>
        </is>
      </c>
      <c r="F117" s="46" t="inlineStr">
        <is>
          <t>↓</t>
        </is>
      </c>
      <c r="G117" s="15" t="inlineStr">
        <is>
          <t>🟠 مهم</t>
        </is>
      </c>
      <c r="H117" s="61" t="n">
        <v>0.1</v>
      </c>
      <c r="I117" s="46" t="n">
        <v>100</v>
      </c>
      <c r="J117" s="46" t="n">
        <v>98.5</v>
      </c>
      <c r="K117" s="61" t="n">
        <v>1</v>
      </c>
      <c r="L117" s="27" t="inlineStr">
        <is>
          <t>✅ محقق</t>
        </is>
      </c>
      <c r="M117" s="27" t="inlineStr">
        <is>
          <t>الاستدامة</t>
        </is>
      </c>
      <c r="N117" s="13" t="inlineStr">
        <is>
          <t>جودة التشغيل</t>
        </is>
      </c>
      <c r="O117" s="15" t="inlineStr">
        <is>
          <t>العمليات الداخلية</t>
        </is>
      </c>
      <c r="P117" s="15" t="inlineStr">
        <is>
          <t>مدير سلاسل الإمداد</t>
        </is>
      </c>
      <c r="Q117" s="13" t="inlineStr">
        <is>
          <t>نظام سلاسل الإمداد والمخزون (WMS/ERP)</t>
        </is>
      </c>
      <c r="R117" s="15" t="inlineStr">
        <is>
          <t>شهري</t>
        </is>
      </c>
      <c r="S117" s="46" t="n">
        <v>110.162</v>
      </c>
      <c r="T117" s="46" t="n">
        <v>104.331</v>
      </c>
      <c r="U117" s="46" t="n">
        <v>98.5</v>
      </c>
      <c r="V117" s="61" t="n">
        <v>-0.1059</v>
      </c>
      <c r="W117" s="61" t="n">
        <v>1</v>
      </c>
      <c r="X117" s="61" t="n">
        <v>0.85</v>
      </c>
      <c r="Y117" s="71" t="inlineStr"/>
      <c r="Z117" s="69" t="inlineStr"/>
      <c r="AA117" s="27" t="inlineStr">
        <is>
          <t>محقق</t>
        </is>
      </c>
      <c r="AB117" s="27" t="n">
        <v>1</v>
      </c>
      <c r="AC117" s="74" t="inlineStr">
        <is>
          <t>#2EAD6B</t>
        </is>
      </c>
    </row>
    <row r="118">
      <c r="A118" s="9" t="inlineStr">
        <is>
          <t>سلاسل الإمداد</t>
        </is>
      </c>
      <c r="B118" s="9" t="inlineStr">
        <is>
          <t>كفاءة التكاليف</t>
        </is>
      </c>
      <c r="C118" s="9" t="inlineStr">
        <is>
          <t>نسبة المواد التالفة من المخزون</t>
        </is>
      </c>
      <c r="D118" s="15" t="inlineStr">
        <is>
          <t>🔧 تشغيلي</t>
        </is>
      </c>
      <c r="E118" s="46" t="inlineStr">
        <is>
          <t>%</t>
        </is>
      </c>
      <c r="F118" s="46" t="inlineStr">
        <is>
          <t>↓</t>
        </is>
      </c>
      <c r="G118" s="15" t="inlineStr">
        <is>
          <t>🟠 مهم</t>
        </is>
      </c>
      <c r="H118" s="61" t="n">
        <v>0.1</v>
      </c>
      <c r="I118" s="46" t="n">
        <v>0.02</v>
      </c>
      <c r="J118" s="46" t="n">
        <v>0.023</v>
      </c>
      <c r="K118" s="61" t="n">
        <v>0.8695652173913044</v>
      </c>
      <c r="L118" s="27" t="inlineStr">
        <is>
          <t>🟡 قريب</t>
        </is>
      </c>
      <c r="M118" s="27" t="inlineStr">
        <is>
          <t>الاستدامة</t>
        </is>
      </c>
      <c r="N118" s="13" t="inlineStr">
        <is>
          <t>جودة التشغيل</t>
        </is>
      </c>
      <c r="O118" s="15" t="inlineStr">
        <is>
          <t>العمليات الداخلية</t>
        </is>
      </c>
      <c r="P118" s="15" t="inlineStr">
        <is>
          <t>مدير سلاسل الإمداد</t>
        </is>
      </c>
      <c r="Q118" s="13" t="inlineStr">
        <is>
          <t>نظام سلاسل الإمداد والمخزون (WMS/ERP)</t>
        </is>
      </c>
      <c r="R118" s="15" t="inlineStr">
        <is>
          <t>شهري</t>
        </is>
      </c>
      <c r="S118" s="46" t="n">
        <v>0.027</v>
      </c>
      <c r="T118" s="46" t="n">
        <v>0.025</v>
      </c>
      <c r="U118" s="46" t="n">
        <v>0.023</v>
      </c>
      <c r="V118" s="61" t="n">
        <v>-0.1481</v>
      </c>
      <c r="W118" s="61" t="n">
        <v>1</v>
      </c>
      <c r="X118" s="61" t="n">
        <v>0.85</v>
      </c>
      <c r="Y118" s="71" t="inlineStr">
        <is>
          <t>قريب من المستهدف — فجوة 13٪، متابعة لإغلاقها.</t>
        </is>
      </c>
      <c r="Z118" s="69" t="inlineStr">
        <is>
          <t>متابعة أسبوعية حتى بلوغ المستهدف.</t>
        </is>
      </c>
      <c r="AA118" s="27" t="inlineStr">
        <is>
          <t>قريب</t>
        </is>
      </c>
      <c r="AB118" s="27" t="n">
        <v>2</v>
      </c>
      <c r="AC118" s="72" t="inlineStr">
        <is>
          <t>#F2C94C</t>
        </is>
      </c>
    </row>
    <row r="119">
      <c r="A119" s="9" t="inlineStr">
        <is>
          <t>سلاسل الإمداد</t>
        </is>
      </c>
      <c r="B119" s="9" t="inlineStr">
        <is>
          <t>كفاءة رأس المال العامل</t>
        </is>
      </c>
      <c r="C119" s="9" t="inlineStr">
        <is>
          <t>تغطية مخزون الوقود (أيام)</t>
        </is>
      </c>
      <c r="D119" s="15" t="inlineStr">
        <is>
          <t>🔧 تشغيلي</t>
        </is>
      </c>
      <c r="E119" s="46" t="inlineStr">
        <is>
          <t>يوم</t>
        </is>
      </c>
      <c r="F119" s="46" t="inlineStr">
        <is>
          <t>↓</t>
        </is>
      </c>
      <c r="G119" s="15" t="inlineStr">
        <is>
          <t>🟠 مهم</t>
        </is>
      </c>
      <c r="H119" s="61" t="n">
        <v>0.1</v>
      </c>
      <c r="I119" s="46" t="n">
        <v>3</v>
      </c>
      <c r="J119" s="46" t="n">
        <v>2.827</v>
      </c>
      <c r="K119" s="61" t="n">
        <v>1</v>
      </c>
      <c r="L119" s="27" t="inlineStr">
        <is>
          <t>✅ محقق</t>
        </is>
      </c>
      <c r="M119" s="27" t="inlineStr">
        <is>
          <t>الاستدامة</t>
        </is>
      </c>
      <c r="N119" s="13" t="inlineStr">
        <is>
          <t>جودة التشغيل</t>
        </is>
      </c>
      <c r="O119" s="15" t="inlineStr">
        <is>
          <t>العمليات الداخلية</t>
        </is>
      </c>
      <c r="P119" s="15" t="inlineStr">
        <is>
          <t>مدير سلاسل الإمداد</t>
        </is>
      </c>
      <c r="Q119" s="13" t="inlineStr">
        <is>
          <t>نظام سلاسل الإمداد والمخزون (WMS/ERP)</t>
        </is>
      </c>
      <c r="R119" s="15" t="inlineStr">
        <is>
          <t>شهري</t>
        </is>
      </c>
      <c r="S119" s="46" t="n">
        <v>3.215</v>
      </c>
      <c r="T119" s="46" t="n">
        <v>3.021</v>
      </c>
      <c r="U119" s="46" t="n">
        <v>2.827</v>
      </c>
      <c r="V119" s="61" t="n">
        <v>-0.1207</v>
      </c>
      <c r="W119" s="61" t="n">
        <v>1</v>
      </c>
      <c r="X119" s="61" t="n">
        <v>0.85</v>
      </c>
      <c r="Y119" s="71" t="inlineStr"/>
      <c r="Z119" s="69" t="inlineStr"/>
      <c r="AA119" s="27" t="inlineStr">
        <is>
          <t>محقق</t>
        </is>
      </c>
      <c r="AB119" s="27" t="n">
        <v>1</v>
      </c>
      <c r="AC119" s="74" t="inlineStr">
        <is>
          <t>#2EAD6B</t>
        </is>
      </c>
    </row>
    <row r="120">
      <c r="A120" s="9" t="inlineStr">
        <is>
          <t>سلاسل الإمداد</t>
        </is>
      </c>
      <c r="B120" s="9" t="inlineStr">
        <is>
          <t>الكفاءة التشغيلية</t>
        </is>
      </c>
      <c r="C120" s="9" t="inlineStr">
        <is>
          <t>نسبة التزام جدول النقل (On-Time)</t>
        </is>
      </c>
      <c r="D120" s="15" t="inlineStr">
        <is>
          <t>🎯 نتيجة</t>
        </is>
      </c>
      <c r="E120" s="46" t="inlineStr">
        <is>
          <t>%</t>
        </is>
      </c>
      <c r="F120" s="46" t="inlineStr">
        <is>
          <t>↑</t>
        </is>
      </c>
      <c r="G120" s="15" t="inlineStr">
        <is>
          <t>🟠 مهم</t>
        </is>
      </c>
      <c r="H120" s="61" t="n">
        <v>0.09</v>
      </c>
      <c r="I120" s="46" t="n">
        <v>0.95</v>
      </c>
      <c r="J120" s="46" t="n">
        <v>0.822</v>
      </c>
      <c r="K120" s="61" t="n">
        <v>0.8652631578947368</v>
      </c>
      <c r="L120" s="27" t="inlineStr">
        <is>
          <t>🟡 قريب</t>
        </is>
      </c>
      <c r="M120" s="27" t="inlineStr">
        <is>
          <t>الاستدامة</t>
        </is>
      </c>
      <c r="N120" s="13" t="inlineStr">
        <is>
          <t>جودة التشغيل</t>
        </is>
      </c>
      <c r="O120" s="15" t="inlineStr">
        <is>
          <t>العمليات الداخلية</t>
        </is>
      </c>
      <c r="P120" s="15" t="inlineStr">
        <is>
          <t>مدير سلاسل الإمداد</t>
        </is>
      </c>
      <c r="Q120" s="13" t="inlineStr">
        <is>
          <t>نظام سلاسل الإمداد والمخزون (WMS/ERP)</t>
        </is>
      </c>
      <c r="R120" s="15" t="inlineStr">
        <is>
          <t>شهري</t>
        </is>
      </c>
      <c r="S120" s="46" t="n">
        <v>0.707</v>
      </c>
      <c r="T120" s="46" t="n">
        <v>0.764</v>
      </c>
      <c r="U120" s="46" t="n">
        <v>0.822</v>
      </c>
      <c r="V120" s="61" t="n">
        <v>0.1627</v>
      </c>
      <c r="W120" s="61" t="n">
        <v>1</v>
      </c>
      <c r="X120" s="61" t="n">
        <v>0.85</v>
      </c>
      <c r="Y120" s="71" t="inlineStr">
        <is>
          <t>قريب من المستهدف — فجوة 13٪، متابعة لإغلاقها.</t>
        </is>
      </c>
      <c r="Z120" s="69" t="inlineStr">
        <is>
          <t>متابعة أسبوعية حتى بلوغ المستهدف.</t>
        </is>
      </c>
      <c r="AA120" s="27" t="inlineStr">
        <is>
          <t>قريب</t>
        </is>
      </c>
      <c r="AB120" s="27" t="n">
        <v>2</v>
      </c>
      <c r="AC120" s="72" t="inlineStr">
        <is>
          <t>#F2C94C</t>
        </is>
      </c>
    </row>
    <row r="121">
      <c r="A121" s="9" t="inlineStr">
        <is>
          <t>سلاسل الإمداد</t>
        </is>
      </c>
      <c r="B121" s="9" t="inlineStr">
        <is>
          <t>الكفاءة التشغيلية</t>
        </is>
      </c>
      <c r="C121" s="9" t="inlineStr">
        <is>
          <t>نسبة استخدام الأسطول المملوك</t>
        </is>
      </c>
      <c r="D121" s="15" t="inlineStr">
        <is>
          <t>🔧 تشغيلي</t>
        </is>
      </c>
      <c r="E121" s="46" t="inlineStr">
        <is>
          <t>%</t>
        </is>
      </c>
      <c r="F121" s="46" t="inlineStr">
        <is>
          <t>↑</t>
        </is>
      </c>
      <c r="G121" s="15" t="inlineStr">
        <is>
          <t>🟠 مهم</t>
        </is>
      </c>
      <c r="H121" s="61" t="n">
        <v>0.09</v>
      </c>
      <c r="I121" s="46" t="n">
        <v>0.6</v>
      </c>
      <c r="J121" s="46" t="n">
        <v>0.602</v>
      </c>
      <c r="K121" s="61" t="n">
        <v>1</v>
      </c>
      <c r="L121" s="27" t="inlineStr">
        <is>
          <t>✅ محقق</t>
        </is>
      </c>
      <c r="M121" s="27" t="inlineStr">
        <is>
          <t>الاستدامة</t>
        </is>
      </c>
      <c r="N121" s="13" t="inlineStr">
        <is>
          <t>جودة التشغيل</t>
        </is>
      </c>
      <c r="O121" s="15" t="inlineStr">
        <is>
          <t>العمليات الداخلية</t>
        </is>
      </c>
      <c r="P121" s="15" t="inlineStr">
        <is>
          <t>مدير سلاسل الإمداد</t>
        </is>
      </c>
      <c r="Q121" s="13" t="inlineStr">
        <is>
          <t>نظام سلاسل الإمداد والمخزون (WMS/ERP)</t>
        </is>
      </c>
      <c r="R121" s="15" t="inlineStr">
        <is>
          <t>شهري</t>
        </is>
      </c>
      <c r="S121" s="46" t="n">
        <v>0.514</v>
      </c>
      <c r="T121" s="46" t="n">
        <v>0.5580000000000001</v>
      </c>
      <c r="U121" s="46" t="n">
        <v>0.602</v>
      </c>
      <c r="V121" s="61" t="n">
        <v>0.1712</v>
      </c>
      <c r="W121" s="61" t="n">
        <v>1</v>
      </c>
      <c r="X121" s="61" t="n">
        <v>0.85</v>
      </c>
      <c r="Y121" s="71" t="inlineStr"/>
      <c r="Z121" s="69" t="inlineStr"/>
      <c r="AA121" s="27" t="inlineStr">
        <is>
          <t>محقق</t>
        </is>
      </c>
      <c r="AB121" s="27" t="n">
        <v>1</v>
      </c>
      <c r="AC121" s="74" t="inlineStr">
        <is>
          <t>#2EAD6B</t>
        </is>
      </c>
    </row>
    <row r="122">
      <c r="A122" s="9" t="inlineStr">
        <is>
          <t>التقنية الرقمية</t>
        </is>
      </c>
      <c r="B122" s="9" t="inlineStr">
        <is>
          <t>أداء المشاريع</t>
        </is>
      </c>
      <c r="C122" s="9" t="inlineStr">
        <is>
          <t>نسبة إنجاز محفظة مشاريع التحول الرقمي</t>
        </is>
      </c>
      <c r="D122" s="15" t="inlineStr">
        <is>
          <t>🎯 نتيجة</t>
        </is>
      </c>
      <c r="E122" s="46" t="inlineStr">
        <is>
          <t>%</t>
        </is>
      </c>
      <c r="F122" s="46" t="inlineStr">
        <is>
          <t>↑</t>
        </is>
      </c>
      <c r="G122" s="15" t="inlineStr">
        <is>
          <t>🔴 رئيسي</t>
        </is>
      </c>
      <c r="H122" s="61" t="n">
        <v>0.14</v>
      </c>
      <c r="I122" s="46" t="n">
        <v>1</v>
      </c>
      <c r="J122" s="46" t="n">
        <v>0.06</v>
      </c>
      <c r="K122" s="61" t="n">
        <v>0.06</v>
      </c>
      <c r="L122" s="27" t="inlineStr">
        <is>
          <t>🔴 تحت الهدف</t>
        </is>
      </c>
      <c r="M122" s="27" t="inlineStr">
        <is>
          <t>الابتكار</t>
        </is>
      </c>
      <c r="N122" s="13" t="inlineStr">
        <is>
          <t>التحول التقني</t>
        </is>
      </c>
      <c r="O122" s="15" t="inlineStr">
        <is>
          <t>التعلّم والنمو</t>
        </is>
      </c>
      <c r="P122" s="15" t="inlineStr">
        <is>
          <t>مدير التقنية</t>
        </is>
      </c>
      <c r="Q122" s="13" t="inlineStr">
        <is>
          <t>سجلات الإدارة</t>
        </is>
      </c>
      <c r="R122" s="15" t="inlineStr">
        <is>
          <t>شهري</t>
        </is>
      </c>
      <c r="S122" s="46" t="n">
        <v>0.055</v>
      </c>
      <c r="T122" s="46" t="n">
        <v>0.057</v>
      </c>
      <c r="U122" s="46" t="n">
        <v>0.06</v>
      </c>
      <c r="V122" s="61" t="n">
        <v>0.09089999999999999</v>
      </c>
      <c r="W122" s="61" t="n">
        <v>1</v>
      </c>
      <c r="X122" s="61" t="n">
        <v>0.85</v>
      </c>
      <c r="Y122" s="75" t="inlineStr">
        <is>
          <t>دون المستهدف — فجوة 94٪، يتطلب إجراءً تصحيحياً عاجلاً.</t>
        </is>
      </c>
      <c r="Z122" s="69" t="inlineStr">
        <is>
          <t>إطلاق إجراء تصحيحي خلال 30 يوماً بإشراف مدير التقنية.</t>
        </is>
      </c>
      <c r="AA122" s="27" t="inlineStr">
        <is>
          <t>تحت الهدف</t>
        </is>
      </c>
      <c r="AB122" s="27" t="n">
        <v>3</v>
      </c>
      <c r="AC122" s="76" t="inlineStr">
        <is>
          <t>#EB5757</t>
        </is>
      </c>
    </row>
    <row r="123">
      <c r="A123" s="9" t="inlineStr">
        <is>
          <t>التقنية الرقمية</t>
        </is>
      </c>
      <c r="B123" s="9" t="inlineStr">
        <is>
          <t>أداء المشاريع</t>
        </is>
      </c>
      <c r="C123" s="9" t="inlineStr">
        <is>
          <t>معدل تسليم المشاريع في الموعد المحدد</t>
        </is>
      </c>
      <c r="D123" s="15" t="inlineStr">
        <is>
          <t>🔧 تشغيلي</t>
        </is>
      </c>
      <c r="E123" s="46" t="inlineStr">
        <is>
          <t>%</t>
        </is>
      </c>
      <c r="F123" s="46" t="inlineStr">
        <is>
          <t>↑</t>
        </is>
      </c>
      <c r="G123" s="15" t="inlineStr">
        <is>
          <t>🟠 مهم</t>
        </is>
      </c>
      <c r="H123" s="61" t="n">
        <v>0.1</v>
      </c>
      <c r="I123" s="46" t="n">
        <v>0.9</v>
      </c>
      <c r="J123" s="46" t="n">
        <v>0.83</v>
      </c>
      <c r="K123" s="61" t="n">
        <v>0.9222222222222222</v>
      </c>
      <c r="L123" s="27" t="inlineStr">
        <is>
          <t>🟡 قريب</t>
        </is>
      </c>
      <c r="M123" s="27" t="inlineStr">
        <is>
          <t>الابتكار</t>
        </is>
      </c>
      <c r="N123" s="13" t="inlineStr">
        <is>
          <t>التحول التقني</t>
        </is>
      </c>
      <c r="O123" s="15" t="inlineStr">
        <is>
          <t>العمليات الداخلية</t>
        </is>
      </c>
      <c r="P123" s="15" t="inlineStr">
        <is>
          <t>مدير التقنية</t>
        </is>
      </c>
      <c r="Q123" s="13" t="inlineStr">
        <is>
          <t>سجلات الإدارة</t>
        </is>
      </c>
      <c r="R123" s="15" t="inlineStr">
        <is>
          <t>شهري</t>
        </is>
      </c>
      <c r="S123" s="46" t="n">
        <v>0.712</v>
      </c>
      <c r="T123" s="46" t="n">
        <v>0.771</v>
      </c>
      <c r="U123" s="46" t="n">
        <v>0.83</v>
      </c>
      <c r="V123" s="61" t="n">
        <v>0.1657</v>
      </c>
      <c r="W123" s="61" t="n">
        <v>1</v>
      </c>
      <c r="X123" s="61" t="n">
        <v>0.85</v>
      </c>
      <c r="Y123" s="71" t="inlineStr">
        <is>
          <t>قريب من المستهدف — فجوة 8٪، متابعة لإغلاقها.</t>
        </is>
      </c>
      <c r="Z123" s="69" t="inlineStr">
        <is>
          <t>متابعة أسبوعية حتى بلوغ المستهدف.</t>
        </is>
      </c>
      <c r="AA123" s="27" t="inlineStr">
        <is>
          <t>قريب</t>
        </is>
      </c>
      <c r="AB123" s="27" t="n">
        <v>2</v>
      </c>
      <c r="AC123" s="72" t="inlineStr">
        <is>
          <t>#F2C94C</t>
        </is>
      </c>
    </row>
    <row r="124">
      <c r="A124" s="9" t="inlineStr">
        <is>
          <t>التقنية الرقمية</t>
        </is>
      </c>
      <c r="B124" s="9" t="inlineStr">
        <is>
          <t>أداء المشاريع</t>
        </is>
      </c>
      <c r="C124" s="9" t="inlineStr">
        <is>
          <t>نسبة الالتزام بميزانية المشاريع</t>
        </is>
      </c>
      <c r="D124" s="15" t="inlineStr">
        <is>
          <t>🎯 نتيجة</t>
        </is>
      </c>
      <c r="E124" s="46" t="inlineStr">
        <is>
          <t>%</t>
        </is>
      </c>
      <c r="F124" s="46" t="inlineStr">
        <is>
          <t>↑</t>
        </is>
      </c>
      <c r="G124" s="15" t="inlineStr">
        <is>
          <t>🟠 مهم</t>
        </is>
      </c>
      <c r="H124" s="61" t="n">
        <v>0.1</v>
      </c>
      <c r="I124" s="46" t="n">
        <v>0.95</v>
      </c>
      <c r="J124" s="46" t="n">
        <v>0.753</v>
      </c>
      <c r="K124" s="61" t="n">
        <v>0.7926315789473685</v>
      </c>
      <c r="L124" s="27" t="inlineStr">
        <is>
          <t>🔴 تحت الهدف</t>
        </is>
      </c>
      <c r="M124" s="27" t="inlineStr">
        <is>
          <t>الابتكار</t>
        </is>
      </c>
      <c r="N124" s="13" t="inlineStr">
        <is>
          <t>التحول التقني</t>
        </is>
      </c>
      <c r="O124" s="15" t="inlineStr">
        <is>
          <t>العمليات الداخلية</t>
        </is>
      </c>
      <c r="P124" s="15" t="inlineStr">
        <is>
          <t>مدير التقنية</t>
        </is>
      </c>
      <c r="Q124" s="13" t="inlineStr">
        <is>
          <t>نظام المحاسبة / ERP (D365)</t>
        </is>
      </c>
      <c r="R124" s="15" t="inlineStr">
        <is>
          <t>شهري</t>
        </is>
      </c>
      <c r="S124" s="46" t="n">
        <v>0.647</v>
      </c>
      <c r="T124" s="46" t="n">
        <v>0.7</v>
      </c>
      <c r="U124" s="46" t="n">
        <v>0.753</v>
      </c>
      <c r="V124" s="61" t="n">
        <v>0.1638</v>
      </c>
      <c r="W124" s="61" t="n">
        <v>1</v>
      </c>
      <c r="X124" s="61" t="n">
        <v>0.85</v>
      </c>
      <c r="Y124" s="75" t="inlineStr">
        <is>
          <t>دون المستهدف — فجوة 21٪، يتطلب إجراءً تصحيحياً عاجلاً.</t>
        </is>
      </c>
      <c r="Z124" s="69" t="inlineStr">
        <is>
          <t>إطلاق إجراء تصحيحي خلال 30 يوماً بإشراف مدير التقنية.</t>
        </is>
      </c>
      <c r="AA124" s="27" t="inlineStr">
        <is>
          <t>تحت الهدف</t>
        </is>
      </c>
      <c r="AB124" s="27" t="n">
        <v>3</v>
      </c>
      <c r="AC124" s="76" t="inlineStr">
        <is>
          <t>#EB5757</t>
        </is>
      </c>
    </row>
    <row r="125">
      <c r="A125" s="9" t="inlineStr">
        <is>
          <t>التقنية الرقمية</t>
        </is>
      </c>
      <c r="B125" s="9" t="inlineStr">
        <is>
          <t>أداء المشاريع</t>
        </is>
      </c>
      <c r="C125" s="9" t="inlineStr">
        <is>
          <t>نسبة الالتزام بنطاق العمل</t>
        </is>
      </c>
      <c r="D125" s="15" t="inlineStr">
        <is>
          <t>🎯 نتيجة</t>
        </is>
      </c>
      <c r="E125" s="46" t="inlineStr">
        <is>
          <t>%</t>
        </is>
      </c>
      <c r="F125" s="46" t="inlineStr">
        <is>
          <t>↑</t>
        </is>
      </c>
      <c r="G125" s="15" t="inlineStr">
        <is>
          <t>🟠 مهم</t>
        </is>
      </c>
      <c r="H125" s="61" t="n">
        <v>0.1</v>
      </c>
      <c r="I125" s="46" t="n">
        <v>0.95</v>
      </c>
      <c r="J125" s="46" t="n">
        <v>0.703</v>
      </c>
      <c r="K125" s="61" t="n">
        <v>0.74</v>
      </c>
      <c r="L125" s="27" t="inlineStr">
        <is>
          <t>🔴 تحت الهدف</t>
        </is>
      </c>
      <c r="M125" s="27" t="inlineStr">
        <is>
          <t>الابتكار</t>
        </is>
      </c>
      <c r="N125" s="13" t="inlineStr">
        <is>
          <t>التحول التقني</t>
        </is>
      </c>
      <c r="O125" s="15" t="inlineStr">
        <is>
          <t>العمليات الداخلية</t>
        </is>
      </c>
      <c r="P125" s="15" t="inlineStr">
        <is>
          <t>مدير التقنية</t>
        </is>
      </c>
      <c r="Q125" s="13" t="inlineStr">
        <is>
          <t>سجلات الإدارة</t>
        </is>
      </c>
      <c r="R125" s="15" t="inlineStr">
        <is>
          <t>شهري</t>
        </is>
      </c>
      <c r="S125" s="46" t="n">
        <v>0.575</v>
      </c>
      <c r="T125" s="46" t="n">
        <v>0.639</v>
      </c>
      <c r="U125" s="46" t="n">
        <v>0.703</v>
      </c>
      <c r="V125" s="61" t="n">
        <v>0.2226</v>
      </c>
      <c r="W125" s="61" t="n">
        <v>1</v>
      </c>
      <c r="X125" s="61" t="n">
        <v>0.85</v>
      </c>
      <c r="Y125" s="75" t="inlineStr">
        <is>
          <t>دون المستهدف — فجوة 26٪، يتطلب إجراءً تصحيحياً عاجلاً.</t>
        </is>
      </c>
      <c r="Z125" s="69" t="inlineStr">
        <is>
          <t>إطلاق إجراء تصحيحي خلال 30 يوماً بإشراف مدير التقنية.</t>
        </is>
      </c>
      <c r="AA125" s="27" t="inlineStr">
        <is>
          <t>تحت الهدف</t>
        </is>
      </c>
      <c r="AB125" s="27" t="n">
        <v>3</v>
      </c>
      <c r="AC125" s="76" t="inlineStr">
        <is>
          <t>#EB5757</t>
        </is>
      </c>
    </row>
    <row r="126">
      <c r="A126" s="9" t="inlineStr">
        <is>
          <t>التقنية الرقمية</t>
        </is>
      </c>
      <c r="B126" s="9" t="inlineStr">
        <is>
          <t>الكفاءة التشغيلية</t>
        </is>
      </c>
      <c r="C126" s="9" t="inlineStr">
        <is>
          <t>نسبة تفعيل الأنظمة الأساسية بالمحطات</t>
        </is>
      </c>
      <c r="D126" s="15" t="inlineStr">
        <is>
          <t>🔧 تشغيلي</t>
        </is>
      </c>
      <c r="E126" s="46" t="inlineStr">
        <is>
          <t>%</t>
        </is>
      </c>
      <c r="F126" s="46" t="inlineStr">
        <is>
          <t>↑</t>
        </is>
      </c>
      <c r="G126" s="15" t="inlineStr">
        <is>
          <t>🏁 معلم</t>
        </is>
      </c>
      <c r="H126" s="61" t="n">
        <v>0.14</v>
      </c>
      <c r="I126" s="46" t="n">
        <v>1</v>
      </c>
      <c r="J126" s="46" t="n">
        <v>0.33</v>
      </c>
      <c r="K126" s="61" t="n">
        <v>0.33</v>
      </c>
      <c r="L126" s="27" t="inlineStr">
        <is>
          <t>🔴 تحت الهدف</t>
        </is>
      </c>
      <c r="M126" s="27" t="inlineStr">
        <is>
          <t>الاستدامة</t>
        </is>
      </c>
      <c r="N126" s="13" t="inlineStr">
        <is>
          <t>جودة التشغيل</t>
        </is>
      </c>
      <c r="O126" s="15" t="inlineStr">
        <is>
          <t>التعلّم والنمو</t>
        </is>
      </c>
      <c r="P126" s="15" t="inlineStr">
        <is>
          <t>مدير التقنية</t>
        </is>
      </c>
      <c r="Q126" s="13" t="inlineStr">
        <is>
          <t>مكتب إدارة المشاريع (PMO)</t>
        </is>
      </c>
      <c r="R126" s="15" t="inlineStr">
        <is>
          <t>شهري</t>
        </is>
      </c>
      <c r="S126" s="46" t="n">
        <v>0.296</v>
      </c>
      <c r="T126" s="46" t="n">
        <v>0.313</v>
      </c>
      <c r="U126" s="46" t="n">
        <v>0.33</v>
      </c>
      <c r="V126" s="61" t="n">
        <v>0.1149</v>
      </c>
      <c r="W126" s="61" t="n">
        <v>1</v>
      </c>
      <c r="X126" s="61" t="n">
        <v>0.85</v>
      </c>
      <c r="Y126" s="75" t="inlineStr">
        <is>
          <t>دون المستهدف — فجوة 67٪، يتطلب إجراءً تصحيحياً عاجلاً.</t>
        </is>
      </c>
      <c r="Z126" s="69" t="inlineStr">
        <is>
          <t>إطلاق إجراء تصحيحي خلال 30 يوماً بإشراف مدير التقنية.</t>
        </is>
      </c>
      <c r="AA126" s="27" t="inlineStr">
        <is>
          <t>تحت الهدف</t>
        </is>
      </c>
      <c r="AB126" s="27" t="n">
        <v>3</v>
      </c>
      <c r="AC126" s="76" t="inlineStr">
        <is>
          <t>#EB5757</t>
        </is>
      </c>
    </row>
    <row r="127">
      <c r="A127" s="9" t="inlineStr">
        <is>
          <t>التقنية الرقمية</t>
        </is>
      </c>
      <c r="B127" s="9" t="inlineStr">
        <is>
          <t>الكفاءة التشغيلية</t>
        </is>
      </c>
      <c r="C127" s="9" t="inlineStr">
        <is>
          <t>متوسط جاهزية أنظمة المركز الرئيسي (Uptime)</t>
        </is>
      </c>
      <c r="D127" s="15" t="inlineStr">
        <is>
          <t>🎯 نتيجة</t>
        </is>
      </c>
      <c r="E127" s="46" t="inlineStr">
        <is>
          <t>%</t>
        </is>
      </c>
      <c r="F127" s="46" t="inlineStr">
        <is>
          <t>↑</t>
        </is>
      </c>
      <c r="G127" s="15" t="inlineStr">
        <is>
          <t>🔴 رئيسي</t>
        </is>
      </c>
      <c r="H127" s="61" t="n">
        <v>0.14</v>
      </c>
      <c r="I127" s="46" t="n">
        <v>0.99</v>
      </c>
      <c r="J127" s="46" t="n">
        <v>0.9</v>
      </c>
      <c r="K127" s="61" t="n">
        <v>0.9090909090909092</v>
      </c>
      <c r="L127" s="27" t="inlineStr">
        <is>
          <t>🔴 تحت الهدف</t>
        </is>
      </c>
      <c r="M127" s="27" t="inlineStr">
        <is>
          <t>الاستدامة</t>
        </is>
      </c>
      <c r="N127" s="13" t="inlineStr">
        <is>
          <t>جودة التشغيل</t>
        </is>
      </c>
      <c r="O127" s="15" t="inlineStr">
        <is>
          <t>التعلّم والنمو</t>
        </is>
      </c>
      <c r="P127" s="15" t="inlineStr">
        <is>
          <t>مدير التقنية</t>
        </is>
      </c>
      <c r="Q127" s="13" t="inlineStr">
        <is>
          <t>مكتب إدارة المشاريع (PMO)</t>
        </is>
      </c>
      <c r="R127" s="15" t="inlineStr">
        <is>
          <t>شهري</t>
        </is>
      </c>
      <c r="S127" s="46" t="n">
        <v>0.828</v>
      </c>
      <c r="T127" s="46" t="n">
        <v>0.864</v>
      </c>
      <c r="U127" s="46" t="n">
        <v>0.9</v>
      </c>
      <c r="V127" s="61" t="n">
        <v>0.08699999999999999</v>
      </c>
      <c r="W127" s="61" t="n">
        <v>1</v>
      </c>
      <c r="X127" s="61" t="n">
        <v>0.97</v>
      </c>
      <c r="Y127" s="75" t="inlineStr">
        <is>
          <t>دون المستهدف — فجوة 9٪، يتطلب إجراءً تصحيحياً عاجلاً.</t>
        </is>
      </c>
      <c r="Z127" s="69" t="inlineStr">
        <is>
          <t>إطلاق إجراء تصحيحي خلال 30 يوماً بإشراف مدير التقنية.</t>
        </is>
      </c>
      <c r="AA127" s="27" t="inlineStr">
        <is>
          <t>تحت الهدف</t>
        </is>
      </c>
      <c r="AB127" s="27" t="n">
        <v>3</v>
      </c>
      <c r="AC127" s="76" t="inlineStr">
        <is>
          <t>#EB5757</t>
        </is>
      </c>
    </row>
    <row r="128">
      <c r="A128" s="9" t="inlineStr">
        <is>
          <t>التقنية الرقمية</t>
        </is>
      </c>
      <c r="B128" s="9" t="inlineStr">
        <is>
          <t>الكفاءة التشغيلية</t>
        </is>
      </c>
      <c r="C128" s="9" t="inlineStr">
        <is>
          <t>نسبة الامتثال للأمن السيبراني</t>
        </is>
      </c>
      <c r="D128" s="15" t="inlineStr">
        <is>
          <t>🎯 نتيجة</t>
        </is>
      </c>
      <c r="E128" s="46" t="inlineStr">
        <is>
          <t>%</t>
        </is>
      </c>
      <c r="F128" s="46" t="inlineStr">
        <is>
          <t>↑</t>
        </is>
      </c>
      <c r="G128" s="15" t="inlineStr">
        <is>
          <t>🟠 مهم</t>
        </is>
      </c>
      <c r="H128" s="61" t="n">
        <v>0.1</v>
      </c>
      <c r="I128" s="46" t="n">
        <v>1</v>
      </c>
      <c r="J128" s="46" t="n">
        <v>0.3</v>
      </c>
      <c r="K128" s="61" t="n">
        <v>0.3</v>
      </c>
      <c r="L128" s="27" t="inlineStr">
        <is>
          <t>🔴 تحت الهدف</t>
        </is>
      </c>
      <c r="M128" s="27" t="inlineStr">
        <is>
          <t>الاستدامة</t>
        </is>
      </c>
      <c r="N128" s="13" t="inlineStr">
        <is>
          <t>جودة التشغيل</t>
        </is>
      </c>
      <c r="O128" s="15" t="inlineStr">
        <is>
          <t>التعلّم والنمو</t>
        </is>
      </c>
      <c r="P128" s="15" t="inlineStr">
        <is>
          <t>مدير التقنية</t>
        </is>
      </c>
      <c r="Q128" s="13" t="inlineStr">
        <is>
          <t>مكتب إدارة المشاريع (PMO)</t>
        </is>
      </c>
      <c r="R128" s="15" t="inlineStr">
        <is>
          <t>شهري</t>
        </is>
      </c>
      <c r="S128" s="46" t="n">
        <v>0.261</v>
      </c>
      <c r="T128" s="46" t="n">
        <v>0.28</v>
      </c>
      <c r="U128" s="46" t="n">
        <v>0.3</v>
      </c>
      <c r="V128" s="61" t="n">
        <v>0.1494</v>
      </c>
      <c r="W128" s="61" t="n">
        <v>1</v>
      </c>
      <c r="X128" s="61" t="n">
        <v>0.97</v>
      </c>
      <c r="Y128" s="75" t="inlineStr">
        <is>
          <t>دون المستهدف — فجوة 70٪، يتطلب إجراءً تصحيحياً عاجلاً.</t>
        </is>
      </c>
      <c r="Z128" s="69" t="inlineStr">
        <is>
          <t>إطلاق إجراء تصحيحي خلال 30 يوماً بإشراف مدير التقنية.</t>
        </is>
      </c>
      <c r="AA128" s="27" t="inlineStr">
        <is>
          <t>تحت الهدف</t>
        </is>
      </c>
      <c r="AB128" s="27" t="n">
        <v>3</v>
      </c>
      <c r="AC128" s="76" t="inlineStr">
        <is>
          <t>#EB5757</t>
        </is>
      </c>
    </row>
    <row r="129">
      <c r="A129" s="9" t="inlineStr">
        <is>
          <t>التقنية الرقمية</t>
        </is>
      </c>
      <c r="B129" s="9" t="inlineStr">
        <is>
          <t>الكفاءة التشغيلية</t>
        </is>
      </c>
      <c r="C129" s="9" t="inlineStr">
        <is>
          <t>متوسط زمن استجابة الدعم الفني</t>
        </is>
      </c>
      <c r="D129" s="15" t="inlineStr">
        <is>
          <t>🔧 تشغيلي</t>
        </is>
      </c>
      <c r="E129" s="46" t="inlineStr">
        <is>
          <t>ساعة</t>
        </is>
      </c>
      <c r="F129" s="46" t="inlineStr">
        <is>
          <t>↓</t>
        </is>
      </c>
      <c r="G129" s="15" t="inlineStr">
        <is>
          <t>🟠 مهم</t>
        </is>
      </c>
      <c r="H129" s="61" t="n">
        <v>0.09</v>
      </c>
      <c r="I129" s="46" t="n">
        <v>1</v>
      </c>
      <c r="J129" s="46" t="n">
        <v>0.8</v>
      </c>
      <c r="K129" s="61" t="n">
        <v>1</v>
      </c>
      <c r="L129" s="27" t="inlineStr">
        <is>
          <t>✅ محقق</t>
        </is>
      </c>
      <c r="M129" s="27" t="inlineStr">
        <is>
          <t>الاستدامة</t>
        </is>
      </c>
      <c r="N129" s="13" t="inlineStr">
        <is>
          <t>جودة التشغيل</t>
        </is>
      </c>
      <c r="O129" s="15" t="inlineStr">
        <is>
          <t>العمليات الداخلية</t>
        </is>
      </c>
      <c r="P129" s="15" t="inlineStr">
        <is>
          <t>مدير التقنية</t>
        </is>
      </c>
      <c r="Q129" s="13" t="inlineStr">
        <is>
          <t>سجلات الإدارة</t>
        </is>
      </c>
      <c r="R129" s="15" t="inlineStr">
        <is>
          <t>شهري</t>
        </is>
      </c>
      <c r="S129" s="46" t="n">
        <v>0.948</v>
      </c>
      <c r="T129" s="46" t="n">
        <v>0.874</v>
      </c>
      <c r="U129" s="46" t="n">
        <v>0.8</v>
      </c>
      <c r="V129" s="61" t="n">
        <v>-0.1561</v>
      </c>
      <c r="W129" s="61" t="n">
        <v>1</v>
      </c>
      <c r="X129" s="61" t="n">
        <v>0.85</v>
      </c>
      <c r="Y129" s="71" t="inlineStr"/>
      <c r="Z129" s="69" t="inlineStr"/>
      <c r="AA129" s="27" t="inlineStr">
        <is>
          <t>محقق</t>
        </is>
      </c>
      <c r="AB129" s="27" t="n">
        <v>1</v>
      </c>
      <c r="AC129" s="74" t="inlineStr">
        <is>
          <t>#2EAD6B</t>
        </is>
      </c>
    </row>
    <row r="130">
      <c r="A130" s="9" t="inlineStr">
        <is>
          <t>التقنية الرقمية</t>
        </is>
      </c>
      <c r="B130" s="9" t="inlineStr">
        <is>
          <t>الكفاءة التشغيلية</t>
        </is>
      </c>
      <c r="C130" s="9" t="inlineStr">
        <is>
          <t>نسبة التكامل الرقمي (ERP/واثق/الولاء)</t>
        </is>
      </c>
      <c r="D130" s="15" t="inlineStr">
        <is>
          <t>🔧 تشغيلي</t>
        </is>
      </c>
      <c r="E130" s="46" t="inlineStr">
        <is>
          <t>%</t>
        </is>
      </c>
      <c r="F130" s="46" t="inlineStr">
        <is>
          <t>↑</t>
        </is>
      </c>
      <c r="G130" s="15" t="inlineStr">
        <is>
          <t>🟠 مهم</t>
        </is>
      </c>
      <c r="H130" s="61" t="n">
        <v>0.09</v>
      </c>
      <c r="I130" s="46" t="n">
        <v>1</v>
      </c>
      <c r="J130" s="46" t="n">
        <v>0.2</v>
      </c>
      <c r="K130" s="61" t="n">
        <v>0.2</v>
      </c>
      <c r="L130" s="27" t="inlineStr">
        <is>
          <t>🔴 تحت الهدف</t>
        </is>
      </c>
      <c r="M130" s="27" t="inlineStr">
        <is>
          <t>الاستدامة</t>
        </is>
      </c>
      <c r="N130" s="13" t="inlineStr">
        <is>
          <t>جودة التشغيل</t>
        </is>
      </c>
      <c r="O130" s="15" t="inlineStr">
        <is>
          <t>التعلّم والنمو</t>
        </is>
      </c>
      <c r="P130" s="15" t="inlineStr">
        <is>
          <t>مدير التقنية</t>
        </is>
      </c>
      <c r="Q130" s="13" t="inlineStr">
        <is>
          <t>أنظمة التسويق الرقمي / تانكي</t>
        </is>
      </c>
      <c r="R130" s="15" t="inlineStr">
        <is>
          <t>شهري</t>
        </is>
      </c>
      <c r="S130" s="46" t="n">
        <v>0.173</v>
      </c>
      <c r="T130" s="46" t="n">
        <v>0.186</v>
      </c>
      <c r="U130" s="46" t="n">
        <v>0.2</v>
      </c>
      <c r="V130" s="61" t="n">
        <v>0.1561</v>
      </c>
      <c r="W130" s="61" t="n">
        <v>1</v>
      </c>
      <c r="X130" s="61" t="n">
        <v>0.85</v>
      </c>
      <c r="Y130" s="75" t="inlineStr">
        <is>
          <t>دون المستهدف — فجوة 80٪، يتطلب إجراءً تصحيحياً عاجلاً.</t>
        </is>
      </c>
      <c r="Z130" s="69" t="inlineStr">
        <is>
          <t>إطلاق إجراء تصحيحي خلال 30 يوماً بإشراف مدير التقنية.</t>
        </is>
      </c>
      <c r="AA130" s="27" t="inlineStr">
        <is>
          <t>تحت الهدف</t>
        </is>
      </c>
      <c r="AB130" s="27" t="n">
        <v>3</v>
      </c>
      <c r="AC130" s="76" t="inlineStr">
        <is>
          <t>#EB5757</t>
        </is>
      </c>
    </row>
    <row r="131">
      <c r="A131" s="9" t="inlineStr">
        <is>
          <t>الموارد البشرية</t>
        </is>
      </c>
      <c r="B131" s="9" t="inlineStr">
        <is>
          <t>التوظيف والتوطين</t>
        </is>
      </c>
      <c r="C131" s="9" t="inlineStr">
        <is>
          <t>نسبة السعودة / التوطين</t>
        </is>
      </c>
      <c r="D131" s="15" t="inlineStr">
        <is>
          <t>🎯 نتيجة</t>
        </is>
      </c>
      <c r="E131" s="46" t="inlineStr">
        <is>
          <t>%</t>
        </is>
      </c>
      <c r="F131" s="46" t="inlineStr">
        <is>
          <t>↑</t>
        </is>
      </c>
      <c r="G131" s="15" t="inlineStr">
        <is>
          <t>🟠 مهم</t>
        </is>
      </c>
      <c r="H131" s="61" t="n">
        <v>0.06</v>
      </c>
      <c r="I131" s="46" t="n"/>
      <c r="J131" s="46" t="n"/>
      <c r="K131" s="61" t="n"/>
      <c r="L131" s="27" t="inlineStr">
        <is>
          <t>⏳ بانتظار هدف</t>
        </is>
      </c>
      <c r="M131" s="27" t="inlineStr">
        <is>
          <t>الاستدامة</t>
        </is>
      </c>
      <c r="N131" s="13" t="inlineStr">
        <is>
          <t>الاستثمار في الموظفين</t>
        </is>
      </c>
      <c r="O131" s="15" t="inlineStr">
        <is>
          <t>التعلّم والنمو</t>
        </is>
      </c>
      <c r="P131" s="15" t="inlineStr">
        <is>
          <t>مدير الموارد البشرية</t>
        </is>
      </c>
      <c r="Q131" s="13" t="inlineStr">
        <is>
          <t>نظام الموارد البشرية (HRMS)</t>
        </is>
      </c>
      <c r="R131" s="15" t="inlineStr">
        <is>
          <t>شهري</t>
        </is>
      </c>
      <c r="S131" s="46" t="n"/>
      <c r="T131" s="46" t="n"/>
      <c r="U131" s="46" t="n"/>
      <c r="V131" s="61" t="n"/>
      <c r="W131" s="61" t="n">
        <v>1</v>
      </c>
      <c r="X131" s="61" t="n">
        <v>0.85</v>
      </c>
      <c r="Y131" s="71" t="inlineStr"/>
      <c r="Z131" s="69" t="inlineStr"/>
      <c r="AA131" s="27" t="inlineStr">
        <is>
          <t>بانتظار هدف</t>
        </is>
      </c>
      <c r="AB131" s="27" t="n">
        <v>4</v>
      </c>
      <c r="AC131" s="73" t="inlineStr">
        <is>
          <t>#BDBDBD</t>
        </is>
      </c>
    </row>
    <row r="132">
      <c r="A132" s="9" t="inlineStr">
        <is>
          <t>الموارد البشرية</t>
        </is>
      </c>
      <c r="B132" s="9" t="inlineStr">
        <is>
          <t>التوظيف والتوطين</t>
        </is>
      </c>
      <c r="C132" s="9" t="inlineStr">
        <is>
          <t>الارتقاء بآليات اختيار المرشحين</t>
        </is>
      </c>
      <c r="D132" s="15" t="inlineStr">
        <is>
          <t>🔧 تشغيلي</t>
        </is>
      </c>
      <c r="E132" s="46" t="inlineStr">
        <is>
          <t>%</t>
        </is>
      </c>
      <c r="F132" s="46" t="inlineStr">
        <is>
          <t>↑</t>
        </is>
      </c>
      <c r="G132" s="15" t="inlineStr">
        <is>
          <t>🟠 مهم</t>
        </is>
      </c>
      <c r="H132" s="61" t="n">
        <v>0.06</v>
      </c>
      <c r="I132" s="46" t="n">
        <v>1</v>
      </c>
      <c r="J132" s="46" t="n">
        <v>0.723</v>
      </c>
      <c r="K132" s="61" t="n">
        <v>0.723</v>
      </c>
      <c r="L132" s="27" t="inlineStr">
        <is>
          <t>🔴 تحت الهدف</t>
        </is>
      </c>
      <c r="M132" s="27" t="inlineStr">
        <is>
          <t>الاستدامة</t>
        </is>
      </c>
      <c r="N132" s="13" t="inlineStr">
        <is>
          <t>الاستثمار في الموظفين</t>
        </is>
      </c>
      <c r="O132" s="15" t="inlineStr">
        <is>
          <t>العمليات الداخلية</t>
        </is>
      </c>
      <c r="P132" s="15" t="inlineStr">
        <is>
          <t>مدير الموارد البشرية</t>
        </is>
      </c>
      <c r="Q132" s="13" t="inlineStr">
        <is>
          <t>نظام الموارد البشرية (HRMS)</t>
        </is>
      </c>
      <c r="R132" s="15" t="inlineStr">
        <is>
          <t>شهري</t>
        </is>
      </c>
      <c r="S132" s="46" t="n">
        <v>0.602</v>
      </c>
      <c r="T132" s="46" t="n">
        <v>0.662</v>
      </c>
      <c r="U132" s="46" t="n">
        <v>0.723</v>
      </c>
      <c r="V132" s="61" t="n">
        <v>0.201</v>
      </c>
      <c r="W132" s="61" t="n">
        <v>1</v>
      </c>
      <c r="X132" s="61" t="n">
        <v>0.85</v>
      </c>
      <c r="Y132" s="75" t="inlineStr">
        <is>
          <t>دون المستهدف — فجوة 28٪، يتطلب إجراءً تصحيحياً عاجلاً.</t>
        </is>
      </c>
      <c r="Z132" s="69" t="inlineStr">
        <is>
          <t>إطلاق إجراء تصحيحي خلال 30 يوماً بإشراف مدير الموارد البشرية.</t>
        </is>
      </c>
      <c r="AA132" s="27" t="inlineStr">
        <is>
          <t>تحت الهدف</t>
        </is>
      </c>
      <c r="AB132" s="27" t="n">
        <v>3</v>
      </c>
      <c r="AC132" s="76" t="inlineStr">
        <is>
          <t>#EB5757</t>
        </is>
      </c>
    </row>
    <row r="133">
      <c r="A133" s="9" t="inlineStr">
        <is>
          <t>الموارد البشرية</t>
        </is>
      </c>
      <c r="B133" s="9" t="inlineStr">
        <is>
          <t>التوظيف والتوطين</t>
        </is>
      </c>
      <c r="C133" s="9" t="inlineStr">
        <is>
          <t>نسبة شغل الشواغر خلال 30 يوم</t>
        </is>
      </c>
      <c r="D133" s="15" t="inlineStr">
        <is>
          <t>🔧 تشغيلي</t>
        </is>
      </c>
      <c r="E133" s="46" t="inlineStr">
        <is>
          <t>%</t>
        </is>
      </c>
      <c r="F133" s="46" t="inlineStr">
        <is>
          <t>↑</t>
        </is>
      </c>
      <c r="G133" s="15" t="inlineStr">
        <is>
          <t>🟠 مهم</t>
        </is>
      </c>
      <c r="H133" s="61" t="n">
        <v>0.06</v>
      </c>
      <c r="I133" s="46" t="n">
        <v>0.85</v>
      </c>
      <c r="J133" s="46" t="n">
        <v>0.73</v>
      </c>
      <c r="K133" s="61" t="n">
        <v>0.8588235294117647</v>
      </c>
      <c r="L133" s="27" t="inlineStr">
        <is>
          <t>🟡 قريب</t>
        </is>
      </c>
      <c r="M133" s="27" t="inlineStr">
        <is>
          <t>الاستدامة</t>
        </is>
      </c>
      <c r="N133" s="13" t="inlineStr">
        <is>
          <t>الاستثمار في الموظفين</t>
        </is>
      </c>
      <c r="O133" s="15" t="inlineStr">
        <is>
          <t>العمليات الداخلية</t>
        </is>
      </c>
      <c r="P133" s="15" t="inlineStr">
        <is>
          <t>مدير الموارد البشرية</t>
        </is>
      </c>
      <c r="Q133" s="13" t="inlineStr">
        <is>
          <t>نظام الموارد البشرية (HRMS)</t>
        </is>
      </c>
      <c r="R133" s="15" t="inlineStr">
        <is>
          <t>شهري</t>
        </is>
      </c>
      <c r="S133" s="46" t="n">
        <v>0.637</v>
      </c>
      <c r="T133" s="46" t="n">
        <v>0.6830000000000001</v>
      </c>
      <c r="U133" s="46" t="n">
        <v>0.73</v>
      </c>
      <c r="V133" s="61" t="n">
        <v>0.146</v>
      </c>
      <c r="W133" s="61" t="n">
        <v>1</v>
      </c>
      <c r="X133" s="61" t="n">
        <v>0.85</v>
      </c>
      <c r="Y133" s="71" t="inlineStr">
        <is>
          <t>قريب من المستهدف — فجوة 14٪، متابعة لإغلاقها.</t>
        </is>
      </c>
      <c r="Z133" s="69" t="inlineStr">
        <is>
          <t>متابعة أسبوعية حتى بلوغ المستهدف.</t>
        </is>
      </c>
      <c r="AA133" s="27" t="inlineStr">
        <is>
          <t>قريب</t>
        </is>
      </c>
      <c r="AB133" s="27" t="n">
        <v>2</v>
      </c>
      <c r="AC133" s="72" t="inlineStr">
        <is>
          <t>#F2C94C</t>
        </is>
      </c>
    </row>
    <row r="134">
      <c r="A134" s="9" t="inlineStr">
        <is>
          <t>الموارد البشرية</t>
        </is>
      </c>
      <c r="B134" s="9" t="inlineStr">
        <is>
          <t>الاستبقاء</t>
        </is>
      </c>
      <c r="C134" s="9" t="inlineStr">
        <is>
          <t>معدل استبقاء الموظفين (Retention)</t>
        </is>
      </c>
      <c r="D134" s="15" t="inlineStr">
        <is>
          <t>🎯 نتيجة</t>
        </is>
      </c>
      <c r="E134" s="46" t="inlineStr">
        <is>
          <t>%</t>
        </is>
      </c>
      <c r="F134" s="46" t="inlineStr">
        <is>
          <t>↑</t>
        </is>
      </c>
      <c r="G134" s="15" t="inlineStr">
        <is>
          <t>🔴 رئيسي</t>
        </is>
      </c>
      <c r="H134" s="61" t="n">
        <v>0.08</v>
      </c>
      <c r="I134" s="46" t="n">
        <v>0.9</v>
      </c>
      <c r="J134" s="46" t="n">
        <v>0.795</v>
      </c>
      <c r="K134" s="61" t="n">
        <v>0.8833333333333333</v>
      </c>
      <c r="L134" s="27" t="inlineStr">
        <is>
          <t>🟡 قريب</t>
        </is>
      </c>
      <c r="M134" s="27" t="inlineStr">
        <is>
          <t>الاستدامة</t>
        </is>
      </c>
      <c r="N134" s="13" t="inlineStr">
        <is>
          <t>الاستثمار في الموظفين</t>
        </is>
      </c>
      <c r="O134" s="15" t="inlineStr">
        <is>
          <t>التعلّم والنمو</t>
        </is>
      </c>
      <c r="P134" s="15" t="inlineStr">
        <is>
          <t>مدير الموارد البشرية</t>
        </is>
      </c>
      <c r="Q134" s="13" t="inlineStr">
        <is>
          <t>نظام الموارد البشرية (HRMS)</t>
        </is>
      </c>
      <c r="R134" s="15" t="inlineStr">
        <is>
          <t>شهري</t>
        </is>
      </c>
      <c r="S134" s="46" t="n">
        <v>0.658</v>
      </c>
      <c r="T134" s="46" t="n">
        <v>0.727</v>
      </c>
      <c r="U134" s="46" t="n">
        <v>0.795</v>
      </c>
      <c r="V134" s="61" t="n">
        <v>0.2082</v>
      </c>
      <c r="W134" s="61" t="n">
        <v>1</v>
      </c>
      <c r="X134" s="61" t="n">
        <v>0.85</v>
      </c>
      <c r="Y134" s="71" t="inlineStr">
        <is>
          <t>قريب من المستهدف — فجوة 12٪، متابعة لإغلاقها.</t>
        </is>
      </c>
      <c r="Z134" s="69" t="inlineStr">
        <is>
          <t>متابعة أسبوعية حتى بلوغ المستهدف.</t>
        </is>
      </c>
      <c r="AA134" s="27" t="inlineStr">
        <is>
          <t>قريب</t>
        </is>
      </c>
      <c r="AB134" s="27" t="n">
        <v>2</v>
      </c>
      <c r="AC134" s="72" t="inlineStr">
        <is>
          <t>#F2C94C</t>
        </is>
      </c>
    </row>
    <row r="135">
      <c r="A135" s="9" t="inlineStr">
        <is>
          <t>الموارد البشرية</t>
        </is>
      </c>
      <c r="B135" s="9" t="inlineStr">
        <is>
          <t>الاستبقاء</t>
        </is>
      </c>
      <c r="C135" s="9" t="inlineStr">
        <is>
          <t>معدل دوران الموظفين (Turnover)</t>
        </is>
      </c>
      <c r="D135" s="15" t="inlineStr">
        <is>
          <t>🔧 تشغيلي</t>
        </is>
      </c>
      <c r="E135" s="46" t="inlineStr">
        <is>
          <t>%</t>
        </is>
      </c>
      <c r="F135" s="46" t="inlineStr">
        <is>
          <t>↓</t>
        </is>
      </c>
      <c r="G135" s="15" t="inlineStr">
        <is>
          <t>🟠 مهم</t>
        </is>
      </c>
      <c r="H135" s="61" t="n">
        <v>0.06</v>
      </c>
      <c r="I135" s="46" t="n">
        <v>0.1</v>
      </c>
      <c r="J135" s="46" t="n">
        <v>0.111</v>
      </c>
      <c r="K135" s="61" t="n">
        <v>0.9009009009009009</v>
      </c>
      <c r="L135" s="27" t="inlineStr">
        <is>
          <t>🟡 قريب</t>
        </is>
      </c>
      <c r="M135" s="27" t="inlineStr">
        <is>
          <t>الاستدامة</t>
        </is>
      </c>
      <c r="N135" s="13" t="inlineStr">
        <is>
          <t>الاستثمار في الموظفين</t>
        </is>
      </c>
      <c r="O135" s="15" t="inlineStr">
        <is>
          <t>التعلّم والنمو</t>
        </is>
      </c>
      <c r="P135" s="15" t="inlineStr">
        <is>
          <t>مدير الموارد البشرية</t>
        </is>
      </c>
      <c r="Q135" s="13" t="inlineStr">
        <is>
          <t>نظام الموارد البشرية (HRMS)</t>
        </is>
      </c>
      <c r="R135" s="15" t="inlineStr">
        <is>
          <t>شهري</t>
        </is>
      </c>
      <c r="S135" s="46" t="n">
        <v>0.128</v>
      </c>
      <c r="T135" s="46" t="n">
        <v>0.119</v>
      </c>
      <c r="U135" s="46" t="n">
        <v>0.111</v>
      </c>
      <c r="V135" s="61" t="n">
        <v>-0.1328</v>
      </c>
      <c r="W135" s="61" t="n">
        <v>1</v>
      </c>
      <c r="X135" s="61" t="n">
        <v>0.85</v>
      </c>
      <c r="Y135" s="71" t="inlineStr">
        <is>
          <t>قريب من المستهدف — فجوة 10٪، متابعة لإغلاقها.</t>
        </is>
      </c>
      <c r="Z135" s="69" t="inlineStr">
        <is>
          <t>متابعة أسبوعية حتى بلوغ المستهدف.</t>
        </is>
      </c>
      <c r="AA135" s="27" t="inlineStr">
        <is>
          <t>قريب</t>
        </is>
      </c>
      <c r="AB135" s="27" t="n">
        <v>2</v>
      </c>
      <c r="AC135" s="72" t="inlineStr">
        <is>
          <t>#F2C94C</t>
        </is>
      </c>
    </row>
    <row r="136">
      <c r="A136" s="9" t="inlineStr">
        <is>
          <t>الموارد البشرية</t>
        </is>
      </c>
      <c r="B136" s="9" t="inlineStr">
        <is>
          <t>التدريب والتطوير</t>
        </is>
      </c>
      <c r="C136" s="9" t="inlineStr">
        <is>
          <t>عدد الدورات الإدارية المنعقدة</t>
        </is>
      </c>
      <c r="D136" s="15" t="inlineStr">
        <is>
          <t>⚙️ نشاط</t>
        </is>
      </c>
      <c r="E136" s="46" t="inlineStr">
        <is>
          <t>دورة</t>
        </is>
      </c>
      <c r="F136" s="46" t="inlineStr">
        <is>
          <t>↑</t>
        </is>
      </c>
      <c r="G136" s="15" t="inlineStr">
        <is>
          <t>🔴 رئيسي</t>
        </is>
      </c>
      <c r="H136" s="61" t="n">
        <v>0.08</v>
      </c>
      <c r="I136" s="46" t="n">
        <v>6</v>
      </c>
      <c r="J136" s="46" t="n">
        <v>4.53</v>
      </c>
      <c r="K136" s="61" t="n">
        <v>0.755</v>
      </c>
      <c r="L136" s="27" t="inlineStr">
        <is>
          <t>🔴 تحت الهدف</t>
        </is>
      </c>
      <c r="M136" s="27" t="inlineStr">
        <is>
          <t>الاستدامة</t>
        </is>
      </c>
      <c r="N136" s="13" t="inlineStr">
        <is>
          <t>الاستثمار في الموظفين</t>
        </is>
      </c>
      <c r="O136" s="15" t="inlineStr">
        <is>
          <t>العمليات الداخلية</t>
        </is>
      </c>
      <c r="P136" s="15" t="inlineStr">
        <is>
          <t>مدير الموارد البشرية</t>
        </is>
      </c>
      <c r="Q136" s="13" t="inlineStr">
        <is>
          <t>نظام الموارد البشرية (HRMS)</t>
        </is>
      </c>
      <c r="R136" s="15" t="inlineStr">
        <is>
          <t>شهري</t>
        </is>
      </c>
      <c r="S136" s="46" t="n">
        <v>3.643</v>
      </c>
      <c r="T136" s="46" t="n">
        <v>4.087</v>
      </c>
      <c r="U136" s="46" t="n">
        <v>9.06</v>
      </c>
      <c r="V136" s="61" t="n">
        <v>0.2435</v>
      </c>
      <c r="W136" s="61" t="n">
        <v>1</v>
      </c>
      <c r="X136" s="61" t="n">
        <v>0.85</v>
      </c>
      <c r="Y136" s="75" t="inlineStr">
        <is>
          <t>دون المستهدف — فجوة 24٪، يتطلب إجراءً تصحيحياً عاجلاً.</t>
        </is>
      </c>
      <c r="Z136" s="69" t="inlineStr">
        <is>
          <t>إطلاق إجراء تصحيحي خلال 30 يوماً بإشراف مدير الموارد البشرية.</t>
        </is>
      </c>
      <c r="AA136" s="27" t="inlineStr">
        <is>
          <t>تحت الهدف</t>
        </is>
      </c>
      <c r="AB136" s="27" t="n">
        <v>3</v>
      </c>
      <c r="AC136" s="76" t="inlineStr">
        <is>
          <t>#EB5757</t>
        </is>
      </c>
    </row>
    <row r="137">
      <c r="A137" s="9" t="inlineStr">
        <is>
          <t>الموارد البشرية</t>
        </is>
      </c>
      <c r="B137" s="9" t="inlineStr">
        <is>
          <t>التدريب والتطوير</t>
        </is>
      </c>
      <c r="C137" s="9" t="inlineStr">
        <is>
          <t>متوسط ساعات التدريب لكل موظف</t>
        </is>
      </c>
      <c r="D137" s="15" t="inlineStr">
        <is>
          <t>⚙️ نشاط</t>
        </is>
      </c>
      <c r="E137" s="46" t="inlineStr">
        <is>
          <t>ساعة</t>
        </is>
      </c>
      <c r="F137" s="46" t="inlineStr">
        <is>
          <t>↑</t>
        </is>
      </c>
      <c r="G137" s="15" t="inlineStr">
        <is>
          <t>🟠 مهم</t>
        </is>
      </c>
      <c r="H137" s="61" t="n">
        <v>0.06</v>
      </c>
      <c r="I137" s="46" t="n">
        <v>40</v>
      </c>
      <c r="J137" s="46" t="n">
        <v>33.6</v>
      </c>
      <c r="K137" s="61" t="n">
        <v>0.8400000000000001</v>
      </c>
      <c r="L137" s="27" t="inlineStr">
        <is>
          <t>🔴 تحت الهدف</t>
        </is>
      </c>
      <c r="M137" s="27" t="inlineStr">
        <is>
          <t>الاستدامة</t>
        </is>
      </c>
      <c r="N137" s="13" t="inlineStr">
        <is>
          <t>الاستثمار في الموظفين</t>
        </is>
      </c>
      <c r="O137" s="15" t="inlineStr">
        <is>
          <t>التعلّم والنمو</t>
        </is>
      </c>
      <c r="P137" s="15" t="inlineStr">
        <is>
          <t>مدير الموارد البشرية</t>
        </is>
      </c>
      <c r="Q137" s="13" t="inlineStr">
        <is>
          <t>نظام الموارد البشرية (HRMS)</t>
        </is>
      </c>
      <c r="R137" s="15" t="inlineStr">
        <is>
          <t>شهري</t>
        </is>
      </c>
      <c r="S137" s="46" t="n">
        <v>27.864</v>
      </c>
      <c r="T137" s="46" t="n">
        <v>30.732</v>
      </c>
      <c r="U137" s="46" t="n">
        <v>67.2</v>
      </c>
      <c r="V137" s="61" t="n">
        <v>0.2059</v>
      </c>
      <c r="W137" s="61" t="n">
        <v>1</v>
      </c>
      <c r="X137" s="61" t="n">
        <v>0.85</v>
      </c>
      <c r="Y137" s="75" t="inlineStr">
        <is>
          <t>دون المستهدف — فجوة 16٪، يتطلب إجراءً تصحيحياً عاجلاً.</t>
        </is>
      </c>
      <c r="Z137" s="69" t="inlineStr">
        <is>
          <t>إطلاق إجراء تصحيحي خلال 30 يوماً بإشراف مدير الموارد البشرية.</t>
        </is>
      </c>
      <c r="AA137" s="27" t="inlineStr">
        <is>
          <t>تحت الهدف</t>
        </is>
      </c>
      <c r="AB137" s="27" t="n">
        <v>3</v>
      </c>
      <c r="AC137" s="76" t="inlineStr">
        <is>
          <t>#EB5757</t>
        </is>
      </c>
    </row>
    <row r="138">
      <c r="A138" s="9" t="inlineStr">
        <is>
          <t>الموارد البشرية</t>
        </is>
      </c>
      <c r="B138" s="9" t="inlineStr">
        <is>
          <t>التدريب والتطوير</t>
        </is>
      </c>
      <c r="C138" s="9" t="inlineStr">
        <is>
          <t>نسبة الموظفين المشمولين بخطة تطوير</t>
        </is>
      </c>
      <c r="D138" s="15" t="inlineStr">
        <is>
          <t>🔧 تشغيلي</t>
        </is>
      </c>
      <c r="E138" s="46" t="inlineStr">
        <is>
          <t>%</t>
        </is>
      </c>
      <c r="F138" s="46" t="inlineStr">
        <is>
          <t>↑</t>
        </is>
      </c>
      <c r="G138" s="15" t="inlineStr">
        <is>
          <t>🟠 مهم</t>
        </is>
      </c>
      <c r="H138" s="61" t="n">
        <v>0.05</v>
      </c>
      <c r="I138" s="46" t="n">
        <v>0.8</v>
      </c>
      <c r="J138" s="46" t="n">
        <v>0.644</v>
      </c>
      <c r="K138" s="61" t="n">
        <v>0.8049999999999999</v>
      </c>
      <c r="L138" s="27" t="inlineStr">
        <is>
          <t>🔴 تحت الهدف</t>
        </is>
      </c>
      <c r="M138" s="27" t="inlineStr">
        <is>
          <t>الاستدامة</t>
        </is>
      </c>
      <c r="N138" s="13" t="inlineStr">
        <is>
          <t>الاستثمار في الموظفين</t>
        </is>
      </c>
      <c r="O138" s="15" t="inlineStr">
        <is>
          <t>التعلّم والنمو</t>
        </is>
      </c>
      <c r="P138" s="15" t="inlineStr">
        <is>
          <t>مدير الموارد البشرية</t>
        </is>
      </c>
      <c r="Q138" s="13" t="inlineStr">
        <is>
          <t>نظام الموارد البشرية (HRMS)</t>
        </is>
      </c>
      <c r="R138" s="15" t="inlineStr">
        <is>
          <t>شهري</t>
        </is>
      </c>
      <c r="S138" s="46" t="n">
        <v>0.573</v>
      </c>
      <c r="T138" s="46" t="n">
        <v>0.609</v>
      </c>
      <c r="U138" s="46" t="n">
        <v>0.644</v>
      </c>
      <c r="V138" s="61" t="n">
        <v>0.1239</v>
      </c>
      <c r="W138" s="61" t="n">
        <v>1</v>
      </c>
      <c r="X138" s="61" t="n">
        <v>0.85</v>
      </c>
      <c r="Y138" s="75" t="inlineStr">
        <is>
          <t>دون المستهدف — فجوة 20٪، يتطلب إجراءً تصحيحياً عاجلاً.</t>
        </is>
      </c>
      <c r="Z138" s="69" t="inlineStr">
        <is>
          <t>إطلاق إجراء تصحيحي خلال 30 يوماً بإشراف مدير الموارد البشرية.</t>
        </is>
      </c>
      <c r="AA138" s="27" t="inlineStr">
        <is>
          <t>تحت الهدف</t>
        </is>
      </c>
      <c r="AB138" s="27" t="n">
        <v>3</v>
      </c>
      <c r="AC138" s="76" t="inlineStr">
        <is>
          <t>#EB5757</t>
        </is>
      </c>
    </row>
    <row r="139">
      <c r="A139" s="9" t="inlineStr">
        <is>
          <t>الموارد البشرية</t>
        </is>
      </c>
      <c r="B139" s="9" t="inlineStr">
        <is>
          <t>الرضا والثقافة</t>
        </is>
      </c>
      <c r="C139" s="9" t="inlineStr">
        <is>
          <t>مؤشر رضا الموظفين (eNPS)</t>
        </is>
      </c>
      <c r="D139" s="15" t="inlineStr">
        <is>
          <t>🎯 نتيجة</t>
        </is>
      </c>
      <c r="E139" s="46" t="inlineStr">
        <is>
          <t>نقطة</t>
        </is>
      </c>
      <c r="F139" s="46" t="inlineStr">
        <is>
          <t>↑</t>
        </is>
      </c>
      <c r="G139" s="15" t="inlineStr">
        <is>
          <t>🔴 رئيسي</t>
        </is>
      </c>
      <c r="H139" s="61" t="n">
        <v>0.08</v>
      </c>
      <c r="I139" s="46" t="n">
        <v>30</v>
      </c>
      <c r="J139" s="46" t="n">
        <v>27.5</v>
      </c>
      <c r="K139" s="61" t="n">
        <v>0.9166666666666666</v>
      </c>
      <c r="L139" s="27" t="inlineStr">
        <is>
          <t>✅ محقق</t>
        </is>
      </c>
      <c r="M139" s="27" t="inlineStr">
        <is>
          <t>الاستدامة</t>
        </is>
      </c>
      <c r="N139" s="13" t="inlineStr">
        <is>
          <t>الاستثمار في الموظفين</t>
        </is>
      </c>
      <c r="O139" s="15" t="inlineStr">
        <is>
          <t>التعلّم والنمو</t>
        </is>
      </c>
      <c r="P139" s="15" t="inlineStr">
        <is>
          <t>مدير الموارد البشرية</t>
        </is>
      </c>
      <c r="Q139" s="13" t="inlineStr">
        <is>
          <t>استبيان دوري</t>
        </is>
      </c>
      <c r="R139" s="15" t="inlineStr">
        <is>
          <t>ربعي</t>
        </is>
      </c>
      <c r="S139" s="46" t="n">
        <v>23.627</v>
      </c>
      <c r="T139" s="46" t="n">
        <v>25.563</v>
      </c>
      <c r="U139" s="46" t="n">
        <v>27.5</v>
      </c>
      <c r="V139" s="61" t="n">
        <v>0.1639</v>
      </c>
      <c r="W139" s="61" t="n">
        <v>0.9</v>
      </c>
      <c r="X139" s="61" t="n">
        <v>0.75</v>
      </c>
      <c r="Y139" s="71" t="inlineStr"/>
      <c r="Z139" s="69" t="inlineStr"/>
      <c r="AA139" s="27" t="inlineStr">
        <is>
          <t>محقق</t>
        </is>
      </c>
      <c r="AB139" s="27" t="n">
        <v>1</v>
      </c>
      <c r="AC139" s="74" t="inlineStr">
        <is>
          <t>#2EAD6B</t>
        </is>
      </c>
    </row>
    <row r="140">
      <c r="A140" s="9" t="inlineStr">
        <is>
          <t>الموارد البشرية</t>
        </is>
      </c>
      <c r="B140" s="9" t="inlineStr">
        <is>
          <t>الرضا والثقافة</t>
        </is>
      </c>
      <c r="C140" s="9" t="inlineStr">
        <is>
          <t>تحسين مستوى الرضا الوظيفي</t>
        </is>
      </c>
      <c r="D140" s="15" t="inlineStr">
        <is>
          <t>🎯 نتيجة</t>
        </is>
      </c>
      <c r="E140" s="46" t="inlineStr">
        <is>
          <t>%</t>
        </is>
      </c>
      <c r="F140" s="46" t="inlineStr">
        <is>
          <t>↑</t>
        </is>
      </c>
      <c r="G140" s="15" t="inlineStr">
        <is>
          <t>🔴 رئيسي</t>
        </is>
      </c>
      <c r="H140" s="61" t="n">
        <v>0.08</v>
      </c>
      <c r="I140" s="46" t="n"/>
      <c r="J140" s="46" t="n"/>
      <c r="K140" s="61" t="n"/>
      <c r="L140" s="27" t="inlineStr">
        <is>
          <t>⏳ بانتظار هدف</t>
        </is>
      </c>
      <c r="M140" s="27" t="inlineStr">
        <is>
          <t>الاستدامة</t>
        </is>
      </c>
      <c r="N140" s="13" t="inlineStr">
        <is>
          <t>الاستثمار في الموظفين</t>
        </is>
      </c>
      <c r="O140" s="15" t="inlineStr">
        <is>
          <t>العملاء</t>
        </is>
      </c>
      <c r="P140" s="15" t="inlineStr">
        <is>
          <t>مدير الموارد البشرية</t>
        </is>
      </c>
      <c r="Q140" s="13" t="inlineStr">
        <is>
          <t>استبيان دوري</t>
        </is>
      </c>
      <c r="R140" s="15" t="inlineStr">
        <is>
          <t>ربعي</t>
        </is>
      </c>
      <c r="S140" s="46" t="n"/>
      <c r="T140" s="46" t="n"/>
      <c r="U140" s="46" t="n"/>
      <c r="V140" s="61" t="n"/>
      <c r="W140" s="61" t="n">
        <v>0.9</v>
      </c>
      <c r="X140" s="61" t="n">
        <v>0.75</v>
      </c>
      <c r="Y140" s="71" t="inlineStr"/>
      <c r="Z140" s="69" t="inlineStr"/>
      <c r="AA140" s="27" t="inlineStr">
        <is>
          <t>بانتظار هدف</t>
        </is>
      </c>
      <c r="AB140" s="27" t="n">
        <v>4</v>
      </c>
      <c r="AC140" s="73" t="inlineStr">
        <is>
          <t>#BDBDBD</t>
        </is>
      </c>
    </row>
    <row r="141">
      <c r="A141" s="9" t="inlineStr">
        <is>
          <t>الموارد البشرية</t>
        </is>
      </c>
      <c r="B141" s="9" t="inlineStr">
        <is>
          <t>الرضا والثقافة</t>
        </is>
      </c>
      <c r="C141" s="9" t="inlineStr">
        <is>
          <t>ترسيخ القيم والثقافة المؤسسية</t>
        </is>
      </c>
      <c r="D141" s="15" t="inlineStr">
        <is>
          <t>🔧 تشغيلي</t>
        </is>
      </c>
      <c r="E141" s="46" t="inlineStr">
        <is>
          <t>%</t>
        </is>
      </c>
      <c r="F141" s="46" t="inlineStr">
        <is>
          <t>↑</t>
        </is>
      </c>
      <c r="G141" s="15" t="inlineStr">
        <is>
          <t>🏁 معلم</t>
        </is>
      </c>
      <c r="H141" s="61" t="n">
        <v>0.05</v>
      </c>
      <c r="I141" s="46" t="n">
        <v>1</v>
      </c>
      <c r="J141" s="46" t="n">
        <v>0.742</v>
      </c>
      <c r="K141" s="61" t="n">
        <v>0.742</v>
      </c>
      <c r="L141" s="27" t="inlineStr">
        <is>
          <t>🔴 تحت الهدف</t>
        </is>
      </c>
      <c r="M141" s="27" t="inlineStr">
        <is>
          <t>الاستدامة</t>
        </is>
      </c>
      <c r="N141" s="13" t="inlineStr">
        <is>
          <t>الاستثمار في الموظفين</t>
        </is>
      </c>
      <c r="O141" s="15" t="inlineStr">
        <is>
          <t>العمليات الداخلية</t>
        </is>
      </c>
      <c r="P141" s="15" t="inlineStr">
        <is>
          <t>مدير الموارد البشرية</t>
        </is>
      </c>
      <c r="Q141" s="13" t="inlineStr">
        <is>
          <t>استبيان دوري</t>
        </is>
      </c>
      <c r="R141" s="15" t="inlineStr">
        <is>
          <t>شهري</t>
        </is>
      </c>
      <c r="S141" s="46" t="n">
        <v>0.652</v>
      </c>
      <c r="T141" s="46" t="n">
        <v>0.697</v>
      </c>
      <c r="U141" s="46" t="n">
        <v>0.742</v>
      </c>
      <c r="V141" s="61" t="n">
        <v>0.138</v>
      </c>
      <c r="W141" s="61" t="n">
        <v>1</v>
      </c>
      <c r="X141" s="61" t="n">
        <v>0.85</v>
      </c>
      <c r="Y141" s="75" t="inlineStr">
        <is>
          <t>دون المستهدف — فجوة 26٪، يتطلب إجراءً تصحيحياً عاجلاً.</t>
        </is>
      </c>
      <c r="Z141" s="69" t="inlineStr">
        <is>
          <t>إطلاق إجراء تصحيحي خلال 30 يوماً بإشراف مدير الموارد البشرية.</t>
        </is>
      </c>
      <c r="AA141" s="27" t="inlineStr">
        <is>
          <t>تحت الهدف</t>
        </is>
      </c>
      <c r="AB141" s="27" t="n">
        <v>3</v>
      </c>
      <c r="AC141" s="76" t="inlineStr">
        <is>
          <t>#EB5757</t>
        </is>
      </c>
    </row>
    <row r="142">
      <c r="A142" s="9" t="inlineStr">
        <is>
          <t>الموارد البشرية</t>
        </is>
      </c>
      <c r="B142" s="9" t="inlineStr">
        <is>
          <t>الأتمتة والتوثيق</t>
        </is>
      </c>
      <c r="C142" s="9" t="inlineStr">
        <is>
          <t>نسبة أتمتة عمليات الموارد البشرية</t>
        </is>
      </c>
      <c r="D142" s="15" t="inlineStr">
        <is>
          <t>🔧 تشغيلي</t>
        </is>
      </c>
      <c r="E142" s="46" t="inlineStr">
        <is>
          <t>%</t>
        </is>
      </c>
      <c r="F142" s="46" t="inlineStr">
        <is>
          <t>↑</t>
        </is>
      </c>
      <c r="G142" s="15" t="inlineStr">
        <is>
          <t>🏁 معلم</t>
        </is>
      </c>
      <c r="H142" s="61" t="n">
        <v>0.05</v>
      </c>
      <c r="I142" s="46" t="n">
        <v>1</v>
      </c>
      <c r="J142" s="46" t="n">
        <v>0.84</v>
      </c>
      <c r="K142" s="61" t="n">
        <v>0.84</v>
      </c>
      <c r="L142" s="27" t="inlineStr">
        <is>
          <t>🔴 تحت الهدف</t>
        </is>
      </c>
      <c r="M142" s="27" t="inlineStr">
        <is>
          <t>الابتكار</t>
        </is>
      </c>
      <c r="N142" s="13" t="inlineStr">
        <is>
          <t>التحول التقني</t>
        </is>
      </c>
      <c r="O142" s="15" t="inlineStr">
        <is>
          <t>التعلّم والنمو</t>
        </is>
      </c>
      <c r="P142" s="15" t="inlineStr">
        <is>
          <t>مدير الموارد البشرية</t>
        </is>
      </c>
      <c r="Q142" s="13" t="inlineStr">
        <is>
          <t>مكتب إدارة المشاريع (PMO)</t>
        </is>
      </c>
      <c r="R142" s="15" t="inlineStr">
        <is>
          <t>شهري</t>
        </is>
      </c>
      <c r="S142" s="46" t="n">
        <v>0.726</v>
      </c>
      <c r="T142" s="46" t="n">
        <v>0.783</v>
      </c>
      <c r="U142" s="46" t="n">
        <v>0.84</v>
      </c>
      <c r="V142" s="61" t="n">
        <v>0.157</v>
      </c>
      <c r="W142" s="61" t="n">
        <v>1</v>
      </c>
      <c r="X142" s="61" t="n">
        <v>0.85</v>
      </c>
      <c r="Y142" s="75" t="inlineStr">
        <is>
          <t>دون المستهدف — فجوة 16٪، يتطلب إجراءً تصحيحياً عاجلاً.</t>
        </is>
      </c>
      <c r="Z142" s="69" t="inlineStr">
        <is>
          <t>إطلاق إجراء تصحيحي خلال 30 يوماً بإشراف مدير الموارد البشرية.</t>
        </is>
      </c>
      <c r="AA142" s="27" t="inlineStr">
        <is>
          <t>تحت الهدف</t>
        </is>
      </c>
      <c r="AB142" s="27" t="n">
        <v>3</v>
      </c>
      <c r="AC142" s="76" t="inlineStr">
        <is>
          <t>#EB5757</t>
        </is>
      </c>
    </row>
    <row r="143">
      <c r="A143" s="9" t="inlineStr">
        <is>
          <t>الموارد البشرية</t>
        </is>
      </c>
      <c r="B143" s="9" t="inlineStr">
        <is>
          <t>الأتمتة والتوثيق</t>
        </is>
      </c>
      <c r="C143" s="9" t="inlineStr">
        <is>
          <t>نسبة توثيق أنظمة العمل</t>
        </is>
      </c>
      <c r="D143" s="15" t="inlineStr">
        <is>
          <t>🔧 تشغيلي</t>
        </is>
      </c>
      <c r="E143" s="46" t="inlineStr">
        <is>
          <t>%</t>
        </is>
      </c>
      <c r="F143" s="46" t="inlineStr">
        <is>
          <t>↑</t>
        </is>
      </c>
      <c r="G143" s="15" t="inlineStr">
        <is>
          <t>🟡 متابعة</t>
        </is>
      </c>
      <c r="H143" s="61" t="n">
        <v>0.03</v>
      </c>
      <c r="I143" s="46" t="n">
        <v>0.8</v>
      </c>
      <c r="J143" s="46" t="n">
        <v>0.775</v>
      </c>
      <c r="K143" s="61" t="n">
        <v>0.96875</v>
      </c>
      <c r="L143" s="27" t="inlineStr">
        <is>
          <t>🟡 قريب</t>
        </is>
      </c>
      <c r="M143" s="27" t="inlineStr">
        <is>
          <t>الاستدامة</t>
        </is>
      </c>
      <c r="N143" s="13" t="inlineStr">
        <is>
          <t>جودة التشغيل</t>
        </is>
      </c>
      <c r="O143" s="15" t="inlineStr">
        <is>
          <t>التعلّم والنمو</t>
        </is>
      </c>
      <c r="P143" s="15" t="inlineStr">
        <is>
          <t>مدير الموارد البشرية</t>
        </is>
      </c>
      <c r="Q143" s="13" t="inlineStr">
        <is>
          <t>مكتب إدارة المشاريع (PMO)</t>
        </is>
      </c>
      <c r="R143" s="15" t="inlineStr">
        <is>
          <t>شهري</t>
        </is>
      </c>
      <c r="S143" s="46" t="n">
        <v>0.661</v>
      </c>
      <c r="T143" s="46" t="n">
        <v>0.718</v>
      </c>
      <c r="U143" s="46" t="n">
        <v>0.775</v>
      </c>
      <c r="V143" s="61" t="n">
        <v>0.1725</v>
      </c>
      <c r="W143" s="61" t="n">
        <v>1</v>
      </c>
      <c r="X143" s="61" t="n">
        <v>0.85</v>
      </c>
      <c r="Y143" s="71" t="inlineStr">
        <is>
          <t>قريب من المستهدف — فجوة 3٪، متابعة لإغلاقها.</t>
        </is>
      </c>
      <c r="Z143" s="69" t="inlineStr">
        <is>
          <t>متابعة أسبوعية حتى بلوغ المستهدف.</t>
        </is>
      </c>
      <c r="AA143" s="27" t="inlineStr">
        <is>
          <t>قريب</t>
        </is>
      </c>
      <c r="AB143" s="27" t="n">
        <v>2</v>
      </c>
      <c r="AC143" s="72" t="inlineStr">
        <is>
          <t>#F2C94C</t>
        </is>
      </c>
    </row>
    <row r="144">
      <c r="A144" s="9" t="inlineStr">
        <is>
          <t>الموارد البشرية</t>
        </is>
      </c>
      <c r="B144" s="9" t="inlineStr">
        <is>
          <t>الأتمتة والتوثيق</t>
        </is>
      </c>
      <c r="C144" s="9" t="inlineStr">
        <is>
          <t>ترسيخ الأنظمة الإدارية</t>
        </is>
      </c>
      <c r="D144" s="15" t="inlineStr">
        <is>
          <t>🔧 تشغيلي</t>
        </is>
      </c>
      <c r="E144" s="46" t="inlineStr">
        <is>
          <t>%</t>
        </is>
      </c>
      <c r="F144" s="46" t="inlineStr">
        <is>
          <t>↑</t>
        </is>
      </c>
      <c r="G144" s="15" t="inlineStr">
        <is>
          <t>🟠 مهم</t>
        </is>
      </c>
      <c r="H144" s="61" t="n">
        <v>0.05</v>
      </c>
      <c r="I144" s="46" t="n">
        <v>0.8</v>
      </c>
      <c r="J144" s="46" t="n">
        <v>0.671</v>
      </c>
      <c r="K144" s="61" t="n">
        <v>0.83875</v>
      </c>
      <c r="L144" s="27" t="inlineStr">
        <is>
          <t>🔴 تحت الهدف</t>
        </is>
      </c>
      <c r="M144" s="27" t="inlineStr">
        <is>
          <t>الاستدامة</t>
        </is>
      </c>
      <c r="N144" s="13" t="inlineStr">
        <is>
          <t>جودة التشغيل</t>
        </is>
      </c>
      <c r="O144" s="15" t="inlineStr">
        <is>
          <t>التعلّم والنمو</t>
        </is>
      </c>
      <c r="P144" s="15" t="inlineStr">
        <is>
          <t>مدير الموارد البشرية</t>
        </is>
      </c>
      <c r="Q144" s="13" t="inlineStr">
        <is>
          <t>مكتب إدارة المشاريع (PMO)</t>
        </is>
      </c>
      <c r="R144" s="15" t="inlineStr">
        <is>
          <t>شهري</t>
        </is>
      </c>
      <c r="S144" s="46" t="n">
        <v>0.5590000000000001</v>
      </c>
      <c r="T144" s="46" t="n">
        <v>0.615</v>
      </c>
      <c r="U144" s="46" t="n">
        <v>0.671</v>
      </c>
      <c r="V144" s="61" t="n">
        <v>0.2004</v>
      </c>
      <c r="W144" s="61" t="n">
        <v>1</v>
      </c>
      <c r="X144" s="61" t="n">
        <v>0.85</v>
      </c>
      <c r="Y144" s="75" t="inlineStr">
        <is>
          <t>دون المستهدف — فجوة 16٪، يتطلب إجراءً تصحيحياً عاجلاً.</t>
        </is>
      </c>
      <c r="Z144" s="69" t="inlineStr">
        <is>
          <t>إطلاق إجراء تصحيحي خلال 30 يوماً بإشراف مدير الموارد البشرية.</t>
        </is>
      </c>
      <c r="AA144" s="27" t="inlineStr">
        <is>
          <t>تحت الهدف</t>
        </is>
      </c>
      <c r="AB144" s="27" t="n">
        <v>3</v>
      </c>
      <c r="AC144" s="76" t="inlineStr">
        <is>
          <t>#EB5757</t>
        </is>
      </c>
    </row>
    <row r="145">
      <c r="A145" s="9" t="inlineStr">
        <is>
          <t>الموارد البشرية</t>
        </is>
      </c>
      <c r="B145" s="9" t="inlineStr">
        <is>
          <t>الهيكلة</t>
        </is>
      </c>
      <c r="C145" s="9" t="inlineStr">
        <is>
          <t>اعتماد الهيكل التنظيمي</t>
        </is>
      </c>
      <c r="D145" s="15" t="inlineStr">
        <is>
          <t>⚙️ نشاط</t>
        </is>
      </c>
      <c r="E145" s="46" t="inlineStr">
        <is>
          <t>%</t>
        </is>
      </c>
      <c r="F145" s="46" t="inlineStr">
        <is>
          <t>↑</t>
        </is>
      </c>
      <c r="G145" s="15" t="inlineStr">
        <is>
          <t>🏁 معلم</t>
        </is>
      </c>
      <c r="H145" s="61" t="n">
        <v>0.05</v>
      </c>
      <c r="I145" s="46" t="n">
        <v>1</v>
      </c>
      <c r="J145" s="46" t="n">
        <v>0.984</v>
      </c>
      <c r="K145" s="61" t="n">
        <v>0.984</v>
      </c>
      <c r="L145" s="27" t="inlineStr">
        <is>
          <t>🟡 قريب</t>
        </is>
      </c>
      <c r="M145" s="27" t="inlineStr">
        <is>
          <t>الاستدامة</t>
        </is>
      </c>
      <c r="N145" s="13" t="inlineStr">
        <is>
          <t>جودة التشغيل</t>
        </is>
      </c>
      <c r="O145" s="15" t="inlineStr">
        <is>
          <t>العمليات الداخلية</t>
        </is>
      </c>
      <c r="P145" s="15" t="inlineStr">
        <is>
          <t>مدير الموارد البشرية</t>
        </is>
      </c>
      <c r="Q145" s="13" t="inlineStr">
        <is>
          <t>نظام الموارد البشرية (HRMS)</t>
        </is>
      </c>
      <c r="R145" s="15" t="inlineStr">
        <is>
          <t>شهري</t>
        </is>
      </c>
      <c r="S145" s="46" t="n">
        <v>0.887</v>
      </c>
      <c r="T145" s="46" t="n">
        <v>0.9350000000000001</v>
      </c>
      <c r="U145" s="46" t="n">
        <v>0.984</v>
      </c>
      <c r="V145" s="61" t="n">
        <v>0.1094</v>
      </c>
      <c r="W145" s="61" t="n">
        <v>1</v>
      </c>
      <c r="X145" s="61" t="n">
        <v>0.85</v>
      </c>
      <c r="Y145" s="71" t="inlineStr">
        <is>
          <t>قريب من المستهدف — فجوة 2٪، متابعة لإغلاقها.</t>
        </is>
      </c>
      <c r="Z145" s="69" t="inlineStr">
        <is>
          <t>متابعة أسبوعية حتى بلوغ المستهدف.</t>
        </is>
      </c>
      <c r="AA145" s="27" t="inlineStr">
        <is>
          <t>قريب</t>
        </is>
      </c>
      <c r="AB145" s="27" t="n">
        <v>2</v>
      </c>
      <c r="AC145" s="72" t="inlineStr">
        <is>
          <t>#F2C94C</t>
        </is>
      </c>
    </row>
    <row r="146">
      <c r="A146" s="9" t="inlineStr">
        <is>
          <t>الموارد البشرية</t>
        </is>
      </c>
      <c r="B146" s="9" t="inlineStr">
        <is>
          <t>الهيكلة</t>
        </is>
      </c>
      <c r="C146" s="9" t="inlineStr">
        <is>
          <t>اكتمال الأوصاف الوظيفية (+KPI)</t>
        </is>
      </c>
      <c r="D146" s="15" t="inlineStr">
        <is>
          <t>⚙️ نشاط</t>
        </is>
      </c>
      <c r="E146" s="46" t="inlineStr">
        <is>
          <t>%</t>
        </is>
      </c>
      <c r="F146" s="46" t="inlineStr">
        <is>
          <t>↑</t>
        </is>
      </c>
      <c r="G146" s="15" t="inlineStr">
        <is>
          <t>🏁 معلم</t>
        </is>
      </c>
      <c r="H146" s="61" t="n">
        <v>0.05</v>
      </c>
      <c r="I146" s="46" t="n">
        <v>1</v>
      </c>
      <c r="J146" s="46" t="n">
        <v>0.926</v>
      </c>
      <c r="K146" s="61" t="n">
        <v>0.926</v>
      </c>
      <c r="L146" s="27" t="inlineStr">
        <is>
          <t>🟡 قريب</t>
        </is>
      </c>
      <c r="M146" s="27" t="inlineStr">
        <is>
          <t>الاستدامة</t>
        </is>
      </c>
      <c r="N146" s="13" t="inlineStr">
        <is>
          <t>جودة التشغيل</t>
        </is>
      </c>
      <c r="O146" s="15" t="inlineStr">
        <is>
          <t>العمليات الداخلية</t>
        </is>
      </c>
      <c r="P146" s="15" t="inlineStr">
        <is>
          <t>مدير الموارد البشرية</t>
        </is>
      </c>
      <c r="Q146" s="13" t="inlineStr">
        <is>
          <t>نظام الموارد البشرية (HRMS)</t>
        </is>
      </c>
      <c r="R146" s="15" t="inlineStr">
        <is>
          <t>شهري</t>
        </is>
      </c>
      <c r="S146" s="46" t="n">
        <v>0.834</v>
      </c>
      <c r="T146" s="46" t="n">
        <v>0.88</v>
      </c>
      <c r="U146" s="46" t="n">
        <v>0.926</v>
      </c>
      <c r="V146" s="61" t="n">
        <v>0.1103</v>
      </c>
      <c r="W146" s="61" t="n">
        <v>1</v>
      </c>
      <c r="X146" s="61" t="n">
        <v>0.85</v>
      </c>
      <c r="Y146" s="71" t="inlineStr">
        <is>
          <t>قريب من المستهدف — فجوة 7٪، متابعة لإغلاقها.</t>
        </is>
      </c>
      <c r="Z146" s="69" t="inlineStr">
        <is>
          <t>متابعة أسبوعية حتى بلوغ المستهدف.</t>
        </is>
      </c>
      <c r="AA146" s="27" t="inlineStr">
        <is>
          <t>قريب</t>
        </is>
      </c>
      <c r="AB146" s="27" t="n">
        <v>2</v>
      </c>
      <c r="AC146" s="72" t="inlineStr">
        <is>
          <t>#F2C94C</t>
        </is>
      </c>
    </row>
    <row r="147">
      <c r="A147" s="9" t="inlineStr">
        <is>
          <t>الموارد البشرية</t>
        </is>
      </c>
      <c r="B147" s="9" t="inlineStr">
        <is>
          <t>الأداء</t>
        </is>
      </c>
      <c r="C147" s="9" t="inlineStr">
        <is>
          <t>نسبة إنجاز تقييمات الأداء في موعدها</t>
        </is>
      </c>
      <c r="D147" s="15" t="inlineStr">
        <is>
          <t>🎯 نتيجة</t>
        </is>
      </c>
      <c r="E147" s="46" t="inlineStr">
        <is>
          <t>%</t>
        </is>
      </c>
      <c r="F147" s="46" t="inlineStr">
        <is>
          <t>↑</t>
        </is>
      </c>
      <c r="G147" s="15" t="inlineStr">
        <is>
          <t>🟠 مهم</t>
        </is>
      </c>
      <c r="H147" s="61" t="n">
        <v>0.05</v>
      </c>
      <c r="I147" s="46" t="n">
        <v>1</v>
      </c>
      <c r="J147" s="46" t="n">
        <v>0.8080000000000001</v>
      </c>
      <c r="K147" s="61" t="n">
        <v>0.8080000000000001</v>
      </c>
      <c r="L147" s="27" t="inlineStr">
        <is>
          <t>🔴 تحت الهدف</t>
        </is>
      </c>
      <c r="M147" s="27" t="inlineStr">
        <is>
          <t>الاستدامة</t>
        </is>
      </c>
      <c r="N147" s="13" t="inlineStr">
        <is>
          <t>الاستثمار في الموظفين</t>
        </is>
      </c>
      <c r="O147" s="15" t="inlineStr">
        <is>
          <t>العمليات الداخلية</t>
        </is>
      </c>
      <c r="P147" s="15" t="inlineStr">
        <is>
          <t>مدير الموارد البشرية</t>
        </is>
      </c>
      <c r="Q147" s="13" t="inlineStr">
        <is>
          <t>سجلات الإدارة</t>
        </is>
      </c>
      <c r="R147" s="15" t="inlineStr">
        <is>
          <t>شهري</t>
        </is>
      </c>
      <c r="S147" s="46" t="n">
        <v>0.651</v>
      </c>
      <c r="T147" s="46" t="n">
        <v>0.73</v>
      </c>
      <c r="U147" s="46" t="n">
        <v>0.8080000000000001</v>
      </c>
      <c r="V147" s="61" t="n">
        <v>0.2412</v>
      </c>
      <c r="W147" s="61" t="n">
        <v>1</v>
      </c>
      <c r="X147" s="61" t="n">
        <v>0.85</v>
      </c>
      <c r="Y147" s="75" t="inlineStr">
        <is>
          <t>دون المستهدف — فجوة 19٪، يتطلب إجراءً تصحيحياً عاجلاً.</t>
        </is>
      </c>
      <c r="Z147" s="69" t="inlineStr">
        <is>
          <t>إطلاق إجراء تصحيحي خلال 30 يوماً بإشراف مدير الموارد البشرية.</t>
        </is>
      </c>
      <c r="AA147" s="27" t="inlineStr">
        <is>
          <t>تحت الهدف</t>
        </is>
      </c>
      <c r="AB147" s="27" t="n">
        <v>3</v>
      </c>
      <c r="AC147" s="76" t="inlineStr">
        <is>
          <t>#EB5757</t>
        </is>
      </c>
    </row>
    <row r="148">
      <c r="A148" s="9" t="inlineStr">
        <is>
          <t>التسويق</t>
        </is>
      </c>
      <c r="B148" s="9" t="inlineStr">
        <is>
          <t>الإدارة العامة</t>
        </is>
      </c>
      <c r="C148" s="9" t="inlineStr">
        <is>
          <t>الوصول الكلي (Total Reach)</t>
        </is>
      </c>
      <c r="D148" s="15" t="inlineStr">
        <is>
          <t>🎯 نتيجة</t>
        </is>
      </c>
      <c r="E148" s="46" t="inlineStr">
        <is>
          <t>وصول</t>
        </is>
      </c>
      <c r="F148" s="46" t="inlineStr">
        <is>
          <t>↑</t>
        </is>
      </c>
      <c r="G148" s="15" t="inlineStr">
        <is>
          <t>🔴 رئيسي</t>
        </is>
      </c>
      <c r="H148" s="61" t="n">
        <v>0.08</v>
      </c>
      <c r="I148" s="46" t="n">
        <v>50000000</v>
      </c>
      <c r="J148" s="46" t="n">
        <v>5000000</v>
      </c>
      <c r="K148" s="61" t="n">
        <v>0.1</v>
      </c>
      <c r="L148" s="27" t="inlineStr">
        <is>
          <t>🔴 تحت الهدف</t>
        </is>
      </c>
      <c r="M148" s="27" t="inlineStr">
        <is>
          <t>النمو</t>
        </is>
      </c>
      <c r="N148" s="13" t="inlineStr">
        <is>
          <t>زيادة وصول العملاء</t>
        </is>
      </c>
      <c r="O148" s="15" t="inlineStr">
        <is>
          <t>العملاء</t>
        </is>
      </c>
      <c r="P148" s="15" t="inlineStr">
        <is>
          <t>مدير التسويق</t>
        </is>
      </c>
      <c r="Q148" s="13" t="inlineStr">
        <is>
          <t>أنظمة التسويق الرقمي / تانكي</t>
        </is>
      </c>
      <c r="R148" s="15" t="inlineStr">
        <is>
          <t>شهري</t>
        </is>
      </c>
      <c r="S148" s="46" t="n">
        <v>4561000</v>
      </c>
      <c r="T148" s="46" t="n">
        <v>4780500</v>
      </c>
      <c r="U148" s="46" t="n">
        <v>5000000</v>
      </c>
      <c r="V148" s="61" t="n">
        <v>0.0963</v>
      </c>
      <c r="W148" s="61" t="n">
        <v>0.9</v>
      </c>
      <c r="X148" s="61" t="n">
        <v>0.75</v>
      </c>
      <c r="Y148" s="75" t="inlineStr">
        <is>
          <t>دون المستهدف — فجوة 90٪، يتطلب إجراءً تصحيحياً عاجلاً.</t>
        </is>
      </c>
      <c r="Z148" s="69" t="inlineStr">
        <is>
          <t>إطلاق إجراء تصحيحي خلال 30 يوماً بإشراف مدير التسويق.</t>
        </is>
      </c>
      <c r="AA148" s="27" t="inlineStr">
        <is>
          <t>تحت الهدف</t>
        </is>
      </c>
      <c r="AB148" s="27" t="n">
        <v>3</v>
      </c>
      <c r="AC148" s="76" t="inlineStr">
        <is>
          <t>#EB5757</t>
        </is>
      </c>
    </row>
    <row r="149">
      <c r="A149" s="9" t="inlineStr">
        <is>
          <t>التسويق</t>
        </is>
      </c>
      <c r="B149" s="9" t="inlineStr">
        <is>
          <t>الإدارة العامة</t>
        </is>
      </c>
      <c r="C149" s="9" t="inlineStr">
        <is>
          <t>عملاء تجاريون جدد</t>
        </is>
      </c>
      <c r="D149" s="15" t="inlineStr">
        <is>
          <t>🔧 تشغيلي</t>
        </is>
      </c>
      <c r="E149" s="46" t="inlineStr">
        <is>
          <t>عميل</t>
        </is>
      </c>
      <c r="F149" s="46" t="inlineStr">
        <is>
          <t>↑</t>
        </is>
      </c>
      <c r="G149" s="15" t="inlineStr">
        <is>
          <t>🟠 مهم</t>
        </is>
      </c>
      <c r="H149" s="61" t="n">
        <v>0.06</v>
      </c>
      <c r="I149" s="46" t="n">
        <v>200</v>
      </c>
      <c r="J149" s="46" t="n">
        <v>1</v>
      </c>
      <c r="K149" s="61" t="n">
        <v>0.005</v>
      </c>
      <c r="L149" s="27" t="inlineStr">
        <is>
          <t>🔴 تحت الهدف</t>
        </is>
      </c>
      <c r="M149" s="27" t="inlineStr">
        <is>
          <t>النمو</t>
        </is>
      </c>
      <c r="N149" s="13" t="inlineStr">
        <is>
          <t>زيادة وصول العملاء</t>
        </is>
      </c>
      <c r="O149" s="15" t="inlineStr">
        <is>
          <t>العملاء</t>
        </is>
      </c>
      <c r="P149" s="15" t="inlineStr">
        <is>
          <t>مدير التسويق</t>
        </is>
      </c>
      <c r="Q149" s="13" t="inlineStr">
        <is>
          <t>سجلات الإدارة</t>
        </is>
      </c>
      <c r="R149" s="15" t="inlineStr">
        <is>
          <t>شهري</t>
        </is>
      </c>
      <c r="S149" s="46" t="n">
        <v>0.821</v>
      </c>
      <c r="T149" s="46" t="n">
        <v>0.91</v>
      </c>
      <c r="U149" s="46" t="n">
        <v>2</v>
      </c>
      <c r="V149" s="61" t="n">
        <v>0.218</v>
      </c>
      <c r="W149" s="61" t="n">
        <v>1</v>
      </c>
      <c r="X149" s="61" t="n">
        <v>0.85</v>
      </c>
      <c r="Y149" s="75" t="inlineStr">
        <is>
          <t>دون المستهدف — فجوة 100٪، يتطلب إجراءً تصحيحياً عاجلاً.</t>
        </is>
      </c>
      <c r="Z149" s="69" t="inlineStr">
        <is>
          <t>إطلاق إجراء تصحيحي خلال 30 يوماً بإشراف مدير التسويق.</t>
        </is>
      </c>
      <c r="AA149" s="27" t="inlineStr">
        <is>
          <t>تحت الهدف</t>
        </is>
      </c>
      <c r="AB149" s="27" t="n">
        <v>3</v>
      </c>
      <c r="AC149" s="76" t="inlineStr">
        <is>
          <t>#EB5757</t>
        </is>
      </c>
    </row>
    <row r="150">
      <c r="A150" s="9" t="inlineStr">
        <is>
          <t>التسويق</t>
        </is>
      </c>
      <c r="B150" s="9" t="inlineStr">
        <is>
          <t>الفريق الإبداعي</t>
        </is>
      </c>
      <c r="C150" s="9" t="inlineStr">
        <is>
          <t>إجمالي المتابعين (كل المنصات)</t>
        </is>
      </c>
      <c r="D150" s="15" t="inlineStr">
        <is>
          <t>🔧 تشغيلي</t>
        </is>
      </c>
      <c r="E150" s="46" t="inlineStr">
        <is>
          <t>متابع</t>
        </is>
      </c>
      <c r="F150" s="46" t="inlineStr">
        <is>
          <t>↑</t>
        </is>
      </c>
      <c r="G150" s="15" t="inlineStr">
        <is>
          <t>🔴 رئيسي</t>
        </is>
      </c>
      <c r="H150" s="61" t="n">
        <v>0.08</v>
      </c>
      <c r="I150" s="46" t="n">
        <v>380000</v>
      </c>
      <c r="J150" s="46" t="n">
        <v>253000</v>
      </c>
      <c r="K150" s="61" t="n">
        <v>0.6657894736842105</v>
      </c>
      <c r="L150" s="27" t="inlineStr">
        <is>
          <t>🔴 تحت الهدف</t>
        </is>
      </c>
      <c r="M150" s="27" t="inlineStr">
        <is>
          <t>النمو</t>
        </is>
      </c>
      <c r="N150" s="13" t="inlineStr">
        <is>
          <t>زيادة وصول العملاء</t>
        </is>
      </c>
      <c r="O150" s="15" t="inlineStr">
        <is>
          <t>العملاء</t>
        </is>
      </c>
      <c r="P150" s="15" t="inlineStr">
        <is>
          <t>مدير التسويق</t>
        </is>
      </c>
      <c r="Q150" s="13" t="inlineStr">
        <is>
          <t>أنظمة التسويق الرقمي / تانكي</t>
        </is>
      </c>
      <c r="R150" s="15" t="inlineStr">
        <is>
          <t>شهري</t>
        </is>
      </c>
      <c r="S150" s="46" t="n">
        <v>229450.76</v>
      </c>
      <c r="T150" s="46" t="n">
        <v>241225.38</v>
      </c>
      <c r="U150" s="46" t="n">
        <v>253000</v>
      </c>
      <c r="V150" s="61" t="n">
        <v>0.1026</v>
      </c>
      <c r="W150" s="61" t="n">
        <v>0.9</v>
      </c>
      <c r="X150" s="61" t="n">
        <v>0.75</v>
      </c>
      <c r="Y150" s="75" t="inlineStr">
        <is>
          <t>دون المستهدف — فجوة 33٪، يتطلب إجراءً تصحيحياً عاجلاً.</t>
        </is>
      </c>
      <c r="Z150" s="69" t="inlineStr">
        <is>
          <t>إطلاق إجراء تصحيحي خلال 30 يوماً بإشراف مدير التسويق.</t>
        </is>
      </c>
      <c r="AA150" s="27" t="inlineStr">
        <is>
          <t>تحت الهدف</t>
        </is>
      </c>
      <c r="AB150" s="27" t="n">
        <v>3</v>
      </c>
      <c r="AC150" s="76" t="inlineStr">
        <is>
          <t>#EB5757</t>
        </is>
      </c>
    </row>
    <row r="151">
      <c r="A151" s="9" t="inlineStr">
        <is>
          <t>التسويق</t>
        </is>
      </c>
      <c r="B151" s="9" t="inlineStr">
        <is>
          <t>الفريق الإبداعي</t>
        </is>
      </c>
      <c r="C151" s="9" t="inlineStr">
        <is>
          <t>معدل التفاعل (Engagement)</t>
        </is>
      </c>
      <c r="D151" s="15" t="inlineStr">
        <is>
          <t>🔧 تشغيلي</t>
        </is>
      </c>
      <c r="E151" s="46" t="inlineStr">
        <is>
          <t>%</t>
        </is>
      </c>
      <c r="F151" s="46" t="inlineStr">
        <is>
          <t>↑</t>
        </is>
      </c>
      <c r="G151" s="15" t="inlineStr">
        <is>
          <t>🔴 رئيسي</t>
        </is>
      </c>
      <c r="H151" s="61" t="n">
        <v>0.08</v>
      </c>
      <c r="I151" s="46" t="n">
        <v>0.5</v>
      </c>
      <c r="J151" s="46" t="n">
        <v>0</v>
      </c>
      <c r="K151" s="61" t="n">
        <v>0</v>
      </c>
      <c r="L151" s="27" t="inlineStr">
        <is>
          <t>🔴 تحت الهدف</t>
        </is>
      </c>
      <c r="M151" s="27" t="inlineStr">
        <is>
          <t>النمو</t>
        </is>
      </c>
      <c r="N151" s="13" t="inlineStr">
        <is>
          <t>زيادة وصول العملاء</t>
        </is>
      </c>
      <c r="O151" s="15" t="inlineStr">
        <is>
          <t>العملاء</t>
        </is>
      </c>
      <c r="P151" s="15" t="inlineStr">
        <is>
          <t>مدير التسويق</t>
        </is>
      </c>
      <c r="Q151" s="13" t="inlineStr">
        <is>
          <t>أنظمة التسويق الرقمي / تانكي</t>
        </is>
      </c>
      <c r="R151" s="15" t="inlineStr">
        <is>
          <t>شهري</t>
        </is>
      </c>
      <c r="S151" s="46" t="n">
        <v>0</v>
      </c>
      <c r="T151" s="46" t="n">
        <v>0</v>
      </c>
      <c r="U151" s="46" t="n">
        <v>0</v>
      </c>
      <c r="V151" s="61" t="n"/>
      <c r="W151" s="61" t="n">
        <v>0.9</v>
      </c>
      <c r="X151" s="61" t="n">
        <v>0.75</v>
      </c>
      <c r="Y151" s="75" t="inlineStr">
        <is>
          <t>دون المستهدف — فجوة 100٪، يتطلب إجراءً تصحيحياً عاجلاً.</t>
        </is>
      </c>
      <c r="Z151" s="69" t="inlineStr">
        <is>
          <t>إطلاق إجراء تصحيحي خلال 30 يوماً بإشراف مدير التسويق.</t>
        </is>
      </c>
      <c r="AA151" s="27" t="inlineStr">
        <is>
          <t>تحت الهدف</t>
        </is>
      </c>
      <c r="AB151" s="27" t="n">
        <v>3</v>
      </c>
      <c r="AC151" s="76" t="inlineStr">
        <is>
          <t>#EB5757</t>
        </is>
      </c>
    </row>
    <row r="152">
      <c r="A152" s="9" t="inlineStr">
        <is>
          <t>التسويق</t>
        </is>
      </c>
      <c r="B152" s="9" t="inlineStr">
        <is>
          <t>الحملات التسويقية</t>
        </is>
      </c>
      <c r="C152" s="9" t="inlineStr">
        <is>
          <t>حملات تسويقية منجزة</t>
        </is>
      </c>
      <c r="D152" s="15" t="inlineStr">
        <is>
          <t>⚙️ نشاط</t>
        </is>
      </c>
      <c r="E152" s="46" t="inlineStr">
        <is>
          <t>حملة</t>
        </is>
      </c>
      <c r="F152" s="46" t="inlineStr">
        <is>
          <t>↑</t>
        </is>
      </c>
      <c r="G152" s="15" t="inlineStr">
        <is>
          <t>🟠 مهم</t>
        </is>
      </c>
      <c r="H152" s="61" t="n">
        <v>0.06</v>
      </c>
      <c r="I152" s="46" t="n">
        <v>48</v>
      </c>
      <c r="J152" s="46" t="n">
        <v>11</v>
      </c>
      <c r="K152" s="61" t="n">
        <v>0.2291666666666667</v>
      </c>
      <c r="L152" s="27" t="inlineStr">
        <is>
          <t>🔴 تحت الهدف</t>
        </is>
      </c>
      <c r="M152" s="27" t="inlineStr">
        <is>
          <t>النمو</t>
        </is>
      </c>
      <c r="N152" s="13" t="inlineStr">
        <is>
          <t>زيادة وصول العملاء</t>
        </is>
      </c>
      <c r="O152" s="15" t="inlineStr">
        <is>
          <t>العمليات الداخلية</t>
        </is>
      </c>
      <c r="P152" s="15" t="inlineStr">
        <is>
          <t>مدير التسويق</t>
        </is>
      </c>
      <c r="Q152" s="13" t="inlineStr">
        <is>
          <t>أنظمة التسويق الرقمي / تانكي</t>
        </is>
      </c>
      <c r="R152" s="15" t="inlineStr">
        <is>
          <t>شهري</t>
        </is>
      </c>
      <c r="S152" s="46" t="n">
        <v>9.802</v>
      </c>
      <c r="T152" s="46" t="n">
        <v>10.401</v>
      </c>
      <c r="U152" s="46" t="n">
        <v>22</v>
      </c>
      <c r="V152" s="61" t="n">
        <v>0.1222</v>
      </c>
      <c r="W152" s="61" t="n">
        <v>1</v>
      </c>
      <c r="X152" s="61" t="n">
        <v>0.85</v>
      </c>
      <c r="Y152" s="75" t="inlineStr">
        <is>
          <t>دون المستهدف — فجوة 77٪، يتطلب إجراءً تصحيحياً عاجلاً.</t>
        </is>
      </c>
      <c r="Z152" s="69" t="inlineStr">
        <is>
          <t>إطلاق إجراء تصحيحي خلال 30 يوماً بإشراف مدير التسويق.</t>
        </is>
      </c>
      <c r="AA152" s="27" t="inlineStr">
        <is>
          <t>تحت الهدف</t>
        </is>
      </c>
      <c r="AB152" s="27" t="n">
        <v>3</v>
      </c>
      <c r="AC152" s="76" t="inlineStr">
        <is>
          <t>#EB5757</t>
        </is>
      </c>
    </row>
    <row r="153">
      <c r="A153" s="9" t="inlineStr">
        <is>
          <t>التسويق</t>
        </is>
      </c>
      <c r="B153" s="9" t="inlineStr">
        <is>
          <t>الحملات التسويقية</t>
        </is>
      </c>
      <c r="C153" s="9" t="inlineStr">
        <is>
          <t>تحويل الفرص إلى عقود</t>
        </is>
      </c>
      <c r="D153" s="15" t="inlineStr">
        <is>
          <t>🔧 تشغيلي</t>
        </is>
      </c>
      <c r="E153" s="46" t="inlineStr">
        <is>
          <t>%</t>
        </is>
      </c>
      <c r="F153" s="46" t="inlineStr">
        <is>
          <t>↑</t>
        </is>
      </c>
      <c r="G153" s="15" t="inlineStr">
        <is>
          <t>🔴 رئيسي</t>
        </is>
      </c>
      <c r="H153" s="61" t="n">
        <v>0.08</v>
      </c>
      <c r="I153" s="46" t="n">
        <v>0.25</v>
      </c>
      <c r="J153" s="46" t="n">
        <v>0.17</v>
      </c>
      <c r="K153" s="61" t="n">
        <v>0.68</v>
      </c>
      <c r="L153" s="27" t="inlineStr">
        <is>
          <t>🔴 تحت الهدف</t>
        </is>
      </c>
      <c r="M153" s="27" t="inlineStr">
        <is>
          <t>النمو</t>
        </is>
      </c>
      <c r="N153" s="13" t="inlineStr">
        <is>
          <t>زيادة وصول العملاء</t>
        </is>
      </c>
      <c r="O153" s="15" t="inlineStr">
        <is>
          <t>العمليات الداخلية</t>
        </is>
      </c>
      <c r="P153" s="15" t="inlineStr">
        <is>
          <t>مدير التسويق</t>
        </is>
      </c>
      <c r="Q153" s="13" t="inlineStr">
        <is>
          <t>أنظمة التسويق الرقمي / تانكي</t>
        </is>
      </c>
      <c r="R153" s="15" t="inlineStr">
        <is>
          <t>شهري</t>
        </is>
      </c>
      <c r="S153" s="46" t="n">
        <v>0.156</v>
      </c>
      <c r="T153" s="46" t="n">
        <v>0.163</v>
      </c>
      <c r="U153" s="46" t="n">
        <v>0.17</v>
      </c>
      <c r="V153" s="61" t="n">
        <v>0.0897</v>
      </c>
      <c r="W153" s="61" t="n">
        <v>1</v>
      </c>
      <c r="X153" s="61" t="n">
        <v>0.85</v>
      </c>
      <c r="Y153" s="75" t="inlineStr">
        <is>
          <t>دون المستهدف — فجوة 32٪، يتطلب إجراءً تصحيحياً عاجلاً.</t>
        </is>
      </c>
      <c r="Z153" s="69" t="inlineStr">
        <is>
          <t>إطلاق إجراء تصحيحي خلال 30 يوماً بإشراف مدير التسويق.</t>
        </is>
      </c>
      <c r="AA153" s="27" t="inlineStr">
        <is>
          <t>تحت الهدف</t>
        </is>
      </c>
      <c r="AB153" s="27" t="n">
        <v>3</v>
      </c>
      <c r="AC153" s="76" t="inlineStr">
        <is>
          <t>#EB5757</t>
        </is>
      </c>
    </row>
    <row r="154">
      <c r="A154" s="9" t="inlineStr">
        <is>
          <t>التسويق</t>
        </is>
      </c>
      <c r="B154" s="9" t="inlineStr">
        <is>
          <t>الحملات التسويقية</t>
        </is>
      </c>
      <c r="C154" s="9" t="inlineStr">
        <is>
          <t>نسبة المبيعات لكل حملة</t>
        </is>
      </c>
      <c r="D154" s="15" t="inlineStr">
        <is>
          <t>⚙️ نشاط</t>
        </is>
      </c>
      <c r="E154" s="46" t="inlineStr">
        <is>
          <t>%</t>
        </is>
      </c>
      <c r="F154" s="46" t="inlineStr">
        <is>
          <t>↑</t>
        </is>
      </c>
      <c r="G154" s="15" t="inlineStr">
        <is>
          <t>🔴 رئيسي</t>
        </is>
      </c>
      <c r="H154" s="61" t="n">
        <v>0.08</v>
      </c>
      <c r="I154" s="46" t="n">
        <v>1</v>
      </c>
      <c r="J154" s="46" t="n">
        <v>0.16</v>
      </c>
      <c r="K154" s="61" t="n">
        <v>0.16</v>
      </c>
      <c r="L154" s="27" t="inlineStr">
        <is>
          <t>🔴 تحت الهدف</t>
        </is>
      </c>
      <c r="M154" s="27" t="inlineStr">
        <is>
          <t>النمو</t>
        </is>
      </c>
      <c r="N154" s="13" t="inlineStr">
        <is>
          <t>زيادة وصول العملاء</t>
        </is>
      </c>
      <c r="O154" s="15" t="inlineStr">
        <is>
          <t>مالي</t>
        </is>
      </c>
      <c r="P154" s="15" t="inlineStr">
        <is>
          <t>مدير التسويق</t>
        </is>
      </c>
      <c r="Q154" s="13" t="inlineStr">
        <is>
          <t>أنظمة التسويق الرقمي / تانكي</t>
        </is>
      </c>
      <c r="R154" s="15" t="inlineStr">
        <is>
          <t>شهري</t>
        </is>
      </c>
      <c r="S154" s="46" t="n">
        <v>0.141</v>
      </c>
      <c r="T154" s="46" t="n">
        <v>0.15</v>
      </c>
      <c r="U154" s="46" t="n">
        <v>0.16</v>
      </c>
      <c r="V154" s="61" t="n">
        <v>0.1348</v>
      </c>
      <c r="W154" s="61" t="n">
        <v>1</v>
      </c>
      <c r="X154" s="61" t="n">
        <v>0.85</v>
      </c>
      <c r="Y154" s="75" t="inlineStr">
        <is>
          <t>دون المستهدف — فجوة 84٪، يتطلب إجراءً تصحيحياً عاجلاً.</t>
        </is>
      </c>
      <c r="Z154" s="69" t="inlineStr">
        <is>
          <t>إطلاق إجراء تصحيحي خلال 30 يوماً بإشراف مدير التسويق.</t>
        </is>
      </c>
      <c r="AA154" s="27" t="inlineStr">
        <is>
          <t>تحت الهدف</t>
        </is>
      </c>
      <c r="AB154" s="27" t="n">
        <v>3</v>
      </c>
      <c r="AC154" s="76" t="inlineStr">
        <is>
          <t>#EB5757</t>
        </is>
      </c>
    </row>
    <row r="155">
      <c r="A155" s="9" t="inlineStr">
        <is>
          <t>التسويق</t>
        </is>
      </c>
      <c r="B155" s="9" t="inlineStr">
        <is>
          <t>الدعاية والإعلان</t>
        </is>
      </c>
      <c r="C155" s="9" t="inlineStr">
        <is>
          <t>نسبة التزام الهوية البصرية</t>
        </is>
      </c>
      <c r="D155" s="15" t="inlineStr">
        <is>
          <t>🎯 نتيجة</t>
        </is>
      </c>
      <c r="E155" s="46" t="inlineStr">
        <is>
          <t>%</t>
        </is>
      </c>
      <c r="F155" s="46" t="inlineStr">
        <is>
          <t>↑</t>
        </is>
      </c>
      <c r="G155" s="15" t="inlineStr">
        <is>
          <t>🔴 رئيسي</t>
        </is>
      </c>
      <c r="H155" s="61" t="n">
        <v>0.08</v>
      </c>
      <c r="I155" s="46" t="n">
        <v>1</v>
      </c>
      <c r="J155" s="46" t="n">
        <v>0.1</v>
      </c>
      <c r="K155" s="61" t="n">
        <v>0.1</v>
      </c>
      <c r="L155" s="27" t="inlineStr">
        <is>
          <t>🔴 تحت الهدف</t>
        </is>
      </c>
      <c r="M155" s="27" t="inlineStr">
        <is>
          <t>الابتكار</t>
        </is>
      </c>
      <c r="N155" s="13" t="inlineStr">
        <is>
          <t>تطوير التصاميم والهوية</t>
        </is>
      </c>
      <c r="O155" s="15" t="inlineStr">
        <is>
          <t>التعلّم والنمو</t>
        </is>
      </c>
      <c r="P155" s="15" t="inlineStr">
        <is>
          <t>مدير التسويق</t>
        </is>
      </c>
      <c r="Q155" s="13" t="inlineStr">
        <is>
          <t>سجلات الإدارة</t>
        </is>
      </c>
      <c r="R155" s="15" t="inlineStr">
        <is>
          <t>شهري</t>
        </is>
      </c>
      <c r="S155" s="46" t="n">
        <v>0.08599999999999999</v>
      </c>
      <c r="T155" s="46" t="n">
        <v>0.093</v>
      </c>
      <c r="U155" s="46" t="n">
        <v>0.1</v>
      </c>
      <c r="V155" s="61" t="n">
        <v>0.1628</v>
      </c>
      <c r="W155" s="61" t="n">
        <v>1</v>
      </c>
      <c r="X155" s="61" t="n">
        <v>0.85</v>
      </c>
      <c r="Y155" s="75" t="inlineStr">
        <is>
          <t>دون المستهدف — فجوة 90٪، يتطلب إجراءً تصحيحياً عاجلاً.</t>
        </is>
      </c>
      <c r="Z155" s="69" t="inlineStr">
        <is>
          <t>إطلاق إجراء تصحيحي خلال 30 يوماً بإشراف مدير التسويق.</t>
        </is>
      </c>
      <c r="AA155" s="27" t="inlineStr">
        <is>
          <t>تحت الهدف</t>
        </is>
      </c>
      <c r="AB155" s="27" t="n">
        <v>3</v>
      </c>
      <c r="AC155" s="76" t="inlineStr">
        <is>
          <t>#EB5757</t>
        </is>
      </c>
    </row>
    <row r="156">
      <c r="A156" s="9" t="inlineStr">
        <is>
          <t>التسويق</t>
        </is>
      </c>
      <c r="B156" s="9" t="inlineStr">
        <is>
          <t>العلاقات والشراكات</t>
        </is>
      </c>
      <c r="C156" s="9" t="inlineStr">
        <is>
          <t>وصول العلاقات العامة (PR)</t>
        </is>
      </c>
      <c r="D156" s="15" t="inlineStr">
        <is>
          <t>🔧 تشغيلي</t>
        </is>
      </c>
      <c r="E156" s="46" t="inlineStr">
        <is>
          <t>وصول</t>
        </is>
      </c>
      <c r="F156" s="46" t="inlineStr">
        <is>
          <t>↑</t>
        </is>
      </c>
      <c r="G156" s="15" t="inlineStr">
        <is>
          <t>🟠 مهم</t>
        </is>
      </c>
      <c r="H156" s="61" t="n">
        <v>0.06</v>
      </c>
      <c r="I156" s="46" t="n">
        <v>7000000</v>
      </c>
      <c r="J156" s="46" t="n">
        <v>1500000</v>
      </c>
      <c r="K156" s="61" t="n">
        <v>0.2142857142857143</v>
      </c>
      <c r="L156" s="27" t="inlineStr">
        <is>
          <t>🔴 تحت الهدف</t>
        </is>
      </c>
      <c r="M156" s="27" t="inlineStr">
        <is>
          <t>النمو</t>
        </is>
      </c>
      <c r="N156" s="13" t="inlineStr">
        <is>
          <t>زيادة وصول العملاء</t>
        </is>
      </c>
      <c r="O156" s="15" t="inlineStr">
        <is>
          <t>العملاء</t>
        </is>
      </c>
      <c r="P156" s="15" t="inlineStr">
        <is>
          <t>مدير التسويق</t>
        </is>
      </c>
      <c r="Q156" s="13" t="inlineStr">
        <is>
          <t>أنظمة التسويق الرقمي / تانكي</t>
        </is>
      </c>
      <c r="R156" s="15" t="inlineStr">
        <is>
          <t>شهري</t>
        </is>
      </c>
      <c r="S156" s="46" t="n">
        <v>1309440</v>
      </c>
      <c r="T156" s="46" t="n">
        <v>1404720</v>
      </c>
      <c r="U156" s="46" t="n">
        <v>1500000</v>
      </c>
      <c r="V156" s="61" t="n">
        <v>0.1455</v>
      </c>
      <c r="W156" s="61" t="n">
        <v>1</v>
      </c>
      <c r="X156" s="61" t="n">
        <v>0.85</v>
      </c>
      <c r="Y156" s="75" t="inlineStr">
        <is>
          <t>دون المستهدف — فجوة 79٪، يتطلب إجراءً تصحيحياً عاجلاً.</t>
        </is>
      </c>
      <c r="Z156" s="69" t="inlineStr">
        <is>
          <t>إطلاق إجراء تصحيحي خلال 30 يوماً بإشراف مدير التسويق.</t>
        </is>
      </c>
      <c r="AA156" s="27" t="inlineStr">
        <is>
          <t>تحت الهدف</t>
        </is>
      </c>
      <c r="AB156" s="27" t="n">
        <v>3</v>
      </c>
      <c r="AC156" s="76" t="inlineStr">
        <is>
          <t>#EB5757</t>
        </is>
      </c>
    </row>
    <row r="157">
      <c r="A157" s="9" t="inlineStr">
        <is>
          <t>التسويق</t>
        </is>
      </c>
      <c r="B157" s="9" t="inlineStr">
        <is>
          <t>العلاقات والشراكات</t>
        </is>
      </c>
      <c r="C157" s="9" t="inlineStr">
        <is>
          <t>عدد المعارض بالسنة</t>
        </is>
      </c>
      <c r="D157" s="15" t="inlineStr">
        <is>
          <t>⚙️ نشاط</t>
        </is>
      </c>
      <c r="E157" s="46" t="inlineStr">
        <is>
          <t>معرض</t>
        </is>
      </c>
      <c r="F157" s="46" t="inlineStr">
        <is>
          <t>↑</t>
        </is>
      </c>
      <c r="G157" s="15" t="inlineStr">
        <is>
          <t>🟠 مهم</t>
        </is>
      </c>
      <c r="H157" s="61" t="n">
        <v>0.06</v>
      </c>
      <c r="I157" s="46" t="n">
        <v>3</v>
      </c>
      <c r="J157" s="46" t="n">
        <v>0</v>
      </c>
      <c r="K157" s="61" t="n">
        <v>0</v>
      </c>
      <c r="L157" s="27" t="inlineStr">
        <is>
          <t>🔴 تحت الهدف</t>
        </is>
      </c>
      <c r="M157" s="27" t="inlineStr">
        <is>
          <t>الابتكار</t>
        </is>
      </c>
      <c r="N157" s="13" t="inlineStr">
        <is>
          <t>إطلاق مشاريع جديدة</t>
        </is>
      </c>
      <c r="O157" s="15" t="inlineStr">
        <is>
          <t>العمليات الداخلية</t>
        </is>
      </c>
      <c r="P157" s="15" t="inlineStr">
        <is>
          <t>مدير التسويق</t>
        </is>
      </c>
      <c r="Q157" s="13" t="inlineStr">
        <is>
          <t>سجلات الإدارة</t>
        </is>
      </c>
      <c r="R157" s="15" t="inlineStr">
        <is>
          <t>شهري</t>
        </is>
      </c>
      <c r="S157" s="46" t="n">
        <v>0</v>
      </c>
      <c r="T157" s="46" t="n">
        <v>0</v>
      </c>
      <c r="U157" s="46" t="n">
        <v>0</v>
      </c>
      <c r="V157" s="61" t="n"/>
      <c r="W157" s="61" t="n">
        <v>1</v>
      </c>
      <c r="X157" s="61" t="n">
        <v>0.85</v>
      </c>
      <c r="Y157" s="75" t="inlineStr">
        <is>
          <t>دون المستهدف — فجوة 100٪، يتطلب إجراءً تصحيحياً عاجلاً.</t>
        </is>
      </c>
      <c r="Z157" s="69" t="inlineStr">
        <is>
          <t>إطلاق إجراء تصحيحي خلال 30 يوماً بإشراف مدير التسويق.</t>
        </is>
      </c>
      <c r="AA157" s="27" t="inlineStr">
        <is>
          <t>تحت الهدف</t>
        </is>
      </c>
      <c r="AB157" s="27" t="n">
        <v>3</v>
      </c>
      <c r="AC157" s="76" t="inlineStr">
        <is>
          <t>#EB5757</t>
        </is>
      </c>
    </row>
    <row r="158">
      <c r="A158" s="9" t="inlineStr">
        <is>
          <t>التسويق</t>
        </is>
      </c>
      <c r="B158" s="9" t="inlineStr">
        <is>
          <t>العلاقات والشراكات</t>
        </is>
      </c>
      <c r="C158" s="9" t="inlineStr">
        <is>
          <t>اتفاقيات استراتيجية</t>
        </is>
      </c>
      <c r="D158" s="15" t="inlineStr">
        <is>
          <t>🔧 تشغيلي</t>
        </is>
      </c>
      <c r="E158" s="46" t="inlineStr">
        <is>
          <t>اتفاقية</t>
        </is>
      </c>
      <c r="F158" s="46" t="inlineStr">
        <is>
          <t>↑</t>
        </is>
      </c>
      <c r="G158" s="15" t="inlineStr">
        <is>
          <t>🟠 مهم</t>
        </is>
      </c>
      <c r="H158" s="61" t="n">
        <v>0.06</v>
      </c>
      <c r="I158" s="46" t="n">
        <v>3</v>
      </c>
      <c r="J158" s="46" t="n">
        <v>0</v>
      </c>
      <c r="K158" s="61" t="n">
        <v>0</v>
      </c>
      <c r="L158" s="27" t="inlineStr">
        <is>
          <t>🔴 تحت الهدف</t>
        </is>
      </c>
      <c r="M158" s="27" t="inlineStr">
        <is>
          <t>الابتكار</t>
        </is>
      </c>
      <c r="N158" s="13" t="inlineStr">
        <is>
          <t>إطلاق مشاريع جديدة</t>
        </is>
      </c>
      <c r="O158" s="15" t="inlineStr">
        <is>
          <t>العمليات الداخلية</t>
        </is>
      </c>
      <c r="P158" s="15" t="inlineStr">
        <is>
          <t>مدير التسويق</t>
        </is>
      </c>
      <c r="Q158" s="13" t="inlineStr">
        <is>
          <t>سجلات الإدارة</t>
        </is>
      </c>
      <c r="R158" s="15" t="inlineStr">
        <is>
          <t>شهري</t>
        </is>
      </c>
      <c r="S158" s="46" t="n">
        <v>0</v>
      </c>
      <c r="T158" s="46" t="n">
        <v>0</v>
      </c>
      <c r="U158" s="46" t="n">
        <v>0</v>
      </c>
      <c r="V158" s="61" t="n"/>
      <c r="W158" s="61" t="n">
        <v>1</v>
      </c>
      <c r="X158" s="61" t="n">
        <v>0.85</v>
      </c>
      <c r="Y158" s="75" t="inlineStr">
        <is>
          <t>دون المستهدف — فجوة 100٪، يتطلب إجراءً تصحيحياً عاجلاً.</t>
        </is>
      </c>
      <c r="Z158" s="69" t="inlineStr">
        <is>
          <t>إطلاق إجراء تصحيحي خلال 30 يوماً بإشراف مدير التسويق.</t>
        </is>
      </c>
      <c r="AA158" s="27" t="inlineStr">
        <is>
          <t>تحت الهدف</t>
        </is>
      </c>
      <c r="AB158" s="27" t="n">
        <v>3</v>
      </c>
      <c r="AC158" s="76" t="inlineStr">
        <is>
          <t>#EB5757</t>
        </is>
      </c>
    </row>
    <row r="159">
      <c r="A159" s="9" t="inlineStr">
        <is>
          <t>التسويق</t>
        </is>
      </c>
      <c r="B159" s="9" t="inlineStr">
        <is>
          <t>خدمة العملاء والدعم</t>
        </is>
      </c>
      <c r="C159" s="9" t="inlineStr">
        <is>
          <t>تقييم خرائط قوقل</t>
        </is>
      </c>
      <c r="D159" s="15" t="inlineStr">
        <is>
          <t>🎯 نتيجة</t>
        </is>
      </c>
      <c r="E159" s="46" t="inlineStr">
        <is>
          <t>نجمة/5</t>
        </is>
      </c>
      <c r="F159" s="46" t="inlineStr">
        <is>
          <t>↑</t>
        </is>
      </c>
      <c r="G159" s="15" t="inlineStr">
        <is>
          <t>🟠 مهم</t>
        </is>
      </c>
      <c r="H159" s="61" t="n">
        <v>0.06</v>
      </c>
      <c r="I159" s="46" t="n">
        <v>4.7</v>
      </c>
      <c r="J159" s="46" t="n">
        <v>4</v>
      </c>
      <c r="K159" s="61" t="n">
        <v>0.851063829787234</v>
      </c>
      <c r="L159" s="27" t="inlineStr">
        <is>
          <t>🟡 قريب</t>
        </is>
      </c>
      <c r="M159" s="27" t="inlineStr">
        <is>
          <t>الاستدامة</t>
        </is>
      </c>
      <c r="N159" s="13" t="inlineStr">
        <is>
          <t>تعزيز تجربة العملاء</t>
        </is>
      </c>
      <c r="O159" s="15" t="inlineStr">
        <is>
          <t>العملاء</t>
        </is>
      </c>
      <c r="P159" s="15" t="inlineStr">
        <is>
          <t>مدير التسويق</t>
        </is>
      </c>
      <c r="Q159" s="13" t="inlineStr">
        <is>
          <t>تقييمات خرائط قوقل</t>
        </is>
      </c>
      <c r="R159" s="15" t="inlineStr">
        <is>
          <t>شهري</t>
        </is>
      </c>
      <c r="S159" s="46" t="n">
        <v>3.547</v>
      </c>
      <c r="T159" s="46" t="n">
        <v>3.774</v>
      </c>
      <c r="U159" s="46" t="n">
        <v>4</v>
      </c>
      <c r="V159" s="61" t="n">
        <v>0.1277</v>
      </c>
      <c r="W159" s="61" t="n">
        <v>1</v>
      </c>
      <c r="X159" s="61" t="n">
        <v>0.85</v>
      </c>
      <c r="Y159" s="71" t="inlineStr">
        <is>
          <t>قريب من المستهدف — فجوة 15٪، متابعة لإغلاقها.</t>
        </is>
      </c>
      <c r="Z159" s="69" t="inlineStr">
        <is>
          <t>متابعة أسبوعية حتى بلوغ المستهدف.</t>
        </is>
      </c>
      <c r="AA159" s="27" t="inlineStr">
        <is>
          <t>قريب</t>
        </is>
      </c>
      <c r="AB159" s="27" t="n">
        <v>2</v>
      </c>
      <c r="AC159" s="72" t="inlineStr">
        <is>
          <t>#F2C94C</t>
        </is>
      </c>
    </row>
    <row r="160">
      <c r="A160" s="9" t="inlineStr">
        <is>
          <t>التسويق</t>
        </is>
      </c>
      <c r="B160" s="9" t="inlineStr">
        <is>
          <t>خدمة العملاء والدعم</t>
        </is>
      </c>
      <c r="C160" s="9" t="inlineStr">
        <is>
          <t>معدل خفض الشكاوى</t>
        </is>
      </c>
      <c r="D160" s="15" t="inlineStr">
        <is>
          <t>🎯 نتيجة</t>
        </is>
      </c>
      <c r="E160" s="46" t="inlineStr">
        <is>
          <t>%</t>
        </is>
      </c>
      <c r="F160" s="46" t="inlineStr">
        <is>
          <t>↑</t>
        </is>
      </c>
      <c r="G160" s="15" t="inlineStr">
        <is>
          <t>🟠 مهم</t>
        </is>
      </c>
      <c r="H160" s="61" t="n">
        <v>0.06</v>
      </c>
      <c r="I160" s="46" t="n">
        <v>0.3</v>
      </c>
      <c r="J160" s="46" t="n">
        <v>0.21</v>
      </c>
      <c r="K160" s="61" t="n">
        <v>0.7</v>
      </c>
      <c r="L160" s="27" t="inlineStr">
        <is>
          <t>🔴 تحت الهدف</t>
        </is>
      </c>
      <c r="M160" s="27" t="inlineStr">
        <is>
          <t>الاستدامة</t>
        </is>
      </c>
      <c r="N160" s="13" t="inlineStr">
        <is>
          <t>تعزيز تجربة العملاء</t>
        </is>
      </c>
      <c r="O160" s="15" t="inlineStr">
        <is>
          <t>العملاء</t>
        </is>
      </c>
      <c r="P160" s="15" t="inlineStr">
        <is>
          <t>مدير التسويق</t>
        </is>
      </c>
      <c r="Q160" s="13" t="inlineStr">
        <is>
          <t>سجلات الإدارة</t>
        </is>
      </c>
      <c r="R160" s="15" t="inlineStr">
        <is>
          <t>شهري</t>
        </is>
      </c>
      <c r="S160" s="46" t="n">
        <v>0.171</v>
      </c>
      <c r="T160" s="46" t="n">
        <v>0.191</v>
      </c>
      <c r="U160" s="46" t="n">
        <v>0.21</v>
      </c>
      <c r="V160" s="61" t="n">
        <v>0.2281</v>
      </c>
      <c r="W160" s="61" t="n">
        <v>1</v>
      </c>
      <c r="X160" s="61" t="n">
        <v>0.85</v>
      </c>
      <c r="Y160" s="75" t="inlineStr">
        <is>
          <t>دون المستهدف — فجوة 30٪، يتطلب إجراءً تصحيحياً عاجلاً.</t>
        </is>
      </c>
      <c r="Z160" s="69" t="inlineStr">
        <is>
          <t>إطلاق إجراء تصحيحي خلال 30 يوماً بإشراف مدير التسويق.</t>
        </is>
      </c>
      <c r="AA160" s="27" t="inlineStr">
        <is>
          <t>تحت الهدف</t>
        </is>
      </c>
      <c r="AB160" s="27" t="n">
        <v>3</v>
      </c>
      <c r="AC160" s="76" t="inlineStr">
        <is>
          <t>#EB5757</t>
        </is>
      </c>
    </row>
    <row r="161">
      <c r="A161" s="9" t="inlineStr">
        <is>
          <t>التسويق</t>
        </is>
      </c>
      <c r="B161" s="9" t="inlineStr">
        <is>
          <t>تطبيق تانكي</t>
        </is>
      </c>
      <c r="C161" s="9" t="inlineStr">
        <is>
          <t>وصول محتوى تطبيق تانكي</t>
        </is>
      </c>
      <c r="D161" s="15" t="inlineStr">
        <is>
          <t>🔧 تشغيلي</t>
        </is>
      </c>
      <c r="E161" s="46" t="inlineStr">
        <is>
          <t>وصول</t>
        </is>
      </c>
      <c r="F161" s="46" t="inlineStr">
        <is>
          <t>↑</t>
        </is>
      </c>
      <c r="G161" s="15" t="inlineStr">
        <is>
          <t>🟠 مهم</t>
        </is>
      </c>
      <c r="H161" s="61" t="n">
        <v>0.05</v>
      </c>
      <c r="I161" s="46" t="n">
        <v>1000000</v>
      </c>
      <c r="J161" s="46" t="n">
        <v>946380</v>
      </c>
      <c r="K161" s="61" t="n">
        <v>0.94638</v>
      </c>
      <c r="L161" s="27" t="inlineStr">
        <is>
          <t>🟡 قريب</t>
        </is>
      </c>
      <c r="M161" s="27" t="inlineStr">
        <is>
          <t>الابتكار</t>
        </is>
      </c>
      <c r="N161" s="13" t="inlineStr">
        <is>
          <t>تطبيق «تانكي»</t>
        </is>
      </c>
      <c r="O161" s="15" t="inlineStr">
        <is>
          <t>العملاء</t>
        </is>
      </c>
      <c r="P161" s="15" t="inlineStr">
        <is>
          <t>مدير التسويق</t>
        </is>
      </c>
      <c r="Q161" s="13" t="inlineStr">
        <is>
          <t>أنظمة التسويق الرقمي / تانكي</t>
        </is>
      </c>
      <c r="R161" s="15" t="inlineStr">
        <is>
          <t>شهري</t>
        </is>
      </c>
      <c r="S161" s="46" t="n">
        <v>788220.974</v>
      </c>
      <c r="T161" s="46" t="n">
        <v>867300.487</v>
      </c>
      <c r="U161" s="46" t="n">
        <v>946380</v>
      </c>
      <c r="V161" s="61" t="n">
        <v>0.2007</v>
      </c>
      <c r="W161" s="61" t="n">
        <v>1</v>
      </c>
      <c r="X161" s="61" t="n">
        <v>0.85</v>
      </c>
      <c r="Y161" s="71" t="inlineStr">
        <is>
          <t>قريب من المستهدف — فجوة 5٪، متابعة لإغلاقها.</t>
        </is>
      </c>
      <c r="Z161" s="69" t="inlineStr">
        <is>
          <t>متابعة أسبوعية حتى بلوغ المستهدف.</t>
        </is>
      </c>
      <c r="AA161" s="27" t="inlineStr">
        <is>
          <t>قريب</t>
        </is>
      </c>
      <c r="AB161" s="27" t="n">
        <v>2</v>
      </c>
      <c r="AC161" s="72" t="inlineStr">
        <is>
          <t>#F2C94C</t>
        </is>
      </c>
    </row>
    <row r="162">
      <c r="A162" s="9" t="inlineStr">
        <is>
          <t>التسويق</t>
        </is>
      </c>
      <c r="B162" s="9" t="inlineStr">
        <is>
          <t>تطبيق تانكي</t>
        </is>
      </c>
      <c r="C162" s="9" t="inlineStr">
        <is>
          <t>مشاركات تطبيق تانكي</t>
        </is>
      </c>
      <c r="D162" s="15" t="inlineStr">
        <is>
          <t>🔧 تشغيلي</t>
        </is>
      </c>
      <c r="E162" s="46" t="inlineStr">
        <is>
          <t>مشاركة</t>
        </is>
      </c>
      <c r="F162" s="46" t="inlineStr">
        <is>
          <t>↑</t>
        </is>
      </c>
      <c r="G162" s="15" t="inlineStr">
        <is>
          <t>🟠 مهم</t>
        </is>
      </c>
      <c r="H162" s="61" t="n">
        <v>0.05</v>
      </c>
      <c r="I162" s="46" t="n">
        <v>250</v>
      </c>
      <c r="J162" s="46" t="n">
        <v>180.7</v>
      </c>
      <c r="K162" s="61" t="n">
        <v>0.7228</v>
      </c>
      <c r="L162" s="27" t="inlineStr">
        <is>
          <t>🔴 تحت الهدف</t>
        </is>
      </c>
      <c r="M162" s="27" t="inlineStr">
        <is>
          <t>الابتكار</t>
        </is>
      </c>
      <c r="N162" s="13" t="inlineStr">
        <is>
          <t>تطبيق «تانكي»</t>
        </is>
      </c>
      <c r="O162" s="15" t="inlineStr">
        <is>
          <t>العمليات الداخلية</t>
        </is>
      </c>
      <c r="P162" s="15" t="inlineStr">
        <is>
          <t>مدير التسويق</t>
        </is>
      </c>
      <c r="Q162" s="13" t="inlineStr">
        <is>
          <t>أنظمة التسويق الرقمي / تانكي</t>
        </is>
      </c>
      <c r="R162" s="15" t="inlineStr">
        <is>
          <t>شهري</t>
        </is>
      </c>
      <c r="S162" s="46" t="n">
        <v>152.626</v>
      </c>
      <c r="T162" s="46" t="n">
        <v>166.663</v>
      </c>
      <c r="U162" s="46" t="n">
        <v>361.4</v>
      </c>
      <c r="V162" s="61" t="n">
        <v>0.1839</v>
      </c>
      <c r="W162" s="61" t="n">
        <v>1</v>
      </c>
      <c r="X162" s="61" t="n">
        <v>0.85</v>
      </c>
      <c r="Y162" s="75" t="inlineStr">
        <is>
          <t>دون المستهدف — فجوة 28٪، يتطلب إجراءً تصحيحياً عاجلاً.</t>
        </is>
      </c>
      <c r="Z162" s="69" t="inlineStr">
        <is>
          <t>إطلاق إجراء تصحيحي خلال 30 يوماً بإشراف مدير التسويق.</t>
        </is>
      </c>
      <c r="AA162" s="27" t="inlineStr">
        <is>
          <t>تحت الهدف</t>
        </is>
      </c>
      <c r="AB162" s="27" t="n">
        <v>3</v>
      </c>
      <c r="AC162" s="76" t="inlineStr">
        <is>
          <t>#EB5757</t>
        </is>
      </c>
    </row>
    <row r="163">
      <c r="A163" s="9" t="inlineStr">
        <is>
          <t>الجودة</t>
        </is>
      </c>
      <c r="B163" s="9" t="inlineStr">
        <is>
          <t>مخاطر الجودة</t>
        </is>
      </c>
      <c r="C163" s="9" t="inlineStr">
        <is>
          <t>نسبة المحطات الحرجة</t>
        </is>
      </c>
      <c r="D163" s="15" t="inlineStr">
        <is>
          <t>🔧 تشغيلي</t>
        </is>
      </c>
      <c r="E163" s="46" t="inlineStr">
        <is>
          <t>%</t>
        </is>
      </c>
      <c r="F163" s="46" t="inlineStr">
        <is>
          <t>↓</t>
        </is>
      </c>
      <c r="G163" s="15" t="inlineStr">
        <is>
          <t>🔴 رئيسي</t>
        </is>
      </c>
      <c r="H163" s="61" t="n">
        <v>0.1</v>
      </c>
      <c r="I163" s="46" t="n">
        <v>0.05</v>
      </c>
      <c r="J163" s="46" t="n">
        <v>0.054</v>
      </c>
      <c r="K163" s="61" t="n">
        <v>0.925925925925926</v>
      </c>
      <c r="L163" s="27" t="inlineStr">
        <is>
          <t>🟡 قريب</t>
        </is>
      </c>
      <c r="M163" s="27" t="inlineStr">
        <is>
          <t>الاستدامة</t>
        </is>
      </c>
      <c r="N163" s="13" t="inlineStr">
        <is>
          <t>جودة التشغيل</t>
        </is>
      </c>
      <c r="O163" s="15" t="inlineStr">
        <is>
          <t>العمليات الداخلية</t>
        </is>
      </c>
      <c r="P163" s="15" t="inlineStr">
        <is>
          <t>مدير الجودة</t>
        </is>
      </c>
      <c r="Q163" s="13" t="inlineStr">
        <is>
          <t>نظام إدارة الجودة (QMS)</t>
        </is>
      </c>
      <c r="R163" s="15" t="inlineStr">
        <is>
          <t>شهري</t>
        </is>
      </c>
      <c r="S163" s="46" t="n">
        <v>0.06</v>
      </c>
      <c r="T163" s="46" t="n">
        <v>0.057</v>
      </c>
      <c r="U163" s="46" t="n">
        <v>0.054</v>
      </c>
      <c r="V163" s="61" t="n">
        <v>-0.1</v>
      </c>
      <c r="W163" s="61" t="n">
        <v>1</v>
      </c>
      <c r="X163" s="61" t="n">
        <v>0.85</v>
      </c>
      <c r="Y163" s="71" t="inlineStr">
        <is>
          <t>قريب من المستهدف — فجوة 7٪، متابعة لإغلاقها.</t>
        </is>
      </c>
      <c r="Z163" s="69" t="inlineStr">
        <is>
          <t>متابعة أسبوعية حتى بلوغ المستهدف.</t>
        </is>
      </c>
      <c r="AA163" s="27" t="inlineStr">
        <is>
          <t>قريب</t>
        </is>
      </c>
      <c r="AB163" s="27" t="n">
        <v>2</v>
      </c>
      <c r="AC163" s="72" t="inlineStr">
        <is>
          <t>#F2C94C</t>
        </is>
      </c>
    </row>
    <row r="164">
      <c r="A164" s="9" t="inlineStr">
        <is>
          <t>الجودة</t>
        </is>
      </c>
      <c r="B164" s="9" t="inlineStr">
        <is>
          <t>جودة الوقود</t>
        </is>
      </c>
      <c r="C164" s="9" t="inlineStr">
        <is>
          <t>نسبة مطابقة جودة الوقود</t>
        </is>
      </c>
      <c r="D164" s="15" t="inlineStr">
        <is>
          <t>🎯 نتيجة</t>
        </is>
      </c>
      <c r="E164" s="46" t="inlineStr">
        <is>
          <t>%</t>
        </is>
      </c>
      <c r="F164" s="46" t="inlineStr">
        <is>
          <t>↑</t>
        </is>
      </c>
      <c r="G164" s="15" t="inlineStr">
        <is>
          <t>🟠 مهم</t>
        </is>
      </c>
      <c r="H164" s="61" t="n">
        <v>0.07000000000000001</v>
      </c>
      <c r="I164" s="46" t="n">
        <v>0.995</v>
      </c>
      <c r="J164" s="46" t="n">
        <v>0.804</v>
      </c>
      <c r="K164" s="61" t="n">
        <v>0.8080402010050252</v>
      </c>
      <c r="L164" s="27" t="inlineStr">
        <is>
          <t>🔴 تحت الهدف</t>
        </is>
      </c>
      <c r="M164" s="27" t="inlineStr">
        <is>
          <t>الاستدامة</t>
        </is>
      </c>
      <c r="N164" s="13" t="inlineStr">
        <is>
          <t>جودة التشغيل</t>
        </is>
      </c>
      <c r="O164" s="15" t="inlineStr">
        <is>
          <t>العمليات الداخلية</t>
        </is>
      </c>
      <c r="P164" s="15" t="inlineStr">
        <is>
          <t>مدير الجودة</t>
        </is>
      </c>
      <c r="Q164" s="13" t="inlineStr">
        <is>
          <t>نظام إدارة الجودة (QMS)</t>
        </is>
      </c>
      <c r="R164" s="15" t="inlineStr">
        <is>
          <t>شهري</t>
        </is>
      </c>
      <c r="S164" s="46" t="n">
        <v>0.709</v>
      </c>
      <c r="T164" s="46" t="n">
        <v>0.756</v>
      </c>
      <c r="U164" s="46" t="n">
        <v>0.804</v>
      </c>
      <c r="V164" s="61" t="n">
        <v>0.134</v>
      </c>
      <c r="W164" s="61" t="n">
        <v>1</v>
      </c>
      <c r="X164" s="61" t="n">
        <v>0.97</v>
      </c>
      <c r="Y164" s="75" t="inlineStr">
        <is>
          <t>دون المستهدف — فجوة 19٪، يتطلب إجراءً تصحيحياً عاجلاً.</t>
        </is>
      </c>
      <c r="Z164" s="69" t="inlineStr">
        <is>
          <t>إطلاق إجراء تصحيحي خلال 30 يوماً بإشراف مدير الجودة.</t>
        </is>
      </c>
      <c r="AA164" s="27" t="inlineStr">
        <is>
          <t>تحت الهدف</t>
        </is>
      </c>
      <c r="AB164" s="27" t="n">
        <v>3</v>
      </c>
      <c r="AC164" s="76" t="inlineStr">
        <is>
          <t>#EB5757</t>
        </is>
      </c>
    </row>
    <row r="165">
      <c r="A165" s="9" t="inlineStr">
        <is>
          <t>الجودة</t>
        </is>
      </c>
      <c r="B165" s="9" t="inlineStr">
        <is>
          <t>معالجة وتصحيح</t>
        </is>
      </c>
      <c r="C165" s="9" t="inlineStr">
        <is>
          <t>نسبة إغلاق الملاحظات في الوقت المحدد</t>
        </is>
      </c>
      <c r="D165" s="15" t="inlineStr">
        <is>
          <t>🎯 نتيجة</t>
        </is>
      </c>
      <c r="E165" s="46" t="inlineStr">
        <is>
          <t>%</t>
        </is>
      </c>
      <c r="F165" s="46" t="inlineStr">
        <is>
          <t>↑</t>
        </is>
      </c>
      <c r="G165" s="15" t="inlineStr">
        <is>
          <t>🟠 مهم</t>
        </is>
      </c>
      <c r="H165" s="61" t="n">
        <v>0.07000000000000001</v>
      </c>
      <c r="I165" s="46" t="n">
        <v>0.9</v>
      </c>
      <c r="J165" s="46" t="n">
        <v>0.6870000000000001</v>
      </c>
      <c r="K165" s="61" t="n">
        <v>0.7633333333333334</v>
      </c>
      <c r="L165" s="27" t="inlineStr">
        <is>
          <t>🔴 تحت الهدف</t>
        </is>
      </c>
      <c r="M165" s="27" t="inlineStr">
        <is>
          <t>الاستدامة</t>
        </is>
      </c>
      <c r="N165" s="13" t="inlineStr">
        <is>
          <t>جودة التشغيل</t>
        </is>
      </c>
      <c r="O165" s="15" t="inlineStr">
        <is>
          <t>العمليات الداخلية</t>
        </is>
      </c>
      <c r="P165" s="15" t="inlineStr">
        <is>
          <t>مدير الجودة</t>
        </is>
      </c>
      <c r="Q165" s="13" t="inlineStr">
        <is>
          <t>نظام إدارة الجودة (QMS)</t>
        </is>
      </c>
      <c r="R165" s="15" t="inlineStr">
        <is>
          <t>شهري</t>
        </is>
      </c>
      <c r="S165" s="46" t="n">
        <v>0.596</v>
      </c>
      <c r="T165" s="46" t="n">
        <v>0.641</v>
      </c>
      <c r="U165" s="46" t="n">
        <v>0.6870000000000001</v>
      </c>
      <c r="V165" s="61" t="n">
        <v>0.1527</v>
      </c>
      <c r="W165" s="61" t="n">
        <v>1</v>
      </c>
      <c r="X165" s="61" t="n">
        <v>0.85</v>
      </c>
      <c r="Y165" s="75" t="inlineStr">
        <is>
          <t>دون المستهدف — فجوة 24٪، يتطلب إجراءً تصحيحياً عاجلاً.</t>
        </is>
      </c>
      <c r="Z165" s="69" t="inlineStr">
        <is>
          <t>إطلاق إجراء تصحيحي خلال 30 يوماً بإشراف مدير الجودة.</t>
        </is>
      </c>
      <c r="AA165" s="27" t="inlineStr">
        <is>
          <t>تحت الهدف</t>
        </is>
      </c>
      <c r="AB165" s="27" t="n">
        <v>3</v>
      </c>
      <c r="AC165" s="76" t="inlineStr">
        <is>
          <t>#EB5757</t>
        </is>
      </c>
    </row>
    <row r="166">
      <c r="A166" s="9" t="inlineStr">
        <is>
          <t>الجودة</t>
        </is>
      </c>
      <c r="B166" s="9" t="inlineStr">
        <is>
          <t>تحسين ووقاية</t>
        </is>
      </c>
      <c r="C166" s="9" t="inlineStr">
        <is>
          <t>نسبة فعالية الإجراءات التصحيحية</t>
        </is>
      </c>
      <c r="D166" s="15" t="inlineStr">
        <is>
          <t>🎯 نتيجة</t>
        </is>
      </c>
      <c r="E166" s="46" t="inlineStr">
        <is>
          <t>%</t>
        </is>
      </c>
      <c r="F166" s="46" t="inlineStr">
        <is>
          <t>↑</t>
        </is>
      </c>
      <c r="G166" s="15" t="inlineStr">
        <is>
          <t>🟠 مهم</t>
        </is>
      </c>
      <c r="H166" s="61" t="n">
        <v>0.07000000000000001</v>
      </c>
      <c r="I166" s="46" t="n">
        <v>0.85</v>
      </c>
      <c r="J166" s="46" t="n">
        <v>0.648</v>
      </c>
      <c r="K166" s="61" t="n">
        <v>0.7623529411764707</v>
      </c>
      <c r="L166" s="27" t="inlineStr">
        <is>
          <t>🔴 تحت الهدف</t>
        </is>
      </c>
      <c r="M166" s="27" t="inlineStr">
        <is>
          <t>الاستدامة</t>
        </is>
      </c>
      <c r="N166" s="13" t="inlineStr">
        <is>
          <t>جودة التشغيل</t>
        </is>
      </c>
      <c r="O166" s="15" t="inlineStr">
        <is>
          <t>العمليات الداخلية</t>
        </is>
      </c>
      <c r="P166" s="15" t="inlineStr">
        <is>
          <t>مدير الجودة</t>
        </is>
      </c>
      <c r="Q166" s="13" t="inlineStr">
        <is>
          <t>سجلات الإدارة</t>
        </is>
      </c>
      <c r="R166" s="15" t="inlineStr">
        <is>
          <t>شهري</t>
        </is>
      </c>
      <c r="S166" s="46" t="n">
        <v>0.552</v>
      </c>
      <c r="T166" s="46" t="n">
        <v>0.6</v>
      </c>
      <c r="U166" s="46" t="n">
        <v>0.648</v>
      </c>
      <c r="V166" s="61" t="n">
        <v>0.1739</v>
      </c>
      <c r="W166" s="61" t="n">
        <v>1</v>
      </c>
      <c r="X166" s="61" t="n">
        <v>0.85</v>
      </c>
      <c r="Y166" s="75" t="inlineStr">
        <is>
          <t>دون المستهدف — فجوة 24٪، يتطلب إجراءً تصحيحياً عاجلاً.</t>
        </is>
      </c>
      <c r="Z166" s="69" t="inlineStr">
        <is>
          <t>إطلاق إجراء تصحيحي خلال 30 يوماً بإشراف مدير الجودة.</t>
        </is>
      </c>
      <c r="AA166" s="27" t="inlineStr">
        <is>
          <t>تحت الهدف</t>
        </is>
      </c>
      <c r="AB166" s="27" t="n">
        <v>3</v>
      </c>
      <c r="AC166" s="76" t="inlineStr">
        <is>
          <t>#EB5757</t>
        </is>
      </c>
    </row>
    <row r="167">
      <c r="A167" s="9" t="inlineStr">
        <is>
          <t>الجودة</t>
        </is>
      </c>
      <c r="B167" s="9" t="inlineStr">
        <is>
          <t>منع التكرار</t>
        </is>
      </c>
      <c r="C167" s="9" t="inlineStr">
        <is>
          <t>نسبة تكرار الملاحظات</t>
        </is>
      </c>
      <c r="D167" s="15" t="inlineStr">
        <is>
          <t>🔧 تشغيلي</t>
        </is>
      </c>
      <c r="E167" s="46" t="inlineStr">
        <is>
          <t>%</t>
        </is>
      </c>
      <c r="F167" s="46" t="inlineStr">
        <is>
          <t>↓</t>
        </is>
      </c>
      <c r="G167" s="15" t="inlineStr">
        <is>
          <t>🟠 مهم</t>
        </is>
      </c>
      <c r="H167" s="61" t="n">
        <v>0.07000000000000001</v>
      </c>
      <c r="I167" s="46" t="n">
        <v>0.1</v>
      </c>
      <c r="J167" s="46" t="n">
        <v>0.114</v>
      </c>
      <c r="K167" s="61" t="n">
        <v>0.8771929824561404</v>
      </c>
      <c r="L167" s="27" t="inlineStr">
        <is>
          <t>🟡 قريب</t>
        </is>
      </c>
      <c r="M167" s="27" t="inlineStr">
        <is>
          <t>الاستدامة</t>
        </is>
      </c>
      <c r="N167" s="13" t="inlineStr">
        <is>
          <t>جودة التشغيل</t>
        </is>
      </c>
      <c r="O167" s="15" t="inlineStr">
        <is>
          <t>العمليات الداخلية</t>
        </is>
      </c>
      <c r="P167" s="15" t="inlineStr">
        <is>
          <t>مدير الجودة</t>
        </is>
      </c>
      <c r="Q167" s="13" t="inlineStr">
        <is>
          <t>نظام إدارة الجودة (QMS)</t>
        </is>
      </c>
      <c r="R167" s="15" t="inlineStr">
        <is>
          <t>شهري</t>
        </is>
      </c>
      <c r="S167" s="46" t="n">
        <v>0.131</v>
      </c>
      <c r="T167" s="46" t="n">
        <v>0.122</v>
      </c>
      <c r="U167" s="46" t="n">
        <v>0.114</v>
      </c>
      <c r="V167" s="61" t="n">
        <v>-0.1298</v>
      </c>
      <c r="W167" s="61" t="n">
        <v>1</v>
      </c>
      <c r="X167" s="61" t="n">
        <v>0.85</v>
      </c>
      <c r="Y167" s="71" t="inlineStr">
        <is>
          <t>قريب من المستهدف — فجوة 12٪، متابعة لإغلاقها.</t>
        </is>
      </c>
      <c r="Z167" s="69" t="inlineStr">
        <is>
          <t>متابعة أسبوعية حتى بلوغ المستهدف.</t>
        </is>
      </c>
      <c r="AA167" s="27" t="inlineStr">
        <is>
          <t>قريب</t>
        </is>
      </c>
      <c r="AB167" s="27" t="n">
        <v>2</v>
      </c>
      <c r="AC167" s="72" t="inlineStr">
        <is>
          <t>#F2C94C</t>
        </is>
      </c>
    </row>
    <row r="168">
      <c r="A168" s="9" t="inlineStr">
        <is>
          <t>الجودة</t>
        </is>
      </c>
      <c r="B168" s="9" t="inlineStr">
        <is>
          <t>تفتيش وتدقيق</t>
        </is>
      </c>
      <c r="C168" s="9" t="inlineStr">
        <is>
          <t>نسبة تنفيذ خطة التفتيش والتدقيق</t>
        </is>
      </c>
      <c r="D168" s="15" t="inlineStr">
        <is>
          <t>⚙️ نشاط</t>
        </is>
      </c>
      <c r="E168" s="46" t="inlineStr">
        <is>
          <t>%</t>
        </is>
      </c>
      <c r="F168" s="46" t="inlineStr">
        <is>
          <t>↑</t>
        </is>
      </c>
      <c r="G168" s="15" t="inlineStr">
        <is>
          <t>🟠 مهم</t>
        </is>
      </c>
      <c r="H168" s="61" t="n">
        <v>0.07000000000000001</v>
      </c>
      <c r="I168" s="46" t="n">
        <v>0.95</v>
      </c>
      <c r="J168" s="46" t="n">
        <v>0.728</v>
      </c>
      <c r="K168" s="61" t="n">
        <v>0.7663157894736842</v>
      </c>
      <c r="L168" s="27" t="inlineStr">
        <is>
          <t>🔴 تحت الهدف</t>
        </is>
      </c>
      <c r="M168" s="27" t="inlineStr">
        <is>
          <t>الاستدامة</t>
        </is>
      </c>
      <c r="N168" s="13" t="inlineStr">
        <is>
          <t>جودة التشغيل</t>
        </is>
      </c>
      <c r="O168" s="15" t="inlineStr">
        <is>
          <t>العمليات الداخلية</t>
        </is>
      </c>
      <c r="P168" s="15" t="inlineStr">
        <is>
          <t>مدير الجودة</t>
        </is>
      </c>
      <c r="Q168" s="13" t="inlineStr">
        <is>
          <t>نظام المحاسبة / ERP (D365)</t>
        </is>
      </c>
      <c r="R168" s="15" t="inlineStr">
        <is>
          <t>ربعي</t>
        </is>
      </c>
      <c r="S168" s="46" t="n">
        <v>0.621</v>
      </c>
      <c r="T168" s="46" t="n">
        <v>0.674</v>
      </c>
      <c r="U168" s="46" t="n">
        <v>0.728</v>
      </c>
      <c r="V168" s="61" t="n">
        <v>0.1723</v>
      </c>
      <c r="W168" s="61" t="n">
        <v>1</v>
      </c>
      <c r="X168" s="61" t="n">
        <v>0.85</v>
      </c>
      <c r="Y168" s="75" t="inlineStr">
        <is>
          <t>دون المستهدف — فجوة 23٪، يتطلب إجراءً تصحيحياً عاجلاً.</t>
        </is>
      </c>
      <c r="Z168" s="69" t="inlineStr">
        <is>
          <t>إطلاق إجراء تصحيحي خلال 30 يوماً بإشراف مدير الجودة.</t>
        </is>
      </c>
      <c r="AA168" s="27" t="inlineStr">
        <is>
          <t>تحت الهدف</t>
        </is>
      </c>
      <c r="AB168" s="27" t="n">
        <v>3</v>
      </c>
      <c r="AC168" s="76" t="inlineStr">
        <is>
          <t>#EB5757</t>
        </is>
      </c>
    </row>
    <row r="169">
      <c r="A169" s="9" t="inlineStr">
        <is>
          <t>الجودة</t>
        </is>
      </c>
      <c r="B169" s="9" t="inlineStr">
        <is>
          <t>حوكمة الجودة</t>
        </is>
      </c>
      <c r="C169" s="9" t="inlineStr">
        <is>
          <t>نسبة جاهزية نظام إدارة الجودة QMS</t>
        </is>
      </c>
      <c r="D169" s="15" t="inlineStr">
        <is>
          <t>🎯 نتيجة</t>
        </is>
      </c>
      <c r="E169" s="46" t="inlineStr">
        <is>
          <t>%</t>
        </is>
      </c>
      <c r="F169" s="46" t="inlineStr">
        <is>
          <t>↑</t>
        </is>
      </c>
      <c r="G169" s="15" t="inlineStr">
        <is>
          <t>🔴 رئيسي</t>
        </is>
      </c>
      <c r="H169" s="61" t="n">
        <v>0.1</v>
      </c>
      <c r="I169" s="46" t="n">
        <v>0.9</v>
      </c>
      <c r="J169" s="46" t="n">
        <v>0.754</v>
      </c>
      <c r="K169" s="61" t="n">
        <v>0.8377777777777777</v>
      </c>
      <c r="L169" s="27" t="inlineStr">
        <is>
          <t>🔴 تحت الهدف</t>
        </is>
      </c>
      <c r="M169" s="27" t="inlineStr">
        <is>
          <t>الاستدامة</t>
        </is>
      </c>
      <c r="N169" s="13" t="inlineStr">
        <is>
          <t>جودة التشغيل</t>
        </is>
      </c>
      <c r="O169" s="15" t="inlineStr">
        <is>
          <t>العمليات الداخلية</t>
        </is>
      </c>
      <c r="P169" s="15" t="inlineStr">
        <is>
          <t>مدير الجودة</t>
        </is>
      </c>
      <c r="Q169" s="13" t="inlineStr">
        <is>
          <t>نظام إدارة الجودة (QMS)</t>
        </is>
      </c>
      <c r="R169" s="15" t="inlineStr">
        <is>
          <t>شهري</t>
        </is>
      </c>
      <c r="S169" s="46" t="n">
        <v>0.647</v>
      </c>
      <c r="T169" s="46" t="n">
        <v>0.701</v>
      </c>
      <c r="U169" s="46" t="n">
        <v>0.754</v>
      </c>
      <c r="V169" s="61" t="n">
        <v>0.1654</v>
      </c>
      <c r="W169" s="61" t="n">
        <v>1</v>
      </c>
      <c r="X169" s="61" t="n">
        <v>0.97</v>
      </c>
      <c r="Y169" s="75" t="inlineStr">
        <is>
          <t>دون المستهدف — فجوة 16٪، يتطلب إجراءً تصحيحياً عاجلاً.</t>
        </is>
      </c>
      <c r="Z169" s="69" t="inlineStr">
        <is>
          <t>إطلاق إجراء تصحيحي خلال 30 يوماً بإشراف مدير الجودة.</t>
        </is>
      </c>
      <c r="AA169" s="27" t="inlineStr">
        <is>
          <t>تحت الهدف</t>
        </is>
      </c>
      <c r="AB169" s="27" t="n">
        <v>3</v>
      </c>
      <c r="AC169" s="76" t="inlineStr">
        <is>
          <t>#EB5757</t>
        </is>
      </c>
    </row>
    <row r="170">
      <c r="A170" s="9" t="inlineStr">
        <is>
          <t>الجودة</t>
        </is>
      </c>
      <c r="B170" s="9" t="inlineStr">
        <is>
          <t>مخاطر الجودة</t>
        </is>
      </c>
      <c r="C170" s="9" t="inlineStr">
        <is>
          <t>عدد مخاطر الجودة الحرجة المفتوحة</t>
        </is>
      </c>
      <c r="D170" s="15" t="inlineStr">
        <is>
          <t>⚙️ نشاط</t>
        </is>
      </c>
      <c r="E170" s="46" t="inlineStr">
        <is>
          <t>خطر</t>
        </is>
      </c>
      <c r="F170" s="46" t="inlineStr">
        <is>
          <t>↓</t>
        </is>
      </c>
      <c r="G170" s="15" t="inlineStr">
        <is>
          <t>🟠 مهم</t>
        </is>
      </c>
      <c r="H170" s="61" t="n">
        <v>0.07000000000000001</v>
      </c>
      <c r="I170" s="46" t="n">
        <v>0</v>
      </c>
      <c r="J170" s="46" t="n"/>
      <c r="K170" s="61" t="n"/>
      <c r="L170" s="27" t="inlineStr">
        <is>
          <t>⏳ بانتظار هدف</t>
        </is>
      </c>
      <c r="M170" s="27" t="inlineStr">
        <is>
          <t>الاستدامة</t>
        </is>
      </c>
      <c r="N170" s="13" t="inlineStr">
        <is>
          <t>جودة التشغيل</t>
        </is>
      </c>
      <c r="O170" s="15" t="inlineStr">
        <is>
          <t>العمليات الداخلية</t>
        </is>
      </c>
      <c r="P170" s="15" t="inlineStr">
        <is>
          <t>مدير الجودة</t>
        </is>
      </c>
      <c r="Q170" s="13" t="inlineStr">
        <is>
          <t>نظام إدارة الجودة (QMS)</t>
        </is>
      </c>
      <c r="R170" s="15" t="inlineStr">
        <is>
          <t>شهري</t>
        </is>
      </c>
      <c r="S170" s="46" t="n"/>
      <c r="T170" s="46" t="n"/>
      <c r="U170" s="46" t="n"/>
      <c r="V170" s="61" t="n"/>
      <c r="W170" s="61" t="n">
        <v>1</v>
      </c>
      <c r="X170" s="61" t="n">
        <v>0.85</v>
      </c>
      <c r="Y170" s="71" t="inlineStr"/>
      <c r="Z170" s="69" t="inlineStr"/>
      <c r="AA170" s="27" t="inlineStr">
        <is>
          <t>بانتظار هدف</t>
        </is>
      </c>
      <c r="AB170" s="27" t="n">
        <v>4</v>
      </c>
      <c r="AC170" s="73" t="inlineStr">
        <is>
          <t>#BDBDBD</t>
        </is>
      </c>
    </row>
    <row r="171">
      <c r="A171" s="9" t="inlineStr">
        <is>
          <t>الجودة</t>
        </is>
      </c>
      <c r="B171" s="9" t="inlineStr">
        <is>
          <t>مخاطر الجودة</t>
        </is>
      </c>
      <c r="C171" s="9" t="inlineStr">
        <is>
          <t>نسبة إغلاق مخاطر الجودة في الوقت المحدد</t>
        </is>
      </c>
      <c r="D171" s="15" t="inlineStr">
        <is>
          <t>🎯 نتيجة</t>
        </is>
      </c>
      <c r="E171" s="46" t="inlineStr">
        <is>
          <t>%</t>
        </is>
      </c>
      <c r="F171" s="46" t="inlineStr">
        <is>
          <t>↑</t>
        </is>
      </c>
      <c r="G171" s="15" t="inlineStr">
        <is>
          <t>🟠 مهم</t>
        </is>
      </c>
      <c r="H171" s="61" t="n">
        <v>0.07000000000000001</v>
      </c>
      <c r="I171" s="46" t="n">
        <v>0.9</v>
      </c>
      <c r="J171" s="46" t="n">
        <v>0.908</v>
      </c>
      <c r="K171" s="61" t="n">
        <v>1</v>
      </c>
      <c r="L171" s="27" t="inlineStr">
        <is>
          <t>✅ محقق</t>
        </is>
      </c>
      <c r="M171" s="27" t="inlineStr">
        <is>
          <t>الاستدامة</t>
        </is>
      </c>
      <c r="N171" s="13" t="inlineStr">
        <is>
          <t>جودة التشغيل</t>
        </is>
      </c>
      <c r="O171" s="15" t="inlineStr">
        <is>
          <t>العمليات الداخلية</t>
        </is>
      </c>
      <c r="P171" s="15" t="inlineStr">
        <is>
          <t>مدير الجودة</t>
        </is>
      </c>
      <c r="Q171" s="13" t="inlineStr">
        <is>
          <t>نظام إدارة الجودة (QMS)</t>
        </is>
      </c>
      <c r="R171" s="15" t="inlineStr">
        <is>
          <t>شهري</t>
        </is>
      </c>
      <c r="S171" s="46" t="n">
        <v>0.822</v>
      </c>
      <c r="T171" s="46" t="n">
        <v>0.865</v>
      </c>
      <c r="U171" s="46" t="n">
        <v>0.908</v>
      </c>
      <c r="V171" s="61" t="n">
        <v>0.1046</v>
      </c>
      <c r="W171" s="61" t="n">
        <v>1</v>
      </c>
      <c r="X171" s="61" t="n">
        <v>0.85</v>
      </c>
      <c r="Y171" s="71" t="inlineStr"/>
      <c r="Z171" s="69" t="inlineStr"/>
      <c r="AA171" s="27" t="inlineStr">
        <is>
          <t>محقق</t>
        </is>
      </c>
      <c r="AB171" s="27" t="n">
        <v>1</v>
      </c>
      <c r="AC171" s="74" t="inlineStr">
        <is>
          <t>#2EAD6B</t>
        </is>
      </c>
    </row>
    <row r="172">
      <c r="A172" s="9" t="inlineStr">
        <is>
          <t>الجودة</t>
        </is>
      </c>
      <c r="B172" s="9" t="inlineStr">
        <is>
          <t>تجربة العميل</t>
        </is>
      </c>
      <c r="C172" s="9" t="inlineStr">
        <is>
          <t>نسبة انخفاض الشكاوى المتكررة ذات العلاقة بالجودة</t>
        </is>
      </c>
      <c r="D172" s="15" t="inlineStr">
        <is>
          <t>🎯 نتيجة</t>
        </is>
      </c>
      <c r="E172" s="46" t="inlineStr">
        <is>
          <t>%</t>
        </is>
      </c>
      <c r="F172" s="46" t="inlineStr">
        <is>
          <t>↑</t>
        </is>
      </c>
      <c r="G172" s="15" t="inlineStr">
        <is>
          <t>🟠 مهم</t>
        </is>
      </c>
      <c r="H172" s="61" t="n">
        <v>0.07000000000000001</v>
      </c>
      <c r="I172" s="46" t="n">
        <v>0.15</v>
      </c>
      <c r="J172" s="46" t="n">
        <v>0.126</v>
      </c>
      <c r="K172" s="61" t="n">
        <v>0.8400000000000001</v>
      </c>
      <c r="L172" s="27" t="inlineStr">
        <is>
          <t>🔴 تحت الهدف</t>
        </is>
      </c>
      <c r="M172" s="27" t="inlineStr">
        <is>
          <t>الاستدامة</t>
        </is>
      </c>
      <c r="N172" s="13" t="inlineStr">
        <is>
          <t>تعزيز تجربة العملاء</t>
        </is>
      </c>
      <c r="O172" s="15" t="inlineStr">
        <is>
          <t>العملاء</t>
        </is>
      </c>
      <c r="P172" s="15" t="inlineStr">
        <is>
          <t>مدير الجودة</t>
        </is>
      </c>
      <c r="Q172" s="13" t="inlineStr">
        <is>
          <t>نظام إدارة الجودة (QMS)</t>
        </is>
      </c>
      <c r="R172" s="15" t="inlineStr">
        <is>
          <t>شهري</t>
        </is>
      </c>
      <c r="S172" s="46" t="n">
        <v>0.106</v>
      </c>
      <c r="T172" s="46" t="n">
        <v>0.116</v>
      </c>
      <c r="U172" s="46" t="n">
        <v>0.126</v>
      </c>
      <c r="V172" s="61" t="n">
        <v>0.1887</v>
      </c>
      <c r="W172" s="61" t="n">
        <v>1</v>
      </c>
      <c r="X172" s="61" t="n">
        <v>0.85</v>
      </c>
      <c r="Y172" s="75" t="inlineStr">
        <is>
          <t>دون المستهدف — فجوة 16٪، يتطلب إجراءً تصحيحياً عاجلاً.</t>
        </is>
      </c>
      <c r="Z172" s="69" t="inlineStr">
        <is>
          <t>إطلاق إجراء تصحيحي خلال 30 يوماً بإشراف مدير الجودة.</t>
        </is>
      </c>
      <c r="AA172" s="27" t="inlineStr">
        <is>
          <t>تحت الهدف</t>
        </is>
      </c>
      <c r="AB172" s="27" t="n">
        <v>3</v>
      </c>
      <c r="AC172" s="76" t="inlineStr">
        <is>
          <t>#EB5757</t>
        </is>
      </c>
    </row>
    <row r="173">
      <c r="A173" s="9" t="inlineStr">
        <is>
          <t>الجودة</t>
        </is>
      </c>
      <c r="B173" s="9" t="inlineStr">
        <is>
          <t>الجودة الإدارية</t>
        </is>
      </c>
      <c r="C173" s="9" t="inlineStr">
        <is>
          <t>نسبة اكتمال وتحديث الإجراءات المعتمدة</t>
        </is>
      </c>
      <c r="D173" s="15" t="inlineStr">
        <is>
          <t>🔧 تشغيلي</t>
        </is>
      </c>
      <c r="E173" s="46" t="inlineStr">
        <is>
          <t>%</t>
        </is>
      </c>
      <c r="F173" s="46" t="inlineStr">
        <is>
          <t>↑</t>
        </is>
      </c>
      <c r="G173" s="15" t="inlineStr">
        <is>
          <t>🟡 متابعة</t>
        </is>
      </c>
      <c r="H173" s="61" t="n">
        <v>0.03</v>
      </c>
      <c r="I173" s="46" t="n">
        <v>0.95</v>
      </c>
      <c r="J173" s="46" t="n">
        <v>0.944</v>
      </c>
      <c r="K173" s="61" t="n">
        <v>0.9936842105263158</v>
      </c>
      <c r="L173" s="27" t="inlineStr">
        <is>
          <t>🟡 قريب</t>
        </is>
      </c>
      <c r="M173" s="27" t="inlineStr">
        <is>
          <t>الاستدامة</t>
        </is>
      </c>
      <c r="N173" s="13" t="inlineStr">
        <is>
          <t>جودة التشغيل</t>
        </is>
      </c>
      <c r="O173" s="15" t="inlineStr">
        <is>
          <t>العمليات الداخلية</t>
        </is>
      </c>
      <c r="P173" s="15" t="inlineStr">
        <is>
          <t>مدير الجودة</t>
        </is>
      </c>
      <c r="Q173" s="13" t="inlineStr">
        <is>
          <t>نظام إدارة الجودة (QMS)</t>
        </is>
      </c>
      <c r="R173" s="15" t="inlineStr">
        <is>
          <t>شهري</t>
        </is>
      </c>
      <c r="S173" s="46" t="n">
        <v>0.792</v>
      </c>
      <c r="T173" s="46" t="n">
        <v>0.868</v>
      </c>
      <c r="U173" s="46" t="n">
        <v>0.944</v>
      </c>
      <c r="V173" s="61" t="n">
        <v>0.1919</v>
      </c>
      <c r="W173" s="61" t="n">
        <v>1</v>
      </c>
      <c r="X173" s="61" t="n">
        <v>0.85</v>
      </c>
      <c r="Y173" s="71" t="inlineStr">
        <is>
          <t>قريب من المستهدف — فجوة 1٪، متابعة لإغلاقها.</t>
        </is>
      </c>
      <c r="Z173" s="69" t="inlineStr">
        <is>
          <t>متابعة أسبوعية حتى بلوغ المستهدف.</t>
        </is>
      </c>
      <c r="AA173" s="27" t="inlineStr">
        <is>
          <t>قريب</t>
        </is>
      </c>
      <c r="AB173" s="27" t="n">
        <v>2</v>
      </c>
      <c r="AC173" s="72" t="inlineStr">
        <is>
          <t>#F2C94C</t>
        </is>
      </c>
    </row>
    <row r="174">
      <c r="A174" s="9" t="inlineStr">
        <is>
          <t>الجودة</t>
        </is>
      </c>
      <c r="B174" s="9" t="inlineStr">
        <is>
          <t>توثيق وحوكمة</t>
        </is>
      </c>
      <c r="C174" s="9" t="inlineStr">
        <is>
          <t>نسبة اكتمال سجلات الجودة</t>
        </is>
      </c>
      <c r="D174" s="15" t="inlineStr">
        <is>
          <t>🔧 تشغيلي</t>
        </is>
      </c>
      <c r="E174" s="46" t="inlineStr">
        <is>
          <t>%</t>
        </is>
      </c>
      <c r="F174" s="46" t="inlineStr">
        <is>
          <t>↑</t>
        </is>
      </c>
      <c r="G174" s="15" t="inlineStr">
        <is>
          <t>🟠 مهم</t>
        </is>
      </c>
      <c r="H174" s="61" t="n">
        <v>0.07000000000000001</v>
      </c>
      <c r="I174" s="46" t="n">
        <v>0.95</v>
      </c>
      <c r="J174" s="46" t="n">
        <v>0.982</v>
      </c>
      <c r="K174" s="61" t="n">
        <v>1</v>
      </c>
      <c r="L174" s="27" t="inlineStr">
        <is>
          <t>✅ محقق</t>
        </is>
      </c>
      <c r="M174" s="27" t="inlineStr">
        <is>
          <t>الاستدامة</t>
        </is>
      </c>
      <c r="N174" s="13" t="inlineStr">
        <is>
          <t>جودة التشغيل</t>
        </is>
      </c>
      <c r="O174" s="15" t="inlineStr">
        <is>
          <t>العمليات الداخلية</t>
        </is>
      </c>
      <c r="P174" s="15" t="inlineStr">
        <is>
          <t>مدير الجودة</t>
        </is>
      </c>
      <c r="Q174" s="13" t="inlineStr">
        <is>
          <t>نظام إدارة الجودة (QMS)</t>
        </is>
      </c>
      <c r="R174" s="15" t="inlineStr">
        <is>
          <t>شهري</t>
        </is>
      </c>
      <c r="S174" s="46" t="n">
        <v>0.841</v>
      </c>
      <c r="T174" s="46" t="n">
        <v>0.911</v>
      </c>
      <c r="U174" s="46" t="n">
        <v>0.982</v>
      </c>
      <c r="V174" s="61" t="n">
        <v>0.1677</v>
      </c>
      <c r="W174" s="61" t="n">
        <v>1</v>
      </c>
      <c r="X174" s="61" t="n">
        <v>0.85</v>
      </c>
      <c r="Y174" s="71" t="inlineStr"/>
      <c r="Z174" s="69" t="inlineStr"/>
      <c r="AA174" s="27" t="inlineStr">
        <is>
          <t>محقق</t>
        </is>
      </c>
      <c r="AB174" s="27" t="n">
        <v>1</v>
      </c>
      <c r="AC174" s="74" t="inlineStr">
        <is>
          <t>#2EAD6B</t>
        </is>
      </c>
    </row>
    <row r="175">
      <c r="A175" s="9" t="inlineStr">
        <is>
          <t>الجودة</t>
        </is>
      </c>
      <c r="B175" s="9" t="inlineStr">
        <is>
          <t>الابتكار والرقمنة</t>
        </is>
      </c>
      <c r="C175" s="9" t="inlineStr">
        <is>
          <t>نسبة رقمنة عمليات الجودة</t>
        </is>
      </c>
      <c r="D175" s="15" t="inlineStr">
        <is>
          <t>🔧 تشغيلي</t>
        </is>
      </c>
      <c r="E175" s="46" t="inlineStr">
        <is>
          <t>%</t>
        </is>
      </c>
      <c r="F175" s="46" t="inlineStr">
        <is>
          <t>↑</t>
        </is>
      </c>
      <c r="G175" s="15" t="inlineStr">
        <is>
          <t>🟠 مهم</t>
        </is>
      </c>
      <c r="H175" s="61" t="n">
        <v>0.07000000000000001</v>
      </c>
      <c r="I175" s="46" t="n">
        <v>0.8</v>
      </c>
      <c r="J175" s="46" t="n">
        <v>0.834</v>
      </c>
      <c r="K175" s="61" t="n">
        <v>1</v>
      </c>
      <c r="L175" s="27" t="inlineStr">
        <is>
          <t>✅ محقق</t>
        </is>
      </c>
      <c r="M175" s="27" t="inlineStr">
        <is>
          <t>الابتكار</t>
        </is>
      </c>
      <c r="N175" s="13" t="inlineStr">
        <is>
          <t>التحول التقني</t>
        </is>
      </c>
      <c r="O175" s="15" t="inlineStr">
        <is>
          <t>التعلّم والنمو</t>
        </is>
      </c>
      <c r="P175" s="15" t="inlineStr">
        <is>
          <t>مدير الجودة</t>
        </is>
      </c>
      <c r="Q175" s="13" t="inlineStr">
        <is>
          <t>نظام إدارة الجودة (QMS)</t>
        </is>
      </c>
      <c r="R175" s="15" t="inlineStr">
        <is>
          <t>شهري</t>
        </is>
      </c>
      <c r="S175" s="46" t="n">
        <v>0.724</v>
      </c>
      <c r="T175" s="46" t="n">
        <v>0.779</v>
      </c>
      <c r="U175" s="46" t="n">
        <v>0.834</v>
      </c>
      <c r="V175" s="61" t="n">
        <v>0.1519</v>
      </c>
      <c r="W175" s="61" t="n">
        <v>1</v>
      </c>
      <c r="X175" s="61" t="n">
        <v>0.85</v>
      </c>
      <c r="Y175" s="71" t="inlineStr"/>
      <c r="Z175" s="69" t="inlineStr"/>
      <c r="AA175" s="27" t="inlineStr">
        <is>
          <t>محقق</t>
        </is>
      </c>
      <c r="AB175" s="27" t="n">
        <v>1</v>
      </c>
      <c r="AC175" s="74" t="inlineStr">
        <is>
          <t>#2EAD6B</t>
        </is>
      </c>
    </row>
    <row r="176">
      <c r="A176" s="9" t="inlineStr">
        <is>
          <t>الجودة</t>
        </is>
      </c>
      <c r="B176" s="9" t="inlineStr">
        <is>
          <t>التحسين المستمر</t>
        </is>
      </c>
      <c r="C176" s="9" t="inlineStr">
        <is>
          <t>عدد مبادرات التحسين المؤثرة</t>
        </is>
      </c>
      <c r="D176" s="15" t="inlineStr">
        <is>
          <t>⚙️ نشاط</t>
        </is>
      </c>
      <c r="E176" s="46" t="inlineStr">
        <is>
          <t>مبادرة</t>
        </is>
      </c>
      <c r="F176" s="46" t="inlineStr">
        <is>
          <t>↑</t>
        </is>
      </c>
      <c r="G176" s="15" t="inlineStr">
        <is>
          <t>🟠 مهم</t>
        </is>
      </c>
      <c r="H176" s="61" t="n">
        <v>0.07000000000000001</v>
      </c>
      <c r="I176" s="46" t="n">
        <v>8</v>
      </c>
      <c r="J176" s="46" t="n">
        <v>6.827</v>
      </c>
      <c r="K176" s="61" t="n">
        <v>0.853375</v>
      </c>
      <c r="L176" s="27" t="inlineStr">
        <is>
          <t>🟡 قريب</t>
        </is>
      </c>
      <c r="M176" s="27" t="inlineStr">
        <is>
          <t>الاستدامة</t>
        </is>
      </c>
      <c r="N176" s="13" t="inlineStr">
        <is>
          <t>جودة التشغيل</t>
        </is>
      </c>
      <c r="O176" s="15" t="inlineStr">
        <is>
          <t>التعلّم والنمو</t>
        </is>
      </c>
      <c r="P176" s="15" t="inlineStr">
        <is>
          <t>مدير الجودة</t>
        </is>
      </c>
      <c r="Q176" s="13" t="inlineStr">
        <is>
          <t>سجلات الإدارة</t>
        </is>
      </c>
      <c r="R176" s="15" t="inlineStr">
        <is>
          <t>ربعي</t>
        </is>
      </c>
      <c r="S176" s="46" t="n">
        <v>5.487</v>
      </c>
      <c r="T176" s="46" t="n">
        <v>6.157</v>
      </c>
      <c r="U176" s="46" t="n">
        <v>13.654</v>
      </c>
      <c r="V176" s="61" t="n">
        <v>0.2442</v>
      </c>
      <c r="W176" s="61" t="n">
        <v>1</v>
      </c>
      <c r="X176" s="61" t="n">
        <v>0.85</v>
      </c>
      <c r="Y176" s="71" t="inlineStr">
        <is>
          <t>قريب من المستهدف — فجوة 15٪، متابعة لإغلاقها.</t>
        </is>
      </c>
      <c r="Z176" s="69" t="inlineStr">
        <is>
          <t>متابعة أسبوعية حتى بلوغ المستهدف.</t>
        </is>
      </c>
      <c r="AA176" s="27" t="inlineStr">
        <is>
          <t>قريب</t>
        </is>
      </c>
      <c r="AB176" s="27" t="n">
        <v>2</v>
      </c>
      <c r="AC176" s="72" t="inlineStr">
        <is>
          <t>#F2C94C</t>
        </is>
      </c>
    </row>
    <row r="177">
      <c r="A177" s="9" t="inlineStr">
        <is>
          <t>الإدارة القانونية</t>
        </is>
      </c>
      <c r="B177" s="9" t="inlineStr">
        <is>
          <t>أعمال العقود</t>
        </is>
      </c>
      <c r="C177" s="9" t="inlineStr">
        <is>
          <t>نسبة العقود المُراجَعة قانونياً قبل التوقيع</t>
        </is>
      </c>
      <c r="D177" s="15" t="inlineStr">
        <is>
          <t>🔧 تشغيلي</t>
        </is>
      </c>
      <c r="E177" s="46" t="inlineStr">
        <is>
          <t>%</t>
        </is>
      </c>
      <c r="F177" s="46" t="inlineStr">
        <is>
          <t>↑</t>
        </is>
      </c>
      <c r="G177" s="15" t="inlineStr">
        <is>
          <t>🔴 رئيسي</t>
        </is>
      </c>
      <c r="H177" s="61" t="n">
        <v>0.15</v>
      </c>
      <c r="I177" s="46" t="n">
        <v>1</v>
      </c>
      <c r="J177" s="46" t="n">
        <v>1.013</v>
      </c>
      <c r="K177" s="61" t="n">
        <v>1</v>
      </c>
      <c r="L177" s="27" t="inlineStr">
        <is>
          <t>✅ محقق</t>
        </is>
      </c>
      <c r="M177" s="27" t="inlineStr">
        <is>
          <t>الاستدامة</t>
        </is>
      </c>
      <c r="N177" s="13" t="inlineStr">
        <is>
          <t>جودة التشغيل</t>
        </is>
      </c>
      <c r="O177" s="15" t="inlineStr">
        <is>
          <t>العمليات الداخلية</t>
        </is>
      </c>
      <c r="P177" s="15" t="inlineStr">
        <is>
          <t>المدير القانوني</t>
        </is>
      </c>
      <c r="Q177" s="13" t="inlineStr">
        <is>
          <t>نظام إدارة العقود (CRM)</t>
        </is>
      </c>
      <c r="R177" s="15" t="inlineStr">
        <is>
          <t>شهري</t>
        </is>
      </c>
      <c r="S177" s="46" t="n">
        <v>0.91</v>
      </c>
      <c r="T177" s="46" t="n">
        <v>0.962</v>
      </c>
      <c r="U177" s="46" t="n">
        <v>1.013</v>
      </c>
      <c r="V177" s="61" t="n">
        <v>0.1132</v>
      </c>
      <c r="W177" s="61" t="n">
        <v>1</v>
      </c>
      <c r="X177" s="61" t="n">
        <v>0.85</v>
      </c>
      <c r="Y177" s="71" t="inlineStr"/>
      <c r="Z177" s="69" t="inlineStr"/>
      <c r="AA177" s="27" t="inlineStr">
        <is>
          <t>محقق</t>
        </is>
      </c>
      <c r="AB177" s="27" t="n">
        <v>1</v>
      </c>
      <c r="AC177" s="74" t="inlineStr">
        <is>
          <t>#2EAD6B</t>
        </is>
      </c>
    </row>
    <row r="178">
      <c r="A178" s="9" t="inlineStr">
        <is>
          <t>الإدارة القانونية</t>
        </is>
      </c>
      <c r="B178" s="9" t="inlineStr">
        <is>
          <t>أعمال العقود</t>
        </is>
      </c>
      <c r="C178" s="9" t="inlineStr">
        <is>
          <t>متوسط زمن صياغة ومراجعة العقد</t>
        </is>
      </c>
      <c r="D178" s="15" t="inlineStr">
        <is>
          <t>🔧 تشغيلي</t>
        </is>
      </c>
      <c r="E178" s="46" t="inlineStr">
        <is>
          <t>يوم</t>
        </is>
      </c>
      <c r="F178" s="46" t="inlineStr">
        <is>
          <t>↓</t>
        </is>
      </c>
      <c r="G178" s="15" t="inlineStr">
        <is>
          <t>🔴 رئيسي</t>
        </is>
      </c>
      <c r="H178" s="61" t="n">
        <v>0.15</v>
      </c>
      <c r="I178" s="46" t="n">
        <v>3</v>
      </c>
      <c r="J178" s="46" t="n">
        <v>2.994</v>
      </c>
      <c r="K178" s="61" t="n">
        <v>1</v>
      </c>
      <c r="L178" s="27" t="inlineStr">
        <is>
          <t>✅ محقق</t>
        </is>
      </c>
      <c r="M178" s="27" t="inlineStr">
        <is>
          <t>الاستدامة</t>
        </is>
      </c>
      <c r="N178" s="13" t="inlineStr">
        <is>
          <t>جودة التشغيل</t>
        </is>
      </c>
      <c r="O178" s="15" t="inlineStr">
        <is>
          <t>العمليات الداخلية</t>
        </is>
      </c>
      <c r="P178" s="15" t="inlineStr">
        <is>
          <t>المدير القانوني</t>
        </is>
      </c>
      <c r="Q178" s="13" t="inlineStr">
        <is>
          <t>نظام إدارة العقود/القضايا</t>
        </is>
      </c>
      <c r="R178" s="15" t="inlineStr">
        <is>
          <t>شهري</t>
        </is>
      </c>
      <c r="S178" s="46" t="n">
        <v>3.446</v>
      </c>
      <c r="T178" s="46" t="n">
        <v>3.22</v>
      </c>
      <c r="U178" s="46" t="n">
        <v>2.994</v>
      </c>
      <c r="V178" s="61" t="n">
        <v>-0.1312</v>
      </c>
      <c r="W178" s="61" t="n">
        <v>1</v>
      </c>
      <c r="X178" s="61" t="n">
        <v>0.85</v>
      </c>
      <c r="Y178" s="71" t="inlineStr"/>
      <c r="Z178" s="69" t="inlineStr"/>
      <c r="AA178" s="27" t="inlineStr">
        <is>
          <t>محقق</t>
        </is>
      </c>
      <c r="AB178" s="27" t="n">
        <v>1</v>
      </c>
      <c r="AC178" s="74" t="inlineStr">
        <is>
          <t>#2EAD6B</t>
        </is>
      </c>
    </row>
    <row r="179">
      <c r="A179" s="9" t="inlineStr">
        <is>
          <t>الإدارة القانونية</t>
        </is>
      </c>
      <c r="B179" s="9" t="inlineStr">
        <is>
          <t>أعمال العقود</t>
        </is>
      </c>
      <c r="C179" s="9" t="inlineStr">
        <is>
          <t>نسبة العقود الخالية من الملاحظات والمخاطر القانونية</t>
        </is>
      </c>
      <c r="D179" s="15" t="inlineStr">
        <is>
          <t>🎯 نتيجة</t>
        </is>
      </c>
      <c r="E179" s="46" t="inlineStr">
        <is>
          <t>%</t>
        </is>
      </c>
      <c r="F179" s="46" t="inlineStr">
        <is>
          <t>↑</t>
        </is>
      </c>
      <c r="G179" s="15" t="inlineStr">
        <is>
          <t>🔴 رئيسي</t>
        </is>
      </c>
      <c r="H179" s="61" t="n">
        <v>0.15</v>
      </c>
      <c r="I179" s="46" t="n">
        <v>0.95</v>
      </c>
      <c r="J179" s="46" t="n">
        <v>0.924</v>
      </c>
      <c r="K179" s="61" t="n">
        <v>0.9726315789473685</v>
      </c>
      <c r="L179" s="27" t="inlineStr">
        <is>
          <t>🟡 قريب</t>
        </is>
      </c>
      <c r="M179" s="27" t="inlineStr">
        <is>
          <t>الاستدامة</t>
        </is>
      </c>
      <c r="N179" s="13" t="inlineStr">
        <is>
          <t>جودة التشغيل</t>
        </is>
      </c>
      <c r="O179" s="15" t="inlineStr">
        <is>
          <t>العمليات الداخلية</t>
        </is>
      </c>
      <c r="P179" s="15" t="inlineStr">
        <is>
          <t>المدير القانوني</t>
        </is>
      </c>
      <c r="Q179" s="13" t="inlineStr">
        <is>
          <t>نظام إدارة الجودة (QMS)</t>
        </is>
      </c>
      <c r="R179" s="15" t="inlineStr">
        <is>
          <t>شهري</t>
        </is>
      </c>
      <c r="S179" s="46" t="n">
        <v>0.803</v>
      </c>
      <c r="T179" s="46" t="n">
        <v>0.864</v>
      </c>
      <c r="U179" s="46" t="n">
        <v>0.924</v>
      </c>
      <c r="V179" s="61" t="n">
        <v>0.1507</v>
      </c>
      <c r="W179" s="61" t="n">
        <v>1</v>
      </c>
      <c r="X179" s="61" t="n">
        <v>0.85</v>
      </c>
      <c r="Y179" s="71" t="inlineStr">
        <is>
          <t>قريب من المستهدف — فجوة 3٪، متابعة لإغلاقها.</t>
        </is>
      </c>
      <c r="Z179" s="69" t="inlineStr">
        <is>
          <t>متابعة أسبوعية حتى بلوغ المستهدف.</t>
        </is>
      </c>
      <c r="AA179" s="27" t="inlineStr">
        <is>
          <t>قريب</t>
        </is>
      </c>
      <c r="AB179" s="27" t="n">
        <v>2</v>
      </c>
      <c r="AC179" s="72" t="inlineStr">
        <is>
          <t>#F2C94C</t>
        </is>
      </c>
    </row>
    <row r="180">
      <c r="A180" s="9" t="inlineStr">
        <is>
          <t>الإدارة القانونية</t>
        </is>
      </c>
      <c r="B180" s="9" t="inlineStr">
        <is>
          <t>أعمال القضايا</t>
        </is>
      </c>
      <c r="C180" s="9" t="inlineStr">
        <is>
          <t>نسبة القضايا المُغلقة لصالح الشركة</t>
        </is>
      </c>
      <c r="D180" s="15" t="inlineStr">
        <is>
          <t>🔧 تشغيلي</t>
        </is>
      </c>
      <c r="E180" s="46" t="inlineStr">
        <is>
          <t>%</t>
        </is>
      </c>
      <c r="F180" s="46" t="inlineStr">
        <is>
          <t>↑</t>
        </is>
      </c>
      <c r="G180" s="15" t="inlineStr">
        <is>
          <t>🟠 مهم</t>
        </is>
      </c>
      <c r="H180" s="61" t="n">
        <v>0.1</v>
      </c>
      <c r="I180" s="46" t="n">
        <v>0.8</v>
      </c>
      <c r="J180" s="46" t="n">
        <v>0.664</v>
      </c>
      <c r="K180" s="61" t="n">
        <v>0.83</v>
      </c>
      <c r="L180" s="27" t="inlineStr">
        <is>
          <t>🔴 تحت الهدف</t>
        </is>
      </c>
      <c r="M180" s="27" t="inlineStr">
        <is>
          <t>الاستدامة</t>
        </is>
      </c>
      <c r="N180" s="13" t="inlineStr">
        <is>
          <t>جودة التشغيل</t>
        </is>
      </c>
      <c r="O180" s="15" t="inlineStr">
        <is>
          <t>العمليات الداخلية</t>
        </is>
      </c>
      <c r="P180" s="15" t="inlineStr">
        <is>
          <t>المدير القانوني</t>
        </is>
      </c>
      <c r="Q180" s="13" t="inlineStr">
        <is>
          <t>نظام إدارة العقود/القضايا</t>
        </is>
      </c>
      <c r="R180" s="15" t="inlineStr">
        <is>
          <t>شهري</t>
        </is>
      </c>
      <c r="S180" s="46" t="n">
        <v>0.532</v>
      </c>
      <c r="T180" s="46" t="n">
        <v>0.598</v>
      </c>
      <c r="U180" s="46" t="n">
        <v>0.664</v>
      </c>
      <c r="V180" s="61" t="n">
        <v>0.2481</v>
      </c>
      <c r="W180" s="61" t="n">
        <v>1</v>
      </c>
      <c r="X180" s="61" t="n">
        <v>0.85</v>
      </c>
      <c r="Y180" s="75" t="inlineStr">
        <is>
          <t>دون المستهدف — فجوة 17٪، يتطلب إجراءً تصحيحياً عاجلاً.</t>
        </is>
      </c>
      <c r="Z180" s="69" t="inlineStr">
        <is>
          <t>إطلاق إجراء تصحيحي خلال 30 يوماً بإشراف المدير القانوني.</t>
        </is>
      </c>
      <c r="AA180" s="27" t="inlineStr">
        <is>
          <t>تحت الهدف</t>
        </is>
      </c>
      <c r="AB180" s="27" t="n">
        <v>3</v>
      </c>
      <c r="AC180" s="76" t="inlineStr">
        <is>
          <t>#EB5757</t>
        </is>
      </c>
    </row>
    <row r="181">
      <c r="A181" s="9" t="inlineStr">
        <is>
          <t>الإدارة القانونية</t>
        </is>
      </c>
      <c r="B181" s="9" t="inlineStr">
        <is>
          <t>أعمال القضايا</t>
        </is>
      </c>
      <c r="C181" s="9" t="inlineStr">
        <is>
          <t>نسبة تقديم المذكرات والردود في المواعيد النظامية</t>
        </is>
      </c>
      <c r="D181" s="15" t="inlineStr">
        <is>
          <t>🔧 تشغيلي</t>
        </is>
      </c>
      <c r="E181" s="46" t="inlineStr">
        <is>
          <t>%</t>
        </is>
      </c>
      <c r="F181" s="46" t="inlineStr">
        <is>
          <t>↑</t>
        </is>
      </c>
      <c r="G181" s="15" t="inlineStr">
        <is>
          <t>🟠 مهم</t>
        </is>
      </c>
      <c r="H181" s="61" t="n">
        <v>0.1</v>
      </c>
      <c r="I181" s="46" t="n">
        <v>1</v>
      </c>
      <c r="J181" s="46" t="n">
        <v>0.797</v>
      </c>
      <c r="K181" s="61" t="n">
        <v>0.797</v>
      </c>
      <c r="L181" s="27" t="inlineStr">
        <is>
          <t>🔴 تحت الهدف</t>
        </is>
      </c>
      <c r="M181" s="27" t="inlineStr">
        <is>
          <t>الاستدامة</t>
        </is>
      </c>
      <c r="N181" s="13" t="inlineStr">
        <is>
          <t>جودة التشغيل</t>
        </is>
      </c>
      <c r="O181" s="15" t="inlineStr">
        <is>
          <t>العمليات الداخلية</t>
        </is>
      </c>
      <c r="P181" s="15" t="inlineStr">
        <is>
          <t>المدير القانوني</t>
        </is>
      </c>
      <c r="Q181" s="13" t="inlineStr">
        <is>
          <t>نظام إدارة العقود/القضايا</t>
        </is>
      </c>
      <c r="R181" s="15" t="inlineStr">
        <is>
          <t>شهري</t>
        </is>
      </c>
      <c r="S181" s="46" t="n">
        <v>0.638</v>
      </c>
      <c r="T181" s="46" t="n">
        <v>0.718</v>
      </c>
      <c r="U181" s="46" t="n">
        <v>0.797</v>
      </c>
      <c r="V181" s="61" t="n">
        <v>0.2492</v>
      </c>
      <c r="W181" s="61" t="n">
        <v>1</v>
      </c>
      <c r="X181" s="61" t="n">
        <v>0.85</v>
      </c>
      <c r="Y181" s="75" t="inlineStr">
        <is>
          <t>دون المستهدف — فجوة 20٪، يتطلب إجراءً تصحيحياً عاجلاً.</t>
        </is>
      </c>
      <c r="Z181" s="69" t="inlineStr">
        <is>
          <t>إطلاق إجراء تصحيحي خلال 30 يوماً بإشراف المدير القانوني.</t>
        </is>
      </c>
      <c r="AA181" s="27" t="inlineStr">
        <is>
          <t>تحت الهدف</t>
        </is>
      </c>
      <c r="AB181" s="27" t="n">
        <v>3</v>
      </c>
      <c r="AC181" s="76" t="inlineStr">
        <is>
          <t>#EB5757</t>
        </is>
      </c>
    </row>
    <row r="182">
      <c r="A182" s="9" t="inlineStr">
        <is>
          <t>الإدارة القانونية</t>
        </is>
      </c>
      <c r="B182" s="9" t="inlineStr">
        <is>
          <t>أعمال القضايا</t>
        </is>
      </c>
      <c r="C182" s="9" t="inlineStr">
        <is>
          <t>متوسط زمن إعداد المذكرة القانونية</t>
        </is>
      </c>
      <c r="D182" s="15" t="inlineStr">
        <is>
          <t>⚙️ نشاط</t>
        </is>
      </c>
      <c r="E182" s="46" t="inlineStr">
        <is>
          <t>يوم</t>
        </is>
      </c>
      <c r="F182" s="46" t="inlineStr">
        <is>
          <t>↓</t>
        </is>
      </c>
      <c r="G182" s="15" t="inlineStr">
        <is>
          <t>🟠 مهم</t>
        </is>
      </c>
      <c r="H182" s="61" t="n">
        <v>0.1</v>
      </c>
      <c r="I182" s="46" t="n">
        <v>5</v>
      </c>
      <c r="J182" s="46" t="n">
        <v>4.545</v>
      </c>
      <c r="K182" s="61" t="n">
        <v>1</v>
      </c>
      <c r="L182" s="27" t="inlineStr">
        <is>
          <t>✅ محقق</t>
        </is>
      </c>
      <c r="M182" s="27" t="inlineStr">
        <is>
          <t>الاستدامة</t>
        </is>
      </c>
      <c r="N182" s="13" t="inlineStr">
        <is>
          <t>جودة التشغيل</t>
        </is>
      </c>
      <c r="O182" s="15" t="inlineStr">
        <is>
          <t>العمليات الداخلية</t>
        </is>
      </c>
      <c r="P182" s="15" t="inlineStr">
        <is>
          <t>المدير القانوني</t>
        </is>
      </c>
      <c r="Q182" s="13" t="inlineStr">
        <is>
          <t>نظام إدارة العقود/القضايا</t>
        </is>
      </c>
      <c r="R182" s="15" t="inlineStr">
        <is>
          <t>شهري</t>
        </is>
      </c>
      <c r="S182" s="46" t="n">
        <v>5.434</v>
      </c>
      <c r="T182" s="46" t="n">
        <v>4.989</v>
      </c>
      <c r="U182" s="46" t="n">
        <v>4.545</v>
      </c>
      <c r="V182" s="61" t="n">
        <v>-0.1636</v>
      </c>
      <c r="W182" s="61" t="n">
        <v>1</v>
      </c>
      <c r="X182" s="61" t="n">
        <v>0.85</v>
      </c>
      <c r="Y182" s="71" t="inlineStr"/>
      <c r="Z182" s="69" t="inlineStr"/>
      <c r="AA182" s="27" t="inlineStr">
        <is>
          <t>محقق</t>
        </is>
      </c>
      <c r="AB182" s="27" t="n">
        <v>1</v>
      </c>
      <c r="AC182" s="74" t="inlineStr">
        <is>
          <t>#2EAD6B</t>
        </is>
      </c>
    </row>
    <row r="183">
      <c r="A183" s="9" t="inlineStr">
        <is>
          <t>الإدارة القانونية</t>
        </is>
      </c>
      <c r="B183" s="9" t="inlineStr">
        <is>
          <t>الاستشارات القانونية</t>
        </is>
      </c>
      <c r="C183" s="9" t="inlineStr">
        <is>
          <t>نسبة الاستشارات المُنجزة ضمن المدة المستهدفة (SLA)</t>
        </is>
      </c>
      <c r="D183" s="15" t="inlineStr">
        <is>
          <t>🔧 تشغيلي</t>
        </is>
      </c>
      <c r="E183" s="46" t="inlineStr">
        <is>
          <t>%</t>
        </is>
      </c>
      <c r="F183" s="46" t="inlineStr">
        <is>
          <t>↑</t>
        </is>
      </c>
      <c r="G183" s="15" t="inlineStr">
        <is>
          <t>🟠 مهم</t>
        </is>
      </c>
      <c r="H183" s="61" t="n">
        <v>0.1</v>
      </c>
      <c r="I183" s="46" t="n">
        <v>0.9</v>
      </c>
      <c r="J183" s="46" t="n">
        <v>0.659</v>
      </c>
      <c r="K183" s="61" t="n">
        <v>0.7322222222222222</v>
      </c>
      <c r="L183" s="27" t="inlineStr">
        <is>
          <t>🔴 تحت الهدف</t>
        </is>
      </c>
      <c r="M183" s="27" t="inlineStr">
        <is>
          <t>الاستدامة</t>
        </is>
      </c>
      <c r="N183" s="13" t="inlineStr">
        <is>
          <t>جودة التشغيل</t>
        </is>
      </c>
      <c r="O183" s="15" t="inlineStr">
        <is>
          <t>العمليات الداخلية</t>
        </is>
      </c>
      <c r="P183" s="15" t="inlineStr">
        <is>
          <t>المدير القانوني</t>
        </is>
      </c>
      <c r="Q183" s="13" t="inlineStr">
        <is>
          <t>نظام إدارة العقود/القضايا</t>
        </is>
      </c>
      <c r="R183" s="15" t="inlineStr">
        <is>
          <t>شهري</t>
        </is>
      </c>
      <c r="S183" s="46" t="n">
        <v>0.5570000000000001</v>
      </c>
      <c r="T183" s="46" t="n">
        <v>0.608</v>
      </c>
      <c r="U183" s="46" t="n">
        <v>0.659</v>
      </c>
      <c r="V183" s="61" t="n">
        <v>0.1831</v>
      </c>
      <c r="W183" s="61" t="n">
        <v>1</v>
      </c>
      <c r="X183" s="61" t="n">
        <v>0.85</v>
      </c>
      <c r="Y183" s="75" t="inlineStr">
        <is>
          <t>دون المستهدف — فجوة 27٪، يتطلب إجراءً تصحيحياً عاجلاً.</t>
        </is>
      </c>
      <c r="Z183" s="69" t="inlineStr">
        <is>
          <t>إطلاق إجراء تصحيحي خلال 30 يوماً بإشراف المدير القانوني.</t>
        </is>
      </c>
      <c r="AA183" s="27" t="inlineStr">
        <is>
          <t>تحت الهدف</t>
        </is>
      </c>
      <c r="AB183" s="27" t="n">
        <v>3</v>
      </c>
      <c r="AC183" s="76" t="inlineStr">
        <is>
          <t>#EB5757</t>
        </is>
      </c>
    </row>
    <row r="184">
      <c r="A184" s="9" t="inlineStr">
        <is>
          <t>الإدارة القانونية</t>
        </is>
      </c>
      <c r="B184" s="9" t="inlineStr">
        <is>
          <t>الاستشارات القانونية</t>
        </is>
      </c>
      <c r="C184" s="9" t="inlineStr">
        <is>
          <t>مستوى رضا الإدارات عن الدعم القانوني</t>
        </is>
      </c>
      <c r="D184" s="15" t="inlineStr">
        <is>
          <t>🎯 نتيجة</t>
        </is>
      </c>
      <c r="E184" s="46" t="inlineStr">
        <is>
          <t>%</t>
        </is>
      </c>
      <c r="F184" s="46" t="inlineStr">
        <is>
          <t>↑</t>
        </is>
      </c>
      <c r="G184" s="15" t="inlineStr">
        <is>
          <t>🔴 رئيسي</t>
        </is>
      </c>
      <c r="H184" s="61" t="n">
        <v>0.15</v>
      </c>
      <c r="I184" s="46" t="n">
        <v>0.85</v>
      </c>
      <c r="J184" s="46" t="n">
        <v>0.674</v>
      </c>
      <c r="K184" s="61" t="n">
        <v>0.7929411764705883</v>
      </c>
      <c r="L184" s="27" t="inlineStr">
        <is>
          <t>🟡 قريب</t>
        </is>
      </c>
      <c r="M184" s="27" t="inlineStr">
        <is>
          <t>الاستدامة</t>
        </is>
      </c>
      <c r="N184" s="13" t="inlineStr">
        <is>
          <t>جودة التشغيل</t>
        </is>
      </c>
      <c r="O184" s="15" t="inlineStr">
        <is>
          <t>العملاء</t>
        </is>
      </c>
      <c r="P184" s="15" t="inlineStr">
        <is>
          <t>المدير القانوني</t>
        </is>
      </c>
      <c r="Q184" s="13" t="inlineStr">
        <is>
          <t>استبيان دوري</t>
        </is>
      </c>
      <c r="R184" s="15" t="inlineStr">
        <is>
          <t>ربعي</t>
        </is>
      </c>
      <c r="S184" s="46" t="n">
        <v>0.614</v>
      </c>
      <c r="T184" s="46" t="n">
        <v>0.644</v>
      </c>
      <c r="U184" s="46" t="n">
        <v>0.674</v>
      </c>
      <c r="V184" s="61" t="n">
        <v>0.0977</v>
      </c>
      <c r="W184" s="61" t="n">
        <v>0.9</v>
      </c>
      <c r="X184" s="61" t="n">
        <v>0.75</v>
      </c>
      <c r="Y184" s="71" t="inlineStr">
        <is>
          <t>قريب من المستهدف — فجوة 21٪، متابعة لإغلاقها.</t>
        </is>
      </c>
      <c r="Z184" s="69" t="inlineStr">
        <is>
          <t>متابعة أسبوعية حتى بلوغ المستهدف.</t>
        </is>
      </c>
      <c r="AA184" s="27" t="inlineStr">
        <is>
          <t>قريب</t>
        </is>
      </c>
      <c r="AB184" s="27" t="n">
        <v>2</v>
      </c>
      <c r="AC184" s="72" t="inlineStr">
        <is>
          <t>#F2C94C</t>
        </is>
      </c>
    </row>
    <row r="185">
      <c r="A185" s="9" t="inlineStr">
        <is>
          <t>الإدارة المالية</t>
        </is>
      </c>
      <c r="B185" s="9" t="inlineStr">
        <is>
          <t>المالية الاستراتيجية</t>
        </is>
      </c>
      <c r="C185" s="9" t="inlineStr">
        <is>
          <t>نمو الإيرادات السنوي</t>
        </is>
      </c>
      <c r="D185" s="15" t="inlineStr">
        <is>
          <t>🎯 نتيجة</t>
        </is>
      </c>
      <c r="E185" s="46" t="inlineStr">
        <is>
          <t>%</t>
        </is>
      </c>
      <c r="F185" s="46" t="inlineStr">
        <is>
          <t>↑</t>
        </is>
      </c>
      <c r="G185" s="15" t="inlineStr">
        <is>
          <t>🔴 رئيسي</t>
        </is>
      </c>
      <c r="H185" s="61" t="n">
        <v>0.05</v>
      </c>
      <c r="I185" s="46" t="n">
        <v>0.2</v>
      </c>
      <c r="J185" s="46" t="n">
        <v>0.169</v>
      </c>
      <c r="K185" s="61" t="n">
        <v>0.845</v>
      </c>
      <c r="L185" s="27" t="inlineStr">
        <is>
          <t>🔴 تحت الهدف</t>
        </is>
      </c>
      <c r="M185" s="27" t="inlineStr">
        <is>
          <t>النمو</t>
        </is>
      </c>
      <c r="N185" s="13" t="inlineStr">
        <is>
          <t>زيادة وصول العملاء</t>
        </is>
      </c>
      <c r="O185" s="15" t="inlineStr">
        <is>
          <t>مالي</t>
        </is>
      </c>
      <c r="P185" s="15" t="inlineStr">
        <is>
          <t>المدير المالي</t>
        </is>
      </c>
      <c r="Q185" s="13" t="inlineStr">
        <is>
          <t>نظام المحاسبة / ERP (D365)</t>
        </is>
      </c>
      <c r="R185" s="15" t="inlineStr">
        <is>
          <t>ربعي</t>
        </is>
      </c>
      <c r="S185" s="46" t="n">
        <v>0.148</v>
      </c>
      <c r="T185" s="46" t="n">
        <v>0.159</v>
      </c>
      <c r="U185" s="46" t="n">
        <v>0.169</v>
      </c>
      <c r="V185" s="61" t="n">
        <v>0.1419</v>
      </c>
      <c r="W185" s="61" t="n">
        <v>1</v>
      </c>
      <c r="X185" s="61" t="n">
        <v>0.85</v>
      </c>
      <c r="Y185" s="75" t="inlineStr">
        <is>
          <t>دون المستهدف — فجوة 16٪، يتطلب إجراءً تصحيحياً عاجلاً.</t>
        </is>
      </c>
      <c r="Z185" s="69" t="inlineStr">
        <is>
          <t>إطلاق إجراء تصحيحي خلال 30 يوماً بإشراف المدير المالي.</t>
        </is>
      </c>
      <c r="AA185" s="27" t="inlineStr">
        <is>
          <t>تحت الهدف</t>
        </is>
      </c>
      <c r="AB185" s="27" t="n">
        <v>3</v>
      </c>
      <c r="AC185" s="76" t="inlineStr">
        <is>
          <t>#EB5757</t>
        </is>
      </c>
    </row>
    <row r="186">
      <c r="A186" s="9" t="inlineStr">
        <is>
          <t>الإدارة المالية</t>
        </is>
      </c>
      <c r="B186" s="9" t="inlineStr">
        <is>
          <t>المالية الاستراتيجية</t>
        </is>
      </c>
      <c r="C186" s="9" t="inlineStr">
        <is>
          <t>هامش EBITDA</t>
        </is>
      </c>
      <c r="D186" s="15" t="inlineStr">
        <is>
          <t>🎯 نتيجة</t>
        </is>
      </c>
      <c r="E186" s="46" t="inlineStr">
        <is>
          <t>%</t>
        </is>
      </c>
      <c r="F186" s="46" t="inlineStr">
        <is>
          <t>↑</t>
        </is>
      </c>
      <c r="G186" s="15" t="inlineStr">
        <is>
          <t>🟠 مهم</t>
        </is>
      </c>
      <c r="H186" s="61" t="n">
        <v>0.04</v>
      </c>
      <c r="I186" s="46" t="n">
        <v>0.08</v>
      </c>
      <c r="J186" s="46" t="n">
        <v>0.062</v>
      </c>
      <c r="K186" s="61" t="n">
        <v>0.775</v>
      </c>
      <c r="L186" s="27" t="inlineStr">
        <is>
          <t>🔴 تحت الهدف</t>
        </is>
      </c>
      <c r="M186" s="27" t="inlineStr">
        <is>
          <t>النمو</t>
        </is>
      </c>
      <c r="N186" s="13" t="inlineStr">
        <is>
          <t>زيادة وصول العملاء</t>
        </is>
      </c>
      <c r="O186" s="15" t="inlineStr">
        <is>
          <t>مالي</t>
        </is>
      </c>
      <c r="P186" s="15" t="inlineStr">
        <is>
          <t>المدير المالي</t>
        </is>
      </c>
      <c r="Q186" s="13" t="inlineStr">
        <is>
          <t>نظام المحاسبة / ERP (D365)</t>
        </is>
      </c>
      <c r="R186" s="15" t="inlineStr">
        <is>
          <t>شهري</t>
        </is>
      </c>
      <c r="S186" s="46" t="n">
        <v>0.056</v>
      </c>
      <c r="T186" s="46" t="n">
        <v>0.059</v>
      </c>
      <c r="U186" s="46" t="n">
        <v>0.062</v>
      </c>
      <c r="V186" s="61" t="n">
        <v>0.1071</v>
      </c>
      <c r="W186" s="61" t="n">
        <v>1</v>
      </c>
      <c r="X186" s="61" t="n">
        <v>0.85</v>
      </c>
      <c r="Y186" s="75" t="inlineStr">
        <is>
          <t>دون المستهدف — فجوة 22٪، يتطلب إجراءً تصحيحياً عاجلاً.</t>
        </is>
      </c>
      <c r="Z186" s="69" t="inlineStr">
        <is>
          <t>إطلاق إجراء تصحيحي خلال 30 يوماً بإشراف المدير المالي.</t>
        </is>
      </c>
      <c r="AA186" s="27" t="inlineStr">
        <is>
          <t>تحت الهدف</t>
        </is>
      </c>
      <c r="AB186" s="27" t="n">
        <v>3</v>
      </c>
      <c r="AC186" s="76" t="inlineStr">
        <is>
          <t>#EB5757</t>
        </is>
      </c>
    </row>
    <row r="187">
      <c r="A187" s="9" t="inlineStr">
        <is>
          <t>الإدارة المالية</t>
        </is>
      </c>
      <c r="B187" s="9" t="inlineStr">
        <is>
          <t>المالية الاستراتيجية</t>
        </is>
      </c>
      <c r="C187" s="9" t="inlineStr">
        <is>
          <t>هامش صافي الربح</t>
        </is>
      </c>
      <c r="D187" s="15" t="inlineStr">
        <is>
          <t>🎯 نتيجة</t>
        </is>
      </c>
      <c r="E187" s="46" t="inlineStr">
        <is>
          <t>%</t>
        </is>
      </c>
      <c r="F187" s="46" t="inlineStr">
        <is>
          <t>↑</t>
        </is>
      </c>
      <c r="G187" s="15" t="inlineStr">
        <is>
          <t>🟠 مهم</t>
        </is>
      </c>
      <c r="H187" s="61" t="n">
        <v>0.04</v>
      </c>
      <c r="I187" s="46" t="n">
        <v>0.01</v>
      </c>
      <c r="J187" s="46" t="n">
        <v>0.008</v>
      </c>
      <c r="K187" s="61" t="n">
        <v>0.8</v>
      </c>
      <c r="L187" s="27" t="inlineStr">
        <is>
          <t>🔴 تحت الهدف</t>
        </is>
      </c>
      <c r="M187" s="27" t="inlineStr">
        <is>
          <t>النمو</t>
        </is>
      </c>
      <c r="N187" s="13" t="inlineStr">
        <is>
          <t>زيادة وصول العملاء</t>
        </is>
      </c>
      <c r="O187" s="15" t="inlineStr">
        <is>
          <t>مالي</t>
        </is>
      </c>
      <c r="P187" s="15" t="inlineStr">
        <is>
          <t>المدير المالي</t>
        </is>
      </c>
      <c r="Q187" s="13" t="inlineStr">
        <is>
          <t>نظام المحاسبة / ERP (D365)</t>
        </is>
      </c>
      <c r="R187" s="15" t="inlineStr">
        <is>
          <t>شهري</t>
        </is>
      </c>
      <c r="S187" s="46" t="n">
        <v>0.007</v>
      </c>
      <c r="T187" s="46" t="n">
        <v>0.007</v>
      </c>
      <c r="U187" s="46" t="n">
        <v>0.008</v>
      </c>
      <c r="V187" s="61" t="n">
        <v>0.1429</v>
      </c>
      <c r="W187" s="61" t="n">
        <v>1</v>
      </c>
      <c r="X187" s="61" t="n">
        <v>0.85</v>
      </c>
      <c r="Y187" s="75" t="inlineStr">
        <is>
          <t>دون المستهدف — فجوة 20٪، يتطلب إجراءً تصحيحياً عاجلاً.</t>
        </is>
      </c>
      <c r="Z187" s="69" t="inlineStr">
        <is>
          <t>إطلاق إجراء تصحيحي خلال 30 يوماً بإشراف المدير المالي.</t>
        </is>
      </c>
      <c r="AA187" s="27" t="inlineStr">
        <is>
          <t>تحت الهدف</t>
        </is>
      </c>
      <c r="AB187" s="27" t="n">
        <v>3</v>
      </c>
      <c r="AC187" s="76" t="inlineStr">
        <is>
          <t>#EB5757</t>
        </is>
      </c>
    </row>
    <row r="188">
      <c r="A188" s="9" t="inlineStr">
        <is>
          <t>الإدارة المالية</t>
        </is>
      </c>
      <c r="B188" s="9" t="inlineStr">
        <is>
          <t>المالية الاستراتيجية</t>
        </is>
      </c>
      <c r="C188" s="9" t="inlineStr">
        <is>
          <t>العائد على حقوق الملكية (ROE)</t>
        </is>
      </c>
      <c r="D188" s="15" t="inlineStr">
        <is>
          <t>🎯 نتيجة</t>
        </is>
      </c>
      <c r="E188" s="46" t="inlineStr">
        <is>
          <t>%</t>
        </is>
      </c>
      <c r="F188" s="46" t="inlineStr">
        <is>
          <t>↑</t>
        </is>
      </c>
      <c r="G188" s="15" t="inlineStr">
        <is>
          <t>🔴 رئيسي</t>
        </is>
      </c>
      <c r="H188" s="61" t="n">
        <v>0.05</v>
      </c>
      <c r="I188" s="46" t="n">
        <v>0.1</v>
      </c>
      <c r="J188" s="46" t="n">
        <v>0.074</v>
      </c>
      <c r="K188" s="61" t="n">
        <v>0.7399999999999999</v>
      </c>
      <c r="L188" s="27" t="inlineStr">
        <is>
          <t>🔴 تحت الهدف</t>
        </is>
      </c>
      <c r="M188" s="27" t="inlineStr">
        <is>
          <t>النمو</t>
        </is>
      </c>
      <c r="N188" s="13" t="inlineStr">
        <is>
          <t>زيادة وصول العملاء</t>
        </is>
      </c>
      <c r="O188" s="15" t="inlineStr">
        <is>
          <t>مالي</t>
        </is>
      </c>
      <c r="P188" s="15" t="inlineStr">
        <is>
          <t>المدير المالي</t>
        </is>
      </c>
      <c r="Q188" s="13" t="inlineStr">
        <is>
          <t>نظام المحاسبة / ERP (D365)</t>
        </is>
      </c>
      <c r="R188" s="15" t="inlineStr">
        <is>
          <t>ربعي</t>
        </is>
      </c>
      <c r="S188" s="46" t="n">
        <v>0.061</v>
      </c>
      <c r="T188" s="46" t="n">
        <v>0.068</v>
      </c>
      <c r="U188" s="46" t="n">
        <v>0.074</v>
      </c>
      <c r="V188" s="61" t="n">
        <v>0.2131</v>
      </c>
      <c r="W188" s="61" t="n">
        <v>1</v>
      </c>
      <c r="X188" s="61" t="n">
        <v>0.85</v>
      </c>
      <c r="Y188" s="75" t="inlineStr">
        <is>
          <t>دون المستهدف — فجوة 26٪، يتطلب إجراءً تصحيحياً عاجلاً.</t>
        </is>
      </c>
      <c r="Z188" s="69" t="inlineStr">
        <is>
          <t>إطلاق إجراء تصحيحي خلال 30 يوماً بإشراف المدير المالي.</t>
        </is>
      </c>
      <c r="AA188" s="27" t="inlineStr">
        <is>
          <t>تحت الهدف</t>
        </is>
      </c>
      <c r="AB188" s="27" t="n">
        <v>3</v>
      </c>
      <c r="AC188" s="76" t="inlineStr">
        <is>
          <t>#EB5757</t>
        </is>
      </c>
    </row>
    <row r="189">
      <c r="A189" s="9" t="inlineStr">
        <is>
          <t>الإدارة المالية</t>
        </is>
      </c>
      <c r="B189" s="9" t="inlineStr">
        <is>
          <t>المالية الاستراتيجية</t>
        </is>
      </c>
      <c r="C189" s="9" t="inlineStr">
        <is>
          <t>نسبة التدفق النقدي التشغيلي</t>
        </is>
      </c>
      <c r="D189" s="15" t="inlineStr">
        <is>
          <t>🔧 تشغيلي</t>
        </is>
      </c>
      <c r="E189" s="46" t="inlineStr">
        <is>
          <t>نسبة</t>
        </is>
      </c>
      <c r="F189" s="46" t="inlineStr">
        <is>
          <t>↑</t>
        </is>
      </c>
      <c r="G189" s="15" t="inlineStr">
        <is>
          <t>🟠 مهم</t>
        </is>
      </c>
      <c r="H189" s="61" t="n">
        <v>0.04</v>
      </c>
      <c r="I189" s="46" t="n">
        <v>1</v>
      </c>
      <c r="J189" s="46" t="n">
        <v>0.902</v>
      </c>
      <c r="K189" s="61" t="n">
        <v>0.902</v>
      </c>
      <c r="L189" s="27" t="inlineStr">
        <is>
          <t>🟡 قريب</t>
        </is>
      </c>
      <c r="M189" s="27" t="inlineStr">
        <is>
          <t>الاستدامة</t>
        </is>
      </c>
      <c r="N189" s="13" t="inlineStr">
        <is>
          <t>جودة التشغيل</t>
        </is>
      </c>
      <c r="O189" s="15" t="inlineStr">
        <is>
          <t>العمليات الداخلية</t>
        </is>
      </c>
      <c r="P189" s="15" t="inlineStr">
        <is>
          <t>المدير المالي</t>
        </is>
      </c>
      <c r="Q189" s="13" t="inlineStr">
        <is>
          <t>نظام المحاسبة / ERP (D365)</t>
        </is>
      </c>
      <c r="R189" s="15" t="inlineStr">
        <is>
          <t>شهري</t>
        </is>
      </c>
      <c r="S189" s="46" t="n">
        <v>0.735</v>
      </c>
      <c r="T189" s="46" t="n">
        <v>0.819</v>
      </c>
      <c r="U189" s="46" t="n">
        <v>0.902</v>
      </c>
      <c r="V189" s="61" t="n">
        <v>0.2272</v>
      </c>
      <c r="W189" s="61" t="n">
        <v>1</v>
      </c>
      <c r="X189" s="61" t="n">
        <v>0.85</v>
      </c>
      <c r="Y189" s="71" t="inlineStr">
        <is>
          <t>قريب من المستهدف — فجوة 10٪، متابعة لإغلاقها.</t>
        </is>
      </c>
      <c r="Z189" s="69" t="inlineStr">
        <is>
          <t>متابعة أسبوعية حتى بلوغ المستهدف.</t>
        </is>
      </c>
      <c r="AA189" s="27" t="inlineStr">
        <is>
          <t>قريب</t>
        </is>
      </c>
      <c r="AB189" s="27" t="n">
        <v>2</v>
      </c>
      <c r="AC189" s="72" t="inlineStr">
        <is>
          <t>#F2C94C</t>
        </is>
      </c>
    </row>
    <row r="190">
      <c r="A190" s="9" t="inlineStr">
        <is>
          <t>الإدارة المالية</t>
        </is>
      </c>
      <c r="B190" s="9" t="inlineStr">
        <is>
          <t>السيولة ورأس المال</t>
        </is>
      </c>
      <c r="C190" s="9" t="inlineStr">
        <is>
          <t>النسبة الجارية (Current Ratio)</t>
        </is>
      </c>
      <c r="D190" s="15" t="inlineStr">
        <is>
          <t>🔧 تشغيلي</t>
        </is>
      </c>
      <c r="E190" s="46" t="inlineStr">
        <is>
          <t>نسبة</t>
        </is>
      </c>
      <c r="F190" s="46" t="inlineStr">
        <is>
          <t>↑</t>
        </is>
      </c>
      <c r="G190" s="15" t="inlineStr">
        <is>
          <t>🟠 مهم</t>
        </is>
      </c>
      <c r="H190" s="61" t="n">
        <v>0.04</v>
      </c>
      <c r="I190" s="46" t="n">
        <v>1</v>
      </c>
      <c r="J190" s="46" t="n">
        <v>0.852</v>
      </c>
      <c r="K190" s="61" t="n">
        <v>0.852</v>
      </c>
      <c r="L190" s="27" t="inlineStr">
        <is>
          <t>🟡 قريب</t>
        </is>
      </c>
      <c r="M190" s="27" t="inlineStr">
        <is>
          <t>الاستدامة</t>
        </is>
      </c>
      <c r="N190" s="13" t="inlineStr">
        <is>
          <t>جودة التشغيل</t>
        </is>
      </c>
      <c r="O190" s="15" t="inlineStr">
        <is>
          <t>العمليات الداخلية</t>
        </is>
      </c>
      <c r="P190" s="15" t="inlineStr">
        <is>
          <t>المدير المالي</t>
        </is>
      </c>
      <c r="Q190" s="13" t="inlineStr">
        <is>
          <t>سجلات الإدارة</t>
        </is>
      </c>
      <c r="R190" s="15" t="inlineStr">
        <is>
          <t>شهري</t>
        </is>
      </c>
      <c r="S190" s="46" t="n">
        <v>0.713</v>
      </c>
      <c r="T190" s="46" t="n">
        <v>0.782</v>
      </c>
      <c r="U190" s="46" t="n">
        <v>0.852</v>
      </c>
      <c r="V190" s="61" t="n">
        <v>0.195</v>
      </c>
      <c r="W190" s="61" t="n">
        <v>1</v>
      </c>
      <c r="X190" s="61" t="n">
        <v>0.85</v>
      </c>
      <c r="Y190" s="71" t="inlineStr">
        <is>
          <t>قريب من المستهدف — فجوة 15٪، متابعة لإغلاقها.</t>
        </is>
      </c>
      <c r="Z190" s="69" t="inlineStr">
        <is>
          <t>متابعة أسبوعية حتى بلوغ المستهدف.</t>
        </is>
      </c>
      <c r="AA190" s="27" t="inlineStr">
        <is>
          <t>قريب</t>
        </is>
      </c>
      <c r="AB190" s="27" t="n">
        <v>2</v>
      </c>
      <c r="AC190" s="72" t="inlineStr">
        <is>
          <t>#F2C94C</t>
        </is>
      </c>
    </row>
    <row r="191">
      <c r="A191" s="9" t="inlineStr">
        <is>
          <t>الإدارة المالية</t>
        </is>
      </c>
      <c r="B191" s="9" t="inlineStr">
        <is>
          <t>السيولة ورأس المال</t>
        </is>
      </c>
      <c r="C191" s="9" t="inlineStr">
        <is>
          <t>دورة التحويل النقدي</t>
        </is>
      </c>
      <c r="D191" s="15" t="inlineStr">
        <is>
          <t>🔧 تشغيلي</t>
        </is>
      </c>
      <c r="E191" s="46" t="inlineStr">
        <is>
          <t>يوم</t>
        </is>
      </c>
      <c r="F191" s="46" t="inlineStr">
        <is>
          <t>↓</t>
        </is>
      </c>
      <c r="G191" s="15" t="inlineStr">
        <is>
          <t>🔴 رئيسي</t>
        </is>
      </c>
      <c r="H191" s="61" t="n">
        <v>0.05</v>
      </c>
      <c r="I191" s="46" t="n">
        <v>20</v>
      </c>
      <c r="J191" s="46" t="n">
        <v>19.3</v>
      </c>
      <c r="K191" s="61" t="n">
        <v>1</v>
      </c>
      <c r="L191" s="27" t="inlineStr">
        <is>
          <t>✅ محقق</t>
        </is>
      </c>
      <c r="M191" s="27" t="inlineStr">
        <is>
          <t>الاستدامة</t>
        </is>
      </c>
      <c r="N191" s="13" t="inlineStr">
        <is>
          <t>جودة التشغيل</t>
        </is>
      </c>
      <c r="O191" s="15" t="inlineStr">
        <is>
          <t>العمليات الداخلية</t>
        </is>
      </c>
      <c r="P191" s="15" t="inlineStr">
        <is>
          <t>المدير المالي</t>
        </is>
      </c>
      <c r="Q191" s="13" t="inlineStr">
        <is>
          <t>نظام المحاسبة / ERP (D365)</t>
        </is>
      </c>
      <c r="R191" s="15" t="inlineStr">
        <is>
          <t>شهري</t>
        </is>
      </c>
      <c r="S191" s="46" t="n">
        <v>22.391</v>
      </c>
      <c r="T191" s="46" t="n">
        <v>20.846</v>
      </c>
      <c r="U191" s="46" t="n">
        <v>19.3</v>
      </c>
      <c r="V191" s="61" t="n">
        <v>-0.138</v>
      </c>
      <c r="W191" s="61" t="n">
        <v>1</v>
      </c>
      <c r="X191" s="61" t="n">
        <v>0.85</v>
      </c>
      <c r="Y191" s="71" t="inlineStr"/>
      <c r="Z191" s="69" t="inlineStr"/>
      <c r="AA191" s="27" t="inlineStr">
        <is>
          <t>محقق</t>
        </is>
      </c>
      <c r="AB191" s="27" t="n">
        <v>1</v>
      </c>
      <c r="AC191" s="74" t="inlineStr">
        <is>
          <t>#2EAD6B</t>
        </is>
      </c>
    </row>
    <row r="192">
      <c r="A192" s="9" t="inlineStr">
        <is>
          <t>الإدارة المالية</t>
        </is>
      </c>
      <c r="B192" s="9" t="inlineStr">
        <is>
          <t>الذمم المدينة</t>
        </is>
      </c>
      <c r="C192" s="9" t="inlineStr">
        <is>
          <t>متوسط أيام التحصيل العام (DSO)</t>
        </is>
      </c>
      <c r="D192" s="15" t="inlineStr">
        <is>
          <t>🎯 نتيجة</t>
        </is>
      </c>
      <c r="E192" s="46" t="inlineStr">
        <is>
          <t>يوم</t>
        </is>
      </c>
      <c r="F192" s="46" t="inlineStr">
        <is>
          <t>↓</t>
        </is>
      </c>
      <c r="G192" s="15" t="inlineStr">
        <is>
          <t>🔴 رئيسي</t>
        </is>
      </c>
      <c r="H192" s="61" t="n">
        <v>0.05</v>
      </c>
      <c r="I192" s="46" t="n">
        <v>30</v>
      </c>
      <c r="J192" s="46" t="n">
        <v>28.1</v>
      </c>
      <c r="K192" s="61" t="n">
        <v>1</v>
      </c>
      <c r="L192" s="27" t="inlineStr">
        <is>
          <t>✅ محقق</t>
        </is>
      </c>
      <c r="M192" s="27" t="inlineStr">
        <is>
          <t>الاستدامة</t>
        </is>
      </c>
      <c r="N192" s="13" t="inlineStr">
        <is>
          <t>جودة التشغيل</t>
        </is>
      </c>
      <c r="O192" s="15" t="inlineStr">
        <is>
          <t>مالي</t>
        </is>
      </c>
      <c r="P192" s="15" t="inlineStr">
        <is>
          <t>المدير المالي</t>
        </is>
      </c>
      <c r="Q192" s="13" t="inlineStr">
        <is>
          <t>نظام المحاسبة / ERP (D365)</t>
        </is>
      </c>
      <c r="R192" s="15" t="inlineStr">
        <is>
          <t>شهري</t>
        </is>
      </c>
      <c r="S192" s="46" t="n">
        <v>33.197</v>
      </c>
      <c r="T192" s="46" t="n">
        <v>30.649</v>
      </c>
      <c r="U192" s="46" t="n">
        <v>28.1</v>
      </c>
      <c r="V192" s="61" t="n">
        <v>-0.1535</v>
      </c>
      <c r="W192" s="61" t="n">
        <v>1</v>
      </c>
      <c r="X192" s="61" t="n">
        <v>0.85</v>
      </c>
      <c r="Y192" s="71" t="inlineStr"/>
      <c r="Z192" s="69" t="inlineStr"/>
      <c r="AA192" s="27" t="inlineStr">
        <is>
          <t>محقق</t>
        </is>
      </c>
      <c r="AB192" s="27" t="n">
        <v>1</v>
      </c>
      <c r="AC192" s="74" t="inlineStr">
        <is>
          <t>#2EAD6B</t>
        </is>
      </c>
    </row>
    <row r="193">
      <c r="A193" s="9" t="inlineStr">
        <is>
          <t>الإدارة المالية</t>
        </is>
      </c>
      <c r="B193" s="9" t="inlineStr">
        <is>
          <t>الذمم المدينة</t>
        </is>
      </c>
      <c r="C193" s="9" t="inlineStr">
        <is>
          <t>نسبة التحصيل العام (الشركة)</t>
        </is>
      </c>
      <c r="D193" s="15" t="inlineStr">
        <is>
          <t>🎯 نتيجة</t>
        </is>
      </c>
      <c r="E193" s="46" t="inlineStr">
        <is>
          <t>%</t>
        </is>
      </c>
      <c r="F193" s="46" t="inlineStr">
        <is>
          <t>↑</t>
        </is>
      </c>
      <c r="G193" s="15" t="inlineStr">
        <is>
          <t>🔴 رئيسي</t>
        </is>
      </c>
      <c r="H193" s="61" t="n">
        <v>0.05</v>
      </c>
      <c r="I193" s="46" t="n">
        <v>0.95</v>
      </c>
      <c r="J193" s="46" t="n">
        <v>0.699</v>
      </c>
      <c r="K193" s="61" t="n">
        <v>0.7357894736842105</v>
      </c>
      <c r="L193" s="27" t="inlineStr">
        <is>
          <t>🔴 تحت الهدف</t>
        </is>
      </c>
      <c r="M193" s="27" t="inlineStr">
        <is>
          <t>الاستدامة</t>
        </is>
      </c>
      <c r="N193" s="13" t="inlineStr">
        <is>
          <t>جودة التشغيل</t>
        </is>
      </c>
      <c r="O193" s="15" t="inlineStr">
        <is>
          <t>مالي</t>
        </is>
      </c>
      <c r="P193" s="15" t="inlineStr">
        <is>
          <t>المدير المالي</t>
        </is>
      </c>
      <c r="Q193" s="13" t="inlineStr">
        <is>
          <t>نظام المحاسبة / ERP (D365)</t>
        </is>
      </c>
      <c r="R193" s="15" t="inlineStr">
        <is>
          <t>شهري</t>
        </is>
      </c>
      <c r="S193" s="46" t="n">
        <v>0.572</v>
      </c>
      <c r="T193" s="46" t="n">
        <v>0.635</v>
      </c>
      <c r="U193" s="46" t="n">
        <v>0.699</v>
      </c>
      <c r="V193" s="61" t="n">
        <v>0.222</v>
      </c>
      <c r="W193" s="61" t="n">
        <v>1</v>
      </c>
      <c r="X193" s="61" t="n">
        <v>0.85</v>
      </c>
      <c r="Y193" s="75" t="inlineStr">
        <is>
          <t>دون المستهدف — فجوة 26٪، يتطلب إجراءً تصحيحياً عاجلاً.</t>
        </is>
      </c>
      <c r="Z193" s="69" t="inlineStr">
        <is>
          <t>إطلاق إجراء تصحيحي خلال 30 يوماً بإشراف المدير المالي.</t>
        </is>
      </c>
      <c r="AA193" s="27" t="inlineStr">
        <is>
          <t>تحت الهدف</t>
        </is>
      </c>
      <c r="AB193" s="27" t="n">
        <v>3</v>
      </c>
      <c r="AC193" s="76" t="inlineStr">
        <is>
          <t>#EB5757</t>
        </is>
      </c>
    </row>
    <row r="194">
      <c r="A194" s="9" t="inlineStr">
        <is>
          <t>الإدارة المالية</t>
        </is>
      </c>
      <c r="B194" s="9" t="inlineStr">
        <is>
          <t>الذمم المدينة</t>
        </is>
      </c>
      <c r="C194" s="9" t="inlineStr">
        <is>
          <t>نسبة الذمم المتأخرة</t>
        </is>
      </c>
      <c r="D194" s="15" t="inlineStr">
        <is>
          <t>🔧 تشغيلي</t>
        </is>
      </c>
      <c r="E194" s="46" t="inlineStr">
        <is>
          <t>%</t>
        </is>
      </c>
      <c r="F194" s="46" t="inlineStr">
        <is>
          <t>↓</t>
        </is>
      </c>
      <c r="G194" s="15" t="inlineStr">
        <is>
          <t>🟠 مهم</t>
        </is>
      </c>
      <c r="H194" s="61" t="n">
        <v>0.04</v>
      </c>
      <c r="I194" s="46" t="n">
        <v>0.1</v>
      </c>
      <c r="J194" s="46" t="n">
        <v>0.099</v>
      </c>
      <c r="K194" s="61" t="n">
        <v>1</v>
      </c>
      <c r="L194" s="27" t="inlineStr">
        <is>
          <t>✅ محقق</t>
        </is>
      </c>
      <c r="M194" s="27" t="inlineStr">
        <is>
          <t>الاستدامة</t>
        </is>
      </c>
      <c r="N194" s="13" t="inlineStr">
        <is>
          <t>جودة التشغيل</t>
        </is>
      </c>
      <c r="O194" s="15" t="inlineStr">
        <is>
          <t>العمليات الداخلية</t>
        </is>
      </c>
      <c r="P194" s="15" t="inlineStr">
        <is>
          <t>المدير المالي</t>
        </is>
      </c>
      <c r="Q194" s="13" t="inlineStr">
        <is>
          <t>نظام المحاسبة / ERP (D365)</t>
        </is>
      </c>
      <c r="R194" s="15" t="inlineStr">
        <is>
          <t>شهري</t>
        </is>
      </c>
      <c r="S194" s="46" t="n">
        <v>0.109</v>
      </c>
      <c r="T194" s="46" t="n">
        <v>0.104</v>
      </c>
      <c r="U194" s="46" t="n">
        <v>0.099</v>
      </c>
      <c r="V194" s="61" t="n">
        <v>-0.0917</v>
      </c>
      <c r="W194" s="61" t="n">
        <v>1</v>
      </c>
      <c r="X194" s="61" t="n">
        <v>0.85</v>
      </c>
      <c r="Y194" s="71" t="inlineStr"/>
      <c r="Z194" s="69" t="inlineStr"/>
      <c r="AA194" s="27" t="inlineStr">
        <is>
          <t>محقق</t>
        </is>
      </c>
      <c r="AB194" s="27" t="n">
        <v>1</v>
      </c>
      <c r="AC194" s="74" t="inlineStr">
        <is>
          <t>#2EAD6B</t>
        </is>
      </c>
    </row>
    <row r="195">
      <c r="A195" s="9" t="inlineStr">
        <is>
          <t>الإدارة المالية</t>
        </is>
      </c>
      <c r="B195" s="9" t="inlineStr">
        <is>
          <t>الذمم المدينة</t>
        </is>
      </c>
      <c r="C195" s="9" t="inlineStr">
        <is>
          <t>نسبة الديون المعدومة</t>
        </is>
      </c>
      <c r="D195" s="15" t="inlineStr">
        <is>
          <t>🔧 تشغيلي</t>
        </is>
      </c>
      <c r="E195" s="46" t="inlineStr">
        <is>
          <t>%</t>
        </is>
      </c>
      <c r="F195" s="46" t="inlineStr">
        <is>
          <t>↓</t>
        </is>
      </c>
      <c r="G195" s="15" t="inlineStr">
        <is>
          <t>🟠 مهم</t>
        </is>
      </c>
      <c r="H195" s="61" t="n">
        <v>0.04</v>
      </c>
      <c r="I195" s="46" t="n">
        <v>0.01</v>
      </c>
      <c r="J195" s="46" t="n">
        <v>0.008999999999999999</v>
      </c>
      <c r="K195" s="61" t="n">
        <v>1</v>
      </c>
      <c r="L195" s="27" t="inlineStr">
        <is>
          <t>✅ محقق</t>
        </is>
      </c>
      <c r="M195" s="27" t="inlineStr">
        <is>
          <t>الاستدامة</t>
        </is>
      </c>
      <c r="N195" s="13" t="inlineStr">
        <is>
          <t>جودة التشغيل</t>
        </is>
      </c>
      <c r="O195" s="15" t="inlineStr">
        <is>
          <t>العمليات الداخلية</t>
        </is>
      </c>
      <c r="P195" s="15" t="inlineStr">
        <is>
          <t>المدير المالي</t>
        </is>
      </c>
      <c r="Q195" s="13" t="inlineStr">
        <is>
          <t>نظام المحاسبة / ERP (D365)</t>
        </is>
      </c>
      <c r="R195" s="15" t="inlineStr">
        <is>
          <t>شهري</t>
        </is>
      </c>
      <c r="S195" s="46" t="n">
        <v>0.011</v>
      </c>
      <c r="T195" s="46" t="n">
        <v>0.01</v>
      </c>
      <c r="U195" s="46" t="n">
        <v>0.008999999999999999</v>
      </c>
      <c r="V195" s="61" t="n">
        <v>-0.1818</v>
      </c>
      <c r="W195" s="61" t="n">
        <v>1</v>
      </c>
      <c r="X195" s="61" t="n">
        <v>0.85</v>
      </c>
      <c r="Y195" s="71" t="inlineStr"/>
      <c r="Z195" s="69" t="inlineStr"/>
      <c r="AA195" s="27" t="inlineStr">
        <is>
          <t>محقق</t>
        </is>
      </c>
      <c r="AB195" s="27" t="n">
        <v>1</v>
      </c>
      <c r="AC195" s="74" t="inlineStr">
        <is>
          <t>#2EAD6B</t>
        </is>
      </c>
    </row>
    <row r="196">
      <c r="A196" s="9" t="inlineStr">
        <is>
          <t>الإدارة المالية</t>
        </is>
      </c>
      <c r="B196" s="9" t="inlineStr">
        <is>
          <t>الذمم الدائنة</t>
        </is>
      </c>
      <c r="C196" s="9" t="inlineStr">
        <is>
          <t>سداد الموردين في الموعد</t>
        </is>
      </c>
      <c r="D196" s="15" t="inlineStr">
        <is>
          <t>🔧 تشغيلي</t>
        </is>
      </c>
      <c r="E196" s="46" t="inlineStr">
        <is>
          <t>%</t>
        </is>
      </c>
      <c r="F196" s="46" t="inlineStr">
        <is>
          <t>↑</t>
        </is>
      </c>
      <c r="G196" s="15" t="inlineStr">
        <is>
          <t>🟠 مهم</t>
        </is>
      </c>
      <c r="H196" s="61" t="n">
        <v>0.04</v>
      </c>
      <c r="I196" s="46" t="n">
        <v>0.98</v>
      </c>
      <c r="J196" s="46" t="n">
        <v>0.754</v>
      </c>
      <c r="K196" s="61" t="n">
        <v>0.7693877551020408</v>
      </c>
      <c r="L196" s="27" t="inlineStr">
        <is>
          <t>🔴 تحت الهدف</t>
        </is>
      </c>
      <c r="M196" s="27" t="inlineStr">
        <is>
          <t>الاستدامة</t>
        </is>
      </c>
      <c r="N196" s="13" t="inlineStr">
        <is>
          <t>جودة التشغيل</t>
        </is>
      </c>
      <c r="O196" s="15" t="inlineStr">
        <is>
          <t>مالي</t>
        </is>
      </c>
      <c r="P196" s="15" t="inlineStr">
        <is>
          <t>المدير المالي</t>
        </is>
      </c>
      <c r="Q196" s="13" t="inlineStr">
        <is>
          <t>نظام المحاسبة / ERP (D365)</t>
        </is>
      </c>
      <c r="R196" s="15" t="inlineStr">
        <is>
          <t>شهري</t>
        </is>
      </c>
      <c r="S196" s="46" t="n">
        <v>0.659</v>
      </c>
      <c r="T196" s="46" t="n">
        <v>0.707</v>
      </c>
      <c r="U196" s="46" t="n">
        <v>0.754</v>
      </c>
      <c r="V196" s="61" t="n">
        <v>0.1442</v>
      </c>
      <c r="W196" s="61" t="n">
        <v>1</v>
      </c>
      <c r="X196" s="61" t="n">
        <v>0.85</v>
      </c>
      <c r="Y196" s="75" t="inlineStr">
        <is>
          <t>دون المستهدف — فجوة 23٪، يتطلب إجراءً تصحيحياً عاجلاً.</t>
        </is>
      </c>
      <c r="Z196" s="69" t="inlineStr">
        <is>
          <t>إطلاق إجراء تصحيحي خلال 30 يوماً بإشراف المدير المالي.</t>
        </is>
      </c>
      <c r="AA196" s="27" t="inlineStr">
        <is>
          <t>تحت الهدف</t>
        </is>
      </c>
      <c r="AB196" s="27" t="n">
        <v>3</v>
      </c>
      <c r="AC196" s="76" t="inlineStr">
        <is>
          <t>#EB5757</t>
        </is>
      </c>
    </row>
    <row r="197">
      <c r="A197" s="9" t="inlineStr">
        <is>
          <t>الإدارة المالية</t>
        </is>
      </c>
      <c r="B197" s="9" t="inlineStr">
        <is>
          <t>الذمم الدائنة</t>
        </is>
      </c>
      <c r="C197" s="9" t="inlineStr">
        <is>
          <t>اكتمال مطابقة حسابات الموردين</t>
        </is>
      </c>
      <c r="D197" s="15" t="inlineStr">
        <is>
          <t>🎯 نتيجة</t>
        </is>
      </c>
      <c r="E197" s="46" t="inlineStr">
        <is>
          <t>%</t>
        </is>
      </c>
      <c r="F197" s="46" t="inlineStr">
        <is>
          <t>↑</t>
        </is>
      </c>
      <c r="G197" s="15" t="inlineStr">
        <is>
          <t>🟠 مهم</t>
        </is>
      </c>
      <c r="H197" s="61" t="n">
        <v>0.04</v>
      </c>
      <c r="I197" s="46" t="n">
        <v>0.95</v>
      </c>
      <c r="J197" s="46" t="n">
        <v>0.926</v>
      </c>
      <c r="K197" s="61" t="n">
        <v>0.9747368421052632</v>
      </c>
      <c r="L197" s="27" t="inlineStr">
        <is>
          <t>🟡 قريب</t>
        </is>
      </c>
      <c r="M197" s="27" t="inlineStr">
        <is>
          <t>الاستدامة</t>
        </is>
      </c>
      <c r="N197" s="13" t="inlineStr">
        <is>
          <t>جودة التشغيل</t>
        </is>
      </c>
      <c r="O197" s="15" t="inlineStr">
        <is>
          <t>العمليات الداخلية</t>
        </is>
      </c>
      <c r="P197" s="15" t="inlineStr">
        <is>
          <t>المدير المالي</t>
        </is>
      </c>
      <c r="Q197" s="13" t="inlineStr">
        <is>
          <t>نظام المحاسبة / ERP (D365)</t>
        </is>
      </c>
      <c r="R197" s="15" t="inlineStr">
        <is>
          <t>شهري</t>
        </is>
      </c>
      <c r="S197" s="46" t="n">
        <v>0.847</v>
      </c>
      <c r="T197" s="46" t="n">
        <v>0.887</v>
      </c>
      <c r="U197" s="46" t="n">
        <v>0.926</v>
      </c>
      <c r="V197" s="61" t="n">
        <v>0.09329999999999999</v>
      </c>
      <c r="W197" s="61" t="n">
        <v>1</v>
      </c>
      <c r="X197" s="61" t="n">
        <v>0.97</v>
      </c>
      <c r="Y197" s="71" t="inlineStr">
        <is>
          <t>قريب من المستهدف — فجوة 3٪، متابعة لإغلاقها.</t>
        </is>
      </c>
      <c r="Z197" s="69" t="inlineStr">
        <is>
          <t>متابعة أسبوعية حتى بلوغ المستهدف.</t>
        </is>
      </c>
      <c r="AA197" s="27" t="inlineStr">
        <is>
          <t>قريب</t>
        </is>
      </c>
      <c r="AB197" s="27" t="n">
        <v>2</v>
      </c>
      <c r="AC197" s="72" t="inlineStr">
        <is>
          <t>#F2C94C</t>
        </is>
      </c>
    </row>
    <row r="198">
      <c r="A198" s="9" t="inlineStr">
        <is>
          <t>الإدارة المالية</t>
        </is>
      </c>
      <c r="B198" s="9" t="inlineStr">
        <is>
          <t>الخزينة</t>
        </is>
      </c>
      <c r="C198" s="9" t="inlineStr">
        <is>
          <t>دقة التنبؤ النقدي</t>
        </is>
      </c>
      <c r="D198" s="15" t="inlineStr">
        <is>
          <t>🎯 نتيجة</t>
        </is>
      </c>
      <c r="E198" s="46" t="inlineStr">
        <is>
          <t>%</t>
        </is>
      </c>
      <c r="F198" s="46" t="inlineStr">
        <is>
          <t>↑</t>
        </is>
      </c>
      <c r="G198" s="15" t="inlineStr">
        <is>
          <t>🟠 مهم</t>
        </is>
      </c>
      <c r="H198" s="61" t="n">
        <v>0.04</v>
      </c>
      <c r="I198" s="46" t="n">
        <v>0.9</v>
      </c>
      <c r="J198" s="46" t="n">
        <v>0.9</v>
      </c>
      <c r="K198" s="61" t="n">
        <v>1</v>
      </c>
      <c r="L198" s="27" t="inlineStr">
        <is>
          <t>✅ محقق</t>
        </is>
      </c>
      <c r="M198" s="27" t="inlineStr">
        <is>
          <t>الاستدامة</t>
        </is>
      </c>
      <c r="N198" s="13" t="inlineStr">
        <is>
          <t>جودة التشغيل</t>
        </is>
      </c>
      <c r="O198" s="15" t="inlineStr">
        <is>
          <t>العمليات الداخلية</t>
        </is>
      </c>
      <c r="P198" s="15" t="inlineStr">
        <is>
          <t>المدير المالي</t>
        </is>
      </c>
      <c r="Q198" s="13" t="inlineStr">
        <is>
          <t>نظام المحاسبة / ERP (D365)</t>
        </is>
      </c>
      <c r="R198" s="15" t="inlineStr">
        <is>
          <t>شهري</t>
        </is>
      </c>
      <c r="S198" s="46" t="n">
        <v>0.721</v>
      </c>
      <c r="T198" s="46" t="n">
        <v>0.8100000000000001</v>
      </c>
      <c r="U198" s="46" t="n">
        <v>0.9</v>
      </c>
      <c r="V198" s="61" t="n">
        <v>0.2483</v>
      </c>
      <c r="W198" s="61" t="n">
        <v>1</v>
      </c>
      <c r="X198" s="61" t="n">
        <v>0.85</v>
      </c>
      <c r="Y198" s="71" t="inlineStr"/>
      <c r="Z198" s="69" t="inlineStr"/>
      <c r="AA198" s="27" t="inlineStr">
        <is>
          <t>محقق</t>
        </is>
      </c>
      <c r="AB198" s="27" t="n">
        <v>1</v>
      </c>
      <c r="AC198" s="74" t="inlineStr">
        <is>
          <t>#2EAD6B</t>
        </is>
      </c>
    </row>
    <row r="199">
      <c r="A199" s="9" t="inlineStr">
        <is>
          <t>الإدارة المالية</t>
        </is>
      </c>
      <c r="B199" s="9" t="inlineStr">
        <is>
          <t>صناعة الوقود</t>
        </is>
      </c>
      <c r="C199" s="9" t="inlineStr">
        <is>
          <t>تباين مخزون الوقود</t>
        </is>
      </c>
      <c r="D199" s="15" t="inlineStr">
        <is>
          <t>🔧 تشغيلي</t>
        </is>
      </c>
      <c r="E199" s="46" t="inlineStr">
        <is>
          <t>%</t>
        </is>
      </c>
      <c r="F199" s="46" t="inlineStr">
        <is>
          <t>↓</t>
        </is>
      </c>
      <c r="G199" s="15" t="inlineStr">
        <is>
          <t>🟠 مهم</t>
        </is>
      </c>
      <c r="H199" s="61" t="n">
        <v>0.04</v>
      </c>
      <c r="I199" s="46" t="n">
        <v>0.001</v>
      </c>
      <c r="J199" s="46" t="n">
        <v>0.001</v>
      </c>
      <c r="K199" s="61" t="n">
        <v>1</v>
      </c>
      <c r="L199" s="27" t="inlineStr">
        <is>
          <t>✅ محقق</t>
        </is>
      </c>
      <c r="M199" s="27" t="inlineStr">
        <is>
          <t>الاستدامة</t>
        </is>
      </c>
      <c r="N199" s="13" t="inlineStr">
        <is>
          <t>جودة التشغيل</t>
        </is>
      </c>
      <c r="O199" s="15" t="inlineStr">
        <is>
          <t>العمليات الداخلية</t>
        </is>
      </c>
      <c r="P199" s="15" t="inlineStr">
        <is>
          <t>المدير المالي</t>
        </is>
      </c>
      <c r="Q199" s="13" t="inlineStr">
        <is>
          <t>نظام تشغيل المحطات</t>
        </is>
      </c>
      <c r="R199" s="15" t="inlineStr">
        <is>
          <t>شهري</t>
        </is>
      </c>
      <c r="S199" s="46" t="n">
        <v>0.001</v>
      </c>
      <c r="T199" s="46" t="n">
        <v>0.001</v>
      </c>
      <c r="U199" s="46" t="n">
        <v>0.001</v>
      </c>
      <c r="V199" s="61" t="n">
        <v>0</v>
      </c>
      <c r="W199" s="61" t="n">
        <v>1</v>
      </c>
      <c r="X199" s="61" t="n">
        <v>0.85</v>
      </c>
      <c r="Y199" s="71" t="inlineStr"/>
      <c r="Z199" s="69" t="inlineStr"/>
      <c r="AA199" s="27" t="inlineStr">
        <is>
          <t>محقق</t>
        </is>
      </c>
      <c r="AB199" s="27" t="n">
        <v>1</v>
      </c>
      <c r="AC199" s="74" t="inlineStr">
        <is>
          <t>#2EAD6B</t>
        </is>
      </c>
    </row>
    <row r="200">
      <c r="A200" s="9" t="inlineStr">
        <is>
          <t>الإدارة المالية</t>
        </is>
      </c>
      <c r="B200" s="9" t="inlineStr">
        <is>
          <t>صناعة الوقود</t>
        </is>
      </c>
      <c r="C200" s="9" t="inlineStr">
        <is>
          <t>دقة مطابقة المخزون</t>
        </is>
      </c>
      <c r="D200" s="15" t="inlineStr">
        <is>
          <t>🎯 نتيجة</t>
        </is>
      </c>
      <c r="E200" s="46" t="inlineStr">
        <is>
          <t>%</t>
        </is>
      </c>
      <c r="F200" s="46" t="inlineStr">
        <is>
          <t>↑</t>
        </is>
      </c>
      <c r="G200" s="15" t="inlineStr">
        <is>
          <t>🟠 مهم</t>
        </is>
      </c>
      <c r="H200" s="61" t="n">
        <v>0.03</v>
      </c>
      <c r="I200" s="46" t="n">
        <v>0.995</v>
      </c>
      <c r="J200" s="46" t="n">
        <v>0.776</v>
      </c>
      <c r="K200" s="61" t="n">
        <v>0.7798994974874373</v>
      </c>
      <c r="L200" s="27" t="inlineStr">
        <is>
          <t>🔴 تحت الهدف</t>
        </is>
      </c>
      <c r="M200" s="27" t="inlineStr">
        <is>
          <t>الاستدامة</t>
        </is>
      </c>
      <c r="N200" s="13" t="inlineStr">
        <is>
          <t>جودة التشغيل</t>
        </is>
      </c>
      <c r="O200" s="15" t="inlineStr">
        <is>
          <t>العمليات الداخلية</t>
        </is>
      </c>
      <c r="P200" s="15" t="inlineStr">
        <is>
          <t>المدير المالي</t>
        </is>
      </c>
      <c r="Q200" s="13" t="inlineStr">
        <is>
          <t>نظام إدارة الجودة (QMS)</t>
        </is>
      </c>
      <c r="R200" s="15" t="inlineStr">
        <is>
          <t>شهري</t>
        </is>
      </c>
      <c r="S200" s="46" t="n">
        <v>0.648</v>
      </c>
      <c r="T200" s="46" t="n">
        <v>0.712</v>
      </c>
      <c r="U200" s="46" t="n">
        <v>0.776</v>
      </c>
      <c r="V200" s="61" t="n">
        <v>0.1975</v>
      </c>
      <c r="W200" s="61" t="n">
        <v>1</v>
      </c>
      <c r="X200" s="61" t="n">
        <v>0.97</v>
      </c>
      <c r="Y200" s="75" t="inlineStr">
        <is>
          <t>دون المستهدف — فجوة 22٪، يتطلب إجراءً تصحيحياً عاجلاً.</t>
        </is>
      </c>
      <c r="Z200" s="69" t="inlineStr">
        <is>
          <t>إطلاق إجراء تصحيحي خلال 30 يوماً بإشراف المدير المالي.</t>
        </is>
      </c>
      <c r="AA200" s="27" t="inlineStr">
        <is>
          <t>تحت الهدف</t>
        </is>
      </c>
      <c r="AB200" s="27" t="n">
        <v>3</v>
      </c>
      <c r="AC200" s="76" t="inlineStr">
        <is>
          <t>#EB5757</t>
        </is>
      </c>
    </row>
    <row r="201">
      <c r="A201" s="9" t="inlineStr">
        <is>
          <t>الإدارة المالية</t>
        </is>
      </c>
      <c r="B201" s="9" t="inlineStr">
        <is>
          <t>صناعة الوقود</t>
        </is>
      </c>
      <c r="C201" s="9" t="inlineStr">
        <is>
          <t>دقة تسوية أرامكو</t>
        </is>
      </c>
      <c r="D201" s="15" t="inlineStr">
        <is>
          <t>🎯 نتيجة</t>
        </is>
      </c>
      <c r="E201" s="46" t="inlineStr">
        <is>
          <t>%</t>
        </is>
      </c>
      <c r="F201" s="46" t="inlineStr">
        <is>
          <t>↑</t>
        </is>
      </c>
      <c r="G201" s="15" t="inlineStr">
        <is>
          <t>🟠 مهم</t>
        </is>
      </c>
      <c r="H201" s="61" t="n">
        <v>0.03</v>
      </c>
      <c r="I201" s="46" t="n">
        <v>1</v>
      </c>
      <c r="J201" s="46" t="n">
        <v>0.76</v>
      </c>
      <c r="K201" s="61" t="n">
        <v>0.76</v>
      </c>
      <c r="L201" s="27" t="inlineStr">
        <is>
          <t>🔴 تحت الهدف</t>
        </is>
      </c>
      <c r="M201" s="27" t="inlineStr">
        <is>
          <t>الاستدامة</t>
        </is>
      </c>
      <c r="N201" s="13" t="inlineStr">
        <is>
          <t>جودة التشغيل</t>
        </is>
      </c>
      <c r="O201" s="15" t="inlineStr">
        <is>
          <t>العمليات الداخلية</t>
        </is>
      </c>
      <c r="P201" s="15" t="inlineStr">
        <is>
          <t>المدير المالي</t>
        </is>
      </c>
      <c r="Q201" s="13" t="inlineStr">
        <is>
          <t>نظام تشغيل المحطات</t>
        </is>
      </c>
      <c r="R201" s="15" t="inlineStr">
        <is>
          <t>شهري</t>
        </is>
      </c>
      <c r="S201" s="46" t="n">
        <v>0.642</v>
      </c>
      <c r="T201" s="46" t="n">
        <v>0.701</v>
      </c>
      <c r="U201" s="46" t="n">
        <v>0.76</v>
      </c>
      <c r="V201" s="61" t="n">
        <v>0.1838</v>
      </c>
      <c r="W201" s="61" t="n">
        <v>1</v>
      </c>
      <c r="X201" s="61" t="n">
        <v>0.97</v>
      </c>
      <c r="Y201" s="75" t="inlineStr">
        <is>
          <t>دون المستهدف — فجوة 24٪، يتطلب إجراءً تصحيحياً عاجلاً.</t>
        </is>
      </c>
      <c r="Z201" s="69" t="inlineStr">
        <is>
          <t>إطلاق إجراء تصحيحي خلال 30 يوماً بإشراف المدير المالي.</t>
        </is>
      </c>
      <c r="AA201" s="27" t="inlineStr">
        <is>
          <t>تحت الهدف</t>
        </is>
      </c>
      <c r="AB201" s="27" t="n">
        <v>3</v>
      </c>
      <c r="AC201" s="76" t="inlineStr">
        <is>
          <t>#EB5757</t>
        </is>
      </c>
    </row>
    <row r="202">
      <c r="A202" s="9" t="inlineStr">
        <is>
          <t>الإدارة المالية</t>
        </is>
      </c>
      <c r="B202" s="9" t="inlineStr">
        <is>
          <t>تمويل الامتياز</t>
        </is>
      </c>
      <c r="C202" s="9" t="inlineStr">
        <is>
          <t>نسبة تحصيل الامتياز</t>
        </is>
      </c>
      <c r="D202" s="15" t="inlineStr">
        <is>
          <t>🎯 نتيجة</t>
        </is>
      </c>
      <c r="E202" s="46" t="inlineStr">
        <is>
          <t>%</t>
        </is>
      </c>
      <c r="F202" s="46" t="inlineStr">
        <is>
          <t>↑</t>
        </is>
      </c>
      <c r="G202" s="15" t="inlineStr">
        <is>
          <t>🔴 رئيسي</t>
        </is>
      </c>
      <c r="H202" s="61" t="n">
        <v>0.05</v>
      </c>
      <c r="I202" s="46" t="n">
        <v>0.98</v>
      </c>
      <c r="J202" s="46" t="n">
        <v>0.91</v>
      </c>
      <c r="K202" s="61" t="n">
        <v>0.9285714285714286</v>
      </c>
      <c r="L202" s="27" t="inlineStr">
        <is>
          <t>🟡 قريب</t>
        </is>
      </c>
      <c r="M202" s="27" t="inlineStr">
        <is>
          <t>النمو</t>
        </is>
      </c>
      <c r="N202" s="13" t="inlineStr">
        <is>
          <t>الامتياز التجاري</t>
        </is>
      </c>
      <c r="O202" s="15" t="inlineStr">
        <is>
          <t>مالي</t>
        </is>
      </c>
      <c r="P202" s="15" t="inlineStr">
        <is>
          <t>المدير المالي</t>
        </is>
      </c>
      <c r="Q202" s="13" t="inlineStr">
        <is>
          <t>نظام المحاسبة / ERP (D365)</t>
        </is>
      </c>
      <c r="R202" s="15" t="inlineStr">
        <is>
          <t>شهري</t>
        </is>
      </c>
      <c r="S202" s="46" t="n">
        <v>0.753</v>
      </c>
      <c r="T202" s="46" t="n">
        <v>0.832</v>
      </c>
      <c r="U202" s="46" t="n">
        <v>0.91</v>
      </c>
      <c r="V202" s="61" t="n">
        <v>0.2085</v>
      </c>
      <c r="W202" s="61" t="n">
        <v>1</v>
      </c>
      <c r="X202" s="61" t="n">
        <v>0.85</v>
      </c>
      <c r="Y202" s="71" t="inlineStr">
        <is>
          <t>قريب من المستهدف — فجوة 7٪، متابعة لإغلاقها.</t>
        </is>
      </c>
      <c r="Z202" s="69" t="inlineStr">
        <is>
          <t>متابعة أسبوعية حتى بلوغ المستهدف.</t>
        </is>
      </c>
      <c r="AA202" s="27" t="inlineStr">
        <is>
          <t>قريب</t>
        </is>
      </c>
      <c r="AB202" s="27" t="n">
        <v>2</v>
      </c>
      <c r="AC202" s="72" t="inlineStr">
        <is>
          <t>#F2C94C</t>
        </is>
      </c>
    </row>
    <row r="203">
      <c r="A203" s="9" t="inlineStr">
        <is>
          <t>الإدارة المالية</t>
        </is>
      </c>
      <c r="B203" s="9" t="inlineStr">
        <is>
          <t>تمويل الامتياز</t>
        </is>
      </c>
      <c r="C203" s="9" t="inlineStr">
        <is>
          <t>أيام تحصيل رسوم الامتياز</t>
        </is>
      </c>
      <c r="D203" s="15" t="inlineStr">
        <is>
          <t>🎯 نتيجة</t>
        </is>
      </c>
      <c r="E203" s="46" t="inlineStr">
        <is>
          <t>يوم</t>
        </is>
      </c>
      <c r="F203" s="46" t="inlineStr">
        <is>
          <t>↓</t>
        </is>
      </c>
      <c r="G203" s="15" t="inlineStr">
        <is>
          <t>🔴 رئيسي</t>
        </is>
      </c>
      <c r="H203" s="61" t="n">
        <v>0.05</v>
      </c>
      <c r="I203" s="46" t="n">
        <v>15</v>
      </c>
      <c r="J203" s="46" t="n">
        <v>15.8</v>
      </c>
      <c r="K203" s="61" t="n">
        <v>0.9493670886075949</v>
      </c>
      <c r="L203" s="27" t="inlineStr">
        <is>
          <t>🟡 قريب</t>
        </is>
      </c>
      <c r="M203" s="27" t="inlineStr">
        <is>
          <t>النمو</t>
        </is>
      </c>
      <c r="N203" s="13" t="inlineStr">
        <is>
          <t>الامتياز التجاري</t>
        </is>
      </c>
      <c r="O203" s="15" t="inlineStr">
        <is>
          <t>مالي</t>
        </is>
      </c>
      <c r="P203" s="15" t="inlineStr">
        <is>
          <t>المدير المالي</t>
        </is>
      </c>
      <c r="Q203" s="13" t="inlineStr">
        <is>
          <t>نظام المحاسبة / ERP (D365)</t>
        </is>
      </c>
      <c r="R203" s="15" t="inlineStr">
        <is>
          <t>شهري</t>
        </is>
      </c>
      <c r="S203" s="46" t="n">
        <v>18.048</v>
      </c>
      <c r="T203" s="46" t="n">
        <v>16.924</v>
      </c>
      <c r="U203" s="46" t="n">
        <v>15.8</v>
      </c>
      <c r="V203" s="61" t="n">
        <v>-0.1246</v>
      </c>
      <c r="W203" s="61" t="n">
        <v>1</v>
      </c>
      <c r="X203" s="61" t="n">
        <v>0.85</v>
      </c>
      <c r="Y203" s="71" t="inlineStr">
        <is>
          <t>قريب من المستهدف — فجوة 5٪، متابعة لإغلاقها.</t>
        </is>
      </c>
      <c r="Z203" s="69" t="inlineStr">
        <is>
          <t>متابعة أسبوعية حتى بلوغ المستهدف.</t>
        </is>
      </c>
      <c r="AA203" s="27" t="inlineStr">
        <is>
          <t>قريب</t>
        </is>
      </c>
      <c r="AB203" s="27" t="n">
        <v>2</v>
      </c>
      <c r="AC203" s="72" t="inlineStr">
        <is>
          <t>#F2C94C</t>
        </is>
      </c>
    </row>
    <row r="204">
      <c r="A204" s="9" t="inlineStr">
        <is>
          <t>الإدارة المالية</t>
        </is>
      </c>
      <c r="B204" s="9" t="inlineStr">
        <is>
          <t>العقار والإيجار</t>
        </is>
      </c>
      <c r="C204" s="9" t="inlineStr">
        <is>
          <t>نسبة تحصيل الإيجار</t>
        </is>
      </c>
      <c r="D204" s="15" t="inlineStr">
        <is>
          <t>🎯 نتيجة</t>
        </is>
      </c>
      <c r="E204" s="46" t="inlineStr">
        <is>
          <t>%</t>
        </is>
      </c>
      <c r="F204" s="46" t="inlineStr">
        <is>
          <t>↑</t>
        </is>
      </c>
      <c r="G204" s="15" t="inlineStr">
        <is>
          <t>🔴 رئيسي</t>
        </is>
      </c>
      <c r="H204" s="61" t="n">
        <v>0.05</v>
      </c>
      <c r="I204" s="46" t="n">
        <v>0.98</v>
      </c>
      <c r="J204" s="46" t="n">
        <v>1.027</v>
      </c>
      <c r="K204" s="61" t="n">
        <v>1</v>
      </c>
      <c r="L204" s="27" t="inlineStr">
        <is>
          <t>✅ محقق</t>
        </is>
      </c>
      <c r="M204" s="27" t="inlineStr">
        <is>
          <t>الاستدامة</t>
        </is>
      </c>
      <c r="N204" s="13" t="inlineStr">
        <is>
          <t>منظومة التأجير</t>
        </is>
      </c>
      <c r="O204" s="15" t="inlineStr">
        <is>
          <t>مالي</t>
        </is>
      </c>
      <c r="P204" s="15" t="inlineStr">
        <is>
          <t>المدير المالي</t>
        </is>
      </c>
      <c r="Q204" s="13" t="inlineStr">
        <is>
          <t>نظام المحاسبة / ERP (D365)</t>
        </is>
      </c>
      <c r="R204" s="15" t="inlineStr">
        <is>
          <t>شهري</t>
        </is>
      </c>
      <c r="S204" s="46" t="n">
        <v>0.927</v>
      </c>
      <c r="T204" s="46" t="n">
        <v>0.977</v>
      </c>
      <c r="U204" s="46" t="n">
        <v>1.027</v>
      </c>
      <c r="V204" s="61" t="n">
        <v>0.1079</v>
      </c>
      <c r="W204" s="61" t="n">
        <v>1</v>
      </c>
      <c r="X204" s="61" t="n">
        <v>0.85</v>
      </c>
      <c r="Y204" s="71" t="inlineStr"/>
      <c r="Z204" s="69" t="inlineStr"/>
      <c r="AA204" s="27" t="inlineStr">
        <is>
          <t>محقق</t>
        </is>
      </c>
      <c r="AB204" s="27" t="n">
        <v>1</v>
      </c>
      <c r="AC204" s="74" t="inlineStr">
        <is>
          <t>#2EAD6B</t>
        </is>
      </c>
    </row>
    <row r="205">
      <c r="A205" s="9" t="inlineStr">
        <is>
          <t>الإدارة المالية</t>
        </is>
      </c>
      <c r="B205" s="9" t="inlineStr">
        <is>
          <t>العقار والإيجار</t>
        </is>
      </c>
      <c r="C205" s="9" t="inlineStr">
        <is>
          <t>معدل تجديد عقود الإيجار</t>
        </is>
      </c>
      <c r="D205" s="15" t="inlineStr">
        <is>
          <t>🎯 نتيجة</t>
        </is>
      </c>
      <c r="E205" s="46" t="inlineStr">
        <is>
          <t>%</t>
        </is>
      </c>
      <c r="F205" s="46" t="inlineStr">
        <is>
          <t>↑</t>
        </is>
      </c>
      <c r="G205" s="15" t="inlineStr">
        <is>
          <t>🔴 رئيسي</t>
        </is>
      </c>
      <c r="H205" s="61" t="n">
        <v>0.05</v>
      </c>
      <c r="I205" s="46" t="n">
        <v>0.9</v>
      </c>
      <c r="J205" s="46" t="n">
        <v>0.702</v>
      </c>
      <c r="K205" s="61" t="n">
        <v>0.7799999999999999</v>
      </c>
      <c r="L205" s="27" t="inlineStr">
        <is>
          <t>🔴 تحت الهدف</t>
        </is>
      </c>
      <c r="M205" s="27" t="inlineStr">
        <is>
          <t>الاستدامة</t>
        </is>
      </c>
      <c r="N205" s="13" t="inlineStr">
        <is>
          <t>منظومة التأجير</t>
        </is>
      </c>
      <c r="O205" s="15" t="inlineStr">
        <is>
          <t>العمليات الداخلية</t>
        </is>
      </c>
      <c r="P205" s="15" t="inlineStr">
        <is>
          <t>المدير المالي</t>
        </is>
      </c>
      <c r="Q205" s="13" t="inlineStr">
        <is>
          <t>نظام إدارة العقود (CRM)</t>
        </is>
      </c>
      <c r="R205" s="15" t="inlineStr">
        <is>
          <t>شهري</t>
        </is>
      </c>
      <c r="S205" s="46" t="n">
        <v>0.593</v>
      </c>
      <c r="T205" s="46" t="n">
        <v>0.647</v>
      </c>
      <c r="U205" s="46" t="n">
        <v>0.702</v>
      </c>
      <c r="V205" s="61" t="n">
        <v>0.1838</v>
      </c>
      <c r="W205" s="61" t="n">
        <v>1</v>
      </c>
      <c r="X205" s="61" t="n">
        <v>0.85</v>
      </c>
      <c r="Y205" s="75" t="inlineStr">
        <is>
          <t>دون المستهدف — فجوة 22٪، يتطلب إجراءً تصحيحياً عاجلاً.</t>
        </is>
      </c>
      <c r="Z205" s="69" t="inlineStr">
        <is>
          <t>إطلاق إجراء تصحيحي خلال 30 يوماً بإشراف المدير المالي.</t>
        </is>
      </c>
      <c r="AA205" s="27" t="inlineStr">
        <is>
          <t>تحت الهدف</t>
        </is>
      </c>
      <c r="AB205" s="27" t="n">
        <v>3</v>
      </c>
      <c r="AC205" s="76" t="inlineStr">
        <is>
          <t>#EB5757</t>
        </is>
      </c>
    </row>
    <row r="206">
      <c r="A206" s="9" t="inlineStr">
        <is>
          <t>الإدارة المالية</t>
        </is>
      </c>
      <c r="B206" s="9" t="inlineStr">
        <is>
          <t>الموازنة والتقارير</t>
        </is>
      </c>
      <c r="C206" s="9" t="inlineStr">
        <is>
          <t>انحراف الموازنة</t>
        </is>
      </c>
      <c r="D206" s="15" t="inlineStr">
        <is>
          <t>🔧 تشغيلي</t>
        </is>
      </c>
      <c r="E206" s="46" t="inlineStr">
        <is>
          <t>%</t>
        </is>
      </c>
      <c r="F206" s="46" t="inlineStr">
        <is>
          <t>↓</t>
        </is>
      </c>
      <c r="G206" s="15" t="inlineStr">
        <is>
          <t>🟠 مهم</t>
        </is>
      </c>
      <c r="H206" s="61" t="n">
        <v>0.03</v>
      </c>
      <c r="I206" s="46" t="n">
        <v>0.1</v>
      </c>
      <c r="J206" s="46" t="n">
        <v>0.101</v>
      </c>
      <c r="K206" s="61" t="n">
        <v>0.9900990099009901</v>
      </c>
      <c r="L206" s="27" t="inlineStr">
        <is>
          <t>🟡 قريب</t>
        </is>
      </c>
      <c r="M206" s="27" t="inlineStr">
        <is>
          <t>الاستدامة</t>
        </is>
      </c>
      <c r="N206" s="13" t="inlineStr">
        <is>
          <t>جودة التشغيل</t>
        </is>
      </c>
      <c r="O206" s="15" t="inlineStr">
        <is>
          <t>العمليات الداخلية</t>
        </is>
      </c>
      <c r="P206" s="15" t="inlineStr">
        <is>
          <t>المدير المالي</t>
        </is>
      </c>
      <c r="Q206" s="13" t="inlineStr">
        <is>
          <t>نظام المحاسبة / ERP (D365)</t>
        </is>
      </c>
      <c r="R206" s="15" t="inlineStr">
        <is>
          <t>ربعي</t>
        </is>
      </c>
      <c r="S206" s="46" t="n">
        <v>0.113</v>
      </c>
      <c r="T206" s="46" t="n">
        <v>0.107</v>
      </c>
      <c r="U206" s="46" t="n">
        <v>0.101</v>
      </c>
      <c r="V206" s="61" t="n">
        <v>-0.1062</v>
      </c>
      <c r="W206" s="61" t="n">
        <v>1</v>
      </c>
      <c r="X206" s="61" t="n">
        <v>0.85</v>
      </c>
      <c r="Y206" s="71" t="inlineStr">
        <is>
          <t>قريب من المستهدف — فجوة 1٪، متابعة لإغلاقها.</t>
        </is>
      </c>
      <c r="Z206" s="69" t="inlineStr">
        <is>
          <t>متابعة أسبوعية حتى بلوغ المستهدف.</t>
        </is>
      </c>
      <c r="AA206" s="27" t="inlineStr">
        <is>
          <t>قريب</t>
        </is>
      </c>
      <c r="AB206" s="27" t="n">
        <v>2</v>
      </c>
      <c r="AC206" s="72" t="inlineStr">
        <is>
          <t>#F2C94C</t>
        </is>
      </c>
    </row>
    <row r="207">
      <c r="A207" s="9" t="inlineStr">
        <is>
          <t>الإدارة المالية</t>
        </is>
      </c>
      <c r="B207" s="9" t="inlineStr">
        <is>
          <t>الموازنة والتقارير</t>
        </is>
      </c>
      <c r="C207" s="9" t="inlineStr">
        <is>
          <t>أيام الإقفال الشهري</t>
        </is>
      </c>
      <c r="D207" s="15" t="inlineStr">
        <is>
          <t>🔧 تشغيلي</t>
        </is>
      </c>
      <c r="E207" s="46" t="inlineStr">
        <is>
          <t>يوم</t>
        </is>
      </c>
      <c r="F207" s="46" t="inlineStr">
        <is>
          <t>↓</t>
        </is>
      </c>
      <c r="G207" s="15" t="inlineStr">
        <is>
          <t>🟠 مهم</t>
        </is>
      </c>
      <c r="H207" s="61" t="n">
        <v>0.03</v>
      </c>
      <c r="I207" s="46" t="n">
        <v>6</v>
      </c>
      <c r="J207" s="46" t="n">
        <v>7.044</v>
      </c>
      <c r="K207" s="61" t="n">
        <v>0.8517887563884157</v>
      </c>
      <c r="L207" s="27" t="inlineStr">
        <is>
          <t>🟡 قريب</t>
        </is>
      </c>
      <c r="M207" s="27" t="inlineStr">
        <is>
          <t>الاستدامة</t>
        </is>
      </c>
      <c r="N207" s="13" t="inlineStr">
        <is>
          <t>جودة التشغيل</t>
        </is>
      </c>
      <c r="O207" s="15" t="inlineStr">
        <is>
          <t>العمليات الداخلية</t>
        </is>
      </c>
      <c r="P207" s="15" t="inlineStr">
        <is>
          <t>المدير المالي</t>
        </is>
      </c>
      <c r="Q207" s="13" t="inlineStr">
        <is>
          <t>نظام المحاسبة / ERP (D365)</t>
        </is>
      </c>
      <c r="R207" s="15" t="inlineStr">
        <is>
          <t>شهري</t>
        </is>
      </c>
      <c r="S207" s="46" t="n">
        <v>7.804</v>
      </c>
      <c r="T207" s="46" t="n">
        <v>7.424</v>
      </c>
      <c r="U207" s="46" t="n">
        <v>7.044</v>
      </c>
      <c r="V207" s="61" t="n">
        <v>-0.0974</v>
      </c>
      <c r="W207" s="61" t="n">
        <v>1</v>
      </c>
      <c r="X207" s="61" t="n">
        <v>0.85</v>
      </c>
      <c r="Y207" s="71" t="inlineStr">
        <is>
          <t>قريب من المستهدف — فجوة 15٪، متابعة لإغلاقها.</t>
        </is>
      </c>
      <c r="Z207" s="69" t="inlineStr">
        <is>
          <t>متابعة أسبوعية حتى بلوغ المستهدف.</t>
        </is>
      </c>
      <c r="AA207" s="27" t="inlineStr">
        <is>
          <t>قريب</t>
        </is>
      </c>
      <c r="AB207" s="27" t="n">
        <v>2</v>
      </c>
      <c r="AC207" s="72" t="inlineStr">
        <is>
          <t>#F2C94C</t>
        </is>
      </c>
    </row>
    <row r="208">
      <c r="A208" s="9" t="inlineStr">
        <is>
          <t>الإدارة المالية</t>
        </is>
      </c>
      <c r="B208" s="9" t="inlineStr">
        <is>
          <t>الموازنة والتقارير</t>
        </is>
      </c>
      <c r="C208" s="9" t="inlineStr">
        <is>
          <t>نسبة تسويات التدقيق</t>
        </is>
      </c>
      <c r="D208" s="15" t="inlineStr">
        <is>
          <t>🔧 تشغيلي</t>
        </is>
      </c>
      <c r="E208" s="46" t="inlineStr">
        <is>
          <t>%</t>
        </is>
      </c>
      <c r="F208" s="46" t="inlineStr">
        <is>
          <t>↓</t>
        </is>
      </c>
      <c r="G208" s="15" t="inlineStr">
        <is>
          <t>🟠 مهم</t>
        </is>
      </c>
      <c r="H208" s="61" t="n">
        <v>0.03</v>
      </c>
      <c r="I208" s="46" t="n">
        <v>0.02</v>
      </c>
      <c r="J208" s="46" t="n">
        <v>0.02</v>
      </c>
      <c r="K208" s="61" t="n">
        <v>1</v>
      </c>
      <c r="L208" s="27" t="inlineStr">
        <is>
          <t>✅ محقق</t>
        </is>
      </c>
      <c r="M208" s="27" t="inlineStr">
        <is>
          <t>الاستدامة</t>
        </is>
      </c>
      <c r="N208" s="13" t="inlineStr">
        <is>
          <t>جودة التشغيل</t>
        </is>
      </c>
      <c r="O208" s="15" t="inlineStr">
        <is>
          <t>العمليات الداخلية</t>
        </is>
      </c>
      <c r="P208" s="15" t="inlineStr">
        <is>
          <t>المدير المالي</t>
        </is>
      </c>
      <c r="Q208" s="13" t="inlineStr">
        <is>
          <t>نظام المحاسبة / ERP (D365)</t>
        </is>
      </c>
      <c r="R208" s="15" t="inlineStr">
        <is>
          <t>ربعي</t>
        </is>
      </c>
      <c r="S208" s="46" t="n">
        <v>0.023</v>
      </c>
      <c r="T208" s="46" t="n">
        <v>0.021</v>
      </c>
      <c r="U208" s="46" t="n">
        <v>0.02</v>
      </c>
      <c r="V208" s="61" t="n">
        <v>-0.1304</v>
      </c>
      <c r="W208" s="61" t="n">
        <v>1</v>
      </c>
      <c r="X208" s="61" t="n">
        <v>0.85</v>
      </c>
      <c r="Y208" s="71" t="inlineStr"/>
      <c r="Z208" s="69" t="inlineStr"/>
      <c r="AA208" s="27" t="inlineStr">
        <is>
          <t>محقق</t>
        </is>
      </c>
      <c r="AB208" s="27" t="n">
        <v>1</v>
      </c>
      <c r="AC208" s="74" t="inlineStr">
        <is>
          <t>#2EAD6B</t>
        </is>
      </c>
    </row>
  </sheetData>
  <autoFilter ref="A1:AC20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الإدارة التنفيذية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النمو</t>
        </is>
      </c>
      <c r="C4" s="24" t="inlineStr">
        <is>
          <t>إجمالي المحطات المشغّلة — الشركة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0.12</v>
      </c>
      <c r="H4" s="52" t="n">
        <v>235</v>
      </c>
      <c r="I4" s="78" t="inlineStr">
        <is>
          <t>≥ 235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206.1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نظام تشغيل المحطات</t>
        </is>
      </c>
    </row>
    <row r="5" ht="24" customHeight="1">
      <c r="A5" s="28" t="n">
        <v>2</v>
      </c>
      <c r="B5" s="24" t="inlineStr">
        <is>
          <t>النمو</t>
        </is>
      </c>
      <c r="C5" s="24" t="inlineStr">
        <is>
          <t>إجمالي العقود الجديدة — الشركة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0.12</v>
      </c>
      <c r="H5" s="52" t="n">
        <v>357</v>
      </c>
      <c r="I5" s="78" t="inlineStr">
        <is>
          <t>357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346.6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نظام إدارة العقود (CRM)</t>
        </is>
      </c>
    </row>
    <row r="6" ht="24" customHeight="1">
      <c r="A6" s="28" t="n">
        <v>3</v>
      </c>
      <c r="B6" s="24" t="inlineStr">
        <is>
          <t>النمو</t>
        </is>
      </c>
      <c r="C6" s="24" t="inlineStr">
        <is>
          <t>إجمالي إيرادات الشركة السنوية</t>
        </is>
      </c>
      <c r="D6" s="46" t="inlineStr">
        <is>
          <t>ر.س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0.11</v>
      </c>
      <c r="H6" s="46" t="inlineStr"/>
      <c r="I6" s="78" t="inlineStr">
        <is>
          <t>تصاعدي مستمر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نظام المحاسبة / ERP (D365)</t>
        </is>
      </c>
    </row>
    <row r="7" ht="24" customHeight="1">
      <c r="A7" s="28" t="n">
        <v>4</v>
      </c>
      <c r="B7" s="24" t="inlineStr">
        <is>
          <t>النمو</t>
        </is>
      </c>
      <c r="C7" s="24" t="inlineStr">
        <is>
          <t>نسبة نمو إيرادات الشركة (سنوي)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0.11</v>
      </c>
      <c r="H7" s="46" t="inlineStr"/>
      <c r="I7" s="78" t="inlineStr">
        <is>
          <t>مستهدف تنفيذي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نظام المحاسبة / ERP (D365)</t>
        </is>
      </c>
    </row>
    <row r="8" ht="24" customHeight="1">
      <c r="A8" s="28" t="n">
        <v>5</v>
      </c>
      <c r="B8" s="24" t="inlineStr">
        <is>
          <t>الابتكار</t>
        </is>
      </c>
      <c r="C8" s="24" t="inlineStr">
        <is>
          <t>نسبة إنجاز مشاريع الخارطة التنفيذية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0.08</v>
      </c>
      <c r="H8" s="61" t="n">
        <v>1</v>
      </c>
      <c r="I8" s="78" t="inlineStr">
        <is>
          <t>100%</t>
        </is>
      </c>
      <c r="J8" s="79" t="inlineStr">
        <is>
          <t>الابتكار</t>
        </is>
      </c>
      <c r="K8" s="11" t="inlineStr">
        <is>
          <t>إطلاق مشاريع جديدة</t>
        </is>
      </c>
      <c r="L8" s="15" t="inlineStr">
        <is>
          <t>العمليات الداخلية</t>
        </is>
      </c>
      <c r="M8" s="59" t="n">
        <v>0.906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سجلات الإدارة</t>
        </is>
      </c>
    </row>
    <row r="9" ht="24" customHeight="1">
      <c r="A9" s="28" t="n">
        <v>6</v>
      </c>
      <c r="B9" s="24" t="inlineStr">
        <is>
          <t>الابتكار</t>
        </is>
      </c>
      <c r="C9" s="24" t="inlineStr">
        <is>
          <t>نسبة التحول الرقمي على مستوى الشركة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0.08</v>
      </c>
      <c r="H9" s="61" t="n">
        <v>0.9</v>
      </c>
      <c r="I9" s="78" t="inlineStr">
        <is>
          <t>≥ 90%</t>
        </is>
      </c>
      <c r="J9" s="79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59" t="n">
        <v>0.9389999999999999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سجلات الإدارة</t>
        </is>
      </c>
    </row>
    <row r="10" ht="24" customHeight="1">
      <c r="A10" s="28" t="n">
        <v>7</v>
      </c>
      <c r="B10" s="24" t="inlineStr">
        <is>
          <t>الاستدامة</t>
        </is>
      </c>
      <c r="C10" s="24" t="inlineStr">
        <is>
          <t>مؤشر رضا العملاء العام (الشركة)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تعزيز تجربة العملاء</t>
        </is>
      </c>
      <c r="L10" s="15" t="inlineStr">
        <is>
          <t>العملاء</t>
        </is>
      </c>
      <c r="M10" s="59" t="n">
        <v>0.922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هدف",IF($N10&gt;=0.9,"✅ محقق",IF($N10&gt;=0.75,"🟡 قريب","🔴 تحت الهدف")))</f>
        <v/>
      </c>
      <c r="P10" s="80" t="inlineStr">
        <is>
          <t>استبيان دوري</t>
        </is>
      </c>
    </row>
    <row r="11" ht="24" customHeight="1">
      <c r="A11" s="28" t="n">
        <v>8</v>
      </c>
      <c r="B11" s="24" t="inlineStr">
        <is>
          <t>الاستدامة</t>
        </is>
      </c>
      <c r="C11" s="24" t="inlineStr">
        <is>
          <t>مؤشر رضا الموظفين العام (eNPS)</t>
        </is>
      </c>
      <c r="D11" s="46" t="inlineStr">
        <is>
          <t>نقطة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0.11</v>
      </c>
      <c r="H11" s="62" t="n">
        <v>30</v>
      </c>
      <c r="I11" s="78" t="inlineStr">
        <is>
          <t>≥ 30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63" t="n">
        <v>22.5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inlineStr">
        <is>
          <t>استبيان دوري</t>
        </is>
      </c>
    </row>
    <row r="12" ht="24" customHeight="1">
      <c r="A12" s="28" t="n">
        <v>9</v>
      </c>
      <c r="B12" s="24" t="inlineStr">
        <is>
          <t>الاستدامة</t>
        </is>
      </c>
      <c r="C12" s="24" t="inlineStr">
        <is>
          <t>نسبة تحقيق المستهدفات الاستراتيجية العامة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0.85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سجلات الإدارة</t>
        </is>
      </c>
    </row>
    <row r="13" ht="24" customHeight="1">
      <c r="A13" s="28" t="n">
        <v>10</v>
      </c>
      <c r="B13" s="24" t="inlineStr">
        <is>
          <t>النمو</t>
        </is>
      </c>
      <c r="C13" s="24" t="inlineStr">
        <is>
          <t>الالتزام بمعايير وزارة الطاقة (تغطية 13 منطقة)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0.08</v>
      </c>
      <c r="H13" s="61" t="n">
        <v>1</v>
      </c>
      <c r="I13" s="78" t="inlineStr">
        <is>
          <t>100%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59" t="n">
        <v>0.749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سجلات الإدارة</t>
        </is>
      </c>
    </row>
  </sheetData>
  <autoFilter ref="A3:P13"/>
  <mergeCells count="2">
    <mergeCell ref="A1:P1"/>
    <mergeCell ref="A2:P2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الامتياز التجاري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النمو والتوسع</t>
        </is>
      </c>
      <c r="C4" s="24" t="inlineStr">
        <is>
          <t>عدد محطات الامتياز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0.04</v>
      </c>
      <c r="H4" s="52" t="n">
        <v>150</v>
      </c>
      <c r="I4" s="78" t="inlineStr">
        <is>
          <t>150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110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نظام إدارة العقود (CRM)</t>
        </is>
      </c>
    </row>
    <row r="5" ht="24" customHeight="1">
      <c r="A5" s="28" t="n">
        <v>2</v>
      </c>
      <c r="B5" s="24" t="inlineStr">
        <is>
          <t>النمو والتوسع</t>
        </is>
      </c>
      <c r="C5" s="24" t="inlineStr">
        <is>
          <t>عدد عقود الامتياز الجديدة الموقّعة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0.04</v>
      </c>
      <c r="H5" s="52" t="n">
        <v>167</v>
      </c>
      <c r="I5" s="78" t="inlineStr">
        <is>
          <t>167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159.2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نظام إدارة العقود (CRM)</t>
        </is>
      </c>
    </row>
    <row r="6" ht="24" customHeight="1">
      <c r="A6" s="28" t="n">
        <v>3</v>
      </c>
      <c r="B6" s="24" t="inlineStr">
        <is>
          <t>المبيعات والأداء التجاري</t>
        </is>
      </c>
      <c r="C6" s="24" t="inlineStr">
        <is>
          <t>إجمالي مبيعات وقود محطات الامتياز</t>
        </is>
      </c>
      <c r="D6" s="46" t="inlineStr">
        <is>
          <t>لتر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0.04</v>
      </c>
      <c r="H6" s="52" t="n">
        <v>718838077</v>
      </c>
      <c r="I6" s="78" t="inlineStr">
        <is>
          <t>718.8M لتر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3" t="n">
        <v>576630340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نظام إدارة العقود (CRM)</t>
        </is>
      </c>
    </row>
    <row r="7" ht="24" customHeight="1">
      <c r="A7" s="28" t="n">
        <v>4</v>
      </c>
      <c r="B7" s="24" t="inlineStr">
        <is>
          <t>المبيعات والأداء التجاري</t>
        </is>
      </c>
      <c r="C7" s="24" t="inlineStr">
        <is>
          <t>نسبة المحطات التي حققت مستهدف المبيعات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0.04</v>
      </c>
      <c r="H7" s="61" t="n">
        <v>0.9</v>
      </c>
      <c r="I7" s="78" t="inlineStr">
        <is>
          <t>90%+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0.788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نظام تشغيل المحطات</t>
        </is>
      </c>
    </row>
    <row r="8" ht="24" customHeight="1">
      <c r="A8" s="28" t="n">
        <v>5</v>
      </c>
      <c r="B8" s="24" t="inlineStr">
        <is>
          <t>المبيعات والأداء التجاري</t>
        </is>
      </c>
      <c r="C8" s="24" t="inlineStr">
        <is>
          <t>متوسط مبيعات المحطة الواحدة شهرياً</t>
        </is>
      </c>
      <c r="D8" s="46" t="inlineStr">
        <is>
          <t>لتر/محطة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0.04</v>
      </c>
      <c r="H8" s="46" t="inlineStr"/>
      <c r="I8" s="78" t="inlineStr">
        <is>
          <t>+10% نمو شهري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3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نظام تشغيل المحطات</t>
        </is>
      </c>
    </row>
    <row r="9" ht="24" customHeight="1">
      <c r="A9" s="28" t="n">
        <v>6</v>
      </c>
      <c r="B9" s="24" t="inlineStr">
        <is>
          <t>المبيعات والأداء التجاري</t>
        </is>
      </c>
      <c r="C9" s="24" t="inlineStr">
        <is>
          <t>نسبة تأجير وحدات الامتياز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0.03</v>
      </c>
      <c r="H9" s="61" t="n">
        <v>0.7</v>
      </c>
      <c r="I9" s="78" t="inlineStr">
        <is>
          <t>70%</t>
        </is>
      </c>
      <c r="J9" s="79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59" t="n">
        <v>0.709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نظام إدارة العقود (CRM)</t>
        </is>
      </c>
    </row>
    <row r="10" ht="24" customHeight="1">
      <c r="A10" s="28" t="n">
        <v>7</v>
      </c>
      <c r="B10" s="24" t="inlineStr">
        <is>
          <t>الأداء المالي</t>
        </is>
      </c>
      <c r="C10" s="24" t="inlineStr">
        <is>
          <t>إجمالي إيرادات إدارة الامتياز</t>
        </is>
      </c>
      <c r="D10" s="46" t="inlineStr">
        <is>
          <t>ر.س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0.04</v>
      </c>
      <c r="H10" s="46" t="inlineStr"/>
      <c r="I10" s="78" t="inlineStr">
        <is>
          <t>تصاعدي مستمر</t>
        </is>
      </c>
      <c r="J10" s="79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56" t="n"/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نظام المحاسبة / ERP (D365)</t>
        </is>
      </c>
    </row>
    <row r="11" ht="24" customHeight="1">
      <c r="A11" s="28" t="n">
        <v>8</v>
      </c>
      <c r="B11" s="24" t="inlineStr">
        <is>
          <t>الأداء المالي</t>
        </is>
      </c>
      <c r="C11" s="24" t="inlineStr">
        <is>
          <t>رفع هامش الربحية للامتياز</t>
        </is>
      </c>
      <c r="D11" s="46" t="inlineStr">
        <is>
          <t>هللة/لتر</t>
        </is>
      </c>
      <c r="E11" s="46" t="inlineStr">
        <is>
          <t>↑</t>
        </is>
      </c>
      <c r="F11" s="15" t="inlineStr">
        <is>
          <t>🟠 مهم</t>
        </is>
      </c>
      <c r="G11" s="61" t="n">
        <v>0.03</v>
      </c>
      <c r="H11" s="62" t="n">
        <v>1.8</v>
      </c>
      <c r="I11" s="78" t="inlineStr">
        <is>
          <t>+1.8 هللة/لتر</t>
        </is>
      </c>
      <c r="J11" s="79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3" t="n">
        <v>1.564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نظام المحاسبة / ERP (D365)</t>
        </is>
      </c>
    </row>
    <row r="12" ht="24" customHeight="1">
      <c r="A12" s="28" t="n">
        <v>9</v>
      </c>
      <c r="B12" s="24" t="inlineStr">
        <is>
          <t>الأداء المالي</t>
        </is>
      </c>
      <c r="C12" s="24" t="inlineStr">
        <is>
          <t>نسبة التحصيل المالي من شركاء الامتياز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0.04</v>
      </c>
      <c r="H12" s="61" t="n">
        <v>0.95</v>
      </c>
      <c r="I12" s="78" t="inlineStr">
        <is>
          <t>95%+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0.8120000000000001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نظام المحاسبة / ERP (D365)</t>
        </is>
      </c>
    </row>
    <row r="13" ht="24" customHeight="1">
      <c r="A13" s="28" t="n">
        <v>10</v>
      </c>
      <c r="B13" s="24" t="inlineStr">
        <is>
          <t>الأداء المالي</t>
        </is>
      </c>
      <c r="C13" s="24" t="inlineStr">
        <is>
          <t>متوسط أيام تحصيل شركاء الامتياز (DSO)</t>
        </is>
      </c>
      <c r="D13" s="46" t="inlineStr">
        <is>
          <t>يوم</t>
        </is>
      </c>
      <c r="E13" s="46" t="inlineStr">
        <is>
          <t>↓</t>
        </is>
      </c>
      <c r="F13" s="15" t="inlineStr">
        <is>
          <t>🔴 رئيسي</t>
        </is>
      </c>
      <c r="G13" s="61" t="n">
        <v>0.04</v>
      </c>
      <c r="H13" s="62" t="n">
        <v>30</v>
      </c>
      <c r="I13" s="78" t="inlineStr">
        <is>
          <t>≤ 30 يوم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3" t="n">
        <v>26.2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نظام المحاسبة / ERP (D365)</t>
        </is>
      </c>
    </row>
    <row r="14" ht="24" customHeight="1">
      <c r="A14" s="28" t="n">
        <v>11</v>
      </c>
      <c r="B14" s="24" t="inlineStr">
        <is>
          <t>الأداء المالي</t>
        </is>
      </c>
      <c r="C14" s="24" t="inlineStr">
        <is>
          <t>إجمالي المستحقات المتأخرة (+30 يوم)</t>
        </is>
      </c>
      <c r="D14" s="46" t="inlineStr">
        <is>
          <t>ر.س</t>
        </is>
      </c>
      <c r="E14" s="46" t="inlineStr">
        <is>
          <t>↓</t>
        </is>
      </c>
      <c r="F14" s="15" t="inlineStr">
        <is>
          <t>🟠 مهم</t>
        </is>
      </c>
      <c r="G14" s="61" t="n">
        <v>0.03</v>
      </c>
      <c r="H14" s="46" t="inlineStr"/>
      <c r="I14" s="78" t="inlineStr">
        <is>
          <t>تراجع مستمر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56" t="n"/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نظام المحاسبة / ERP (D365)</t>
        </is>
      </c>
    </row>
    <row r="15" ht="24" customHeight="1">
      <c r="A15" s="28" t="n">
        <v>12</v>
      </c>
      <c r="B15" s="24" t="inlineStr">
        <is>
          <t>الأداء المالي</t>
        </is>
      </c>
      <c r="C15" s="24" t="inlineStr">
        <is>
          <t>نسبة الشركاء الملتزمين بمواعيد السداد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0.03</v>
      </c>
      <c r="H15" s="61" t="n">
        <v>0.9</v>
      </c>
      <c r="I15" s="78" t="inlineStr">
        <is>
          <t>90%+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0.705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نظام المحاسبة / ERP (D365)</t>
        </is>
      </c>
    </row>
    <row r="16" ht="24" customHeight="1">
      <c r="A16" s="28" t="n">
        <v>13</v>
      </c>
      <c r="B16" s="24" t="inlineStr">
        <is>
          <t>الأداء المالي</t>
        </is>
      </c>
      <c r="C16" s="24" t="inlineStr">
        <is>
          <t>معدل دوران رأس المال (أيام الدورة)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0.03</v>
      </c>
      <c r="H16" s="62" t="n">
        <v>5</v>
      </c>
      <c r="I16" s="78" t="inlineStr">
        <is>
          <t>≤ 5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3" t="n">
        <v>4.329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نظام الموارد البشرية (HRMS)</t>
        </is>
      </c>
    </row>
    <row r="17" ht="24" customHeight="1">
      <c r="A17" s="28" t="n">
        <v>14</v>
      </c>
      <c r="B17" s="24" t="inlineStr">
        <is>
          <t>التشغيل والجودة</t>
        </is>
      </c>
      <c r="C17" s="24" t="inlineStr">
        <is>
          <t>نسبة جاهزية محطات الامتياز (صفر انقطاع)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0.04</v>
      </c>
      <c r="H17" s="61" t="n">
        <v>0.99</v>
      </c>
      <c r="I17" s="78" t="inlineStr">
        <is>
          <t>99%+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محقق",IF($N17&gt;=0.97,"🟡 قريب","🔴 تحت الهدف")))</f>
        <v/>
      </c>
      <c r="P17" s="80" t="inlineStr">
        <is>
          <t>نظام إدارة الجودة (QMS)</t>
        </is>
      </c>
    </row>
    <row r="18" ht="24" customHeight="1">
      <c r="A18" s="28" t="n">
        <v>15</v>
      </c>
      <c r="B18" s="24" t="inlineStr">
        <is>
          <t>التشغيل والجودة</t>
        </is>
      </c>
      <c r="C18" s="24" t="inlineStr">
        <is>
          <t>عدد حالات انقطاع الوقود الموثّقة</t>
        </is>
      </c>
      <c r="D18" s="46" t="inlineStr">
        <is>
          <t>حالة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0.04</v>
      </c>
      <c r="H18" s="52" t="n">
        <v>0</v>
      </c>
      <c r="I18" s="78" t="inlineStr">
        <is>
          <t>0 حالة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3" t="n"/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نظام إدارة الجودة (QMS)</t>
        </is>
      </c>
    </row>
    <row r="19" ht="24" customHeight="1">
      <c r="A19" s="28" t="n">
        <v>16</v>
      </c>
      <c r="B19" s="24" t="inlineStr">
        <is>
          <t>التشغيل والجودة</t>
        </is>
      </c>
      <c r="C19" s="24" t="inlineStr">
        <is>
          <t>نسبة إغلاق ملاحظات الجودة الميدانية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0.95</v>
      </c>
      <c r="I19" s="78" t="inlineStr">
        <is>
          <t>95%+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0.879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نظام إدارة الجودة (QMS)</t>
        </is>
      </c>
    </row>
    <row r="20" ht="24" customHeight="1">
      <c r="A20" s="28" t="n">
        <v>17</v>
      </c>
      <c r="B20" s="24" t="inlineStr">
        <is>
          <t>التشغيل والجودة</t>
        </is>
      </c>
      <c r="C20" s="24" t="inlineStr">
        <is>
          <t>متوسط درجة تقييم جودة المحطة (قائمة التحقق)</t>
        </is>
      </c>
      <c r="D20" s="46" t="inlineStr">
        <is>
          <t>درجة/100</t>
        </is>
      </c>
      <c r="E20" s="46" t="inlineStr">
        <is>
          <t>↑</t>
        </is>
      </c>
      <c r="F20" s="15" t="inlineStr">
        <is>
          <t>🔴 رئيسي</t>
        </is>
      </c>
      <c r="G20" s="61" t="n">
        <v>0.04</v>
      </c>
      <c r="H20" s="62" t="n">
        <v>85</v>
      </c>
      <c r="I20" s="78" t="inlineStr">
        <is>
          <t>85+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78.8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نظام إدارة الجودة (QMS)</t>
        </is>
      </c>
    </row>
    <row r="21" ht="24" customHeight="1">
      <c r="A21" s="28" t="n">
        <v>18</v>
      </c>
      <c r="B21" s="24" t="inlineStr">
        <is>
          <t>التشغيل والجودة</t>
        </is>
      </c>
      <c r="C21" s="24" t="inlineStr">
        <is>
          <t>نسبة تنفيذ الزيارات الميدانية المجدولة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🟠 مهم</t>
        </is>
      </c>
      <c r="G21" s="61" t="n">
        <v>0.03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1.034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نظام إدارة الجودة (QMS)</t>
        </is>
      </c>
    </row>
    <row r="22" ht="24" customHeight="1">
      <c r="A22" s="28" t="n">
        <v>19</v>
      </c>
      <c r="B22" s="24" t="inlineStr">
        <is>
          <t>التشغيل والجودة</t>
        </is>
      </c>
      <c r="C22" s="24" t="inlineStr">
        <is>
          <t>نسبة المحطات المستوفية لمعايير السلامة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0.04</v>
      </c>
      <c r="H22" s="61" t="n">
        <v>1</v>
      </c>
      <c r="I22" s="78" t="inlineStr">
        <is>
          <t>100%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0.911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محقق",IF($N22&gt;=0.97,"🟡 قريب","🔴 تحت الهدف")))</f>
        <v/>
      </c>
      <c r="P22" s="80" t="inlineStr">
        <is>
          <t>نظام إدارة الجودة (QMS)</t>
        </is>
      </c>
    </row>
    <row r="23" ht="24" customHeight="1">
      <c r="A23" s="28" t="n">
        <v>20</v>
      </c>
      <c r="B23" s="24" t="inlineStr">
        <is>
          <t>التشغيل والجودة</t>
        </is>
      </c>
      <c r="C23" s="24" t="inlineStr">
        <is>
          <t>متوسط وقت معالجة البلاغات التشغيلية</t>
        </is>
      </c>
      <c r="D23" s="46" t="inlineStr">
        <is>
          <t>ساعة</t>
        </is>
      </c>
      <c r="E23" s="46" t="inlineStr">
        <is>
          <t>↓</t>
        </is>
      </c>
      <c r="F23" s="15" t="inlineStr">
        <is>
          <t>🟠 مهم</t>
        </is>
      </c>
      <c r="G23" s="61" t="n">
        <v>0.02</v>
      </c>
      <c r="H23" s="62" t="n">
        <v>24</v>
      </c>
      <c r="I23" s="78" t="inlineStr">
        <is>
          <t>≤ 24 ساعة</t>
        </is>
      </c>
      <c r="J23" s="79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3" t="n">
        <v>26.2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نظام إدارة الجودة (QMS)</t>
        </is>
      </c>
    </row>
    <row r="24" ht="24" customHeight="1">
      <c r="A24" s="28" t="n">
        <v>21</v>
      </c>
      <c r="B24" s="24" t="inlineStr">
        <is>
          <t>التشغيل والجودة</t>
        </is>
      </c>
      <c r="C24" s="24" t="inlineStr">
        <is>
          <t>نسبة أتمتة محطات الامتياز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0.04</v>
      </c>
      <c r="H24" s="61" t="n">
        <v>0.9</v>
      </c>
      <c r="I24" s="78" t="inlineStr">
        <is>
          <t>90%</t>
        </is>
      </c>
      <c r="J24" s="79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59" t="n">
        <v>0.674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مكتب إدارة المشاريع (PMO)</t>
        </is>
      </c>
    </row>
    <row r="25" ht="24" customHeight="1">
      <c r="A25" s="28" t="n">
        <v>22</v>
      </c>
      <c r="B25" s="24" t="inlineStr">
        <is>
          <t>التشغيل والجودة</t>
        </is>
      </c>
      <c r="C25" s="24" t="inlineStr">
        <is>
          <t>نسبة تطبيق المعيار الشامل داخل المحطات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🟡 متابعة</t>
        </is>
      </c>
      <c r="G25" s="61" t="n">
        <v>0.01</v>
      </c>
      <c r="H25" s="61" t="n">
        <v>0.3</v>
      </c>
      <c r="I25" s="78" t="inlineStr">
        <is>
          <t>30%</t>
        </is>
      </c>
      <c r="J25" s="79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59" t="n">
        <v>0.299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inlineStr">
        <is>
          <t>نظام إدارة الجودة (QMS)</t>
        </is>
      </c>
    </row>
    <row r="26" ht="24" customHeight="1">
      <c r="A26" s="28" t="n">
        <v>23</v>
      </c>
      <c r="B26" s="24" t="inlineStr">
        <is>
          <t>الهوية والتسويق</t>
        </is>
      </c>
      <c r="C26" s="24" t="inlineStr">
        <is>
          <t>نسبة التزام المحطات بالهوية المؤسسية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🔴 رئيسي</t>
        </is>
      </c>
      <c r="G26" s="61" t="n">
        <v>0.04</v>
      </c>
      <c r="H26" s="61" t="n">
        <v>0.55</v>
      </c>
      <c r="I26" s="78" t="inlineStr">
        <is>
          <t>55%</t>
        </is>
      </c>
      <c r="J26" s="79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59" t="n">
        <v>0.44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نظام تشغيل المحطات</t>
        </is>
      </c>
    </row>
    <row r="27" ht="24" customHeight="1">
      <c r="A27" s="28" t="n">
        <v>24</v>
      </c>
      <c r="B27" s="24" t="inlineStr">
        <is>
          <t>تجربة العملاء والشركاء</t>
        </is>
      </c>
      <c r="C27" s="24" t="inlineStr">
        <is>
          <t>متوسط تقييم المحطات على خرائط قوقل</t>
        </is>
      </c>
      <c r="D27" s="46" t="inlineStr">
        <is>
          <t>نجمة/5</t>
        </is>
      </c>
      <c r="E27" s="46" t="inlineStr">
        <is>
          <t>↑</t>
        </is>
      </c>
      <c r="F27" s="15" t="inlineStr">
        <is>
          <t>🔴 رئيسي</t>
        </is>
      </c>
      <c r="G27" s="61" t="n">
        <v>0.04</v>
      </c>
      <c r="H27" s="62" t="n">
        <v>4.7</v>
      </c>
      <c r="I27" s="78" t="inlineStr">
        <is>
          <t>≥ 4.7 نجمة</t>
        </is>
      </c>
      <c r="J27" s="79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3" t="n">
        <v>3.474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تقييمات خرائط قوقل</t>
        </is>
      </c>
    </row>
    <row r="28" ht="24" customHeight="1">
      <c r="A28" s="28" t="n">
        <v>25</v>
      </c>
      <c r="B28" s="24" t="inlineStr">
        <is>
          <t>تجربة العملاء والشركاء</t>
        </is>
      </c>
      <c r="C28" s="24" t="inlineStr">
        <is>
          <t>معدل رضا شركاء الامتياز (CSAT)</t>
        </is>
      </c>
      <c r="D28" s="46" t="inlineStr">
        <is>
          <t>%</t>
        </is>
      </c>
      <c r="E28" s="46" t="inlineStr">
        <is>
          <t>↑</t>
        </is>
      </c>
      <c r="F28" s="15" t="inlineStr">
        <is>
          <t>🔴 رئيسي</t>
        </is>
      </c>
      <c r="G28" s="61" t="n">
        <v>0.04</v>
      </c>
      <c r="H28" s="61" t="n">
        <v>0.9</v>
      </c>
      <c r="I28" s="78" t="inlineStr">
        <is>
          <t>90%+</t>
        </is>
      </c>
      <c r="J28" s="79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59" t="n">
        <v>0.837</v>
      </c>
      <c r="N28" s="10">
        <f>IF($H28="","",IF($M28="","",MIN(1,IF($H28=0,IF($M28&lt;=0,1,0),IF($E28="↓",IFERROR($H28/$M28,0),IFERROR($M28/$H28,0))))))</f>
        <v/>
      </c>
      <c r="O28" s="28">
        <f>IF($N28="","⏳ بانتظار هدف",IF($N28&gt;=0.9,"✅ محقق",IF($N28&gt;=0.75,"🟡 قريب","🔴 تحت الهدف")))</f>
        <v/>
      </c>
      <c r="P28" s="80" t="inlineStr">
        <is>
          <t>استبيان دوري</t>
        </is>
      </c>
    </row>
    <row r="29" ht="24" customHeight="1">
      <c r="A29" s="28" t="n">
        <v>26</v>
      </c>
      <c r="B29" s="24" t="inlineStr">
        <is>
          <t>تجربة العملاء والشركاء</t>
        </is>
      </c>
      <c r="C29" s="24" t="inlineStr">
        <is>
          <t>نسبة حل الشكاوى خلال المدة المحددة</t>
        </is>
      </c>
      <c r="D29" s="46" t="inlineStr">
        <is>
          <t>%</t>
        </is>
      </c>
      <c r="E29" s="46" t="inlineStr">
        <is>
          <t>↑</t>
        </is>
      </c>
      <c r="F29" s="15" t="inlineStr">
        <is>
          <t>🟠 مهم</t>
        </is>
      </c>
      <c r="G29" s="61" t="n">
        <v>0.02</v>
      </c>
      <c r="H29" s="61" t="n">
        <v>0.95</v>
      </c>
      <c r="I29" s="78" t="inlineStr">
        <is>
          <t>95%+</t>
        </is>
      </c>
      <c r="J29" s="79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59" t="n">
        <v>0.922</v>
      </c>
      <c r="N29" s="10">
        <f>IF($H29="","",IF($M29="","",MIN(1,IF($H29=0,IF($M29&lt;=0,1,0),IF($E29="↓",IFERROR($H29/$M29,0),IFERROR($M29/$H29,0))))))</f>
        <v/>
      </c>
      <c r="O29" s="28">
        <f>IF($N29="","⏳ بانتظار هدف",IF($N29&gt;=1.0,"✅ محقق",IF($N29&gt;=0.85,"🟡 قريب","🔴 تحت الهدف")))</f>
        <v/>
      </c>
      <c r="P29" s="80" t="inlineStr">
        <is>
          <t>سجلات الإدارة</t>
        </is>
      </c>
    </row>
    <row r="30" ht="24" customHeight="1">
      <c r="A30" s="28" t="n">
        <v>27</v>
      </c>
      <c r="B30" s="24" t="inlineStr">
        <is>
          <t>تجربة العملاء والشركاء</t>
        </is>
      </c>
      <c r="C30" s="24" t="inlineStr">
        <is>
          <t>نسبة انخفاض الشكاوى التشغيلية والإدارية</t>
        </is>
      </c>
      <c r="D30" s="46" t="inlineStr">
        <is>
          <t>%</t>
        </is>
      </c>
      <c r="E30" s="46" t="inlineStr">
        <is>
          <t>↑</t>
        </is>
      </c>
      <c r="F30" s="15" t="inlineStr">
        <is>
          <t>🟠 مهم</t>
        </is>
      </c>
      <c r="G30" s="61" t="n">
        <v>0.02</v>
      </c>
      <c r="H30" s="46" t="inlineStr"/>
      <c r="I30" s="78" t="inlineStr">
        <is>
          <t>-30%</t>
        </is>
      </c>
      <c r="J30" s="79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59" t="n"/>
      <c r="N30" s="10">
        <f>IF($H30="","",IF($M30="","",MIN(1,IF($H30=0,IF($M30&lt;=0,1,0),IF($E30="↓",IFERROR($H30/$M30,0),IFERROR($M30/$H30,0))))))</f>
        <v/>
      </c>
      <c r="O30" s="28">
        <f>IF($N30="","⏳ بانتظار هدف",IF($N30&gt;=1.0,"✅ محقق",IF($N30&gt;=0.85,"🟡 قريب","🔴 تحت الهدف")))</f>
        <v/>
      </c>
      <c r="P30" s="80" t="inlineStr">
        <is>
          <t>سجلات الإدارة</t>
        </is>
      </c>
    </row>
    <row r="31" ht="24" customHeight="1">
      <c r="A31" s="28" t="n">
        <v>28</v>
      </c>
      <c r="B31" s="24" t="inlineStr">
        <is>
          <t>استدامة الشراكة والامتثال</t>
        </is>
      </c>
      <c r="C31" s="24" t="inlineStr">
        <is>
          <t>نسبة استدامة أصحاب الامتياز (Retention)</t>
        </is>
      </c>
      <c r="D31" s="46" t="inlineStr">
        <is>
          <t>%</t>
        </is>
      </c>
      <c r="E31" s="46" t="inlineStr">
        <is>
          <t>↑</t>
        </is>
      </c>
      <c r="F31" s="15" t="inlineStr">
        <is>
          <t>🟠 مهم</t>
        </is>
      </c>
      <c r="G31" s="61" t="n">
        <v>0.02</v>
      </c>
      <c r="H31" s="61" t="n">
        <v>0.9</v>
      </c>
      <c r="I31" s="78" t="inlineStr">
        <is>
          <t>90%</t>
        </is>
      </c>
      <c r="J31" s="79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59" t="n">
        <v>0.853</v>
      </c>
      <c r="N31" s="10">
        <f>IF($H31="","",IF($M31="","",MIN(1,IF($H31=0,IF($M31&lt;=0,1,0),IF($E31="↓",IFERROR($H31/$M31,0),IFERROR($M31/$H31,0))))))</f>
        <v/>
      </c>
      <c r="O31" s="28">
        <f>IF($N31="","⏳ بانتظار هدف",IF($N31&gt;=1.0,"✅ محقق",IF($N31&gt;=0.85,"🟡 قريب","🔴 تحت الهدف")))</f>
        <v/>
      </c>
      <c r="P31" s="80" t="inlineStr">
        <is>
          <t>نظام إدارة الجودة (QMS)</t>
        </is>
      </c>
    </row>
    <row r="32" ht="24" customHeight="1">
      <c r="A32" s="28" t="n">
        <v>29</v>
      </c>
      <c r="B32" s="24" t="inlineStr">
        <is>
          <t>استدامة الشراكة والامتثال</t>
        </is>
      </c>
      <c r="C32" s="24" t="inlineStr">
        <is>
          <t>نسبة زيادة عدد أصحاب الامتياز</t>
        </is>
      </c>
      <c r="D32" s="46" t="inlineStr">
        <is>
          <t>%</t>
        </is>
      </c>
      <c r="E32" s="46" t="inlineStr">
        <is>
          <t>↑</t>
        </is>
      </c>
      <c r="F32" s="15" t="inlineStr">
        <is>
          <t>🟠 مهم</t>
        </is>
      </c>
      <c r="G32" s="61" t="n">
        <v>0.02</v>
      </c>
      <c r="H32" s="61" t="n">
        <v>1</v>
      </c>
      <c r="I32" s="78" t="inlineStr">
        <is>
          <t>100% نمو</t>
        </is>
      </c>
      <c r="J32" s="79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59" t="n">
        <v>0.8100000000000001</v>
      </c>
      <c r="N32" s="10">
        <f>IF($H32="","",IF($M32="","",MIN(1,IF($H32=0,IF($M32&lt;=0,1,0),IF($E32="↓",IFERROR($H32/$M32,0),IFERROR($M32/$H32,0))))))</f>
        <v/>
      </c>
      <c r="O32" s="28">
        <f>IF($N32="","⏳ بانتظار هدف",IF($N32&gt;=1.0,"✅ محقق",IF($N32&gt;=0.85,"🟡 قريب","🔴 تحت الهدف")))</f>
        <v/>
      </c>
      <c r="P32" s="80" t="inlineStr">
        <is>
          <t>نظام إدارة الجودة (QMS)</t>
        </is>
      </c>
    </row>
    <row r="33" ht="24" customHeight="1">
      <c r="A33" s="28" t="n">
        <v>30</v>
      </c>
      <c r="B33" s="24" t="inlineStr">
        <is>
          <t>استدامة الشراكة والامتثال</t>
        </is>
      </c>
      <c r="C33" s="24" t="inlineStr">
        <is>
          <t>متوسط مدة إغلاق عقد الامتياز</t>
        </is>
      </c>
      <c r="D33" s="46" t="inlineStr">
        <is>
          <t>أسبوع</t>
        </is>
      </c>
      <c r="E33" s="46" t="inlineStr">
        <is>
          <t>↓</t>
        </is>
      </c>
      <c r="F33" s="15" t="inlineStr">
        <is>
          <t>🔴 رئيسي</t>
        </is>
      </c>
      <c r="G33" s="61" t="n">
        <v>0.04</v>
      </c>
      <c r="H33" s="62" t="n">
        <v>1</v>
      </c>
      <c r="I33" s="78" t="inlineStr">
        <is>
          <t>≤ أسبوع</t>
        </is>
      </c>
      <c r="J33" s="79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63" t="n">
        <v>0.899</v>
      </c>
      <c r="N33" s="10">
        <f>IF($H33="","",IF($M33="","",MIN(1,IF($H33=0,IF($M33&lt;=0,1,0),IF($E33="↓",IFERROR($H33/$M33,0),IFERROR($M33/$H33,0))))))</f>
        <v/>
      </c>
      <c r="O33" s="28">
        <f>IF($N33="","⏳ بانتظار هدف",IF($N33&gt;=1.0,"✅ محقق",IF($N33&gt;=0.85,"🟡 قريب","🔴 تحت الهدف")))</f>
        <v/>
      </c>
      <c r="P33" s="80" t="inlineStr">
        <is>
          <t>نظام إدارة الجودة (QMS)</t>
        </is>
      </c>
    </row>
  </sheetData>
  <autoFilter ref="A3:P33"/>
  <mergeCells count="2">
    <mergeCell ref="A1:P1"/>
    <mergeCell ref="A2:P2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التشغيل والمحطات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النمو</t>
        </is>
      </c>
      <c r="C4" s="24" t="inlineStr">
        <is>
          <t>عدد المحطات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85</v>
      </c>
      <c r="I4" s="78" t="inlineStr">
        <is>
          <t>85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78.5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نظام تشغيل المحطات</t>
        </is>
      </c>
    </row>
    <row r="5" ht="24" customHeight="1">
      <c r="A5" s="28" t="n">
        <v>2</v>
      </c>
      <c r="B5" s="24" t="inlineStr">
        <is>
          <t>الربحية</t>
        </is>
      </c>
      <c r="C5" s="24" t="inlineStr">
        <is>
          <t>نمو مبيعات بنزين 91 مقارنة بالعام السابق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46" t="inlineStr"/>
      <c r="I5" s="78" t="inlineStr">
        <is>
          <t>يُحدد لاحقاً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نظام المحاسبة / ERP (D365)</t>
        </is>
      </c>
    </row>
    <row r="6" ht="24" customHeight="1">
      <c r="A6" s="28" t="n">
        <v>3</v>
      </c>
      <c r="B6" s="24" t="inlineStr">
        <is>
          <t>الربحية</t>
        </is>
      </c>
      <c r="C6" s="24" t="inlineStr">
        <is>
          <t>نمو مبيعات بنزين 95 مقارنة بالعام السابق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46" t="inlineStr"/>
      <c r="I6" s="78" t="inlineStr">
        <is>
          <t>يُحدد لاحقاً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نظام المحاسبة / ERP (D365)</t>
        </is>
      </c>
    </row>
    <row r="7" ht="24" customHeight="1">
      <c r="A7" s="28" t="n">
        <v>4</v>
      </c>
      <c r="B7" s="24" t="inlineStr">
        <is>
          <t>الربحية</t>
        </is>
      </c>
      <c r="C7" s="24" t="inlineStr">
        <is>
          <t>نمو مبيعات بنزين 98 مقارنة بالعام السابق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46" t="inlineStr"/>
      <c r="I7" s="78" t="inlineStr">
        <is>
          <t>يُحدد لاحقاً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نظام المحاسبة / ERP (D365)</t>
        </is>
      </c>
    </row>
    <row r="8" ht="24" customHeight="1">
      <c r="A8" s="28" t="n">
        <v>5</v>
      </c>
      <c r="B8" s="24" t="inlineStr">
        <is>
          <t>الربحية</t>
        </is>
      </c>
      <c r="C8" s="24" t="inlineStr">
        <is>
          <t>نمو مبيعات الديزل مقارنة بالعام السابق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46" t="inlineStr"/>
      <c r="I8" s="78" t="inlineStr">
        <is>
          <t>يُحدد لاحقاً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9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نظام المحاسبة / ERP (D365)</t>
        </is>
      </c>
    </row>
    <row r="9" ht="24" customHeight="1">
      <c r="A9" s="28" t="n">
        <v>6</v>
      </c>
      <c r="B9" s="24" t="inlineStr">
        <is>
          <t>حماية الإيراد</t>
        </is>
      </c>
      <c r="C9" s="24" t="inlineStr">
        <is>
          <t>نسبة جاهزية المحطة الشاملة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0.07000000000000001</v>
      </c>
      <c r="H9" s="61" t="n">
        <v>0.99</v>
      </c>
      <c r="I9" s="78" t="inlineStr">
        <is>
          <t>99%+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0.831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80" t="inlineStr">
        <is>
          <t>نظام المحاسبة / ERP (D365)</t>
        </is>
      </c>
    </row>
    <row r="10" ht="24" customHeight="1">
      <c r="A10" s="28" t="n">
        <v>7</v>
      </c>
      <c r="B10" s="24" t="inlineStr">
        <is>
          <t>حماية الإيراد</t>
        </is>
      </c>
      <c r="C10" s="24" t="inlineStr">
        <is>
          <t>نسبة المضخات العاملة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0.05</v>
      </c>
      <c r="H10" s="61" t="n">
        <v>0.97</v>
      </c>
      <c r="I10" s="78" t="inlineStr">
        <is>
          <t>≥ 97%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0.953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نظام المحاسبة / ERP (D365)</t>
        </is>
      </c>
    </row>
    <row r="11" ht="24" customHeight="1">
      <c r="A11" s="28" t="n">
        <v>8</v>
      </c>
      <c r="B11" s="24" t="inlineStr">
        <is>
          <t>ضغط التكلفة</t>
        </is>
      </c>
      <c r="C11" s="24" t="inlineStr">
        <is>
          <t>تكلفة التشغيل لكل لتر مباع</t>
        </is>
      </c>
      <c r="D11" s="46" t="inlineStr">
        <is>
          <t>هللة/لتر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0.05</v>
      </c>
      <c r="H11" s="46" t="inlineStr"/>
      <c r="I11" s="78" t="inlineStr">
        <is>
          <t>خفض ≥5% سنوياً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نظام تشغيل المحطات</t>
        </is>
      </c>
    </row>
    <row r="12" ht="24" customHeight="1">
      <c r="A12" s="28" t="n">
        <v>9</v>
      </c>
      <c r="B12" s="24" t="inlineStr">
        <is>
          <t>حماية الأصول</t>
        </is>
      </c>
      <c r="C12" s="24" t="inlineStr">
        <is>
          <t>نسبة الصيانة الوقائية المنفذة في موعدها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0.95</v>
      </c>
      <c r="I12" s="78" t="inlineStr">
        <is>
          <t>≥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0.758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نظام تشغيل المحطات</t>
        </is>
      </c>
    </row>
    <row r="13" ht="24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مقارنة بالشهر السابق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46" t="inlineStr"/>
      <c r="I13" s="78" t="inlineStr">
        <is>
          <t>−30%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سجلات الإدارة</t>
        </is>
      </c>
    </row>
    <row r="14" ht="24" customHeight="1">
      <c r="A14" s="28" t="n">
        <v>11</v>
      </c>
      <c r="B14" s="24" t="inlineStr">
        <is>
          <t>تجربة العميل</t>
        </is>
      </c>
      <c r="C14" s="24" t="inlineStr">
        <is>
          <t>تقييم Google Maps للمحطات</t>
        </is>
      </c>
      <c r="D14" s="46" t="inlineStr">
        <is>
          <t>نجمة/5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0.07000000000000001</v>
      </c>
      <c r="H14" s="62" t="n">
        <v>4.5</v>
      </c>
      <c r="I14" s="78" t="inlineStr">
        <is>
          <t>≥ 4.5</t>
        </is>
      </c>
      <c r="J14" s="79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3" t="n">
        <v>4.048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تقييمات خرائط قوقل</t>
        </is>
      </c>
    </row>
    <row r="15" ht="24" customHeight="1">
      <c r="A15" s="28" t="n">
        <v>12</v>
      </c>
      <c r="B15" s="24" t="inlineStr">
        <is>
          <t>تجربة العميل</t>
        </is>
      </c>
      <c r="C15" s="24" t="inlineStr">
        <is>
          <t>سرعة تعبئة الوقود</t>
        </is>
      </c>
      <c r="D15" s="46" t="inlineStr">
        <is>
          <t>دقيقة</t>
        </is>
      </c>
      <c r="E15" s="46" t="inlineStr">
        <is>
          <t>↓</t>
        </is>
      </c>
      <c r="F15" s="15" t="inlineStr">
        <is>
          <t>🟠 مهم</t>
        </is>
      </c>
      <c r="G15" s="61" t="n">
        <v>0.05</v>
      </c>
      <c r="H15" s="62" t="n">
        <v>3</v>
      </c>
      <c r="I15" s="78" t="inlineStr">
        <is>
          <t>≤ 3 دقائق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3" t="n">
        <v>3.352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نظام تشغيل المحطات</t>
        </is>
      </c>
    </row>
    <row r="16" ht="24" customHeight="1">
      <c r="A16" s="28" t="n">
        <v>13</v>
      </c>
      <c r="B16" s="24" t="inlineStr">
        <is>
          <t>تجربة العميل</t>
        </is>
      </c>
      <c r="C16" s="24" t="inlineStr">
        <is>
          <t>دقة التعبئة بدون أخطاء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0.05</v>
      </c>
      <c r="H16" s="61" t="n">
        <v>0.99</v>
      </c>
      <c r="I16" s="78" t="inlineStr">
        <is>
          <t>≥ 99%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0.831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inlineStr">
        <is>
          <t>نظام تشغيل المحطات</t>
        </is>
      </c>
    </row>
    <row r="17" ht="24" customHeight="1">
      <c r="A17" s="28" t="n">
        <v>14</v>
      </c>
      <c r="B17" s="24" t="inlineStr">
        <is>
          <t>تجربة العميل</t>
        </is>
      </c>
      <c r="C17" s="24" t="inlineStr">
        <is>
          <t>تطبيق المعيار الشامل في المحطات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🟡 متابعة</t>
        </is>
      </c>
      <c r="G17" s="61" t="n">
        <v>0.02</v>
      </c>
      <c r="H17" s="61" t="n">
        <v>0.8</v>
      </c>
      <c r="I17" s="78" t="inlineStr">
        <is>
          <t>≥ 80%</t>
        </is>
      </c>
      <c r="J17" s="79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59" t="n">
        <v>0.787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نظام تشغيل المحطات</t>
        </is>
      </c>
    </row>
    <row r="18" ht="24" customHeight="1">
      <c r="A18" s="28" t="n">
        <v>15</v>
      </c>
      <c r="B18" s="24" t="inlineStr">
        <is>
          <t>السلامة</t>
        </is>
      </c>
      <c r="C18" s="24" t="inlineStr">
        <is>
          <t>الالتزام بمعايير السلامة داخل المحطة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🔴 رئيسي</t>
        </is>
      </c>
      <c r="G18" s="61" t="n">
        <v>0.07000000000000001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0.837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محقق",IF($N18&gt;=0.97,"🟡 قريب","🔴 تحت الهدف")))</f>
        <v/>
      </c>
      <c r="P18" s="80" t="inlineStr">
        <is>
          <t>نظام تشغيل المحطات</t>
        </is>
      </c>
    </row>
    <row r="19" ht="24" customHeight="1">
      <c r="A19" s="28" t="n">
        <v>16</v>
      </c>
      <c r="B19" s="24" t="inlineStr">
        <is>
          <t>البيئة</t>
        </is>
      </c>
      <c r="C19" s="24" t="inlineStr">
        <is>
          <t>التشجير داخل المحطة (معيار الوزارة)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0.747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نظام تشغيل المحطات</t>
        </is>
      </c>
    </row>
  </sheetData>
  <autoFilter ref="A3:P19"/>
  <mergeCells count="2">
    <mergeCell ref="A1:P1"/>
    <mergeCell ref="A2:P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الاستثمار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نمو المحفظة</t>
        </is>
      </c>
      <c r="C4" s="24" t="inlineStr">
        <is>
          <t>إجمالي عقود الاستثمار الجديدة (جميع النماذج)</t>
        </is>
      </c>
      <c r="D4" s="46" t="inlineStr">
        <is>
          <t>عقد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52" t="n">
        <v>190</v>
      </c>
      <c r="I4" s="78" t="inlineStr">
        <is>
          <t>190 عقد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165.7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نظام إدارة العقود (CRM)</t>
        </is>
      </c>
    </row>
    <row r="5" ht="24" customHeight="1">
      <c r="A5" s="28" t="n">
        <v>2</v>
      </c>
      <c r="B5" s="24" t="inlineStr">
        <is>
          <t>نمو المحفظة</t>
        </is>
      </c>
      <c r="C5" s="24" t="inlineStr">
        <is>
          <t>عقود الاستثمار العادي الجديدة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0.05</v>
      </c>
      <c r="H5" s="52" t="n">
        <v>90</v>
      </c>
      <c r="I5" s="78" t="inlineStr">
        <is>
          <t>90 عقد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3" t="n">
        <v>76.3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نظام إدارة العقود (CRM)</t>
        </is>
      </c>
    </row>
    <row r="6" ht="24" customHeight="1">
      <c r="A6" s="28" t="n">
        <v>3</v>
      </c>
      <c r="B6" s="24" t="inlineStr">
        <is>
          <t>نمو المحفظة</t>
        </is>
      </c>
      <c r="C6" s="24" t="inlineStr">
        <is>
          <t>عقود الاستحواذ الجديدة</t>
        </is>
      </c>
      <c r="D6" s="46" t="inlineStr">
        <is>
          <t>عقد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0.05</v>
      </c>
      <c r="H6" s="52" t="n">
        <v>100</v>
      </c>
      <c r="I6" s="78" t="inlineStr">
        <is>
          <t>100 عقد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3" t="n">
        <v>82.2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نظام إدارة العقود (CRM)</t>
        </is>
      </c>
    </row>
    <row r="7" ht="24" customHeight="1">
      <c r="A7" s="28" t="n">
        <v>4</v>
      </c>
      <c r="B7" s="24" t="inlineStr">
        <is>
          <t>نمو المحفظة</t>
        </is>
      </c>
      <c r="C7" s="24" t="inlineStr">
        <is>
          <t>المحطات المستحوَذ عليها المشغّلة (تراكمي)</t>
        </is>
      </c>
      <c r="D7" s="46" t="inlineStr">
        <is>
          <t>محطة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52" t="n">
        <v>120</v>
      </c>
      <c r="I7" s="78" t="inlineStr">
        <is>
          <t>120 محطة</t>
        </is>
      </c>
      <c r="J7" s="79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3" t="n">
        <v>125.8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نظام تشغيل المحطات</t>
        </is>
      </c>
    </row>
    <row r="8" ht="24" customHeight="1">
      <c r="A8" s="28" t="n">
        <v>5</v>
      </c>
      <c r="B8" s="24" t="inlineStr">
        <is>
          <t>نمو المحفظة</t>
        </is>
      </c>
      <c r="C8" s="24" t="inlineStr">
        <is>
          <t>عقود تأجير الأرض الجديدة</t>
        </is>
      </c>
      <c r="D8" s="46" t="inlineStr">
        <is>
          <t>عقد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0.05</v>
      </c>
      <c r="H8" s="52" t="n">
        <v>11</v>
      </c>
      <c r="I8" s="78" t="inlineStr">
        <is>
          <t>11 عقد</t>
        </is>
      </c>
      <c r="J8" s="79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3" t="n">
        <v>8.1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نظام إدارة العقود (CRM)</t>
        </is>
      </c>
    </row>
    <row r="9" ht="24" customHeight="1">
      <c r="A9" s="28" t="n">
        <v>6</v>
      </c>
      <c r="B9" s="24" t="inlineStr">
        <is>
          <t>نمو المحفظة</t>
        </is>
      </c>
      <c r="C9" s="24" t="inlineStr">
        <is>
          <t>عقود إيجار المحطة الجديدة</t>
        </is>
      </c>
      <c r="D9" s="46" t="inlineStr">
        <is>
          <t>عقد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0.05</v>
      </c>
      <c r="H9" s="52" t="n">
        <v>12</v>
      </c>
      <c r="I9" s="78" t="inlineStr">
        <is>
          <t>12 عقد</t>
        </is>
      </c>
      <c r="J9" s="79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3" t="n">
        <v>12.2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نظام إدارة العقود (CRM)</t>
        </is>
      </c>
    </row>
    <row r="10" ht="24" customHeight="1">
      <c r="A10" s="28" t="n">
        <v>7</v>
      </c>
      <c r="B10" s="24" t="inlineStr">
        <is>
          <t>نمو المحفظة</t>
        </is>
      </c>
      <c r="C10" s="24" t="inlineStr">
        <is>
          <t>عقود تشغيل المحطة الجديدة</t>
        </is>
      </c>
      <c r="D10" s="46" t="inlineStr">
        <is>
          <t>عقد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0.05</v>
      </c>
      <c r="H10" s="52" t="n">
        <v>68</v>
      </c>
      <c r="I10" s="78" t="inlineStr">
        <is>
          <t>68 عقد</t>
        </is>
      </c>
      <c r="J10" s="79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3" t="n">
        <v>49.4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نظام إدارة العقود (CRM)</t>
        </is>
      </c>
    </row>
    <row r="11" ht="24" customHeight="1">
      <c r="A11" s="28" t="n">
        <v>8</v>
      </c>
      <c r="B11" s="24" t="inlineStr">
        <is>
          <t>الربحية وجودة الموقع</t>
        </is>
      </c>
      <c r="C11" s="24" t="inlineStr">
        <is>
          <t>نسبة المواقع المعتمدة ذات العائد المجدي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0.05</v>
      </c>
      <c r="H11" s="61" t="n">
        <v>0.8</v>
      </c>
      <c r="I11" s="78" t="inlineStr">
        <is>
          <t>80%+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59" t="n">
        <v>0.649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نظام المحاسبة / ERP (D365)</t>
        </is>
      </c>
    </row>
    <row r="12" ht="24" customHeight="1">
      <c r="A12" s="28" t="n">
        <v>9</v>
      </c>
      <c r="B12" s="24" t="inlineStr">
        <is>
          <t>الربحية وجودة الموقع</t>
        </is>
      </c>
      <c r="C12" s="24" t="inlineStr">
        <is>
          <t>متوسط فترة استرداد رأس المال</t>
        </is>
      </c>
      <c r="D12" s="46" t="inlineStr">
        <is>
          <t>سنة</t>
        </is>
      </c>
      <c r="E12" s="46" t="inlineStr">
        <is>
          <t>↓</t>
        </is>
      </c>
      <c r="F12" s="15" t="inlineStr">
        <is>
          <t>🟠 مهم</t>
        </is>
      </c>
      <c r="G12" s="61" t="n">
        <v>0.03</v>
      </c>
      <c r="H12" s="62" t="n">
        <v>5</v>
      </c>
      <c r="I12" s="78" t="inlineStr">
        <is>
          <t>≤ 5 سنوات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4.983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نظام المحاسبة / ERP (D365)</t>
        </is>
      </c>
    </row>
    <row r="13" ht="24" customHeight="1">
      <c r="A13" s="28" t="n">
        <v>10</v>
      </c>
      <c r="B13" s="24" t="inlineStr">
        <is>
          <t>الربحية وجودة الموقع</t>
        </is>
      </c>
      <c r="C13" s="24" t="inlineStr">
        <is>
          <t>متوسط قيمة عقد الإيجار السنوي (أرض)</t>
        </is>
      </c>
      <c r="D13" s="46" t="inlineStr">
        <is>
          <t>ر.س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0.05</v>
      </c>
      <c r="H13" s="46" t="inlineStr"/>
      <c r="I13" s="78" t="inlineStr">
        <is>
          <t>يُحدد لاحقاً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56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نظام المحاسبة / ERP (D365)</t>
        </is>
      </c>
    </row>
    <row r="14" ht="24" customHeight="1">
      <c r="A14" s="28" t="n">
        <v>11</v>
      </c>
      <c r="B14" s="24" t="inlineStr">
        <is>
          <t>التوسع الإقليمي</t>
        </is>
      </c>
      <c r="C14" s="24" t="inlineStr">
        <is>
          <t>نسبة العقود التي تغطي المناطق الـ13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59" t="n">
        <v>1.028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نظام إدارة العقود (CRM)</t>
        </is>
      </c>
    </row>
    <row r="15" ht="24" customHeight="1">
      <c r="A15" s="28" t="n">
        <v>12</v>
      </c>
      <c r="B15" s="24" t="inlineStr">
        <is>
          <t>التوسع الإقليمي</t>
        </is>
      </c>
      <c r="C15" s="24" t="inlineStr">
        <is>
          <t>نسبة العقود خارج المدن الرئيسية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0.05</v>
      </c>
      <c r="H15" s="61" t="n">
        <v>0.6</v>
      </c>
      <c r="I15" s="78" t="inlineStr">
        <is>
          <t>&gt; 60%</t>
        </is>
      </c>
      <c r="J15" s="79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59" t="n">
        <v>0.516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نظام إدارة العقود (CRM)</t>
        </is>
      </c>
    </row>
    <row r="16" ht="24" customHeight="1">
      <c r="A16" s="28" t="n">
        <v>13</v>
      </c>
      <c r="B16" s="24" t="inlineStr">
        <is>
          <t>التوسع الإقليمي</t>
        </is>
      </c>
      <c r="C16" s="24" t="inlineStr">
        <is>
          <t>نسبة العقود في الـ12 مدينة الرئيسية</t>
        </is>
      </c>
      <c r="D16" s="46" t="inlineStr">
        <is>
          <t>%</t>
        </is>
      </c>
      <c r="E16" s="46" t="inlineStr">
        <is>
          <t>↓</t>
        </is>
      </c>
      <c r="F16" s="15" t="inlineStr">
        <is>
          <t>🔴 رئيسي</t>
        </is>
      </c>
      <c r="G16" s="61" t="n">
        <v>0.05</v>
      </c>
      <c r="H16" s="61" t="n">
        <v>0.4</v>
      </c>
      <c r="I16" s="78" t="inlineStr">
        <is>
          <t>&lt; 40%</t>
        </is>
      </c>
      <c r="J16" s="79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59" t="n">
        <v>0.415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نظام المحاسبة / ERP (D365)</t>
        </is>
      </c>
    </row>
    <row r="17" ht="24" customHeight="1">
      <c r="A17" s="28" t="n">
        <v>14</v>
      </c>
      <c r="B17" s="24" t="inlineStr">
        <is>
          <t>التوسع الإقليمي</t>
        </is>
      </c>
      <c r="C17" s="24" t="inlineStr">
        <is>
          <t>نسبة العقود على الطرق الإقليمية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0.05</v>
      </c>
      <c r="H17" s="61" t="n">
        <v>0.25</v>
      </c>
      <c r="I17" s="78" t="inlineStr">
        <is>
          <t>&gt; 25%</t>
        </is>
      </c>
      <c r="J17" s="79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59" t="n">
        <v>0.236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نظام إدارة العقود (CRM)</t>
        </is>
      </c>
    </row>
    <row r="18" ht="24" customHeight="1">
      <c r="A18" s="28" t="n">
        <v>15</v>
      </c>
      <c r="B18" s="24" t="inlineStr">
        <is>
          <t>كفاءة الدورة</t>
        </is>
      </c>
      <c r="C18" s="24" t="inlineStr">
        <is>
          <t>متوسط مدة إغلاق عقد الاستثمار</t>
        </is>
      </c>
      <c r="D18" s="46" t="inlineStr">
        <is>
          <t>أسبوع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0.05</v>
      </c>
      <c r="H18" s="62" t="n">
        <v>1</v>
      </c>
      <c r="I18" s="78" t="inlineStr">
        <is>
          <t>≤ أسبوع</t>
        </is>
      </c>
      <c r="J18" s="79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3" t="n">
        <v>0.912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نظام إدارة العقود (CRM)</t>
        </is>
      </c>
    </row>
    <row r="19" ht="24" customHeight="1">
      <c r="A19" s="28" t="n">
        <v>16</v>
      </c>
      <c r="B19" s="24" t="inlineStr">
        <is>
          <t>كفاءة الدورة</t>
        </is>
      </c>
      <c r="C19" s="24" t="inlineStr">
        <is>
          <t>نسبة العقود المتحوّلة لمحطات مشغّلة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0.05</v>
      </c>
      <c r="H19" s="61" t="n">
        <v>0.3</v>
      </c>
      <c r="I19" s="78" t="inlineStr">
        <is>
          <t>≥ 30%</t>
        </is>
      </c>
      <c r="J19" s="79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59" t="n">
        <v>0.308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نظام إدارة العقود (CRM)</t>
        </is>
      </c>
    </row>
    <row r="20" ht="24" customHeight="1">
      <c r="A20" s="28" t="n">
        <v>17</v>
      </c>
      <c r="B20" s="24" t="inlineStr">
        <is>
          <t>كفاءة الدورة</t>
        </is>
      </c>
      <c r="C20" s="24" t="inlineStr">
        <is>
          <t>نسبة تخفيض إيجار المواقع عالية التكاليف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0.3</v>
      </c>
      <c r="I20" s="78" t="inlineStr">
        <is>
          <t>≥ 30%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0.221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نظام إدارة العقود (CRM)</t>
        </is>
      </c>
    </row>
    <row r="21" ht="24" customHeight="1">
      <c r="A21" s="28" t="n">
        <v>18</v>
      </c>
      <c r="B21" s="24" t="inlineStr">
        <is>
          <t>الامتثال</t>
        </is>
      </c>
      <c r="C21" s="24" t="inlineStr">
        <is>
          <t>نسبة اكتمال المستندات النظامية قبل التوقيع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🏁 معلم</t>
        </is>
      </c>
      <c r="G21" s="61" t="n">
        <v>0.01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0.751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نظام إدارة الجودة (QMS)</t>
        </is>
      </c>
    </row>
    <row r="22" ht="24" customHeight="1">
      <c r="A22" s="28" t="n">
        <v>19</v>
      </c>
      <c r="B22" s="24" t="inlineStr">
        <is>
          <t>الامتثال</t>
        </is>
      </c>
      <c r="C22" s="24" t="inlineStr">
        <is>
          <t>نسبة العقود المؤرشفة إلكترونياً خلال 48 ساعة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0.05</v>
      </c>
      <c r="H22" s="61" t="n">
        <v>0.95</v>
      </c>
      <c r="I22" s="78" t="inlineStr">
        <is>
          <t>95%+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0.736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inlineStr">
        <is>
          <t>نظام إدارة الجودة (QMS)</t>
        </is>
      </c>
    </row>
    <row r="23" ht="24" customHeight="1">
      <c r="A23" s="28" t="n">
        <v>20</v>
      </c>
      <c r="B23" s="24" t="inlineStr">
        <is>
          <t>جودة التعاقد</t>
        </is>
      </c>
      <c r="C23" s="24" t="inlineStr">
        <is>
          <t>جودة التفاوض مع المستثمرين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🟠 مهم</t>
        </is>
      </c>
      <c r="G23" s="61" t="n">
        <v>0.03</v>
      </c>
      <c r="H23" s="61" t="n">
        <v>0.98</v>
      </c>
      <c r="I23" s="78" t="inlineStr">
        <is>
          <t>98%</t>
        </is>
      </c>
      <c r="J23" s="79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59" t="n">
        <v>1.009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نظام إدارة الجودة (QMS)</t>
        </is>
      </c>
    </row>
    <row r="24" ht="24" customHeight="1">
      <c r="A24" s="28" t="n">
        <v>21</v>
      </c>
      <c r="B24" s="24" t="inlineStr">
        <is>
          <t>جودة التعاقد</t>
        </is>
      </c>
      <c r="C24" s="24" t="inlineStr">
        <is>
          <t>سرعة إنجاز إجراءات التعاقد</t>
        </is>
      </c>
      <c r="D24" s="46" t="inlineStr">
        <is>
          <t>أسبوع</t>
        </is>
      </c>
      <c r="E24" s="46" t="inlineStr">
        <is>
          <t>↓</t>
        </is>
      </c>
      <c r="F24" s="15" t="inlineStr">
        <is>
          <t>🟠 مهم</t>
        </is>
      </c>
      <c r="G24" s="61" t="n">
        <v>0.03</v>
      </c>
      <c r="H24" s="62" t="n">
        <v>1</v>
      </c>
      <c r="I24" s="78" t="inlineStr">
        <is>
          <t>≤ أسبوع</t>
        </is>
      </c>
      <c r="J24" s="79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3" t="n">
        <v>1.061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نظام إدارة الجودة (QMS)</t>
        </is>
      </c>
    </row>
    <row r="25" ht="24" customHeight="1">
      <c r="A25" s="28" t="n">
        <v>22</v>
      </c>
      <c r="B25" s="24" t="inlineStr">
        <is>
          <t>جودة التعاقد</t>
        </is>
      </c>
      <c r="C25" s="24" t="inlineStr">
        <is>
          <t>مدى رضا المستثمرين وشركاء الاستثمار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🔴 رئيسي</t>
        </is>
      </c>
      <c r="G25" s="61" t="n">
        <v>0.05</v>
      </c>
      <c r="H25" s="61" t="n">
        <v>0.8</v>
      </c>
      <c r="I25" s="78" t="inlineStr">
        <is>
          <t>80%+</t>
        </is>
      </c>
      <c r="J25" s="79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59" t="n">
        <v>0.786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هدف",IF($N25&gt;=0.9,"✅ محقق",IF($N25&gt;=0.75,"🟡 قريب","🔴 تحت الهدف")))</f>
        <v/>
      </c>
      <c r="P25" s="80" t="inlineStr">
        <is>
          <t>استبيان دوري</t>
        </is>
      </c>
    </row>
    <row r="26" ht="24" customHeight="1">
      <c r="A26" s="28" t="n">
        <v>23</v>
      </c>
      <c r="B26" s="24" t="inlineStr">
        <is>
          <t>جودة التعاقد</t>
        </is>
      </c>
      <c r="C26" s="24" t="inlineStr">
        <is>
          <t>نسبة اكتمال أرشفة ملفات العملاء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🏁 معلم</t>
        </is>
      </c>
      <c r="G26" s="61" t="n">
        <v>0.01</v>
      </c>
      <c r="H26" s="61" t="n">
        <v>1</v>
      </c>
      <c r="I26" s="78" t="inlineStr">
        <is>
          <t>100%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59" t="n">
        <v>0.972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نظام إدارة الجودة (QMS)</t>
        </is>
      </c>
    </row>
    <row r="27" ht="24" customHeight="1">
      <c r="A27" s="28" t="n">
        <v>24</v>
      </c>
      <c r="B27" s="24" t="inlineStr">
        <is>
          <t>جودة التعاقد</t>
        </is>
      </c>
      <c r="C27" s="24" t="inlineStr">
        <is>
          <t>نسبة إنجاز التقارير الدورية في موعدها</t>
        </is>
      </c>
      <c r="D27" s="46" t="inlineStr">
        <is>
          <t>%</t>
        </is>
      </c>
      <c r="E27" s="46" t="inlineStr">
        <is>
          <t>↑</t>
        </is>
      </c>
      <c r="F27" s="15" t="inlineStr">
        <is>
          <t>🟡 متابعة</t>
        </is>
      </c>
      <c r="G27" s="61" t="n">
        <v>0.01</v>
      </c>
      <c r="H27" s="61" t="n">
        <v>1</v>
      </c>
      <c r="I27" s="78" t="inlineStr">
        <is>
          <t>100%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0.961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نظام إدارة الجودة (QMS)</t>
        </is>
      </c>
    </row>
  </sheetData>
  <autoFilter ref="A3:P27"/>
  <mergeCells count="2">
    <mergeCell ref="A1:P1"/>
    <mergeCell ref="A2:P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العقار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الإدارة</t>
        </is>
      </c>
      <c r="C4" s="24" t="inlineStr">
        <is>
          <t>نمو الإيرادات الإيجارية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61" t="n">
        <v>0.08</v>
      </c>
      <c r="I4" s="78" t="inlineStr">
        <is>
          <t>&gt; 8% سنوياً</t>
        </is>
      </c>
      <c r="J4" s="79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59" t="n">
        <v>0.068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نظام المحاسبة / ERP (D365)</t>
        </is>
      </c>
    </row>
    <row r="5" ht="24" customHeight="1">
      <c r="A5" s="28" t="n">
        <v>2</v>
      </c>
      <c r="B5" s="24" t="inlineStr">
        <is>
          <t>الإدارة</t>
        </is>
      </c>
      <c r="C5" s="24" t="inlineStr">
        <is>
          <t>نسبة الالتزام بالعقود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9" t="n">
        <v>1.03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نظام إدارة العقود (CRM)</t>
        </is>
      </c>
    </row>
    <row r="6" ht="24" customHeight="1">
      <c r="A6" s="28" t="n">
        <v>3</v>
      </c>
      <c r="B6" s="24" t="inlineStr">
        <is>
          <t>الإدارة</t>
        </is>
      </c>
      <c r="C6" s="24" t="inlineStr">
        <is>
          <t>نسبة تحصيل الإيجارات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0.95</v>
      </c>
      <c r="I6" s="78" t="inlineStr">
        <is>
          <t>&gt; 95%</t>
        </is>
      </c>
      <c r="J6" s="79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نظام المحاسبة / ERP (D365)</t>
        </is>
      </c>
    </row>
    <row r="7" ht="24" customHeight="1">
      <c r="A7" s="28" t="n">
        <v>4</v>
      </c>
      <c r="B7" s="24" t="inlineStr">
        <is>
          <t>التأجير</t>
        </is>
      </c>
      <c r="C7" s="24" t="inlineStr">
        <is>
          <t>نسبة الإشغال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0.6</v>
      </c>
      <c r="I7" s="78" t="inlineStr">
        <is>
          <t>≥ 60%</t>
        </is>
      </c>
      <c r="J7" s="79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59" t="n">
        <v>0.611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نظام إدارة العقود (CRM)</t>
        </is>
      </c>
    </row>
    <row r="8" ht="24" customHeight="1">
      <c r="A8" s="28" t="n">
        <v>5</v>
      </c>
      <c r="B8" s="24" t="inlineStr">
        <is>
          <t>التأجير</t>
        </is>
      </c>
      <c r="C8" s="24" t="inlineStr">
        <is>
          <t>الوحدات المؤجَّرة شهرياً</t>
        </is>
      </c>
      <c r="D8" s="46" t="inlineStr">
        <is>
          <t>وحدة</t>
        </is>
      </c>
      <c r="E8" s="46" t="inlineStr">
        <is>
          <t>↑</t>
        </is>
      </c>
      <c r="F8" s="15" t="inlineStr">
        <is>
          <t>🟠 مهم</t>
        </is>
      </c>
      <c r="G8" s="61" t="n">
        <v>0.05</v>
      </c>
      <c r="H8" s="52" t="n">
        <v>68</v>
      </c>
      <c r="I8" s="78" t="inlineStr">
        <is>
          <t>68 شهرياً</t>
        </is>
      </c>
      <c r="J8" s="79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3" t="n">
        <v>54.8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نظام إدارة العقود (CRM)</t>
        </is>
      </c>
    </row>
    <row r="9" ht="24" customHeight="1">
      <c r="A9" s="28" t="n">
        <v>6</v>
      </c>
      <c r="B9" s="24" t="inlineStr">
        <is>
          <t>التأجير</t>
        </is>
      </c>
      <c r="C9" s="24" t="inlineStr">
        <is>
          <t>العملاء المحتملون (LEADS)</t>
        </is>
      </c>
      <c r="D9" s="46" t="inlineStr">
        <is>
          <t>عميل</t>
        </is>
      </c>
      <c r="E9" s="46" t="inlineStr">
        <is>
          <t>↑</t>
        </is>
      </c>
      <c r="F9" s="15" t="inlineStr">
        <is>
          <t>🟠 مهم</t>
        </is>
      </c>
      <c r="G9" s="61" t="n">
        <v>0.05</v>
      </c>
      <c r="H9" s="52" t="n">
        <v>680</v>
      </c>
      <c r="I9" s="78" t="inlineStr">
        <is>
          <t>544–680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3" t="n">
        <v>531.8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نظام إدارة العقود (CRM)</t>
        </is>
      </c>
    </row>
    <row r="10" ht="24" customHeight="1">
      <c r="A10" s="28" t="n">
        <v>7</v>
      </c>
      <c r="B10" s="24" t="inlineStr">
        <is>
          <t>التأجير</t>
        </is>
      </c>
      <c r="C10" s="24" t="inlineStr">
        <is>
          <t>معدل التحويل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0.2</v>
      </c>
      <c r="I10" s="78" t="inlineStr">
        <is>
          <t>15–25%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59" t="n">
        <v>0.208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نظام إدارة العقود (CRM)</t>
        </is>
      </c>
    </row>
    <row r="11" ht="24" customHeight="1">
      <c r="A11" s="28" t="n">
        <v>8</v>
      </c>
      <c r="B11" s="24" t="inlineStr">
        <is>
          <t>التأجير</t>
        </is>
      </c>
      <c r="C11" s="24" t="inlineStr">
        <is>
          <t>زيادة عدد العلامات التجارية</t>
        </is>
      </c>
      <c r="D11" s="46" t="inlineStr">
        <is>
          <t>علامة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52" t="n">
        <v>246</v>
      </c>
      <c r="I11" s="78" t="inlineStr">
        <is>
          <t>246 علامة</t>
        </is>
      </c>
      <c r="J11" s="79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3" t="n">
        <v>202.6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نظام إدارة العقود (CRM)</t>
        </is>
      </c>
    </row>
    <row r="12" ht="24" customHeight="1">
      <c r="A12" s="28" t="n">
        <v>9</v>
      </c>
      <c r="B12" s="24" t="inlineStr">
        <is>
          <t>الإبداع والتكامل</t>
        </is>
      </c>
      <c r="C12" s="24" t="inlineStr">
        <is>
          <t>نسبة تأجير ساحة درب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0.8</v>
      </c>
      <c r="I12" s="78" t="inlineStr">
        <is>
          <t>≥ 80%</t>
        </is>
      </c>
      <c r="J12" s="79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59" t="n">
        <v>0.671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مكتب إدارة المشاريع (PMO)</t>
        </is>
      </c>
    </row>
    <row r="13" ht="24" customHeight="1">
      <c r="A13" s="28" t="n">
        <v>10</v>
      </c>
      <c r="B13" s="24" t="inlineStr">
        <is>
          <t>الإبداع والتكامل</t>
        </is>
      </c>
      <c r="C13" s="24" t="inlineStr">
        <is>
          <t>علامات تجارية جديدة (ساحة درب)</t>
        </is>
      </c>
      <c r="D13" s="46" t="inlineStr">
        <is>
          <t>علامة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52" t="n">
        <v>6</v>
      </c>
      <c r="I13" s="78" t="inlineStr">
        <is>
          <t>6 علامات</t>
        </is>
      </c>
      <c r="J13" s="79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3" t="n">
        <v>5.769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مكتب إدارة المشاريع (PMO)</t>
        </is>
      </c>
    </row>
    <row r="14" ht="24" customHeight="1">
      <c r="A14" s="28" t="n">
        <v>11</v>
      </c>
      <c r="B14" s="24" t="inlineStr">
        <is>
          <t>الإبداع والتكامل</t>
        </is>
      </c>
      <c r="C14" s="24" t="inlineStr">
        <is>
          <t>الشراكات الاستراتيجية</t>
        </is>
      </c>
      <c r="D14" s="46" t="inlineStr">
        <is>
          <t>شراكة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0.05</v>
      </c>
      <c r="H14" s="52" t="n">
        <v>5</v>
      </c>
      <c r="I14" s="78" t="inlineStr">
        <is>
          <t>5 شراكات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3" t="n">
        <v>4.59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مكتب إدارة المشاريع (PMO)</t>
        </is>
      </c>
    </row>
    <row r="15" ht="24" customHeight="1">
      <c r="A15" s="28" t="n">
        <v>12</v>
      </c>
      <c r="B15" s="24" t="inlineStr">
        <is>
          <t>إدارة الأملاك</t>
        </is>
      </c>
      <c r="C15" s="24" t="inlineStr">
        <is>
          <t>نسبة تجديد العقود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1</v>
      </c>
      <c r="I15" s="78" t="inlineStr">
        <is>
          <t>100%</t>
        </is>
      </c>
      <c r="J15" s="79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59" t="n">
        <v>0.792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نظام إدارة العقود (CRM)</t>
        </is>
      </c>
    </row>
    <row r="16" ht="24" customHeight="1">
      <c r="A16" s="28" t="n">
        <v>13</v>
      </c>
      <c r="B16" s="24" t="inlineStr">
        <is>
          <t>تنسيق المشاريع</t>
        </is>
      </c>
      <c r="C16" s="24" t="inlineStr">
        <is>
          <t>متوسط زمن تسليم الوحدة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0.05</v>
      </c>
      <c r="H16" s="62" t="n">
        <v>7</v>
      </c>
      <c r="I16" s="78" t="inlineStr">
        <is>
          <t>≤ 7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7.983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سجلات الإدارة</t>
        </is>
      </c>
    </row>
    <row r="17" ht="24" customHeight="1">
      <c r="A17" s="28" t="n">
        <v>14</v>
      </c>
      <c r="B17" s="24" t="inlineStr">
        <is>
          <t>تنسيق المشاريع</t>
        </is>
      </c>
      <c r="C17" s="24" t="inlineStr">
        <is>
          <t>نسبة إغلاق الطلبات خلال 3 أسابيع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0.9</v>
      </c>
      <c r="I17" s="78" t="inlineStr">
        <is>
          <t>&gt; 90%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0.698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سجلات الإدارة</t>
        </is>
      </c>
    </row>
    <row r="18" ht="24" customHeight="1">
      <c r="A18" s="28" t="n">
        <v>15</v>
      </c>
      <c r="B18" s="24" t="inlineStr">
        <is>
          <t>الجودة والاستدامة</t>
        </is>
      </c>
      <c r="C18" s="24" t="inlineStr">
        <is>
          <t>استدامة المستأجرين (لم يُنهَ مبكراً)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61" t="n">
        <v>0.8</v>
      </c>
      <c r="I18" s="78" t="inlineStr">
        <is>
          <t>≥ 80%</t>
        </is>
      </c>
      <c r="J18" s="79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59" t="n">
        <v>0.695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نظام إدارة الجودة (QMS)</t>
        </is>
      </c>
    </row>
    <row r="19" ht="24" customHeight="1">
      <c r="A19" s="28" t="n">
        <v>16</v>
      </c>
      <c r="B19" s="24" t="inlineStr">
        <is>
          <t>الجودة والاستدامة</t>
        </is>
      </c>
      <c r="C19" s="24" t="inlineStr">
        <is>
          <t>معدل رضا المستأجرين (استبيان ربعي)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0.9</v>
      </c>
      <c r="I19" s="78" t="inlineStr">
        <is>
          <t>≥ 90%</t>
        </is>
      </c>
      <c r="J19" s="79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59" t="n">
        <v>0.894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هدف",IF($N19&gt;=0.9,"✅ محقق",IF($N19&gt;=0.75,"🟡 قريب","🔴 تحت الهدف")))</f>
        <v/>
      </c>
      <c r="P19" s="80" t="inlineStr">
        <is>
          <t>استبيان دوري</t>
        </is>
      </c>
    </row>
  </sheetData>
  <autoFilter ref="A3:P19"/>
  <mergeCells count="2">
    <mergeCell ref="A1:P1"/>
    <mergeCell ref="A2:P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إدارة المشاريع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تسليم محطات الشركة</t>
        </is>
      </c>
      <c r="C4" s="24" t="inlineStr">
        <is>
          <t>عدد محطات الشركة المُسلَّمة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20</v>
      </c>
      <c r="I4" s="78" t="inlineStr">
        <is>
          <t>≥ 20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18.8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نظام إدارة المشاريع (PMO/Primavera)</t>
        </is>
      </c>
    </row>
    <row r="5" ht="24" customHeight="1">
      <c r="A5" s="28" t="n">
        <v>2</v>
      </c>
      <c r="B5" s="24" t="inlineStr">
        <is>
          <t>تسليم محطات الشركة</t>
        </is>
      </c>
      <c r="C5" s="24" t="inlineStr">
        <is>
          <t>نسبة إنجاز محفظة مشاريع التوسع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0.7</v>
      </c>
      <c r="I5" s="78" t="inlineStr">
        <is>
          <t>≥ 70%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9" t="n">
        <v>0.676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نظام إدارة المشاريع (PMO/Primavera)</t>
        </is>
      </c>
    </row>
    <row r="6" ht="24" customHeight="1">
      <c r="A6" s="28" t="n">
        <v>3</v>
      </c>
      <c r="B6" s="24" t="inlineStr">
        <is>
          <t>تسليم محطات الشركة</t>
        </is>
      </c>
      <c r="C6" s="24" t="inlineStr">
        <is>
          <t>نسبة تسليم المحطات في الموعد المخطط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0.8</v>
      </c>
      <c r="I6" s="78" t="inlineStr">
        <is>
          <t>≥ 80%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نظام إدارة المشاريع (PMO/Primavera)</t>
        </is>
      </c>
    </row>
    <row r="7" ht="24" customHeight="1">
      <c r="A7" s="28" t="n">
        <v>4</v>
      </c>
      <c r="B7" s="24" t="inlineStr">
        <is>
          <t>تسليم محطات الشركة</t>
        </is>
      </c>
      <c r="C7" s="24" t="inlineStr">
        <is>
          <t>نسبة المشاريع المنفّذة ضمن الميزانية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0.06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0.774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نظام إدارة المشاريع (PMO/Primavera)</t>
        </is>
      </c>
    </row>
    <row r="8" ht="24" customHeight="1">
      <c r="A8" s="28" t="n">
        <v>5</v>
      </c>
      <c r="B8" s="24" t="inlineStr">
        <is>
          <t>الإشراف على الامتياز</t>
        </is>
      </c>
      <c r="C8" s="24" t="inlineStr">
        <is>
          <t>عدد محطات الامتياز المُسلَّمة بالهوية</t>
        </is>
      </c>
      <c r="D8" s="46" t="inlineStr">
        <is>
          <t>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52" t="n">
        <v>40</v>
      </c>
      <c r="I8" s="78" t="inlineStr">
        <is>
          <t>≥ 40 محطة</t>
        </is>
      </c>
      <c r="J8" s="79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3" t="n">
        <v>34.7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نظام إدارة المشاريع (PMO/Primavera)</t>
        </is>
      </c>
    </row>
    <row r="9" ht="24" customHeight="1">
      <c r="A9" s="28" t="n">
        <v>6</v>
      </c>
      <c r="B9" s="24" t="inlineStr">
        <is>
          <t>الإشراف على الامتياز</t>
        </is>
      </c>
      <c r="C9" s="24" t="inlineStr">
        <is>
          <t>نسبة تنفيذ زيارات الإشراف المجدولة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0.06</v>
      </c>
      <c r="H9" s="61" t="n">
        <v>0.9</v>
      </c>
      <c r="I9" s="78" t="inlineStr">
        <is>
          <t>≥ 90%</t>
        </is>
      </c>
      <c r="J9" s="79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59" t="n">
        <v>0.928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نظام إدارة المشاريع (PMO/Primavera)</t>
        </is>
      </c>
    </row>
    <row r="10" ht="24" customHeight="1">
      <c r="A10" s="28" t="n">
        <v>7</v>
      </c>
      <c r="B10" s="24" t="inlineStr">
        <is>
          <t>الإشراف على الامتياز</t>
        </is>
      </c>
      <c r="C10" s="24" t="inlineStr">
        <is>
          <t>نسبة التزام المطوّرين بالجدول الزمني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1" t="n">
        <v>0.75</v>
      </c>
      <c r="I10" s="78" t="inlineStr">
        <is>
          <t>≥ 75%</t>
        </is>
      </c>
      <c r="J10" s="79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59" t="n">
        <v>0.652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نظام إدارة المشاريع (PMO/Primavera)</t>
        </is>
      </c>
    </row>
    <row r="11" ht="24" customHeight="1">
      <c r="A11" s="28" t="n">
        <v>8</v>
      </c>
      <c r="B11" s="24" t="inlineStr">
        <is>
          <t>الإشراف على الامتياز</t>
        </is>
      </c>
      <c r="C11" s="24" t="inlineStr">
        <is>
          <t>نسبة إغلاق ملاحظات الجودة على المطوّرين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0.06</v>
      </c>
      <c r="H11" s="61" t="n">
        <v>0.9</v>
      </c>
      <c r="I11" s="78" t="inlineStr">
        <is>
          <t>≥ 90%</t>
        </is>
      </c>
      <c r="J11" s="79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59" t="n">
        <v>0.777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نظام إدارة المشاريع (PMO/Primavera)</t>
        </is>
      </c>
    </row>
    <row r="12" ht="24" customHeight="1">
      <c r="A12" s="28" t="n">
        <v>9</v>
      </c>
      <c r="B12" s="24" t="inlineStr">
        <is>
          <t>إجمالي التسليم</t>
        </is>
      </c>
      <c r="C12" s="24" t="inlineStr">
        <is>
          <t>إجمالي المحطات المُسلَّمة بالهوية (شركة + امتياز)</t>
        </is>
      </c>
      <c r="D12" s="46" t="inlineStr">
        <is>
          <t>محطة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52" t="n">
        <v>60</v>
      </c>
      <c r="I12" s="78" t="inlineStr">
        <is>
          <t>≥ 60 محطة</t>
        </is>
      </c>
      <c r="J12" s="79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3" t="n">
        <v>61.6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نظام إدارة المشاريع (PMO/Primavera)</t>
        </is>
      </c>
    </row>
    <row r="13" ht="24" customHeight="1">
      <c r="A13" s="28" t="n">
        <v>10</v>
      </c>
      <c r="B13" s="24" t="inlineStr">
        <is>
          <t>الجودة والمقاولون</t>
        </is>
      </c>
      <c r="C13" s="24" t="inlineStr">
        <is>
          <t>نسبة المشاريع الخالية من مخالفات 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61" t="n">
        <v>0.9</v>
      </c>
      <c r="I13" s="78" t="inlineStr">
        <is>
          <t>≥ 90%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0.697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نظام إدارة المشاريع (PMO/Primavera)</t>
        </is>
      </c>
    </row>
    <row r="14" ht="24" customHeight="1">
      <c r="A14" s="28" t="n">
        <v>11</v>
      </c>
      <c r="B14" s="24" t="inlineStr">
        <is>
          <t>الجودة والمقاولون</t>
        </is>
      </c>
      <c r="C14" s="24" t="inlineStr">
        <is>
          <t>عدد مخالفات المقاولين (سنوي)</t>
        </is>
      </c>
      <c r="D14" s="46" t="inlineStr">
        <is>
          <t>مخالفة</t>
        </is>
      </c>
      <c r="E14" s="46" t="inlineStr">
        <is>
          <t>↓</t>
        </is>
      </c>
      <c r="F14" s="15" t="inlineStr">
        <is>
          <t>🟠 مهم</t>
        </is>
      </c>
      <c r="G14" s="61" t="n">
        <v>0.06</v>
      </c>
      <c r="H14" s="52" t="n">
        <v>10</v>
      </c>
      <c r="I14" s="78" t="inlineStr">
        <is>
          <t>≤ 10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3" t="n">
        <v>10.4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نظام إدارة المشاريع (PMO/Primavera)</t>
        </is>
      </c>
    </row>
    <row r="15" ht="24" customHeight="1">
      <c r="A15" s="28" t="n">
        <v>12</v>
      </c>
      <c r="B15" s="24" t="inlineStr">
        <is>
          <t>الجودة والمقاولون</t>
        </is>
      </c>
      <c r="C15" s="24" t="inlineStr">
        <is>
          <t>نسبة التزام المقاولين بمعايير السلامة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0.852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محقق",IF($N15&gt;=0.97,"🟡 قريب","🔴 تحت الهدف")))</f>
        <v/>
      </c>
      <c r="P15" s="80" t="inlineStr">
        <is>
          <t>نظام إدارة المشاريع (PMO/Primavera)</t>
        </is>
      </c>
    </row>
    <row r="16" ht="24" customHeight="1">
      <c r="A16" s="28" t="n">
        <v>13</v>
      </c>
      <c r="B16" s="24" t="inlineStr">
        <is>
          <t>الالتزام بالخطة</t>
        </is>
      </c>
      <c r="C16" s="24" t="inlineStr">
        <is>
          <t>نسبة الالتزام بالميزانية المعتمدة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1</v>
      </c>
      <c r="I16" s="78" t="inlineStr">
        <is>
          <t>100%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نظام إدارة المشاريع (PMO/Primavera)</t>
        </is>
      </c>
    </row>
    <row r="17" ht="24" customHeight="1">
      <c r="A17" s="28" t="n">
        <v>14</v>
      </c>
      <c r="B17" s="24" t="inlineStr">
        <is>
          <t>الالتزام بالخطة</t>
        </is>
      </c>
      <c r="C17" s="24" t="inlineStr">
        <is>
          <t>نسبة الالتزام بالجدول الزمني العام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1</v>
      </c>
      <c r="I17" s="78" t="inlineStr">
        <is>
          <t>100%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0.798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نظام إدارة المشاريع (PMO/Primavera)</t>
        </is>
      </c>
    </row>
    <row r="18" ht="24" customHeight="1">
      <c r="A18" s="28" t="n">
        <v>15</v>
      </c>
      <c r="B18" s="24" t="inlineStr">
        <is>
          <t>التصاميم وأوامر التغيير</t>
        </is>
      </c>
      <c r="C18" s="24" t="inlineStr">
        <is>
          <t>متوسط مدة إغلاق قائمة الملاحظات النهائية</t>
        </is>
      </c>
      <c r="D18" s="46" t="inlineStr">
        <is>
          <t>يوم</t>
        </is>
      </c>
      <c r="E18" s="46" t="inlineStr">
        <is>
          <t>↓</t>
        </is>
      </c>
      <c r="F18" s="15" t="inlineStr">
        <is>
          <t>🟠 مهم</t>
        </is>
      </c>
      <c r="G18" s="61" t="n">
        <v>0.05</v>
      </c>
      <c r="H18" s="62" t="n">
        <v>30</v>
      </c>
      <c r="I18" s="78" t="inlineStr">
        <is>
          <t>≤ 30 يوم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32.4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نظام إدارة المشاريع (PMO/Primavera)</t>
        </is>
      </c>
    </row>
  </sheetData>
  <autoFilter ref="A3:P18"/>
  <mergeCells count="2">
    <mergeCell ref="A1:P1"/>
    <mergeCell ref="A2:P2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سلاسل الإمداد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خدمة العميل</t>
        </is>
      </c>
      <c r="C4" s="24" t="inlineStr">
        <is>
          <t>عدد انقطاعات الوقود الشهرية</t>
        </is>
      </c>
      <c r="D4" s="46" t="inlineStr">
        <is>
          <t>انقطاع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0.14</v>
      </c>
      <c r="H4" s="52" t="n">
        <v>0</v>
      </c>
      <c r="I4" s="78" t="inlineStr">
        <is>
          <t>صفر انقطاع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3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نظام سلاسل الإمداد والمخزون (WMS/ERP)</t>
        </is>
      </c>
    </row>
    <row r="5" ht="24" customHeight="1">
      <c r="A5" s="28" t="n">
        <v>2</v>
      </c>
      <c r="B5" s="24" t="inlineStr">
        <is>
          <t>خدمة العميل</t>
        </is>
      </c>
      <c r="C5" s="24" t="inlineStr">
        <is>
          <t>نسبة توفّر المواد المخزنية (تسليم ≤ 3 أيام)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0.14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0.983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نظام سلاسل الإمداد والمخزون (WMS/ERP)</t>
        </is>
      </c>
    </row>
    <row r="6" ht="24" customHeight="1">
      <c r="A6" s="28" t="n">
        <v>3</v>
      </c>
      <c r="B6" s="24" t="inlineStr">
        <is>
          <t>خدمة العميل</t>
        </is>
      </c>
      <c r="C6" s="24" t="inlineStr">
        <is>
          <t>نسبة إصدار أوامر الشراء خلال ≤ 5 أيام عمل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0.745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نظام سلاسل الإمداد والمخزون (WMS/ERP)</t>
        </is>
      </c>
    </row>
    <row r="7" ht="24" customHeight="1">
      <c r="A7" s="28" t="n">
        <v>4</v>
      </c>
      <c r="B7" s="24" t="inlineStr">
        <is>
          <t>خدمة العميل</t>
        </is>
      </c>
      <c r="C7" s="24" t="inlineStr">
        <is>
          <t>نسبة استيفاء طلبات المحطات (Fill Rate)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0.14</v>
      </c>
      <c r="H7" s="61" t="n">
        <v>0.98</v>
      </c>
      <c r="I7" s="78" t="inlineStr">
        <is>
          <t>≥ 98%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59" t="n">
        <v>0.967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نظام سلاسل الإمداد والمخزون (WMS/ERP)</t>
        </is>
      </c>
    </row>
    <row r="8" ht="24" customHeight="1">
      <c r="A8" s="28" t="n">
        <v>5</v>
      </c>
      <c r="B8" s="24" t="inlineStr">
        <is>
          <t>كفاءة التكاليف</t>
        </is>
      </c>
      <c r="C8" s="24" t="inlineStr">
        <is>
          <t>فاقد الوقود لكل 33 ألف لتر</t>
        </is>
      </c>
      <c r="D8" s="46" t="inlineStr">
        <is>
          <t>لتر</t>
        </is>
      </c>
      <c r="E8" s="46" t="inlineStr">
        <is>
          <t>↓</t>
        </is>
      </c>
      <c r="F8" s="15" t="inlineStr">
        <is>
          <t>🟠 مهم</t>
        </is>
      </c>
      <c r="G8" s="61" t="n">
        <v>0.1</v>
      </c>
      <c r="H8" s="52" t="n">
        <v>100</v>
      </c>
      <c r="I8" s="78" t="inlineStr">
        <is>
          <t>≤ 100 لتر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3" t="n">
        <v>98.5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نظام سلاسل الإمداد والمخزون (WMS/ERP)</t>
        </is>
      </c>
    </row>
    <row r="9" ht="24" customHeight="1">
      <c r="A9" s="28" t="n">
        <v>6</v>
      </c>
      <c r="B9" s="24" t="inlineStr">
        <is>
          <t>كفاءة التكاليف</t>
        </is>
      </c>
      <c r="C9" s="24" t="inlineStr">
        <is>
          <t>نسبة المواد التالفة من المخزون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1" t="n">
        <v>0.02</v>
      </c>
      <c r="I9" s="78" t="inlineStr">
        <is>
          <t>≤ 2%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0.023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نظام سلاسل الإمداد والمخزون (WMS/ERP)</t>
        </is>
      </c>
    </row>
    <row r="10" ht="24" customHeight="1">
      <c r="A10" s="28" t="n">
        <v>7</v>
      </c>
      <c r="B10" s="24" t="inlineStr">
        <is>
          <t>كفاءة رأس المال العامل</t>
        </is>
      </c>
      <c r="C10" s="24" t="inlineStr">
        <is>
          <t>تغطية مخزون الوقود (أيام)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🟠 مهم</t>
        </is>
      </c>
      <c r="G10" s="61" t="n">
        <v>0.1</v>
      </c>
      <c r="H10" s="62" t="n">
        <v>3</v>
      </c>
      <c r="I10" s="78" t="inlineStr">
        <is>
          <t>≤ 3 أيام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2.827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نظام سلاسل الإمداد والمخزون (WMS/ERP)</t>
        </is>
      </c>
    </row>
    <row r="11" ht="24" customHeight="1">
      <c r="A11" s="28" t="n">
        <v>8</v>
      </c>
      <c r="B11" s="24" t="inlineStr">
        <is>
          <t>الكفاءة التشغيلية</t>
        </is>
      </c>
      <c r="C11" s="24" t="inlineStr">
        <is>
          <t>نسبة التزام جدول النقل (On-Time)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0.09</v>
      </c>
      <c r="H11" s="61" t="n">
        <v>0.95</v>
      </c>
      <c r="I11" s="78" t="inlineStr">
        <is>
          <t>≥ 95%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9" t="n">
        <v>0.822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نظام سلاسل الإمداد والمخزون (WMS/ERP)</t>
        </is>
      </c>
    </row>
    <row r="12" ht="24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استخدام الأسطول المملوك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0.09</v>
      </c>
      <c r="H12" s="61" t="n">
        <v>0.6</v>
      </c>
      <c r="I12" s="78" t="inlineStr">
        <is>
          <t>≥ 60%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0.602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نظام سلاسل الإمداد والمخزون (WMS/ERP)</t>
        </is>
      </c>
    </row>
  </sheetData>
  <autoFilter ref="A3:P12"/>
  <mergeCells count="2">
    <mergeCell ref="A1:P1"/>
    <mergeCell ref="A2:P2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التقنية الرقمية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أداء المشاريع</t>
        </is>
      </c>
      <c r="C4" s="24" t="inlineStr">
        <is>
          <t>نسبة إنجاز محفظة مشاريع التحول الرقمي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0.14</v>
      </c>
      <c r="H4" s="61" t="n">
        <v>1</v>
      </c>
      <c r="I4" s="78" t="inlineStr">
        <is>
          <t>100%</t>
        </is>
      </c>
      <c r="J4" s="79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59" t="n">
        <v>0.06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سجلات الإدارة</t>
        </is>
      </c>
    </row>
    <row r="5" ht="24" customHeight="1">
      <c r="A5" s="28" t="n">
        <v>2</v>
      </c>
      <c r="B5" s="24" t="inlineStr">
        <is>
          <t>أداء المشاريع</t>
        </is>
      </c>
      <c r="C5" s="24" t="inlineStr">
        <is>
          <t>معدل تسليم المشاريع في الموعد المحدد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</v>
      </c>
      <c r="H5" s="61" t="n">
        <v>0.9</v>
      </c>
      <c r="I5" s="78" t="inlineStr">
        <is>
          <t>≥ 90%</t>
        </is>
      </c>
      <c r="J5" s="79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59" t="n">
        <v>0.83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سجلات الإدارة</t>
        </is>
      </c>
    </row>
    <row r="6" ht="24" customHeight="1">
      <c r="A6" s="28" t="n">
        <v>3</v>
      </c>
      <c r="B6" s="24" t="inlineStr">
        <is>
          <t>أداء المشاريع</t>
        </is>
      </c>
      <c r="C6" s="24" t="inlineStr">
        <is>
          <t>نسبة الالتزام بميزانية المشاريع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59" t="n">
        <v>0.753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نظام المحاسبة / ERP (D365)</t>
        </is>
      </c>
    </row>
    <row r="7" ht="24" customHeight="1">
      <c r="A7" s="28" t="n">
        <v>4</v>
      </c>
      <c r="B7" s="24" t="inlineStr">
        <is>
          <t>أداء المشاريع</t>
        </is>
      </c>
      <c r="C7" s="24" t="inlineStr">
        <is>
          <t>نسبة الالتزام بنطاق العمل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0.95</v>
      </c>
      <c r="I7" s="78" t="inlineStr">
        <is>
          <t>≥ 95%</t>
        </is>
      </c>
      <c r="J7" s="79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59" t="n">
        <v>0.703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سجلات الإدارة</t>
        </is>
      </c>
    </row>
    <row r="8" ht="24" customHeight="1">
      <c r="A8" s="28" t="n">
        <v>5</v>
      </c>
      <c r="B8" s="24" t="inlineStr">
        <is>
          <t>الكفاءة التشغيلية</t>
        </is>
      </c>
      <c r="C8" s="24" t="inlineStr">
        <is>
          <t>نسبة تفعيل الأنظمة الأساسية بالمحطات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🏁 معلم</t>
        </is>
      </c>
      <c r="G8" s="61" t="n">
        <v>0.14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التعلّم والنمو</t>
        </is>
      </c>
      <c r="M8" s="59" t="n">
        <v>0.33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مكتب إدارة المشاريع (PMO)</t>
        </is>
      </c>
    </row>
    <row r="9" ht="24" customHeight="1">
      <c r="A9" s="28" t="n">
        <v>6</v>
      </c>
      <c r="B9" s="24" t="inlineStr">
        <is>
          <t>الكفاءة التشغيلية</t>
        </is>
      </c>
      <c r="C9" s="24" t="inlineStr">
        <is>
          <t>متوسط جاهزية أنظمة المركز الرئيسي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0.14</v>
      </c>
      <c r="H9" s="61" t="n">
        <v>0.99</v>
      </c>
      <c r="I9" s="78" t="inlineStr">
        <is>
          <t>≥ 99%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التعلّم والنمو</t>
        </is>
      </c>
      <c r="M9" s="59" t="n">
        <v>0.9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80" t="inlineStr">
        <is>
          <t>مكتب إدارة المشاريع (PMO)</t>
        </is>
      </c>
    </row>
    <row r="10" ht="24" customHeight="1">
      <c r="A10" s="28" t="n">
        <v>7</v>
      </c>
      <c r="B10" s="24" t="inlineStr">
        <is>
          <t>الكفاءة التشغيلية</t>
        </is>
      </c>
      <c r="C10" s="24" t="inlineStr">
        <is>
          <t>نسبة الامتثال للأمن السيبراني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0.1</v>
      </c>
      <c r="H10" s="61" t="n">
        <v>1</v>
      </c>
      <c r="I10" s="78" t="inlineStr">
        <is>
          <t>100%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التعلّم والنمو</t>
        </is>
      </c>
      <c r="M10" s="59" t="n">
        <v>0.3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80" t="inlineStr">
        <is>
          <t>مكتب إدارة المشاريع (PMO)</t>
        </is>
      </c>
    </row>
    <row r="11" ht="24" customHeight="1">
      <c r="A11" s="28" t="n">
        <v>8</v>
      </c>
      <c r="B11" s="24" t="inlineStr">
        <is>
          <t>الكفاءة التشغيلية</t>
        </is>
      </c>
      <c r="C11" s="24" t="inlineStr">
        <is>
          <t>متوسط زمن استجابة الدعم الفني</t>
        </is>
      </c>
      <c r="D11" s="46" t="inlineStr">
        <is>
          <t>ساعة</t>
        </is>
      </c>
      <c r="E11" s="46" t="inlineStr">
        <is>
          <t>↓</t>
        </is>
      </c>
      <c r="F11" s="15" t="inlineStr">
        <is>
          <t>🟠 مهم</t>
        </is>
      </c>
      <c r="G11" s="61" t="n">
        <v>0.09</v>
      </c>
      <c r="H11" s="62" t="n">
        <v>1</v>
      </c>
      <c r="I11" s="78" t="inlineStr">
        <is>
          <t>≤ ساعة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3" t="n">
        <v>0.8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سجلات الإدارة</t>
        </is>
      </c>
    </row>
    <row r="12" ht="24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التكامل الرقمي (ERP/واثق/الولاء)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0.09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التعلّم والنمو</t>
        </is>
      </c>
      <c r="M12" s="59" t="n">
        <v>0.2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أنظمة التسويق الرقمي / تانكي</t>
        </is>
      </c>
    </row>
  </sheetData>
  <autoFilter ref="A3:P12"/>
  <mergeCells count="2">
    <mergeCell ref="A1:P1"/>
    <mergeCell ref="A2:P2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الموارد البشرية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التوظيف والتوطين</t>
        </is>
      </c>
      <c r="C4" s="24" t="inlineStr">
        <is>
          <t>نسبة السعودة / التوطين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61" t="n">
        <v>0.06</v>
      </c>
      <c r="H4" s="46" t="inlineStr"/>
      <c r="I4" s="78" t="inlineStr">
        <is>
          <t>أخضر مرتفع (حسب الوزارة)</t>
        </is>
      </c>
      <c r="J4" s="79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التعلّم والنمو</t>
        </is>
      </c>
      <c r="M4" s="59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نظام الموارد البشرية (HRMS)</t>
        </is>
      </c>
    </row>
    <row r="5" ht="24" customHeight="1">
      <c r="A5" s="28" t="n">
        <v>2</v>
      </c>
      <c r="B5" s="24" t="inlineStr">
        <is>
          <t>التوظيف والتوطين</t>
        </is>
      </c>
      <c r="C5" s="24" t="inlineStr">
        <is>
          <t>الارتقاء بآليات اختيار المرشحين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59" t="n">
        <v>0.723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نظام الموارد البشرية (HRMS)</t>
        </is>
      </c>
    </row>
    <row r="6" ht="24" customHeight="1">
      <c r="A6" s="28" t="n">
        <v>3</v>
      </c>
      <c r="B6" s="24" t="inlineStr">
        <is>
          <t>التوظيف والتوطين</t>
        </is>
      </c>
      <c r="C6" s="24" t="inlineStr">
        <is>
          <t>نسبة شغل الشواغر خلال 30 يوم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0.06</v>
      </c>
      <c r="H6" s="61" t="n">
        <v>0.85</v>
      </c>
      <c r="I6" s="78" t="inlineStr">
        <is>
          <t>≥ 85%</t>
        </is>
      </c>
      <c r="J6" s="79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59" t="n">
        <v>0.73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نظام الموارد البشرية (HRMS)</t>
        </is>
      </c>
    </row>
    <row r="7" ht="24" customHeight="1">
      <c r="A7" s="28" t="n">
        <v>4</v>
      </c>
      <c r="B7" s="24" t="inlineStr">
        <is>
          <t>الاستبقاء</t>
        </is>
      </c>
      <c r="C7" s="24" t="inlineStr">
        <is>
          <t>معدل استبقاء الموظفين (Retention)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0.9</v>
      </c>
      <c r="I7" s="78" t="inlineStr">
        <is>
          <t>≥ 90%</t>
        </is>
      </c>
      <c r="J7" s="79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59" t="n">
        <v>0.795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نظام الموارد البشرية (HRMS)</t>
        </is>
      </c>
    </row>
    <row r="8" ht="24" customHeight="1">
      <c r="A8" s="28" t="n">
        <v>5</v>
      </c>
      <c r="B8" s="24" t="inlineStr">
        <is>
          <t>الاستبقاء</t>
        </is>
      </c>
      <c r="C8" s="24" t="inlineStr">
        <is>
          <t>معدل دوران الموظفين (Turnover)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0.06</v>
      </c>
      <c r="H8" s="61" t="n">
        <v>0.1</v>
      </c>
      <c r="I8" s="78" t="inlineStr">
        <is>
          <t>≤ 10%</t>
        </is>
      </c>
      <c r="J8" s="79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59" t="n">
        <v>0.111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نظام الموارد البشرية (HRMS)</t>
        </is>
      </c>
    </row>
    <row r="9" ht="24" customHeight="1">
      <c r="A9" s="28" t="n">
        <v>6</v>
      </c>
      <c r="B9" s="24" t="inlineStr">
        <is>
          <t>التدريب والتطوير</t>
        </is>
      </c>
      <c r="C9" s="24" t="inlineStr">
        <is>
          <t>عدد الدورات الإدارية المنعقدة</t>
        </is>
      </c>
      <c r="D9" s="46" t="inlineStr">
        <is>
          <t>دورة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52" t="n">
        <v>6</v>
      </c>
      <c r="I9" s="78" t="inlineStr">
        <is>
          <t>6 دورات</t>
        </is>
      </c>
      <c r="J9" s="79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53" t="n">
        <v>4.53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نظام الموارد البشرية (HRMS)</t>
        </is>
      </c>
    </row>
    <row r="10" ht="24" customHeight="1">
      <c r="A10" s="28" t="n">
        <v>7</v>
      </c>
      <c r="B10" s="24" t="inlineStr">
        <is>
          <t>التدريب والتطوير</t>
        </is>
      </c>
      <c r="C10" s="24" t="inlineStr">
        <is>
          <t>متوسط ساعات التدريب لكل موظف</t>
        </is>
      </c>
      <c r="D10" s="46" t="inlineStr">
        <is>
          <t>ساعة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2" t="n">
        <v>40</v>
      </c>
      <c r="I10" s="78" t="inlineStr">
        <is>
          <t>≥ 40 ساعة</t>
        </is>
      </c>
      <c r="J10" s="79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33.6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نظام الموارد البشرية (HRMS)</t>
        </is>
      </c>
    </row>
    <row r="11" ht="24" customHeight="1">
      <c r="A11" s="28" t="n">
        <v>8</v>
      </c>
      <c r="B11" s="24" t="inlineStr">
        <is>
          <t>التدريب والتطوير</t>
        </is>
      </c>
      <c r="C11" s="24" t="inlineStr">
        <is>
          <t>نسبة الموظفين المشمولين بخطة تطوير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61" t="n">
        <v>0.8</v>
      </c>
      <c r="I11" s="78" t="inlineStr">
        <is>
          <t>≥ 80%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59" t="n">
        <v>0.644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نظام الموارد البشرية (HRMS)</t>
        </is>
      </c>
    </row>
    <row r="12" ht="24" customHeight="1">
      <c r="A12" s="28" t="n">
        <v>9</v>
      </c>
      <c r="B12" s="24" t="inlineStr">
        <is>
          <t>الرضا والثقافة</t>
        </is>
      </c>
      <c r="C12" s="24" t="inlineStr">
        <is>
          <t>مؤشر رضا الموظفين (eNPS)</t>
        </is>
      </c>
      <c r="D12" s="46" t="inlineStr">
        <is>
          <t>نقطة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62" t="n">
        <v>30</v>
      </c>
      <c r="I12" s="78" t="inlineStr">
        <is>
          <t>≥ 30</t>
        </is>
      </c>
      <c r="J12" s="79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التعلّم والنمو</t>
        </is>
      </c>
      <c r="M12" s="63" t="n">
        <v>27.5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هدف",IF($N12&gt;=0.9,"✅ محقق",IF($N12&gt;=0.75,"🟡 قريب","🔴 تحت الهدف")))</f>
        <v/>
      </c>
      <c r="P12" s="80" t="inlineStr">
        <is>
          <t>استبيان دوري</t>
        </is>
      </c>
    </row>
    <row r="13" ht="24" customHeight="1">
      <c r="A13" s="28" t="n">
        <v>10</v>
      </c>
      <c r="B13" s="24" t="inlineStr">
        <is>
          <t>الرضا والثقافة</t>
        </is>
      </c>
      <c r="C13" s="24" t="inlineStr">
        <is>
          <t>تحسين مستوى الرضا الوظيفي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0.08</v>
      </c>
      <c r="H13" s="46" t="inlineStr"/>
      <c r="I13" s="78" t="inlineStr">
        <is>
          <t>مستهدف سنوي</t>
        </is>
      </c>
      <c r="J13" s="79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هدف",IF($N13&gt;=0.9,"✅ محقق",IF($N13&gt;=0.75,"🟡 قريب","🔴 تحت الهدف")))</f>
        <v/>
      </c>
      <c r="P13" s="80" t="inlineStr">
        <is>
          <t>استبيان دوري</t>
        </is>
      </c>
    </row>
    <row r="14" ht="24" customHeight="1">
      <c r="A14" s="28" t="n">
        <v>11</v>
      </c>
      <c r="B14" s="24" t="inlineStr">
        <is>
          <t>الرضا والثقافة</t>
        </is>
      </c>
      <c r="C14" s="24" t="inlineStr">
        <is>
          <t>ترسيخ القيم والثقافة المؤسسية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🏁 معلم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العمليات الداخلية</t>
        </is>
      </c>
      <c r="M14" s="59" t="n">
        <v>0.742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استبيان دوري</t>
        </is>
      </c>
    </row>
    <row r="15" ht="24" customHeight="1">
      <c r="A15" s="28" t="n">
        <v>12</v>
      </c>
      <c r="B15" s="24" t="inlineStr">
        <is>
          <t>الأتمتة والتوثيق</t>
        </is>
      </c>
      <c r="C15" s="24" t="inlineStr">
        <is>
          <t>نسبة أتمتة عمليات الموارد البشرية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🏁 معلم</t>
        </is>
      </c>
      <c r="G15" s="61" t="n">
        <v>0.05</v>
      </c>
      <c r="H15" s="61" t="n">
        <v>1</v>
      </c>
      <c r="I15" s="78" t="inlineStr">
        <is>
          <t>100%</t>
        </is>
      </c>
      <c r="J15" s="79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59" t="n">
        <v>0.84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مكتب إدارة المشاريع (PMO)</t>
        </is>
      </c>
    </row>
    <row r="16" ht="24" customHeight="1">
      <c r="A16" s="28" t="n">
        <v>13</v>
      </c>
      <c r="B16" s="24" t="inlineStr">
        <is>
          <t>الأتمتة والتوثيق</t>
        </is>
      </c>
      <c r="C16" s="24" t="inlineStr">
        <is>
          <t>نسبة توثيق أنظمة العمل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🟡 متابعة</t>
        </is>
      </c>
      <c r="G16" s="61" t="n">
        <v>0.03</v>
      </c>
      <c r="H16" s="61" t="n">
        <v>0.8</v>
      </c>
      <c r="I16" s="78" t="inlineStr">
        <is>
          <t>≥ 80%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التعلّم والنمو</t>
        </is>
      </c>
      <c r="M16" s="59" t="n">
        <v>0.775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مكتب إدارة المشاريع (PMO)</t>
        </is>
      </c>
    </row>
    <row r="17" ht="24" customHeight="1">
      <c r="A17" s="28" t="n">
        <v>14</v>
      </c>
      <c r="B17" s="24" t="inlineStr">
        <is>
          <t>الأتمتة والتوثيق</t>
        </is>
      </c>
      <c r="C17" s="24" t="inlineStr">
        <is>
          <t>ترسيخ الأنظمة الإدارية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0.8</v>
      </c>
      <c r="I17" s="78" t="inlineStr">
        <is>
          <t>≥ 80%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9" t="n">
        <v>0.671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مكتب إدارة المشاريع (PMO)</t>
        </is>
      </c>
    </row>
    <row r="18" ht="24" customHeight="1">
      <c r="A18" s="28" t="n">
        <v>15</v>
      </c>
      <c r="B18" s="24" t="inlineStr">
        <is>
          <t>الهيكلة</t>
        </is>
      </c>
      <c r="C18" s="24" t="inlineStr">
        <is>
          <t>اعتماد الهيكل التنظيمي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🏁 معلم</t>
        </is>
      </c>
      <c r="G18" s="61" t="n">
        <v>0.05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0.984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نظام الموارد البشرية (HRMS)</t>
        </is>
      </c>
    </row>
    <row r="19" ht="24" customHeight="1">
      <c r="A19" s="28" t="n">
        <v>16</v>
      </c>
      <c r="B19" s="24" t="inlineStr">
        <is>
          <t>الهيكلة</t>
        </is>
      </c>
      <c r="C19" s="24" t="inlineStr">
        <is>
          <t>اكتمال الأوصاف الوظيفية (+KPI)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🏁 معلم</t>
        </is>
      </c>
      <c r="G19" s="61" t="n">
        <v>0.05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0.926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نظام الموارد البشرية (HRMS)</t>
        </is>
      </c>
    </row>
    <row r="20" ht="24" customHeight="1">
      <c r="A20" s="28" t="n">
        <v>17</v>
      </c>
      <c r="B20" s="24" t="inlineStr">
        <is>
          <t>الأداء</t>
        </is>
      </c>
      <c r="C20" s="24" t="inlineStr">
        <is>
          <t>نسبة إنجاز تقييمات الأداء في موعدها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0.05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العمليات الداخلية</t>
        </is>
      </c>
      <c r="M20" s="59" t="n">
        <v>0.8080000000000001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سجلات الإدارة</t>
        </is>
      </c>
    </row>
  </sheetData>
  <autoFilter ref="A3:P20"/>
  <mergeCells count="2">
    <mergeCell ref="A1:P1"/>
    <mergeCell ref="A2:P2"/>
  </mergeCells>
  <dataValidations count="1">
    <dataValidation sqref="M4 M5 M6 M7 M8 M9 M10 M11 M12 M13 M14 M15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التسويق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الإدارة العامة</t>
        </is>
      </c>
      <c r="C4" s="24" t="inlineStr">
        <is>
          <t>الوصول الكلي (Total Reach)</t>
        </is>
      </c>
      <c r="D4" s="46" t="inlineStr">
        <is>
          <t>وصول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50000000</v>
      </c>
      <c r="I4" s="78" t="inlineStr">
        <is>
          <t>50م وصول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3" t="n">
        <v>5000000</v>
      </c>
      <c r="N4" s="10">
        <f>IF($H4="","",IF($M4="","",MIN(1,IF($H4=0,IF($M4&lt;=0,1,0),IF($E4="↓",IFERROR($H4/$M4,0),IFERROR($M4/$H4,0))))))</f>
        <v/>
      </c>
      <c r="O4" s="28">
        <f>IF($N4="","⏳ بانتظار هدف",IF($N4&gt;=0.9,"✅ محقق",IF($N4&gt;=0.75,"🟡 قريب","🔴 تحت الهدف")))</f>
        <v/>
      </c>
      <c r="P4" s="80" t="inlineStr">
        <is>
          <t>أنظمة التسويق الرقمي / تانكي</t>
        </is>
      </c>
    </row>
    <row r="5" ht="24" customHeight="1">
      <c r="A5" s="28" t="n">
        <v>2</v>
      </c>
      <c r="B5" s="24" t="inlineStr">
        <is>
          <t>الإدارة العامة</t>
        </is>
      </c>
      <c r="C5" s="24" t="inlineStr">
        <is>
          <t>عملاء تجاريون جدد</t>
        </is>
      </c>
      <c r="D5" s="46" t="inlineStr">
        <is>
          <t>عميل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52" t="n">
        <v>200</v>
      </c>
      <c r="I5" s="78" t="inlineStr">
        <is>
          <t>200 عميل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3" t="n">
        <v>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سجلات الإدارة</t>
        </is>
      </c>
    </row>
    <row r="6" ht="24" customHeight="1">
      <c r="A6" s="28" t="n">
        <v>3</v>
      </c>
      <c r="B6" s="24" t="inlineStr">
        <is>
          <t>الفريق الإبداعي</t>
        </is>
      </c>
      <c r="C6" s="24" t="inlineStr">
        <is>
          <t>إجمالي المتابعين (كل المنصات)</t>
        </is>
      </c>
      <c r="D6" s="46" t="inlineStr">
        <is>
          <t>متابع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52" t="n">
        <v>380000</v>
      </c>
      <c r="I6" s="78" t="inlineStr">
        <is>
          <t>380ك متابع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3" t="n">
        <v>253000</v>
      </c>
      <c r="N6" s="10">
        <f>IF($H6="","",IF($M6="","",MIN(1,IF($H6=0,IF($M6&lt;=0,1,0),IF($E6="↓",IFERROR($H6/$M6,0),IFERROR($M6/$H6,0))))))</f>
        <v/>
      </c>
      <c r="O6" s="28">
        <f>IF($N6="","⏳ بانتظار هدف",IF($N6&gt;=0.9,"✅ محقق",IF($N6&gt;=0.75,"🟡 قريب","🔴 تحت الهدف")))</f>
        <v/>
      </c>
      <c r="P6" s="80" t="inlineStr">
        <is>
          <t>أنظمة التسويق الرقمي / تانكي</t>
        </is>
      </c>
    </row>
    <row r="7" ht="24" customHeight="1">
      <c r="A7" s="28" t="n">
        <v>4</v>
      </c>
      <c r="B7" s="24" t="inlineStr">
        <is>
          <t>الفريق الإبداعي</t>
        </is>
      </c>
      <c r="C7" s="24" t="inlineStr">
        <is>
          <t>معدل التفاعل (Engagement)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0.5</v>
      </c>
      <c r="I7" s="78" t="inlineStr">
        <is>
          <t>50%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59" t="n">
        <v>0</v>
      </c>
      <c r="N7" s="10">
        <f>IF($H7="","",IF($M7="","",MIN(1,IF($H7=0,IF($M7&lt;=0,1,0),IF($E7="↓",IFERROR($H7/$M7,0),IFERROR($M7/$H7,0))))))</f>
        <v/>
      </c>
      <c r="O7" s="28">
        <f>IF($N7="","⏳ بانتظار هدف",IF($N7&gt;=0.9,"✅ محقق",IF($N7&gt;=0.75,"🟡 قريب","🔴 تحت الهدف")))</f>
        <v/>
      </c>
      <c r="P7" s="80" t="inlineStr">
        <is>
          <t>أنظمة التسويق الرقمي / تانكي</t>
        </is>
      </c>
    </row>
    <row r="8" ht="24" customHeight="1">
      <c r="A8" s="28" t="n">
        <v>5</v>
      </c>
      <c r="B8" s="24" t="inlineStr">
        <is>
          <t>الحملات التسويقية</t>
        </is>
      </c>
      <c r="C8" s="24" t="inlineStr">
        <is>
          <t>حملات تسويقية منجزة</t>
        </is>
      </c>
      <c r="D8" s="46" t="inlineStr">
        <is>
          <t>حملة</t>
        </is>
      </c>
      <c r="E8" s="46" t="inlineStr">
        <is>
          <t>↑</t>
        </is>
      </c>
      <c r="F8" s="15" t="inlineStr">
        <is>
          <t>🟠 مهم</t>
        </is>
      </c>
      <c r="G8" s="61" t="n">
        <v>0.06</v>
      </c>
      <c r="H8" s="52" t="n">
        <v>48</v>
      </c>
      <c r="I8" s="78" t="inlineStr">
        <is>
          <t>48 حملة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3" t="n">
        <v>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أنظمة التسويق الرقمي / تانكي</t>
        </is>
      </c>
    </row>
    <row r="9" ht="24" customHeight="1">
      <c r="A9" s="28" t="n">
        <v>6</v>
      </c>
      <c r="B9" s="24" t="inlineStr">
        <is>
          <t>الحملات التسويقية</t>
        </is>
      </c>
      <c r="C9" s="24" t="inlineStr">
        <is>
          <t>تحويل الفرص إلى عقود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61" t="n">
        <v>0.25</v>
      </c>
      <c r="I9" s="78" t="inlineStr">
        <is>
          <t>25%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59" t="n">
        <v>0.17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أنظمة التسويق الرقمي / تانكي</t>
        </is>
      </c>
    </row>
    <row r="10" ht="24" customHeight="1">
      <c r="A10" s="28" t="n">
        <v>7</v>
      </c>
      <c r="B10" s="24" t="inlineStr">
        <is>
          <t>الحملات التسويقية</t>
        </is>
      </c>
      <c r="C10" s="24" t="inlineStr">
        <is>
          <t>نسبة المبيعات لكل حملة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1</v>
      </c>
      <c r="I10" s="78" t="inlineStr">
        <is>
          <t>100%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59" t="n">
        <v>0.16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أنظمة التسويق الرقمي / تانكي</t>
        </is>
      </c>
    </row>
    <row r="11" ht="24" customHeight="1">
      <c r="A11" s="28" t="n">
        <v>8</v>
      </c>
      <c r="B11" s="24" t="inlineStr">
        <is>
          <t>الدعاية والإعلان</t>
        </is>
      </c>
      <c r="C11" s="24" t="inlineStr">
        <is>
          <t>نسبة التزام الهوية البصرية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0.08</v>
      </c>
      <c r="H11" s="61" t="n">
        <v>1</v>
      </c>
      <c r="I11" s="78" t="inlineStr">
        <is>
          <t>100%</t>
        </is>
      </c>
      <c r="J11" s="79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59" t="n">
        <v>0.1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سجلات الإدارة</t>
        </is>
      </c>
    </row>
    <row r="12" ht="24" customHeight="1">
      <c r="A12" s="28" t="n">
        <v>9</v>
      </c>
      <c r="B12" s="24" t="inlineStr">
        <is>
          <t>العلاقات والشراكات</t>
        </is>
      </c>
      <c r="C12" s="24" t="inlineStr">
        <is>
          <t>وصول العلاقات العامة (PR)</t>
        </is>
      </c>
      <c r="D12" s="46" t="inlineStr">
        <is>
          <t>وصول</t>
        </is>
      </c>
      <c r="E12" s="46" t="inlineStr">
        <is>
          <t>↑</t>
        </is>
      </c>
      <c r="F12" s="15" t="inlineStr">
        <is>
          <t>🟠 مهم</t>
        </is>
      </c>
      <c r="G12" s="61" t="n">
        <v>0.06</v>
      </c>
      <c r="H12" s="52" t="n">
        <v>7000000</v>
      </c>
      <c r="I12" s="78" t="inlineStr">
        <is>
          <t>7م وصول</t>
        </is>
      </c>
      <c r="J12" s="79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3" t="n">
        <v>1500000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أنظمة التسويق الرقمي / تانكي</t>
        </is>
      </c>
    </row>
    <row r="13" ht="24" customHeight="1">
      <c r="A13" s="28" t="n">
        <v>10</v>
      </c>
      <c r="B13" s="24" t="inlineStr">
        <is>
          <t>العلاقات والشراكات</t>
        </is>
      </c>
      <c r="C13" s="24" t="inlineStr">
        <is>
          <t>عدد المعارض بالسنة</t>
        </is>
      </c>
      <c r="D13" s="46" t="inlineStr">
        <is>
          <t>معرض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52" t="n">
        <v>3</v>
      </c>
      <c r="I13" s="78" t="inlineStr">
        <is>
          <t>3 معارض</t>
        </is>
      </c>
      <c r="J13" s="79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3" t="n">
        <v>0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سجلات الإدارة</t>
        </is>
      </c>
    </row>
    <row r="14" ht="24" customHeight="1">
      <c r="A14" s="28" t="n">
        <v>11</v>
      </c>
      <c r="B14" s="24" t="inlineStr">
        <is>
          <t>العلاقات والشراكات</t>
        </is>
      </c>
      <c r="C14" s="24" t="inlineStr">
        <is>
          <t>اتفاقيات استراتيجية</t>
        </is>
      </c>
      <c r="D14" s="46" t="inlineStr">
        <is>
          <t>اتفاقية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0.06</v>
      </c>
      <c r="H14" s="52" t="n">
        <v>3</v>
      </c>
      <c r="I14" s="78" t="inlineStr">
        <is>
          <t>3 اتفاقيات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3" t="n">
        <v>0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سجلات الإدارة</t>
        </is>
      </c>
    </row>
    <row r="15" ht="24" customHeight="1">
      <c r="A15" s="28" t="n">
        <v>12</v>
      </c>
      <c r="B15" s="24" t="inlineStr">
        <is>
          <t>خدمة العملاء والدعم</t>
        </is>
      </c>
      <c r="C15" s="24" t="inlineStr">
        <is>
          <t>تقييم خرائط قوقل</t>
        </is>
      </c>
      <c r="D15" s="46" t="inlineStr">
        <is>
          <t>نجمة/5</t>
        </is>
      </c>
      <c r="E15" s="46" t="inlineStr">
        <is>
          <t>↑</t>
        </is>
      </c>
      <c r="F15" s="15" t="inlineStr">
        <is>
          <t>🟠 مهم</t>
        </is>
      </c>
      <c r="G15" s="61" t="n">
        <v>0.06</v>
      </c>
      <c r="H15" s="62" t="n">
        <v>4.7</v>
      </c>
      <c r="I15" s="78" t="inlineStr">
        <is>
          <t>4.7 ⭐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تقييمات خرائط قوقل</t>
        </is>
      </c>
    </row>
    <row r="16" ht="24" customHeight="1">
      <c r="A16" s="28" t="n">
        <v>13</v>
      </c>
      <c r="B16" s="24" t="inlineStr">
        <is>
          <t>خدمة العملاء والدعم</t>
        </is>
      </c>
      <c r="C16" s="24" t="inlineStr">
        <is>
          <t>معدل خفض الشكاوى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0.3</v>
      </c>
      <c r="I16" s="78" t="inlineStr">
        <is>
          <t>30%</t>
        </is>
      </c>
      <c r="J16" s="79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59" t="n">
        <v>0.21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سجلات الإدارة</t>
        </is>
      </c>
    </row>
    <row r="17" ht="24" customHeight="1">
      <c r="A17" s="28" t="n">
        <v>14</v>
      </c>
      <c r="B17" s="24" t="inlineStr">
        <is>
          <t>تطبيق تانكي</t>
        </is>
      </c>
      <c r="C17" s="24" t="inlineStr">
        <is>
          <t>وصول محتوى تطبيق تانكي</t>
        </is>
      </c>
      <c r="D17" s="46" t="inlineStr">
        <is>
          <t>وصول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52" t="n">
        <v>1000000</v>
      </c>
      <c r="I17" s="78" t="inlineStr">
        <is>
          <t>1م وصول</t>
        </is>
      </c>
      <c r="J17" s="79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3" t="n">
        <v>946380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أنظمة التسويق الرقمي / تانكي</t>
        </is>
      </c>
    </row>
    <row r="18" ht="24" customHeight="1">
      <c r="A18" s="28" t="n">
        <v>15</v>
      </c>
      <c r="B18" s="24" t="inlineStr">
        <is>
          <t>تطبيق تانكي</t>
        </is>
      </c>
      <c r="C18" s="24" t="inlineStr">
        <is>
          <t>مشاركات تطبيق تانكي</t>
        </is>
      </c>
      <c r="D18" s="46" t="inlineStr">
        <is>
          <t>مشاركة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52" t="n">
        <v>250</v>
      </c>
      <c r="I18" s="78" t="inlineStr">
        <is>
          <t>250 مشاركة</t>
        </is>
      </c>
      <c r="J18" s="79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3" t="n">
        <v>180.7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أنظمة التسويق الرقمي / تانكي</t>
        </is>
      </c>
    </row>
  </sheetData>
  <autoFilter ref="A3:P18"/>
  <mergeCells count="2">
    <mergeCell ref="A1:P1"/>
    <mergeCell ref="A2:P2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الجودة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مخاطر الجودة</t>
        </is>
      </c>
      <c r="C4" s="24" t="inlineStr">
        <is>
          <t>نسبة المحطات الحرجة</t>
        </is>
      </c>
      <c r="D4" s="46" t="inlineStr">
        <is>
          <t>%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</v>
      </c>
      <c r="H4" s="61" t="n">
        <v>0.05</v>
      </c>
      <c r="I4" s="78" t="inlineStr">
        <is>
          <t>&lt; 5%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0.054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نظام إدارة الجودة (QMS)</t>
        </is>
      </c>
    </row>
    <row r="5" ht="24" customHeight="1">
      <c r="A5" s="28" t="n">
        <v>2</v>
      </c>
      <c r="B5" s="24" t="inlineStr">
        <is>
          <t>جودة الوقود</t>
        </is>
      </c>
      <c r="C5" s="24" t="inlineStr">
        <is>
          <t>نسبة مطابقة جودة الوقود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0.07000000000000001</v>
      </c>
      <c r="H5" s="61" t="n">
        <v>0.995</v>
      </c>
      <c r="I5" s="78" t="inlineStr">
        <is>
          <t>99.5%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0.804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محقق",IF($N5&gt;=0.97,"🟡 قريب","🔴 تحت الهدف")))</f>
        <v/>
      </c>
      <c r="P5" s="80" t="inlineStr">
        <is>
          <t>نظام إدارة الجودة (QMS)</t>
        </is>
      </c>
    </row>
    <row r="6" ht="24" customHeight="1">
      <c r="A6" s="28" t="n">
        <v>3</v>
      </c>
      <c r="B6" s="24" t="inlineStr">
        <is>
          <t>معالجة وتصحيح</t>
        </is>
      </c>
      <c r="C6" s="24" t="inlineStr">
        <is>
          <t>نسبة إغلاق الملاحظات في الوقت المحدد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0.07000000000000001</v>
      </c>
      <c r="H6" s="61" t="n">
        <v>0.9</v>
      </c>
      <c r="I6" s="78" t="inlineStr">
        <is>
          <t>≥ 90%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0.6870000000000001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نظام إدارة الجودة (QMS)</t>
        </is>
      </c>
    </row>
    <row r="7" ht="24" customHeight="1">
      <c r="A7" s="28" t="n">
        <v>4</v>
      </c>
      <c r="B7" s="24" t="inlineStr">
        <is>
          <t>تحسين ووقاية</t>
        </is>
      </c>
      <c r="C7" s="24" t="inlineStr">
        <is>
          <t>نسبة فعالية الإجراءات التصحيحية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0.07000000000000001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0.648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سجلات الإدارة</t>
        </is>
      </c>
    </row>
    <row r="8" ht="24" customHeight="1">
      <c r="A8" s="28" t="n">
        <v>5</v>
      </c>
      <c r="B8" s="24" t="inlineStr">
        <is>
          <t>منع التكرار</t>
        </is>
      </c>
      <c r="C8" s="24" t="inlineStr">
        <is>
          <t>نسبة تكرار الملاحظات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0.07000000000000001</v>
      </c>
      <c r="H8" s="61" t="n">
        <v>0.1</v>
      </c>
      <c r="I8" s="78" t="inlineStr">
        <is>
          <t>&lt; 10%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0.114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نظام إدارة الجودة (QMS)</t>
        </is>
      </c>
    </row>
    <row r="9" ht="24" customHeight="1">
      <c r="A9" s="28" t="n">
        <v>6</v>
      </c>
      <c r="B9" s="24" t="inlineStr">
        <is>
          <t>تفتيش وتدقيق</t>
        </is>
      </c>
      <c r="C9" s="24" t="inlineStr">
        <is>
          <t>نسبة تنفيذ خطة التفتيش والتدقيق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0.07000000000000001</v>
      </c>
      <c r="H9" s="61" t="n">
        <v>0.95</v>
      </c>
      <c r="I9" s="78" t="inlineStr">
        <is>
          <t>≥ 95%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0.728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نظام المحاسبة / ERP (D365)</t>
        </is>
      </c>
    </row>
    <row r="10" ht="24" customHeight="1">
      <c r="A10" s="28" t="n">
        <v>7</v>
      </c>
      <c r="B10" s="24" t="inlineStr">
        <is>
          <t>حوكمة الجودة</t>
        </is>
      </c>
      <c r="C10" s="24" t="inlineStr">
        <is>
          <t>نسبة جاهزية نظام إدارة الجودة QMS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</v>
      </c>
      <c r="H10" s="61" t="n">
        <v>0.9</v>
      </c>
      <c r="I10" s="78" t="inlineStr">
        <is>
          <t>80% ←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0.754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80" t="inlineStr">
        <is>
          <t>نظام إدارة الجودة (QMS)</t>
        </is>
      </c>
    </row>
    <row r="11" ht="24" customHeight="1">
      <c r="A11" s="28" t="n">
        <v>8</v>
      </c>
      <c r="B11" s="24" t="inlineStr">
        <is>
          <t>مخاطر الجودة</t>
        </is>
      </c>
      <c r="C11" s="24" t="inlineStr">
        <is>
          <t>عدد مخاطر الجودة الحرجة المفتوحة</t>
        </is>
      </c>
      <c r="D11" s="46" t="inlineStr">
        <is>
          <t>خطر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0.07000000000000001</v>
      </c>
      <c r="H11" s="52" t="n">
        <v>0</v>
      </c>
      <c r="I11" s="78" t="inlineStr">
        <is>
          <t>صفر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نظام إدارة الجودة (QMS)</t>
        </is>
      </c>
    </row>
    <row r="12" ht="24" customHeight="1">
      <c r="A12" s="28" t="n">
        <v>9</v>
      </c>
      <c r="B12" s="24" t="inlineStr">
        <is>
          <t>مخاطر الجودة</t>
        </is>
      </c>
      <c r="C12" s="24" t="inlineStr">
        <is>
          <t>نسبة إغلاق مخاطر الجودة في الوقت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0.07000000000000001</v>
      </c>
      <c r="H12" s="61" t="n">
        <v>0.9</v>
      </c>
      <c r="I12" s="78" t="inlineStr">
        <is>
          <t>≥ 90%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0.908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نظام إدارة الجودة (QMS)</t>
        </is>
      </c>
    </row>
    <row r="13" ht="24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المتكررة ذات العلاقة بالجودة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0.15</v>
      </c>
      <c r="I13" s="78" t="inlineStr">
        <is>
          <t>انخفاض 15% ربعياً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>
        <v>0.126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نظام إدارة الجودة (QMS)</t>
        </is>
      </c>
    </row>
    <row r="14" ht="24" customHeight="1">
      <c r="A14" s="28" t="n">
        <v>11</v>
      </c>
      <c r="B14" s="24" t="inlineStr">
        <is>
          <t>الجودة الإدارية</t>
        </is>
      </c>
      <c r="C14" s="24" t="inlineStr">
        <is>
          <t>نسبة اكتمال وتحديث الإجراءات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🟡 متابعة</t>
        </is>
      </c>
      <c r="G14" s="61" t="n">
        <v>0.03</v>
      </c>
      <c r="H14" s="61" t="n">
        <v>0.95</v>
      </c>
      <c r="I14" s="78" t="inlineStr">
        <is>
          <t>≥ 95%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0.944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نظام إدارة الجودة (QMS)</t>
        </is>
      </c>
    </row>
    <row r="15" ht="24" customHeight="1">
      <c r="A15" s="28" t="n">
        <v>12</v>
      </c>
      <c r="B15" s="24" t="inlineStr">
        <is>
          <t>توثيق وحوكمة</t>
        </is>
      </c>
      <c r="C15" s="24" t="inlineStr">
        <is>
          <t>نسبة اكتمال سجلات الجودة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0.07000000000000001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0.982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نظام إدارة الجودة (QMS)</t>
        </is>
      </c>
    </row>
    <row r="16" ht="24" customHeight="1">
      <c r="A16" s="28" t="n">
        <v>13</v>
      </c>
      <c r="B16" s="24" t="inlineStr">
        <is>
          <t>الابتكار والرقمنة</t>
        </is>
      </c>
      <c r="C16" s="24" t="inlineStr">
        <is>
          <t>نسبة رقمنة عمليات الجودة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0.07000000000000001</v>
      </c>
      <c r="H16" s="61" t="n">
        <v>0.8</v>
      </c>
      <c r="I16" s="78" t="inlineStr">
        <is>
          <t>≥ 80%</t>
        </is>
      </c>
      <c r="J16" s="79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59" t="n">
        <v>0.834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نظام إدارة الجودة (QMS)</t>
        </is>
      </c>
    </row>
    <row r="17" ht="24" customHeight="1">
      <c r="A17" s="28" t="n">
        <v>14</v>
      </c>
      <c r="B17" s="24" t="inlineStr">
        <is>
          <t>التحسين المستمر</t>
        </is>
      </c>
      <c r="C17" s="24" t="inlineStr">
        <is>
          <t>عدد مبادرات التحسين المؤثرة</t>
        </is>
      </c>
      <c r="D17" s="46" t="inlineStr">
        <is>
          <t>مبادرة</t>
        </is>
      </c>
      <c r="E17" s="46" t="inlineStr">
        <is>
          <t>↑</t>
        </is>
      </c>
      <c r="F17" s="15" t="inlineStr">
        <is>
          <t>🟠 مهم</t>
        </is>
      </c>
      <c r="G17" s="61" t="n">
        <v>0.07000000000000001</v>
      </c>
      <c r="H17" s="52" t="n">
        <v>8</v>
      </c>
      <c r="I17" s="78" t="inlineStr">
        <is>
          <t>≥ 8 سنوياً (2 ربعياً)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3" t="n">
        <v>6.827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سجلات الإدارة</t>
        </is>
      </c>
    </row>
  </sheetData>
  <autoFilter ref="A3:P17"/>
  <mergeCells count="2">
    <mergeCell ref="A1:P1"/>
    <mergeCell ref="A2:P2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الإدارة القانونية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أعمال العقود</t>
        </is>
      </c>
      <c r="C4" s="24" t="inlineStr">
        <is>
          <t>نسبة العقود المُراجَعة قانونياً قبل التوقيع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0.15</v>
      </c>
      <c r="H4" s="61" t="n">
        <v>1</v>
      </c>
      <c r="I4" s="78" t="inlineStr">
        <is>
          <t>100%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1.013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نظام إدارة العقود (CRM)</t>
        </is>
      </c>
    </row>
    <row r="5" ht="24" customHeight="1">
      <c r="A5" s="28" t="n">
        <v>2</v>
      </c>
      <c r="B5" s="24" t="inlineStr">
        <is>
          <t>أعمال العقود</t>
        </is>
      </c>
      <c r="C5" s="24" t="inlineStr">
        <is>
          <t>متوسط زمن صياغة ومراجعة العقد</t>
        </is>
      </c>
      <c r="D5" s="46" t="inlineStr">
        <is>
          <t>يوم</t>
        </is>
      </c>
      <c r="E5" s="46" t="inlineStr">
        <is>
          <t>↓</t>
        </is>
      </c>
      <c r="F5" s="15" t="inlineStr">
        <is>
          <t>🔴 رئيسي</t>
        </is>
      </c>
      <c r="G5" s="61" t="n">
        <v>0.15</v>
      </c>
      <c r="H5" s="62" t="n">
        <v>3</v>
      </c>
      <c r="I5" s="78" t="inlineStr">
        <is>
          <t>≤ 3 أيام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نظام إدارة العقود/القضايا</t>
        </is>
      </c>
    </row>
    <row r="6" ht="24" customHeight="1">
      <c r="A6" s="28" t="n">
        <v>3</v>
      </c>
      <c r="B6" s="24" t="inlineStr">
        <is>
          <t>أعمال العقود</t>
        </is>
      </c>
      <c r="C6" s="24" t="inlineStr">
        <is>
          <t>نسبة العقود الخالية من الملاحظات والمخاطر القانونية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0.15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0.924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نظام إدارة الجودة (QMS)</t>
        </is>
      </c>
    </row>
    <row r="7" ht="24" customHeight="1">
      <c r="A7" s="28" t="n">
        <v>4</v>
      </c>
      <c r="B7" s="24" t="inlineStr">
        <is>
          <t>أعمال القضايا</t>
        </is>
      </c>
      <c r="C7" s="24" t="inlineStr">
        <is>
          <t>نسبة القضايا المُغلقة لصالح الشركة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0.8</v>
      </c>
      <c r="I7" s="78" t="inlineStr">
        <is>
          <t>≥ 80%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0.664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نظام إدارة العقود/القضايا</t>
        </is>
      </c>
    </row>
    <row r="8" ht="24" customHeight="1">
      <c r="A8" s="28" t="n">
        <v>5</v>
      </c>
      <c r="B8" s="24" t="inlineStr">
        <is>
          <t>أعمال القضايا</t>
        </is>
      </c>
      <c r="C8" s="24" t="inlineStr">
        <is>
          <t>نسبة تقديم المذكرات والردود في المواعيد النظامية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0.1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0.797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نظام إدارة العقود/القضايا</t>
        </is>
      </c>
    </row>
    <row r="9" ht="24" customHeight="1">
      <c r="A9" s="28" t="n">
        <v>6</v>
      </c>
      <c r="B9" s="24" t="inlineStr">
        <is>
          <t>أعمال القضايا</t>
        </is>
      </c>
      <c r="C9" s="24" t="inlineStr">
        <is>
          <t>متوسط زمن إعداد المذكرة القانونية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2" t="n">
        <v>5</v>
      </c>
      <c r="I9" s="78" t="inlineStr">
        <is>
          <t>≤ 5 أيام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نظام إدارة العقود/القضايا</t>
        </is>
      </c>
    </row>
    <row r="10" ht="24" customHeight="1">
      <c r="A10" s="28" t="n">
        <v>7</v>
      </c>
      <c r="B10" s="24" t="inlineStr">
        <is>
          <t>الاستشارات القانونية</t>
        </is>
      </c>
      <c r="C10" s="24" t="inlineStr">
        <is>
          <t>نسبة الاستشارات المُنجزة ضمن المدة المستهدفة (SLA)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0.659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نظام إدارة العقود/القضايا</t>
        </is>
      </c>
    </row>
    <row r="11" ht="24" customHeight="1">
      <c r="A11" s="28" t="n">
        <v>8</v>
      </c>
      <c r="B11" s="24" t="inlineStr">
        <is>
          <t>الاستشارات القانونية</t>
        </is>
      </c>
      <c r="C11" s="24" t="inlineStr">
        <is>
          <t>مستوى رضا الإدارات عن الدعم القانوني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0.15</v>
      </c>
      <c r="H11" s="61" t="n">
        <v>0.85</v>
      </c>
      <c r="I11" s="78" t="inlineStr">
        <is>
          <t>≥ 85%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59" t="n">
        <v>0.674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inlineStr">
        <is>
          <t>استبيان دوري</t>
        </is>
      </c>
    </row>
  </sheetData>
  <autoFilter ref="A3:P11"/>
  <mergeCells count="2">
    <mergeCell ref="A1:P1"/>
    <mergeCell ref="A2:P2"/>
  </mergeCells>
  <dataValidations count="1">
    <dataValidation sqref="M4 M5 M6 M7 M8 M9 M10 M1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28" customWidth="1" min="16" max="16"/>
  </cols>
  <sheetData>
    <row r="1" ht="24" customHeight="1">
      <c r="A1" s="41" t="inlineStr">
        <is>
          <t>إدارة الإدارة المالية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مصدر القياس</t>
        </is>
      </c>
    </row>
    <row r="4" ht="24" customHeight="1">
      <c r="A4" s="28" t="n">
        <v>1</v>
      </c>
      <c r="B4" s="24" t="inlineStr">
        <is>
          <t>المالية الاستراتيجية</t>
        </is>
      </c>
      <c r="C4" s="24" t="inlineStr">
        <is>
          <t>نمو الإيرادات السنوي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61" t="n">
        <v>0.2</v>
      </c>
      <c r="I4" s="78" t="inlineStr">
        <is>
          <t>&gt; 20%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59" t="n">
        <v>0.169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نظام المحاسبة / ERP (D365)</t>
        </is>
      </c>
    </row>
    <row r="5" ht="24" customHeight="1">
      <c r="A5" s="28" t="n">
        <v>2</v>
      </c>
      <c r="B5" s="24" t="inlineStr">
        <is>
          <t>المالية الاستراتيجية</t>
        </is>
      </c>
      <c r="C5" s="24" t="inlineStr">
        <is>
          <t>هامش EBITDA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0.04</v>
      </c>
      <c r="H5" s="61" t="n">
        <v>0.08</v>
      </c>
      <c r="I5" s="78" t="inlineStr">
        <is>
          <t>&gt; 8%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>
        <v>0.062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نظام المحاسبة / ERP (D365)</t>
        </is>
      </c>
    </row>
    <row r="6" ht="24" customHeight="1">
      <c r="A6" s="28" t="n">
        <v>3</v>
      </c>
      <c r="B6" s="24" t="inlineStr">
        <is>
          <t>المالية الاستراتيجية</t>
        </is>
      </c>
      <c r="C6" s="24" t="inlineStr">
        <is>
          <t>هامش صافي الربح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0.04</v>
      </c>
      <c r="H6" s="61" t="n">
        <v>0.01</v>
      </c>
      <c r="I6" s="78" t="inlineStr">
        <is>
          <t>&gt; 1%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>
        <v>0.008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نظام المحاسبة / ERP (D365)</t>
        </is>
      </c>
    </row>
    <row r="7" ht="24" customHeight="1">
      <c r="A7" s="28" t="n">
        <v>4</v>
      </c>
      <c r="B7" s="24" t="inlineStr">
        <is>
          <t>المالية الاستراتيجية</t>
        </is>
      </c>
      <c r="C7" s="24" t="inlineStr">
        <is>
          <t>العائد على حقوق الملكية (ROE)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61" t="n">
        <v>0.1</v>
      </c>
      <c r="I7" s="78" t="inlineStr">
        <is>
          <t>&gt; 10%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0.074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نظام المحاسبة / ERP (D365)</t>
        </is>
      </c>
    </row>
    <row r="8" ht="24" customHeight="1">
      <c r="A8" s="28" t="n">
        <v>5</v>
      </c>
      <c r="B8" s="24" t="inlineStr">
        <is>
          <t>المالية الاستراتيجية</t>
        </is>
      </c>
      <c r="C8" s="24" t="inlineStr">
        <is>
          <t>نسبة التدفق النقدي التشغيلي</t>
        </is>
      </c>
      <c r="D8" s="46" t="inlineStr">
        <is>
          <t>نسبة</t>
        </is>
      </c>
      <c r="E8" s="46" t="inlineStr">
        <is>
          <t>↑</t>
        </is>
      </c>
      <c r="F8" s="15" t="inlineStr">
        <is>
          <t>🟠 مهم</t>
        </is>
      </c>
      <c r="G8" s="61" t="n">
        <v>0.04</v>
      </c>
      <c r="H8" s="62" t="n">
        <v>1</v>
      </c>
      <c r="I8" s="78" t="inlineStr">
        <is>
          <t>&gt; 1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نظام المحاسبة / ERP (D365)</t>
        </is>
      </c>
    </row>
    <row r="9" ht="24" customHeight="1">
      <c r="A9" s="28" t="n">
        <v>6</v>
      </c>
      <c r="B9" s="24" t="inlineStr">
        <is>
          <t>السيولة ورأس المال</t>
        </is>
      </c>
      <c r="C9" s="24" t="inlineStr">
        <is>
          <t>النسبة الجارية (Current Ratio)</t>
        </is>
      </c>
      <c r="D9" s="46" t="inlineStr">
        <is>
          <t>نسبة</t>
        </is>
      </c>
      <c r="E9" s="46" t="inlineStr">
        <is>
          <t>↑</t>
        </is>
      </c>
      <c r="F9" s="15" t="inlineStr">
        <is>
          <t>🟠 مهم</t>
        </is>
      </c>
      <c r="G9" s="61" t="n">
        <v>0.04</v>
      </c>
      <c r="H9" s="62" t="n">
        <v>1</v>
      </c>
      <c r="I9" s="78" t="inlineStr">
        <is>
          <t>0.8 – 1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سجلات الإدارة</t>
        </is>
      </c>
    </row>
    <row r="10" ht="24" customHeight="1">
      <c r="A10" s="28" t="n">
        <v>7</v>
      </c>
      <c r="B10" s="24" t="inlineStr">
        <is>
          <t>السيولة ورأس المال</t>
        </is>
      </c>
      <c r="C10" s="24" t="inlineStr">
        <is>
          <t>دورة التحويل النقدي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🔴 رئيسي</t>
        </is>
      </c>
      <c r="G10" s="61" t="n">
        <v>0.05</v>
      </c>
      <c r="H10" s="62" t="n">
        <v>20</v>
      </c>
      <c r="I10" s="78" t="inlineStr">
        <is>
          <t>&lt; 20 يوم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نظام المحاسبة / ERP (D365)</t>
        </is>
      </c>
    </row>
    <row r="11" ht="24" customHeight="1">
      <c r="A11" s="28" t="n">
        <v>8</v>
      </c>
      <c r="B11" s="24" t="inlineStr">
        <is>
          <t>الذمم المدينة</t>
        </is>
      </c>
      <c r="C11" s="24" t="inlineStr">
        <is>
          <t>متوسط أيام التحصيل العام (DSO)</t>
        </is>
      </c>
      <c r="D11" s="46" t="inlineStr">
        <is>
          <t>يوم</t>
        </is>
      </c>
      <c r="E11" s="46" t="inlineStr">
        <is>
          <t>↓</t>
        </is>
      </c>
      <c r="F11" s="15" t="inlineStr">
        <is>
          <t>🔴 رئيسي</t>
        </is>
      </c>
      <c r="G11" s="61" t="n">
        <v>0.05</v>
      </c>
      <c r="H11" s="62" t="n">
        <v>30</v>
      </c>
      <c r="I11" s="78" t="inlineStr">
        <is>
          <t>&lt; 30 يوم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نظام المحاسبة / ERP (D365)</t>
        </is>
      </c>
    </row>
    <row r="12" ht="24" customHeight="1">
      <c r="A12" s="28" t="n">
        <v>9</v>
      </c>
      <c r="B12" s="24" t="inlineStr">
        <is>
          <t>الذمم المدينة</t>
        </is>
      </c>
      <c r="C12" s="24" t="inlineStr">
        <is>
          <t>نسبة التحصيل العام (الشركة)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0.05</v>
      </c>
      <c r="H12" s="61" t="n">
        <v>0.95</v>
      </c>
      <c r="I12" s="78" t="inlineStr">
        <is>
          <t>&gt;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0.699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نظام المحاسبة / ERP (D365)</t>
        </is>
      </c>
    </row>
    <row r="13" ht="24" customHeight="1">
      <c r="A13" s="28" t="n">
        <v>10</v>
      </c>
      <c r="B13" s="24" t="inlineStr">
        <is>
          <t>الذمم المدينة</t>
        </is>
      </c>
      <c r="C13" s="24" t="inlineStr">
        <is>
          <t>نسبة الذمم المتأخرة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61" t="n">
        <v>0.04</v>
      </c>
      <c r="H13" s="61" t="n">
        <v>0.1</v>
      </c>
      <c r="I13" s="78" t="inlineStr">
        <is>
          <t>&lt; 10%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0.099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نظام المحاسبة / ERP (D365)</t>
        </is>
      </c>
    </row>
    <row r="14" ht="24" customHeight="1">
      <c r="A14" s="28" t="n">
        <v>11</v>
      </c>
      <c r="B14" s="24" t="inlineStr">
        <is>
          <t>الذمم المدينة</t>
        </is>
      </c>
      <c r="C14" s="24" t="inlineStr">
        <is>
          <t>نسبة الديون المعدومة</t>
        </is>
      </c>
      <c r="D14" s="46" t="inlineStr">
        <is>
          <t>%</t>
        </is>
      </c>
      <c r="E14" s="46" t="inlineStr">
        <is>
          <t>↓</t>
        </is>
      </c>
      <c r="F14" s="15" t="inlineStr">
        <is>
          <t>🟠 مهم</t>
        </is>
      </c>
      <c r="G14" s="61" t="n">
        <v>0.04</v>
      </c>
      <c r="H14" s="61" t="n">
        <v>0.01</v>
      </c>
      <c r="I14" s="78" t="inlineStr">
        <is>
          <t>&lt; 1%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0.008999999999999999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نظام المحاسبة / ERP (D365)</t>
        </is>
      </c>
    </row>
    <row r="15" ht="24" customHeight="1">
      <c r="A15" s="28" t="n">
        <v>12</v>
      </c>
      <c r="B15" s="24" t="inlineStr">
        <is>
          <t>الذمم الدائنة</t>
        </is>
      </c>
      <c r="C15" s="24" t="inlineStr">
        <is>
          <t>سداد الموردين في الموعد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0.04</v>
      </c>
      <c r="H15" s="61" t="n">
        <v>0.98</v>
      </c>
      <c r="I15" s="78" t="inlineStr">
        <is>
          <t>&gt; 98%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0.754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نظام المحاسبة / ERP (D365)</t>
        </is>
      </c>
    </row>
    <row r="16" ht="24" customHeight="1">
      <c r="A16" s="28" t="n">
        <v>13</v>
      </c>
      <c r="B16" s="24" t="inlineStr">
        <is>
          <t>الذمم الدائنة</t>
        </is>
      </c>
      <c r="C16" s="24" t="inlineStr">
        <is>
          <t>اكتمال مطابقة حسابات الموردين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0.04</v>
      </c>
      <c r="H16" s="61" t="n">
        <v>0.95</v>
      </c>
      <c r="I16" s="78" t="inlineStr">
        <is>
          <t>≥ 95%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0.926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inlineStr">
        <is>
          <t>نظام المحاسبة / ERP (D365)</t>
        </is>
      </c>
    </row>
    <row r="17" ht="24" customHeight="1">
      <c r="A17" s="28" t="n">
        <v>14</v>
      </c>
      <c r="B17" s="24" t="inlineStr">
        <is>
          <t>الخزينة</t>
        </is>
      </c>
      <c r="C17" s="24" t="inlineStr">
        <is>
          <t>دقة التنبؤ النقدي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0.04</v>
      </c>
      <c r="H17" s="61" t="n">
        <v>0.9</v>
      </c>
      <c r="I17" s="78" t="inlineStr">
        <is>
          <t>±10%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0.9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نظام المحاسبة / ERP (D365)</t>
        </is>
      </c>
    </row>
    <row r="18" ht="24" customHeight="1">
      <c r="A18" s="28" t="n">
        <v>15</v>
      </c>
      <c r="B18" s="24" t="inlineStr">
        <is>
          <t>صناعة الوقود</t>
        </is>
      </c>
      <c r="C18" s="24" t="inlineStr">
        <is>
          <t>تباين مخزون الوقود</t>
        </is>
      </c>
      <c r="D18" s="46" t="inlineStr">
        <is>
          <t>%</t>
        </is>
      </c>
      <c r="E18" s="46" t="inlineStr">
        <is>
          <t>↓</t>
        </is>
      </c>
      <c r="F18" s="15" t="inlineStr">
        <is>
          <t>🟠 مهم</t>
        </is>
      </c>
      <c r="G18" s="61" t="n">
        <v>0.04</v>
      </c>
      <c r="H18" s="61" t="n">
        <v>0.001</v>
      </c>
      <c r="I18" s="78" t="inlineStr">
        <is>
          <t>&lt; 0.1%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0.001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نظام تشغيل المحطات</t>
        </is>
      </c>
    </row>
    <row r="19" ht="24" customHeight="1">
      <c r="A19" s="28" t="n">
        <v>16</v>
      </c>
      <c r="B19" s="24" t="inlineStr">
        <is>
          <t>صناعة الوقود</t>
        </is>
      </c>
      <c r="C19" s="24" t="inlineStr">
        <is>
          <t>دقة مطابقة المخزون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0.995</v>
      </c>
      <c r="I19" s="78" t="inlineStr">
        <is>
          <t>&gt; 99.5%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0.776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محقق",IF($N19&gt;=0.97,"🟡 قريب","🔴 تحت الهدف")))</f>
        <v/>
      </c>
      <c r="P19" s="80" t="inlineStr">
        <is>
          <t>نظام إدارة الجودة (QMS)</t>
        </is>
      </c>
    </row>
    <row r="20" ht="24" customHeight="1">
      <c r="A20" s="28" t="n">
        <v>17</v>
      </c>
      <c r="B20" s="24" t="inlineStr">
        <is>
          <t>صناعة الوقود</t>
        </is>
      </c>
      <c r="C20" s="24" t="inlineStr">
        <is>
          <t>دقة تسوية أرامكو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0.76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محقق",IF($N20&gt;=0.97,"🟡 قريب","🔴 تحت الهدف")))</f>
        <v/>
      </c>
      <c r="P20" s="80" t="inlineStr">
        <is>
          <t>نظام تشغيل المحطات</t>
        </is>
      </c>
    </row>
    <row r="21" ht="24" customHeight="1">
      <c r="A21" s="28" t="n">
        <v>18</v>
      </c>
      <c r="B21" s="24" t="inlineStr">
        <is>
          <t>تمويل الامتياز</t>
        </is>
      </c>
      <c r="C21" s="24" t="inlineStr">
        <is>
          <t>نسبة تحصيل الامتياز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🔴 رئيسي</t>
        </is>
      </c>
      <c r="G21" s="61" t="n">
        <v>0.05</v>
      </c>
      <c r="H21" s="61" t="n">
        <v>0.98</v>
      </c>
      <c r="I21" s="78" t="inlineStr">
        <is>
          <t>&gt; 98%</t>
        </is>
      </c>
      <c r="J21" s="79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59" t="n">
        <v>0.91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نظام المحاسبة / ERP (D365)</t>
        </is>
      </c>
    </row>
    <row r="22" ht="24" customHeight="1">
      <c r="A22" s="28" t="n">
        <v>19</v>
      </c>
      <c r="B22" s="24" t="inlineStr">
        <is>
          <t>تمويل الامتياز</t>
        </is>
      </c>
      <c r="C22" s="24" t="inlineStr">
        <is>
          <t>أيام تحصيل رسوم الامتياز</t>
        </is>
      </c>
      <c r="D22" s="46" t="inlineStr">
        <is>
          <t>يوم</t>
        </is>
      </c>
      <c r="E22" s="46" t="inlineStr">
        <is>
          <t>↓</t>
        </is>
      </c>
      <c r="F22" s="15" t="inlineStr">
        <is>
          <t>🔴 رئيسي</t>
        </is>
      </c>
      <c r="G22" s="61" t="n">
        <v>0.05</v>
      </c>
      <c r="H22" s="62" t="n">
        <v>15</v>
      </c>
      <c r="I22" s="78" t="inlineStr">
        <is>
          <t>&lt; 15 يوم</t>
        </is>
      </c>
      <c r="J22" s="79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inlineStr">
        <is>
          <t>نظام المحاسبة / ERP (D365)</t>
        </is>
      </c>
    </row>
    <row r="23" ht="24" customHeight="1">
      <c r="A23" s="28" t="n">
        <v>20</v>
      </c>
      <c r="B23" s="24" t="inlineStr">
        <is>
          <t>العقار والإيجار</t>
        </is>
      </c>
      <c r="C23" s="24" t="inlineStr">
        <is>
          <t>نسبة تحصيل الإيجار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🔴 رئيسي</t>
        </is>
      </c>
      <c r="G23" s="61" t="n">
        <v>0.05</v>
      </c>
      <c r="H23" s="61" t="n">
        <v>0.98</v>
      </c>
      <c r="I23" s="78" t="inlineStr">
        <is>
          <t>&gt; 98%</t>
        </is>
      </c>
      <c r="J23" s="79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59" t="n">
        <v>1.027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نظام المحاسبة / ERP (D365)</t>
        </is>
      </c>
    </row>
    <row r="24" ht="24" customHeight="1">
      <c r="A24" s="28" t="n">
        <v>21</v>
      </c>
      <c r="B24" s="24" t="inlineStr">
        <is>
          <t>العقار والإيجار</t>
        </is>
      </c>
      <c r="C24" s="24" t="inlineStr">
        <is>
          <t>معدل تجديد عقود الإيجار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0.05</v>
      </c>
      <c r="H24" s="61" t="n">
        <v>0.9</v>
      </c>
      <c r="I24" s="78" t="inlineStr">
        <is>
          <t>&gt; 90%</t>
        </is>
      </c>
      <c r="J24" s="79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59" t="n">
        <v>0.702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نظام إدارة العقود (CRM)</t>
        </is>
      </c>
    </row>
    <row r="25" ht="24" customHeight="1">
      <c r="A25" s="28" t="n">
        <v>22</v>
      </c>
      <c r="B25" s="24" t="inlineStr">
        <is>
          <t>الموازنة والتقارير</t>
        </is>
      </c>
      <c r="C25" s="24" t="inlineStr">
        <is>
          <t>انحراف الموازنة</t>
        </is>
      </c>
      <c r="D25" s="46" t="inlineStr">
        <is>
          <t>%</t>
        </is>
      </c>
      <c r="E25" s="46" t="inlineStr">
        <is>
          <t>↓</t>
        </is>
      </c>
      <c r="F25" s="15" t="inlineStr">
        <is>
          <t>🟠 مهم</t>
        </is>
      </c>
      <c r="G25" s="61" t="n">
        <v>0.03</v>
      </c>
      <c r="H25" s="61" t="n">
        <v>0.1</v>
      </c>
      <c r="I25" s="78" t="inlineStr">
        <is>
          <t>≤ ±10%</t>
        </is>
      </c>
      <c r="J25" s="79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59" t="n">
        <v>0.101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inlineStr">
        <is>
          <t>نظام المحاسبة / ERP (D365)</t>
        </is>
      </c>
    </row>
    <row r="26" ht="24" customHeight="1">
      <c r="A26" s="28" t="n">
        <v>23</v>
      </c>
      <c r="B26" s="24" t="inlineStr">
        <is>
          <t>الموازنة والتقارير</t>
        </is>
      </c>
      <c r="C26" s="24" t="inlineStr">
        <is>
          <t>أيام الإقفال الشهري</t>
        </is>
      </c>
      <c r="D26" s="46" t="inlineStr">
        <is>
          <t>يوم</t>
        </is>
      </c>
      <c r="E26" s="46" t="inlineStr">
        <is>
          <t>↓</t>
        </is>
      </c>
      <c r="F26" s="15" t="inlineStr">
        <is>
          <t>🟠 مهم</t>
        </is>
      </c>
      <c r="G26" s="61" t="n">
        <v>0.03</v>
      </c>
      <c r="H26" s="62" t="n">
        <v>6</v>
      </c>
      <c r="I26" s="78" t="inlineStr">
        <is>
          <t>≤ 6 أيام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نظام المحاسبة / ERP (D365)</t>
        </is>
      </c>
    </row>
    <row r="27" ht="24" customHeight="1">
      <c r="A27" s="28" t="n">
        <v>24</v>
      </c>
      <c r="B27" s="24" t="inlineStr">
        <is>
          <t>الموازنة والتقارير</t>
        </is>
      </c>
      <c r="C27" s="24" t="inlineStr">
        <is>
          <t>نسبة تسويات التدقيق</t>
        </is>
      </c>
      <c r="D27" s="46" t="inlineStr">
        <is>
          <t>%</t>
        </is>
      </c>
      <c r="E27" s="46" t="inlineStr">
        <is>
          <t>↓</t>
        </is>
      </c>
      <c r="F27" s="15" t="inlineStr">
        <is>
          <t>🟠 مهم</t>
        </is>
      </c>
      <c r="G27" s="61" t="n">
        <v>0.03</v>
      </c>
      <c r="H27" s="61" t="n">
        <v>0.02</v>
      </c>
      <c r="I27" s="78" t="inlineStr">
        <is>
          <t>&lt; 2%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0.02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نظام المحاسبة / ERP (D365)</t>
        </is>
      </c>
    </row>
  </sheetData>
  <autoFilter ref="A3:P27"/>
  <mergeCells count="2">
    <mergeCell ref="A1:P1"/>
    <mergeCell ref="A2:P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29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81" t="inlineStr">
        <is>
          <t>▾ مشاريع إدارة التقنية</t>
        </is>
      </c>
    </row>
    <row r="4" ht="22" customHeight="1">
      <c r="A4" s="28" t="n">
        <v>1</v>
      </c>
      <c r="B4" s="27" t="inlineStr">
        <is>
          <t>إدارة التقنية</t>
        </is>
      </c>
      <c r="C4" s="24" t="inlineStr">
        <is>
          <t>نظام أتمتة الكاش (Cash-In)</t>
        </is>
      </c>
      <c r="D4" s="46" t="n">
        <v>164</v>
      </c>
      <c r="E4" s="46" t="inlineStr">
        <is>
          <t>محطة</t>
        </is>
      </c>
      <c r="F4" s="48" t="n">
        <v>59</v>
      </c>
      <c r="G4" s="10">
        <f>IFERROR(F4/D4,0)</f>
        <v/>
      </c>
      <c r="H4" s="82" t="inlineStr">
        <is>
          <t>نسبة إنجاز محفظة مشاريع التحول الرقمي</t>
        </is>
      </c>
    </row>
    <row r="5" ht="22" customHeight="1">
      <c r="A5" s="28" t="n">
        <v>2</v>
      </c>
      <c r="B5" s="27" t="inlineStr">
        <is>
          <t>إدارة التقنية</t>
        </is>
      </c>
      <c r="C5" s="24" t="inlineStr">
        <is>
          <t>D365 FNO — المرحلة الأولى</t>
        </is>
      </c>
      <c r="D5" s="46" t="n">
        <v>5</v>
      </c>
      <c r="E5" s="46" t="inlineStr">
        <is>
          <t>وحدة</t>
        </is>
      </c>
      <c r="F5" s="48" t="n">
        <v>3.5</v>
      </c>
      <c r="G5" s="10">
        <f>IFERROR(F5/D5,0)</f>
        <v/>
      </c>
      <c r="H5" s="82" t="inlineStr">
        <is>
          <t>نسبة إنجاز محفظة مشاريع التحول الرقمي</t>
        </is>
      </c>
    </row>
    <row r="6" ht="22" customHeight="1">
      <c r="A6" s="28" t="n">
        <v>3</v>
      </c>
      <c r="B6" s="27" t="inlineStr">
        <is>
          <t>إدارة التقنية</t>
        </is>
      </c>
      <c r="C6" s="24" t="inlineStr">
        <is>
          <t>D365 FNO — المرحلة الثانية</t>
        </is>
      </c>
      <c r="D6" s="46" t="n">
        <v>4</v>
      </c>
      <c r="E6" s="46" t="inlineStr">
        <is>
          <t>وحدة</t>
        </is>
      </c>
      <c r="F6" s="48" t="n">
        <v>0</v>
      </c>
      <c r="G6" s="10">
        <f>IFERROR(F6/D6,0)</f>
        <v/>
      </c>
      <c r="H6" s="82" t="inlineStr">
        <is>
          <t>نسبة إنجاز محفظة مشاريع التحول الرقمي</t>
        </is>
      </c>
    </row>
    <row r="7" ht="22" customHeight="1">
      <c r="A7" s="28" t="n">
        <v>4</v>
      </c>
      <c r="B7" s="27" t="inlineStr">
        <is>
          <t>إدارة التقنية</t>
        </is>
      </c>
      <c r="C7" s="24" t="inlineStr">
        <is>
          <t>D365 FNO — المرحلة الثالثة</t>
        </is>
      </c>
      <c r="D7" s="46" t="n">
        <v>2</v>
      </c>
      <c r="E7" s="46" t="inlineStr">
        <is>
          <t>وحدة</t>
        </is>
      </c>
      <c r="F7" s="48" t="n">
        <v>0</v>
      </c>
      <c r="G7" s="10">
        <f>IFERROR(F7/D7,0)</f>
        <v/>
      </c>
      <c r="H7" s="82" t="inlineStr">
        <is>
          <t>نسبة إنجاز محفظة مشاريع التحول الرقمي</t>
        </is>
      </c>
    </row>
    <row r="8" ht="22" customHeight="1">
      <c r="A8" s="28" t="n">
        <v>5</v>
      </c>
      <c r="B8" s="27" t="inlineStr">
        <is>
          <t>إدارة التقنية</t>
        </is>
      </c>
      <c r="C8" s="24" t="inlineStr">
        <is>
          <t>تطبيق الامتياز مع واثق</t>
        </is>
      </c>
      <c r="D8" s="46" t="n">
        <v>1</v>
      </c>
      <c r="E8" s="46" t="inlineStr">
        <is>
          <t>تطبيق</t>
        </is>
      </c>
      <c r="F8" s="48" t="n">
        <v>0</v>
      </c>
      <c r="G8" s="10">
        <f>IFERROR(F8/D8,0)</f>
        <v/>
      </c>
      <c r="H8" s="82" t="inlineStr">
        <is>
          <t>نسبة إنجاز محفظة مشاريع التحول الرقمي</t>
        </is>
      </c>
    </row>
    <row r="9" ht="22" customHeight="1">
      <c r="A9" s="28" t="n">
        <v>6</v>
      </c>
      <c r="B9" s="27" t="inlineStr">
        <is>
          <t>إدارة التقنية</t>
        </is>
      </c>
      <c r="C9" s="24" t="inlineStr">
        <is>
          <t>ربط المحطات بوزارة الطاقة (ATJ)</t>
        </is>
      </c>
      <c r="D9" s="46" t="n">
        <v>164</v>
      </c>
      <c r="E9" s="46" t="inlineStr">
        <is>
          <t>محطة</t>
        </is>
      </c>
      <c r="F9" s="48" t="n">
        <v>0</v>
      </c>
      <c r="G9" s="10">
        <f>IFERROR(F9/D9,0)</f>
        <v/>
      </c>
      <c r="H9" s="82" t="inlineStr">
        <is>
          <t>نسبة إنجاز محفظة مشاريع التحول الرقمي</t>
        </is>
      </c>
    </row>
    <row r="10" ht="22" customHeight="1">
      <c r="A10" s="28" t="n">
        <v>7</v>
      </c>
      <c r="B10" s="27" t="inlineStr">
        <is>
          <t>إدارة التقنية</t>
        </is>
      </c>
      <c r="C10" s="24" t="inlineStr">
        <is>
          <t>ربط الكاميرات بالمركز الرئيسي</t>
        </is>
      </c>
      <c r="D10" s="46" t="n">
        <v>164</v>
      </c>
      <c r="E10" s="46" t="inlineStr">
        <is>
          <t>محطة</t>
        </is>
      </c>
      <c r="F10" s="48" t="n">
        <v>0</v>
      </c>
      <c r="G10" s="10">
        <f>IFERROR(F10/D10,0)</f>
        <v/>
      </c>
      <c r="H10" s="82" t="inlineStr">
        <is>
          <t>نسبة إنجاز محفظة مشاريع التحول الرقمي</t>
        </is>
      </c>
    </row>
    <row r="11" ht="22" customHeight="1">
      <c r="A11" s="28" t="n">
        <v>8</v>
      </c>
      <c r="B11" s="27" t="inlineStr">
        <is>
          <t>إدارة التقنية</t>
        </is>
      </c>
      <c r="C11" s="24" t="inlineStr">
        <is>
          <t>تطبيق الولاء (تانكي) في المحطات</t>
        </is>
      </c>
      <c r="D11" s="46" t="n">
        <v>164</v>
      </c>
      <c r="E11" s="46" t="inlineStr">
        <is>
          <t>محطة</t>
        </is>
      </c>
      <c r="F11" s="48" t="n">
        <v>0</v>
      </c>
      <c r="G11" s="10">
        <f>IFERROR(F11/D11,0)</f>
        <v/>
      </c>
      <c r="H11" s="82" t="inlineStr">
        <is>
          <t>نسبة إنجاز محفظة مشاريع التحول الرقمي</t>
        </is>
      </c>
    </row>
    <row r="12" ht="22" customHeight="1">
      <c r="A12" s="28" t="n">
        <v>9</v>
      </c>
      <c r="B12" s="27" t="inlineStr">
        <is>
          <t>إدارة التقنية</t>
        </is>
      </c>
      <c r="C12" s="24" t="inlineStr">
        <is>
          <t>منصة Tatin السحابية</t>
        </is>
      </c>
      <c r="D12" s="46" t="n">
        <v>164</v>
      </c>
      <c r="E12" s="46" t="inlineStr">
        <is>
          <t>محطة</t>
        </is>
      </c>
      <c r="F12" s="48" t="n">
        <v>2</v>
      </c>
      <c r="G12" s="10">
        <f>IFERROR(F12/D12,0)</f>
        <v/>
      </c>
      <c r="H12" s="82" t="inlineStr">
        <is>
          <t>نسبة إنجاز محفظة مشاريع التحول الرقمي</t>
        </is>
      </c>
    </row>
    <row r="13" ht="22" customHeight="1">
      <c r="A13" s="28" t="n">
        <v>10</v>
      </c>
      <c r="B13" s="27" t="inlineStr">
        <is>
          <t>إدارة التقنية</t>
        </is>
      </c>
      <c r="C13" s="24" t="inlineStr">
        <is>
          <t>إدارة العمليات بالذكاء الاصطناعي</t>
        </is>
      </c>
      <c r="D13" s="46" t="n">
        <v>164</v>
      </c>
      <c r="E13" s="46" t="inlineStr">
        <is>
          <t>محطة</t>
        </is>
      </c>
      <c r="F13" s="48" t="n">
        <v>0</v>
      </c>
      <c r="G13" s="10">
        <f>IFERROR(F13/D13,0)</f>
        <v/>
      </c>
      <c r="H13" s="82" t="inlineStr">
        <is>
          <t>نسبة إنجاز محفظة مشاريع التحول الرقمي</t>
        </is>
      </c>
    </row>
    <row r="14">
      <c r="A14" s="83" t="inlineStr">
        <is>
          <t>▾ مشاريع الإدارة التنفيذية</t>
        </is>
      </c>
    </row>
    <row r="15">
      <c r="A15" s="22" t="n"/>
      <c r="B15" s="27" t="inlineStr">
        <is>
          <t>الإدارة التنفيذية</t>
        </is>
      </c>
      <c r="C15" s="84" t="n"/>
      <c r="D15" s="84" t="n"/>
      <c r="E15" s="84" t="n"/>
      <c r="F15" s="84" t="n"/>
      <c r="G15" s="10">
        <f>IFERROR(F15/D15,0)</f>
        <v/>
      </c>
      <c r="H15" s="22" t="n"/>
    </row>
    <row r="16">
      <c r="A16" s="22" t="n"/>
      <c r="B16" s="27" t="inlineStr">
        <is>
          <t>الإدارة التنفيذية</t>
        </is>
      </c>
      <c r="C16" s="84" t="n"/>
      <c r="D16" s="84" t="n"/>
      <c r="E16" s="84" t="n"/>
      <c r="F16" s="84" t="n"/>
      <c r="G16" s="10">
        <f>IFERROR(F16/D16,0)</f>
        <v/>
      </c>
      <c r="H16" s="22" t="n"/>
    </row>
    <row r="17">
      <c r="A17" s="22" t="n"/>
      <c r="B17" s="27" t="inlineStr">
        <is>
          <t>الإدارة التنفيذية</t>
        </is>
      </c>
      <c r="C17" s="84" t="n"/>
      <c r="D17" s="84" t="n"/>
      <c r="E17" s="84" t="n"/>
      <c r="F17" s="84" t="n"/>
      <c r="G17" s="10">
        <f>IFERROR(F17/D17,0)</f>
        <v/>
      </c>
      <c r="H17" s="22" t="n"/>
    </row>
    <row r="18">
      <c r="A18" s="83" t="inlineStr">
        <is>
          <t>▾ مشاريع الامتياز التجاري</t>
        </is>
      </c>
    </row>
    <row r="19">
      <c r="A19" s="22" t="n"/>
      <c r="B19" s="27" t="inlineStr">
        <is>
          <t>الامتياز التجاري</t>
        </is>
      </c>
      <c r="C19" s="84" t="n"/>
      <c r="D19" s="84" t="n"/>
      <c r="E19" s="84" t="n"/>
      <c r="F19" s="84" t="n"/>
      <c r="G19" s="10">
        <f>IFERROR(F19/D19,0)</f>
        <v/>
      </c>
      <c r="H19" s="22" t="n"/>
    </row>
    <row r="20">
      <c r="A20" s="22" t="n"/>
      <c r="B20" s="27" t="inlineStr">
        <is>
          <t>الامتياز التجاري</t>
        </is>
      </c>
      <c r="C20" s="84" t="n"/>
      <c r="D20" s="84" t="n"/>
      <c r="E20" s="84" t="n"/>
      <c r="F20" s="84" t="n"/>
      <c r="G20" s="10">
        <f>IFERROR(F20/D20,0)</f>
        <v/>
      </c>
      <c r="H20" s="22" t="n"/>
    </row>
    <row r="21">
      <c r="A21" s="22" t="n"/>
      <c r="B21" s="27" t="inlineStr">
        <is>
          <t>الامتياز التجاري</t>
        </is>
      </c>
      <c r="C21" s="84" t="n"/>
      <c r="D21" s="84" t="n"/>
      <c r="E21" s="84" t="n"/>
      <c r="F21" s="84" t="n"/>
      <c r="G21" s="10">
        <f>IFERROR(F21/D21,0)</f>
        <v/>
      </c>
      <c r="H21" s="22" t="n"/>
    </row>
    <row r="22">
      <c r="A22" s="83" t="inlineStr">
        <is>
          <t>▾ مشاريع التشغيل والمحطات</t>
        </is>
      </c>
    </row>
    <row r="23">
      <c r="A23" s="22" t="n"/>
      <c r="B23" s="27" t="inlineStr">
        <is>
          <t>التشغيل والمحطات</t>
        </is>
      </c>
      <c r="C23" s="84" t="n"/>
      <c r="D23" s="84" t="n"/>
      <c r="E23" s="84" t="n"/>
      <c r="F23" s="84" t="n"/>
      <c r="G23" s="10">
        <f>IFERROR(F23/D23,0)</f>
        <v/>
      </c>
      <c r="H23" s="22" t="n"/>
    </row>
    <row r="24">
      <c r="A24" s="22" t="n"/>
      <c r="B24" s="27" t="inlineStr">
        <is>
          <t>التشغيل والمحطات</t>
        </is>
      </c>
      <c r="C24" s="84" t="n"/>
      <c r="D24" s="84" t="n"/>
      <c r="E24" s="84" t="n"/>
      <c r="F24" s="84" t="n"/>
      <c r="G24" s="10">
        <f>IFERROR(F24/D24,0)</f>
        <v/>
      </c>
      <c r="H24" s="22" t="n"/>
    </row>
    <row r="25">
      <c r="A25" s="22" t="n"/>
      <c r="B25" s="27" t="inlineStr">
        <is>
          <t>التشغيل والمحطات</t>
        </is>
      </c>
      <c r="C25" s="84" t="n"/>
      <c r="D25" s="84" t="n"/>
      <c r="E25" s="84" t="n"/>
      <c r="F25" s="84" t="n"/>
      <c r="G25" s="10">
        <f>IFERROR(F25/D25,0)</f>
        <v/>
      </c>
      <c r="H25" s="22" t="n"/>
    </row>
    <row r="26">
      <c r="A26" s="83" t="inlineStr">
        <is>
          <t>▾ مشاريع الاستثمار</t>
        </is>
      </c>
    </row>
    <row r="27">
      <c r="A27" s="22" t="n"/>
      <c r="B27" s="27" t="inlineStr">
        <is>
          <t>الاستثمار</t>
        </is>
      </c>
      <c r="C27" s="84" t="n"/>
      <c r="D27" s="84" t="n"/>
      <c r="E27" s="84" t="n"/>
      <c r="F27" s="84" t="n"/>
      <c r="G27" s="10">
        <f>IFERROR(F27/D27,0)</f>
        <v/>
      </c>
      <c r="H27" s="22" t="n"/>
    </row>
    <row r="28">
      <c r="A28" s="22" t="n"/>
      <c r="B28" s="27" t="inlineStr">
        <is>
          <t>الاستثمار</t>
        </is>
      </c>
      <c r="C28" s="84" t="n"/>
      <c r="D28" s="84" t="n"/>
      <c r="E28" s="84" t="n"/>
      <c r="F28" s="84" t="n"/>
      <c r="G28" s="10">
        <f>IFERROR(F28/D28,0)</f>
        <v/>
      </c>
      <c r="H28" s="22" t="n"/>
    </row>
    <row r="29">
      <c r="A29" s="22" t="n"/>
      <c r="B29" s="27" t="inlineStr">
        <is>
          <t>الاستثمار</t>
        </is>
      </c>
      <c r="C29" s="84" t="n"/>
      <c r="D29" s="84" t="n"/>
      <c r="E29" s="84" t="n"/>
      <c r="F29" s="84" t="n"/>
      <c r="G29" s="10">
        <f>IFERROR(F29/D29,0)</f>
        <v/>
      </c>
      <c r="H29" s="22" t="n"/>
    </row>
    <row r="30">
      <c r="A30" s="83" t="inlineStr">
        <is>
          <t>▾ مشاريع العقار</t>
        </is>
      </c>
    </row>
    <row r="31">
      <c r="A31" s="22" t="n"/>
      <c r="B31" s="27" t="inlineStr">
        <is>
          <t>العقار</t>
        </is>
      </c>
      <c r="C31" s="84" t="n"/>
      <c r="D31" s="84" t="n"/>
      <c r="E31" s="84" t="n"/>
      <c r="F31" s="84" t="n"/>
      <c r="G31" s="10">
        <f>IFERROR(F31/D31,0)</f>
        <v/>
      </c>
      <c r="H31" s="22" t="n"/>
    </row>
    <row r="32">
      <c r="A32" s="22" t="n"/>
      <c r="B32" s="27" t="inlineStr">
        <is>
          <t>العقار</t>
        </is>
      </c>
      <c r="C32" s="84" t="n"/>
      <c r="D32" s="84" t="n"/>
      <c r="E32" s="84" t="n"/>
      <c r="F32" s="84" t="n"/>
      <c r="G32" s="10">
        <f>IFERROR(F32/D32,0)</f>
        <v/>
      </c>
      <c r="H32" s="22" t="n"/>
    </row>
    <row r="33">
      <c r="A33" s="22" t="n"/>
      <c r="B33" s="27" t="inlineStr">
        <is>
          <t>العقار</t>
        </is>
      </c>
      <c r="C33" s="84" t="n"/>
      <c r="D33" s="84" t="n"/>
      <c r="E33" s="84" t="n"/>
      <c r="F33" s="84" t="n"/>
      <c r="G33" s="10">
        <f>IFERROR(F33/D33,0)</f>
        <v/>
      </c>
      <c r="H33" s="22" t="n"/>
    </row>
    <row r="34">
      <c r="A34" s="83" t="inlineStr">
        <is>
          <t>▾ مشاريع إدارة المشاريع</t>
        </is>
      </c>
    </row>
    <row r="35">
      <c r="A35" s="22" t="n"/>
      <c r="B35" s="27" t="inlineStr">
        <is>
          <t>إدارة المشاريع</t>
        </is>
      </c>
      <c r="C35" s="84" t="n"/>
      <c r="D35" s="84" t="n"/>
      <c r="E35" s="84" t="n"/>
      <c r="F35" s="84" t="n"/>
      <c r="G35" s="10">
        <f>IFERROR(F35/D35,0)</f>
        <v/>
      </c>
      <c r="H35" s="22" t="n"/>
    </row>
    <row r="36">
      <c r="A36" s="22" t="n"/>
      <c r="B36" s="27" t="inlineStr">
        <is>
          <t>إدارة المشاريع</t>
        </is>
      </c>
      <c r="C36" s="84" t="n"/>
      <c r="D36" s="84" t="n"/>
      <c r="E36" s="84" t="n"/>
      <c r="F36" s="84" t="n"/>
      <c r="G36" s="10">
        <f>IFERROR(F36/D36,0)</f>
        <v/>
      </c>
      <c r="H36" s="22" t="n"/>
    </row>
    <row r="37">
      <c r="A37" s="22" t="n"/>
      <c r="B37" s="27" t="inlineStr">
        <is>
          <t>إدارة المشاريع</t>
        </is>
      </c>
      <c r="C37" s="84" t="n"/>
      <c r="D37" s="84" t="n"/>
      <c r="E37" s="84" t="n"/>
      <c r="F37" s="84" t="n"/>
      <c r="G37" s="10">
        <f>IFERROR(F37/D37,0)</f>
        <v/>
      </c>
      <c r="H37" s="22" t="n"/>
    </row>
    <row r="38">
      <c r="A38" s="83" t="inlineStr">
        <is>
          <t>▾ مشاريع سلاسل الإمداد</t>
        </is>
      </c>
    </row>
    <row r="39">
      <c r="A39" s="22" t="n"/>
      <c r="B39" s="27" t="inlineStr">
        <is>
          <t>سلاسل الإمداد</t>
        </is>
      </c>
      <c r="C39" s="84" t="n"/>
      <c r="D39" s="84" t="n"/>
      <c r="E39" s="84" t="n"/>
      <c r="F39" s="84" t="n"/>
      <c r="G39" s="10">
        <f>IFERROR(F39/D39,0)</f>
        <v/>
      </c>
      <c r="H39" s="22" t="n"/>
    </row>
    <row r="40">
      <c r="A40" s="22" t="n"/>
      <c r="B40" s="27" t="inlineStr">
        <is>
          <t>سلاسل الإمداد</t>
        </is>
      </c>
      <c r="C40" s="84" t="n"/>
      <c r="D40" s="84" t="n"/>
      <c r="E40" s="84" t="n"/>
      <c r="F40" s="84" t="n"/>
      <c r="G40" s="10">
        <f>IFERROR(F40/D40,0)</f>
        <v/>
      </c>
      <c r="H40" s="22" t="n"/>
    </row>
    <row r="41">
      <c r="A41" s="22" t="n"/>
      <c r="B41" s="27" t="inlineStr">
        <is>
          <t>سلاسل الإمداد</t>
        </is>
      </c>
      <c r="C41" s="84" t="n"/>
      <c r="D41" s="84" t="n"/>
      <c r="E41" s="84" t="n"/>
      <c r="F41" s="84" t="n"/>
      <c r="G41" s="10">
        <f>IFERROR(F41/D41,0)</f>
        <v/>
      </c>
      <c r="H41" s="22" t="n"/>
    </row>
    <row r="42">
      <c r="A42" s="83" t="inlineStr">
        <is>
          <t>▾ مشاريع الموارد البشرية</t>
        </is>
      </c>
    </row>
    <row r="43">
      <c r="A43" s="22" t="n"/>
      <c r="B43" s="27" t="inlineStr">
        <is>
          <t>الموارد البشرية</t>
        </is>
      </c>
      <c r="C43" s="84" t="n"/>
      <c r="D43" s="84" t="n"/>
      <c r="E43" s="84" t="n"/>
      <c r="F43" s="84" t="n"/>
      <c r="G43" s="10">
        <f>IFERROR(F43/D43,0)</f>
        <v/>
      </c>
      <c r="H43" s="22" t="n"/>
    </row>
    <row r="44">
      <c r="A44" s="22" t="n"/>
      <c r="B44" s="27" t="inlineStr">
        <is>
          <t>الموارد البشرية</t>
        </is>
      </c>
      <c r="C44" s="84" t="n"/>
      <c r="D44" s="84" t="n"/>
      <c r="E44" s="84" t="n"/>
      <c r="F44" s="84" t="n"/>
      <c r="G44" s="10">
        <f>IFERROR(F44/D44,0)</f>
        <v/>
      </c>
      <c r="H44" s="22" t="n"/>
    </row>
    <row r="45">
      <c r="A45" s="22" t="n"/>
      <c r="B45" s="27" t="inlineStr">
        <is>
          <t>الموارد البشرية</t>
        </is>
      </c>
      <c r="C45" s="84" t="n"/>
      <c r="D45" s="84" t="n"/>
      <c r="E45" s="84" t="n"/>
      <c r="F45" s="84" t="n"/>
      <c r="G45" s="10">
        <f>IFERROR(F45/D45,0)</f>
        <v/>
      </c>
      <c r="H45" s="22" t="n"/>
    </row>
    <row r="46">
      <c r="A46" s="83" t="inlineStr">
        <is>
          <t>▾ مشاريع التسويق</t>
        </is>
      </c>
    </row>
    <row r="47">
      <c r="A47" s="22" t="n"/>
      <c r="B47" s="27" t="inlineStr">
        <is>
          <t>التسويق</t>
        </is>
      </c>
      <c r="C47" s="84" t="n"/>
      <c r="D47" s="84" t="n"/>
      <c r="E47" s="84" t="n"/>
      <c r="F47" s="84" t="n"/>
      <c r="G47" s="10">
        <f>IFERROR(F47/D47,0)</f>
        <v/>
      </c>
      <c r="H47" s="22" t="n"/>
    </row>
    <row r="48">
      <c r="A48" s="22" t="n"/>
      <c r="B48" s="27" t="inlineStr">
        <is>
          <t>التسويق</t>
        </is>
      </c>
      <c r="C48" s="84" t="n"/>
      <c r="D48" s="84" t="n"/>
      <c r="E48" s="84" t="n"/>
      <c r="F48" s="84" t="n"/>
      <c r="G48" s="10">
        <f>IFERROR(F48/D48,0)</f>
        <v/>
      </c>
      <c r="H48" s="22" t="n"/>
    </row>
    <row r="49">
      <c r="A49" s="22" t="n"/>
      <c r="B49" s="27" t="inlineStr">
        <is>
          <t>التسويق</t>
        </is>
      </c>
      <c r="C49" s="84" t="n"/>
      <c r="D49" s="84" t="n"/>
      <c r="E49" s="84" t="n"/>
      <c r="F49" s="84" t="n"/>
      <c r="G49" s="10">
        <f>IFERROR(F49/D49,0)</f>
        <v/>
      </c>
      <c r="H49" s="22" t="n"/>
    </row>
    <row r="50">
      <c r="A50" s="83" t="inlineStr">
        <is>
          <t>▾ مشاريع الجودة</t>
        </is>
      </c>
    </row>
    <row r="51">
      <c r="A51" s="22" t="n"/>
      <c r="B51" s="27" t="inlineStr">
        <is>
          <t>الجودة</t>
        </is>
      </c>
      <c r="C51" s="84" t="n"/>
      <c r="D51" s="84" t="n"/>
      <c r="E51" s="84" t="n"/>
      <c r="F51" s="84" t="n"/>
      <c r="G51" s="10">
        <f>IFERROR(F51/D51,0)</f>
        <v/>
      </c>
      <c r="H51" s="22" t="n"/>
    </row>
    <row r="52">
      <c r="A52" s="22" t="n"/>
      <c r="B52" s="27" t="inlineStr">
        <is>
          <t>الجودة</t>
        </is>
      </c>
      <c r="C52" s="84" t="n"/>
      <c r="D52" s="84" t="n"/>
      <c r="E52" s="84" t="n"/>
      <c r="F52" s="84" t="n"/>
      <c r="G52" s="10">
        <f>IFERROR(F52/D52,0)</f>
        <v/>
      </c>
      <c r="H52" s="22" t="n"/>
    </row>
    <row r="53">
      <c r="A53" s="22" t="n"/>
      <c r="B53" s="27" t="inlineStr">
        <is>
          <t>الجودة</t>
        </is>
      </c>
      <c r="C53" s="84" t="n"/>
      <c r="D53" s="84" t="n"/>
      <c r="E53" s="84" t="n"/>
      <c r="F53" s="84" t="n"/>
      <c r="G53" s="10">
        <f>IFERROR(F53/D53,0)</f>
        <v/>
      </c>
      <c r="H53" s="22" t="n"/>
    </row>
    <row r="54">
      <c r="A54" s="83" t="inlineStr">
        <is>
          <t>▾ مشاريع الإدارة القانونية</t>
        </is>
      </c>
    </row>
    <row r="55">
      <c r="A55" s="22" t="n"/>
      <c r="B55" s="27" t="inlineStr">
        <is>
          <t>الإدارة القانونية</t>
        </is>
      </c>
      <c r="C55" s="84" t="n"/>
      <c r="D55" s="84" t="n"/>
      <c r="E55" s="84" t="n"/>
      <c r="F55" s="84" t="n"/>
      <c r="G55" s="10">
        <f>IFERROR(F55/D55,0)</f>
        <v/>
      </c>
      <c r="H55" s="22" t="n"/>
    </row>
    <row r="56">
      <c r="A56" s="22" t="n"/>
      <c r="B56" s="27" t="inlineStr">
        <is>
          <t>الإدارة القانونية</t>
        </is>
      </c>
      <c r="C56" s="84" t="n"/>
      <c r="D56" s="84" t="n"/>
      <c r="E56" s="84" t="n"/>
      <c r="F56" s="84" t="n"/>
      <c r="G56" s="10">
        <f>IFERROR(F56/D56,0)</f>
        <v/>
      </c>
      <c r="H56" s="22" t="n"/>
    </row>
    <row r="57">
      <c r="A57" s="22" t="n"/>
      <c r="B57" s="27" t="inlineStr">
        <is>
          <t>الإدارة القانونية</t>
        </is>
      </c>
      <c r="C57" s="84" t="n"/>
      <c r="D57" s="84" t="n"/>
      <c r="E57" s="84" t="n"/>
      <c r="F57" s="84" t="n"/>
      <c r="G57" s="10">
        <f>IFERROR(F57/D57,0)</f>
        <v/>
      </c>
      <c r="H57" s="22" t="n"/>
    </row>
    <row r="58">
      <c r="A58" s="83" t="inlineStr">
        <is>
          <t>▾ مشاريع الإدارة المالية</t>
        </is>
      </c>
    </row>
    <row r="59">
      <c r="A59" s="22" t="n"/>
      <c r="B59" s="27" t="inlineStr">
        <is>
          <t>الإدارة المالية</t>
        </is>
      </c>
      <c r="C59" s="84" t="n"/>
      <c r="D59" s="84" t="n"/>
      <c r="E59" s="84" t="n"/>
      <c r="F59" s="84" t="n"/>
      <c r="G59" s="10">
        <f>IFERROR(F59/D59,0)</f>
        <v/>
      </c>
      <c r="H59" s="22" t="n"/>
    </row>
    <row r="60">
      <c r="A60" s="22" t="n"/>
      <c r="B60" s="27" t="inlineStr">
        <is>
          <t>الإدارة المالية</t>
        </is>
      </c>
      <c r="C60" s="84" t="n"/>
      <c r="D60" s="84" t="n"/>
      <c r="E60" s="84" t="n"/>
      <c r="F60" s="84" t="n"/>
      <c r="G60" s="10">
        <f>IFERROR(F60/D60,0)</f>
        <v/>
      </c>
      <c r="H60" s="22" t="n"/>
    </row>
    <row r="61">
      <c r="A61" s="22" t="n"/>
      <c r="B61" s="27" t="inlineStr">
        <is>
          <t>الإدارة المالية</t>
        </is>
      </c>
      <c r="C61" s="84" t="n"/>
      <c r="D61" s="84" t="n"/>
      <c r="E61" s="84" t="n"/>
      <c r="F61" s="84" t="n"/>
      <c r="G61" s="10">
        <f>IFERROR(F61/D61,0)</f>
        <v/>
      </c>
      <c r="H61" s="22" t="n"/>
    </row>
  </sheetData>
  <mergeCells count="14">
    <mergeCell ref="A18:H18"/>
    <mergeCell ref="A50:H50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20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45" t="inlineStr">
        <is>
          <t>#</t>
        </is>
      </c>
      <c r="B1" s="45" t="inlineStr">
        <is>
          <t>الإدارة</t>
        </is>
      </c>
      <c r="C1" s="45" t="inlineStr">
        <is>
          <t>المؤشر</t>
        </is>
      </c>
      <c r="D1" s="45" t="inlineStr">
        <is>
          <t>الركيزة</t>
        </is>
      </c>
      <c r="E1" s="45" t="inlineStr">
        <is>
          <t>المشروع</t>
        </is>
      </c>
      <c r="F1" s="45" t="inlineStr">
        <is>
          <t>منظور BSC</t>
        </is>
      </c>
      <c r="G1" s="45" t="inlineStr">
        <is>
          <t>نسبة التحقيق</t>
        </is>
      </c>
      <c r="H1" s="45" t="inlineStr">
        <is>
          <t>الحالة</t>
        </is>
      </c>
      <c r="I1" s="45" t="inlineStr">
        <is>
          <t>الوزن</t>
        </is>
      </c>
      <c r="J1" s="45" t="inlineStr">
        <is>
          <t>و×ن</t>
        </is>
      </c>
      <c r="K1" s="45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47">
        <f>'الإدارة التنفيذية'!N4</f>
        <v/>
      </c>
      <c r="H2" s="15">
        <f>'الإدارة التنفيذية'!O4</f>
        <v/>
      </c>
      <c r="I2" s="68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47">
        <f>'الإدارة التنفيذية'!N5</f>
        <v/>
      </c>
      <c r="H3" s="15">
        <f>'الإدارة التنفيذية'!O5</f>
        <v/>
      </c>
      <c r="I3" s="68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47">
        <f>'الإدارة التنفيذية'!N6</f>
        <v/>
      </c>
      <c r="H4" s="15">
        <f>'الإدارة التنفيذية'!O6</f>
        <v/>
      </c>
      <c r="I4" s="68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47">
        <f>'الإدارة التنفيذية'!N7</f>
        <v/>
      </c>
      <c r="H5" s="15">
        <f>'الإدارة التنفيذية'!O7</f>
        <v/>
      </c>
      <c r="I5" s="68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47">
        <f>'الإدارة التنفيذية'!N8</f>
        <v/>
      </c>
      <c r="H6" s="15">
        <f>'الإدارة التنفيذية'!O8</f>
        <v/>
      </c>
      <c r="I6" s="68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47">
        <f>'الإدارة التنفيذية'!N9</f>
        <v/>
      </c>
      <c r="H7" s="15">
        <f>'الإدارة التنفيذية'!O9</f>
        <v/>
      </c>
      <c r="I7" s="68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47">
        <f>'الإدارة التنفيذية'!N10</f>
        <v/>
      </c>
      <c r="H8" s="15">
        <f>'الإدارة التنفيذية'!O10</f>
        <v/>
      </c>
      <c r="I8" s="68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47">
        <f>'الإدارة التنفيذية'!N11</f>
        <v/>
      </c>
      <c r="H9" s="15">
        <f>'الإدارة التنفيذية'!O11</f>
        <v/>
      </c>
      <c r="I9" s="68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47">
        <f>'الإدارة التنفيذية'!N12</f>
        <v/>
      </c>
      <c r="H10" s="15">
        <f>'الإدارة التنفيذية'!O12</f>
        <v/>
      </c>
      <c r="I10" s="68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47">
        <f>'الإدارة التنفيذية'!N13</f>
        <v/>
      </c>
      <c r="H11" s="15">
        <f>'الإدارة التنفيذية'!O13</f>
        <v/>
      </c>
      <c r="I11" s="68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47">
        <f>'الامتياز التجاري'!N4</f>
        <v/>
      </c>
      <c r="H12" s="15">
        <f>'الامتياز التجاري'!O4</f>
        <v/>
      </c>
      <c r="I12" s="68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47">
        <f>'الامتياز التجاري'!N5</f>
        <v/>
      </c>
      <c r="H13" s="15">
        <f>'الامتياز التجاري'!O5</f>
        <v/>
      </c>
      <c r="I13" s="68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47">
        <f>'الامتياز التجاري'!N6</f>
        <v/>
      </c>
      <c r="H14" s="15">
        <f>'الامتياز التجاري'!O6</f>
        <v/>
      </c>
      <c r="I14" s="68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47">
        <f>'الامتياز التجاري'!N7</f>
        <v/>
      </c>
      <c r="H15" s="15">
        <f>'الامتياز التجاري'!O7</f>
        <v/>
      </c>
      <c r="I15" s="68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47">
        <f>'الامتياز التجاري'!N8</f>
        <v/>
      </c>
      <c r="H16" s="15">
        <f>'الامتياز التجاري'!O8</f>
        <v/>
      </c>
      <c r="I16" s="68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47">
        <f>'الامتياز التجاري'!N9</f>
        <v/>
      </c>
      <c r="H17" s="15">
        <f>'الامتياز التجاري'!O9</f>
        <v/>
      </c>
      <c r="I17" s="68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47">
        <f>'الامتياز التجاري'!N10</f>
        <v/>
      </c>
      <c r="H18" s="15">
        <f>'الامتياز التجاري'!O10</f>
        <v/>
      </c>
      <c r="I18" s="68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47">
        <f>'الامتياز التجاري'!N11</f>
        <v/>
      </c>
      <c r="H19" s="15">
        <f>'الامتياز التجاري'!O11</f>
        <v/>
      </c>
      <c r="I19" s="68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47">
        <f>'الامتياز التجاري'!N12</f>
        <v/>
      </c>
      <c r="H20" s="15">
        <f>'الامتياز التجاري'!O12</f>
        <v/>
      </c>
      <c r="I20" s="68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47">
        <f>'الامتياز التجاري'!N13</f>
        <v/>
      </c>
      <c r="H21" s="15">
        <f>'الامتياز التجاري'!O13</f>
        <v/>
      </c>
      <c r="I21" s="68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47">
        <f>'الامتياز التجاري'!N14</f>
        <v/>
      </c>
      <c r="H22" s="15">
        <f>'الامتياز التجاري'!O14</f>
        <v/>
      </c>
      <c r="I22" s="68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47">
        <f>'الامتياز التجاري'!N15</f>
        <v/>
      </c>
      <c r="H23" s="15">
        <f>'الامتياز التجاري'!O15</f>
        <v/>
      </c>
      <c r="I23" s="68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47">
        <f>'الامتياز التجاري'!N16</f>
        <v/>
      </c>
      <c r="H24" s="15">
        <f>'الامتياز التجاري'!O16</f>
        <v/>
      </c>
      <c r="I24" s="68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47">
        <f>'الامتياز التجاري'!N17</f>
        <v/>
      </c>
      <c r="H25" s="15">
        <f>'الامتياز التجاري'!O17</f>
        <v/>
      </c>
      <c r="I25" s="68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47">
        <f>'الامتياز التجاري'!N18</f>
        <v/>
      </c>
      <c r="H26" s="15">
        <f>'الامتياز التجاري'!O18</f>
        <v/>
      </c>
      <c r="I26" s="68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47">
        <f>'الامتياز التجاري'!N19</f>
        <v/>
      </c>
      <c r="H27" s="15">
        <f>'الامتياز التجاري'!O19</f>
        <v/>
      </c>
      <c r="I27" s="68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47">
        <f>'الامتياز التجاري'!N20</f>
        <v/>
      </c>
      <c r="H28" s="15">
        <f>'الامتياز التجاري'!O20</f>
        <v/>
      </c>
      <c r="I28" s="68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47">
        <f>'الامتياز التجاري'!N21</f>
        <v/>
      </c>
      <c r="H29" s="15">
        <f>'الامتياز التجاري'!O21</f>
        <v/>
      </c>
      <c r="I29" s="68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47">
        <f>'الامتياز التجاري'!N22</f>
        <v/>
      </c>
      <c r="H30" s="15">
        <f>'الامتياز التجاري'!O22</f>
        <v/>
      </c>
      <c r="I30" s="68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47">
        <f>'الامتياز التجاري'!N23</f>
        <v/>
      </c>
      <c r="H31" s="15">
        <f>'الامتياز التجاري'!O23</f>
        <v/>
      </c>
      <c r="I31" s="68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47">
        <f>'الامتياز التجاري'!N24</f>
        <v/>
      </c>
      <c r="H32" s="15">
        <f>'الامتياز التجاري'!O24</f>
        <v/>
      </c>
      <c r="I32" s="68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47">
        <f>'الامتياز التجاري'!N25</f>
        <v/>
      </c>
      <c r="H33" s="15">
        <f>'الامتياز التجاري'!O25</f>
        <v/>
      </c>
      <c r="I33" s="68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47">
        <f>'الامتياز التجاري'!N26</f>
        <v/>
      </c>
      <c r="H34" s="15">
        <f>'الامتياز التجاري'!O26</f>
        <v/>
      </c>
      <c r="I34" s="68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47">
        <f>'الامتياز التجاري'!N27</f>
        <v/>
      </c>
      <c r="H35" s="15">
        <f>'الامتياز التجاري'!O27</f>
        <v/>
      </c>
      <c r="I35" s="68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47">
        <f>'الامتياز التجاري'!N28</f>
        <v/>
      </c>
      <c r="H36" s="15">
        <f>'الامتياز التجاري'!O28</f>
        <v/>
      </c>
      <c r="I36" s="68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47">
        <f>'الامتياز التجاري'!N29</f>
        <v/>
      </c>
      <c r="H37" s="15">
        <f>'الامتياز التجاري'!O29</f>
        <v/>
      </c>
      <c r="I37" s="68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47">
        <f>'الامتياز التجاري'!N30</f>
        <v/>
      </c>
      <c r="H38" s="15">
        <f>'الامتياز التجاري'!O30</f>
        <v/>
      </c>
      <c r="I38" s="68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47">
        <f>'الامتياز التجاري'!N31</f>
        <v/>
      </c>
      <c r="H39" s="15">
        <f>'الامتياز التجاري'!O31</f>
        <v/>
      </c>
      <c r="I39" s="68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47">
        <f>'الامتياز التجاري'!N32</f>
        <v/>
      </c>
      <c r="H40" s="15">
        <f>'الامتياز التجاري'!O32</f>
        <v/>
      </c>
      <c r="I40" s="68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47">
        <f>'الامتياز التجاري'!N33</f>
        <v/>
      </c>
      <c r="H41" s="15">
        <f>'الامتياز التجاري'!O33</f>
        <v/>
      </c>
      <c r="I41" s="68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47">
        <f>'التشغيل والمحطات'!N4</f>
        <v/>
      </c>
      <c r="H42" s="15">
        <f>'التشغيل والمحطات'!O4</f>
        <v/>
      </c>
      <c r="I42" s="68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47">
        <f>'التشغيل والمحطات'!N5</f>
        <v/>
      </c>
      <c r="H43" s="15">
        <f>'التشغيل والمحطات'!O5</f>
        <v/>
      </c>
      <c r="I43" s="68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47">
        <f>'التشغيل والمحطات'!N6</f>
        <v/>
      </c>
      <c r="H44" s="15">
        <f>'التشغيل والمحطات'!O6</f>
        <v/>
      </c>
      <c r="I44" s="68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47">
        <f>'التشغيل والمحطات'!N7</f>
        <v/>
      </c>
      <c r="H45" s="15">
        <f>'التشغيل والمحطات'!O7</f>
        <v/>
      </c>
      <c r="I45" s="68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47">
        <f>'التشغيل والمحطات'!N8</f>
        <v/>
      </c>
      <c r="H46" s="15">
        <f>'التشغيل والمحطات'!O8</f>
        <v/>
      </c>
      <c r="I46" s="68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47">
        <f>'التشغيل والمحطات'!N9</f>
        <v/>
      </c>
      <c r="H47" s="15">
        <f>'التشغيل والمحطات'!O9</f>
        <v/>
      </c>
      <c r="I47" s="68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47">
        <f>'التشغيل والمحطات'!N10</f>
        <v/>
      </c>
      <c r="H48" s="15">
        <f>'التشغيل والمحطات'!O10</f>
        <v/>
      </c>
      <c r="I48" s="68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47">
        <f>'التشغيل والمحطات'!N11</f>
        <v/>
      </c>
      <c r="H49" s="15">
        <f>'التشغيل والمحطات'!O11</f>
        <v/>
      </c>
      <c r="I49" s="68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47">
        <f>'التشغيل والمحطات'!N12</f>
        <v/>
      </c>
      <c r="H50" s="15">
        <f>'التشغيل والمحطات'!O12</f>
        <v/>
      </c>
      <c r="I50" s="68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47">
        <f>'التشغيل والمحطات'!N13</f>
        <v/>
      </c>
      <c r="H51" s="15">
        <f>'التشغيل والمحطات'!O13</f>
        <v/>
      </c>
      <c r="I51" s="68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47">
        <f>'التشغيل والمحطات'!N14</f>
        <v/>
      </c>
      <c r="H52" s="15">
        <f>'التشغيل والمحطات'!O14</f>
        <v/>
      </c>
      <c r="I52" s="68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47">
        <f>'التشغيل والمحطات'!N15</f>
        <v/>
      </c>
      <c r="H53" s="15">
        <f>'التشغيل والمحطات'!O15</f>
        <v/>
      </c>
      <c r="I53" s="68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47">
        <f>'التشغيل والمحطات'!N16</f>
        <v/>
      </c>
      <c r="H54" s="15">
        <f>'التشغيل والمحطات'!O16</f>
        <v/>
      </c>
      <c r="I54" s="68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47">
        <f>'التشغيل والمحطات'!N17</f>
        <v/>
      </c>
      <c r="H55" s="15">
        <f>'التشغيل والمحطات'!O17</f>
        <v/>
      </c>
      <c r="I55" s="68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47">
        <f>'التشغيل والمحطات'!N18</f>
        <v/>
      </c>
      <c r="H56" s="15">
        <f>'التشغيل والمحطات'!O18</f>
        <v/>
      </c>
      <c r="I56" s="68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47">
        <f>'التشغيل والمحطات'!N19</f>
        <v/>
      </c>
      <c r="H57" s="15">
        <f>'التشغيل والمحطات'!O19</f>
        <v/>
      </c>
      <c r="I57" s="68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47">
        <f>'الاستثمار'!N4</f>
        <v/>
      </c>
      <c r="H58" s="15">
        <f>'الاستثمار'!O4</f>
        <v/>
      </c>
      <c r="I58" s="68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47">
        <f>'الاستثمار'!N5</f>
        <v/>
      </c>
      <c r="H59" s="15">
        <f>'الاستثمار'!O5</f>
        <v/>
      </c>
      <c r="I59" s="68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47">
        <f>'الاستثمار'!N6</f>
        <v/>
      </c>
      <c r="H60" s="15">
        <f>'الاستثمار'!O6</f>
        <v/>
      </c>
      <c r="I60" s="68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47">
        <f>'الاستثمار'!N7</f>
        <v/>
      </c>
      <c r="H61" s="15">
        <f>'الاستثمار'!O7</f>
        <v/>
      </c>
      <c r="I61" s="68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47">
        <f>'الاستثمار'!N8</f>
        <v/>
      </c>
      <c r="H62" s="15">
        <f>'الاستثمار'!O8</f>
        <v/>
      </c>
      <c r="I62" s="68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47">
        <f>'الاستثمار'!N9</f>
        <v/>
      </c>
      <c r="H63" s="15">
        <f>'الاستثمار'!O9</f>
        <v/>
      </c>
      <c r="I63" s="68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47">
        <f>'الاستثمار'!N10</f>
        <v/>
      </c>
      <c r="H64" s="15">
        <f>'الاستثمار'!O10</f>
        <v/>
      </c>
      <c r="I64" s="68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47">
        <f>'الاستثمار'!N11</f>
        <v/>
      </c>
      <c r="H65" s="15">
        <f>'الاستثمار'!O11</f>
        <v/>
      </c>
      <c r="I65" s="68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47">
        <f>'الاستثمار'!N12</f>
        <v/>
      </c>
      <c r="H66" s="15">
        <f>'الاستثمار'!O12</f>
        <v/>
      </c>
      <c r="I66" s="68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47">
        <f>'الاستثمار'!N13</f>
        <v/>
      </c>
      <c r="H67" s="15">
        <f>'الاستثمار'!O13</f>
        <v/>
      </c>
      <c r="I67" s="68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47">
        <f>'الاستثمار'!N14</f>
        <v/>
      </c>
      <c r="H68" s="15">
        <f>'الاستثمار'!O14</f>
        <v/>
      </c>
      <c r="I68" s="68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47">
        <f>'الاستثمار'!N15</f>
        <v/>
      </c>
      <c r="H69" s="15">
        <f>'الاستثمار'!O15</f>
        <v/>
      </c>
      <c r="I69" s="68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47">
        <f>'الاستثمار'!N16</f>
        <v/>
      </c>
      <c r="H70" s="15">
        <f>'الاستثمار'!O16</f>
        <v/>
      </c>
      <c r="I70" s="68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47">
        <f>'الاستثمار'!N17</f>
        <v/>
      </c>
      <c r="H71" s="15">
        <f>'الاستثمار'!O17</f>
        <v/>
      </c>
      <c r="I71" s="68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47">
        <f>'الاستثمار'!N18</f>
        <v/>
      </c>
      <c r="H72" s="15">
        <f>'الاستثمار'!O18</f>
        <v/>
      </c>
      <c r="I72" s="68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47">
        <f>'الاستثمار'!N19</f>
        <v/>
      </c>
      <c r="H73" s="15">
        <f>'الاستثمار'!O19</f>
        <v/>
      </c>
      <c r="I73" s="68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47">
        <f>'الاستثمار'!N20</f>
        <v/>
      </c>
      <c r="H74" s="15">
        <f>'الاستثمار'!O20</f>
        <v/>
      </c>
      <c r="I74" s="68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47">
        <f>'الاستثمار'!N21</f>
        <v/>
      </c>
      <c r="H75" s="15">
        <f>'الاستثمار'!O21</f>
        <v/>
      </c>
      <c r="I75" s="68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47">
        <f>'الاستثمار'!N22</f>
        <v/>
      </c>
      <c r="H76" s="15">
        <f>'الاستثمار'!O22</f>
        <v/>
      </c>
      <c r="I76" s="68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47">
        <f>'الاستثمار'!N23</f>
        <v/>
      </c>
      <c r="H77" s="15">
        <f>'الاستثمار'!O23</f>
        <v/>
      </c>
      <c r="I77" s="68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47">
        <f>'الاستثمار'!N24</f>
        <v/>
      </c>
      <c r="H78" s="15">
        <f>'الاستثمار'!O24</f>
        <v/>
      </c>
      <c r="I78" s="68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47">
        <f>'الاستثمار'!N25</f>
        <v/>
      </c>
      <c r="H79" s="15">
        <f>'الاستثمار'!O25</f>
        <v/>
      </c>
      <c r="I79" s="68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47">
        <f>'الاستثمار'!N26</f>
        <v/>
      </c>
      <c r="H80" s="15">
        <f>'الاستثمار'!O26</f>
        <v/>
      </c>
      <c r="I80" s="68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47">
        <f>'الاستثمار'!N27</f>
        <v/>
      </c>
      <c r="H81" s="15">
        <f>'الاستثمار'!O27</f>
        <v/>
      </c>
      <c r="I81" s="68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47">
        <f>'العقار'!N4</f>
        <v/>
      </c>
      <c r="H82" s="15">
        <f>'العقار'!O4</f>
        <v/>
      </c>
      <c r="I82" s="68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47">
        <f>'العقار'!N5</f>
        <v/>
      </c>
      <c r="H83" s="15">
        <f>'العقار'!O5</f>
        <v/>
      </c>
      <c r="I83" s="68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47">
        <f>'العقار'!N6</f>
        <v/>
      </c>
      <c r="H84" s="15">
        <f>'العقار'!O6</f>
        <v/>
      </c>
      <c r="I84" s="68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47">
        <f>'العقار'!N7</f>
        <v/>
      </c>
      <c r="H85" s="15">
        <f>'العقار'!O7</f>
        <v/>
      </c>
      <c r="I85" s="68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47">
        <f>'العقار'!N8</f>
        <v/>
      </c>
      <c r="H86" s="15">
        <f>'العقار'!O8</f>
        <v/>
      </c>
      <c r="I86" s="68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47">
        <f>'العقار'!N9</f>
        <v/>
      </c>
      <c r="H87" s="15">
        <f>'العقار'!O9</f>
        <v/>
      </c>
      <c r="I87" s="68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47">
        <f>'العقار'!N10</f>
        <v/>
      </c>
      <c r="H88" s="15">
        <f>'العقار'!O10</f>
        <v/>
      </c>
      <c r="I88" s="68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47">
        <f>'العقار'!N11</f>
        <v/>
      </c>
      <c r="H89" s="15">
        <f>'العقار'!O11</f>
        <v/>
      </c>
      <c r="I89" s="68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47">
        <f>'العقار'!N12</f>
        <v/>
      </c>
      <c r="H90" s="15">
        <f>'العقار'!O12</f>
        <v/>
      </c>
      <c r="I90" s="68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47">
        <f>'العقار'!N13</f>
        <v/>
      </c>
      <c r="H91" s="15">
        <f>'العقار'!O13</f>
        <v/>
      </c>
      <c r="I91" s="68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47">
        <f>'العقار'!N14</f>
        <v/>
      </c>
      <c r="H92" s="15">
        <f>'العقار'!O14</f>
        <v/>
      </c>
      <c r="I92" s="68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47">
        <f>'العقار'!N15</f>
        <v/>
      </c>
      <c r="H93" s="15">
        <f>'العقار'!O15</f>
        <v/>
      </c>
      <c r="I93" s="68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47">
        <f>'العقار'!N16</f>
        <v/>
      </c>
      <c r="H94" s="15">
        <f>'العقار'!O16</f>
        <v/>
      </c>
      <c r="I94" s="68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47">
        <f>'العقار'!N17</f>
        <v/>
      </c>
      <c r="H95" s="15">
        <f>'العقار'!O17</f>
        <v/>
      </c>
      <c r="I95" s="68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47">
        <f>'العقار'!N18</f>
        <v/>
      </c>
      <c r="H96" s="15">
        <f>'العقار'!O18</f>
        <v/>
      </c>
      <c r="I96" s="68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47">
        <f>'العقار'!N19</f>
        <v/>
      </c>
      <c r="H97" s="15">
        <f>'العقار'!O19</f>
        <v/>
      </c>
      <c r="I97" s="68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المشاريع'!C4</f>
        <v/>
      </c>
      <c r="D98" s="15">
        <f>'إدارة المشاريع'!J4</f>
        <v/>
      </c>
      <c r="E98" s="13">
        <f>'إدارة المشاريع'!K4</f>
        <v/>
      </c>
      <c r="F98" s="15">
        <f>'إدارة المشاريع'!L4</f>
        <v/>
      </c>
      <c r="G98" s="47">
        <f>'إدارة المشاريع'!N4</f>
        <v/>
      </c>
      <c r="H98" s="15">
        <f>'إدارة المشاريع'!O4</f>
        <v/>
      </c>
      <c r="I98" s="68">
        <f>'إدارة المشاريع'!G4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المشاريع'!C5</f>
        <v/>
      </c>
      <c r="D99" s="15">
        <f>'إدارة المشاريع'!J5</f>
        <v/>
      </c>
      <c r="E99" s="13">
        <f>'إدارة المشاريع'!K5</f>
        <v/>
      </c>
      <c r="F99" s="15">
        <f>'إدارة المشاريع'!L5</f>
        <v/>
      </c>
      <c r="G99" s="47">
        <f>'إدارة المشاريع'!N5</f>
        <v/>
      </c>
      <c r="H99" s="15">
        <f>'إدارة المشاريع'!O5</f>
        <v/>
      </c>
      <c r="I99" s="68">
        <f>'إدارة المشاريع'!G5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المشاريع'!C6</f>
        <v/>
      </c>
      <c r="D100" s="15">
        <f>'إدارة المشاريع'!J6</f>
        <v/>
      </c>
      <c r="E100" s="13">
        <f>'إدارة المشاريع'!K6</f>
        <v/>
      </c>
      <c r="F100" s="15">
        <f>'إدارة المشاريع'!L6</f>
        <v/>
      </c>
      <c r="G100" s="47">
        <f>'إدارة المشاريع'!N6</f>
        <v/>
      </c>
      <c r="H100" s="15">
        <f>'إدارة المشاريع'!O6</f>
        <v/>
      </c>
      <c r="I100" s="68">
        <f>'إدارة المشاريع'!G6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المشاريع'!C7</f>
        <v/>
      </c>
      <c r="D101" s="15">
        <f>'إدارة المشاريع'!J7</f>
        <v/>
      </c>
      <c r="E101" s="13">
        <f>'إدارة المشاريع'!K7</f>
        <v/>
      </c>
      <c r="F101" s="15">
        <f>'إدارة المشاريع'!L7</f>
        <v/>
      </c>
      <c r="G101" s="47">
        <f>'إدارة المشاريع'!N7</f>
        <v/>
      </c>
      <c r="H101" s="15">
        <f>'إدارة المشاريع'!O7</f>
        <v/>
      </c>
      <c r="I101" s="68">
        <f>'إدارة المشاريع'!G7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المشاريع'!C8</f>
        <v/>
      </c>
      <c r="D102" s="15">
        <f>'إدارة المشاريع'!J8</f>
        <v/>
      </c>
      <c r="E102" s="13">
        <f>'إدارة المشاريع'!K8</f>
        <v/>
      </c>
      <c r="F102" s="15">
        <f>'إدارة المشاريع'!L8</f>
        <v/>
      </c>
      <c r="G102" s="47">
        <f>'إدارة المشاريع'!N8</f>
        <v/>
      </c>
      <c r="H102" s="15">
        <f>'إدارة المشاريع'!O8</f>
        <v/>
      </c>
      <c r="I102" s="68">
        <f>'إدارة المشاريع'!G8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المشاريع'!C9</f>
        <v/>
      </c>
      <c r="D103" s="15">
        <f>'إدارة المشاريع'!J9</f>
        <v/>
      </c>
      <c r="E103" s="13">
        <f>'إدارة المشاريع'!K9</f>
        <v/>
      </c>
      <c r="F103" s="15">
        <f>'إدارة المشاريع'!L9</f>
        <v/>
      </c>
      <c r="G103" s="47">
        <f>'إدارة المشاريع'!N9</f>
        <v/>
      </c>
      <c r="H103" s="15">
        <f>'إدارة المشاريع'!O9</f>
        <v/>
      </c>
      <c r="I103" s="68">
        <f>'إدارة المشاريع'!G9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المشاريع'!C10</f>
        <v/>
      </c>
      <c r="D104" s="15">
        <f>'إدارة المشاريع'!J10</f>
        <v/>
      </c>
      <c r="E104" s="13">
        <f>'إدارة المشاريع'!K10</f>
        <v/>
      </c>
      <c r="F104" s="15">
        <f>'إدارة المشاريع'!L10</f>
        <v/>
      </c>
      <c r="G104" s="47">
        <f>'إدارة المشاريع'!N10</f>
        <v/>
      </c>
      <c r="H104" s="15">
        <f>'إدارة المشاريع'!O10</f>
        <v/>
      </c>
      <c r="I104" s="68">
        <f>'إدارة المشاريع'!G10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المشاريع'!C11</f>
        <v/>
      </c>
      <c r="D105" s="15">
        <f>'إدارة المشاريع'!J11</f>
        <v/>
      </c>
      <c r="E105" s="13">
        <f>'إدارة المشاريع'!K11</f>
        <v/>
      </c>
      <c r="F105" s="15">
        <f>'إدارة المشاريع'!L11</f>
        <v/>
      </c>
      <c r="G105" s="47">
        <f>'إدارة المشاريع'!N11</f>
        <v/>
      </c>
      <c r="H105" s="15">
        <f>'إدارة المشاريع'!O11</f>
        <v/>
      </c>
      <c r="I105" s="68">
        <f>'إدارة المشاريع'!G11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المشاريع'!C12</f>
        <v/>
      </c>
      <c r="D106" s="15">
        <f>'إدارة المشاريع'!J12</f>
        <v/>
      </c>
      <c r="E106" s="13">
        <f>'إدارة المشاريع'!K12</f>
        <v/>
      </c>
      <c r="F106" s="15">
        <f>'إدارة المشاريع'!L12</f>
        <v/>
      </c>
      <c r="G106" s="47">
        <f>'إدارة المشاريع'!N12</f>
        <v/>
      </c>
      <c r="H106" s="15">
        <f>'إدارة المشاريع'!O12</f>
        <v/>
      </c>
      <c r="I106" s="68">
        <f>'إدارة المشاريع'!G12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المشاريع'!C13</f>
        <v/>
      </c>
      <c r="D107" s="15">
        <f>'إدارة المشاريع'!J13</f>
        <v/>
      </c>
      <c r="E107" s="13">
        <f>'إدارة المشاريع'!K13</f>
        <v/>
      </c>
      <c r="F107" s="15">
        <f>'إدارة المشاريع'!L13</f>
        <v/>
      </c>
      <c r="G107" s="47">
        <f>'إدارة المشاريع'!N13</f>
        <v/>
      </c>
      <c r="H107" s="15">
        <f>'إدارة المشاريع'!O13</f>
        <v/>
      </c>
      <c r="I107" s="68">
        <f>'إدارة المشاريع'!G13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المشاريع'!C14</f>
        <v/>
      </c>
      <c r="D108" s="15">
        <f>'إدارة المشاريع'!J14</f>
        <v/>
      </c>
      <c r="E108" s="13">
        <f>'إدارة المشاريع'!K14</f>
        <v/>
      </c>
      <c r="F108" s="15">
        <f>'إدارة المشاريع'!L14</f>
        <v/>
      </c>
      <c r="G108" s="47">
        <f>'إدارة المشاريع'!N14</f>
        <v/>
      </c>
      <c r="H108" s="15">
        <f>'إدارة المشاريع'!O14</f>
        <v/>
      </c>
      <c r="I108" s="68">
        <f>'إدارة المشاريع'!G14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المشاريع'!C15</f>
        <v/>
      </c>
      <c r="D109" s="15">
        <f>'إدارة المشاريع'!J15</f>
        <v/>
      </c>
      <c r="E109" s="13">
        <f>'إدارة المشاريع'!K15</f>
        <v/>
      </c>
      <c r="F109" s="15">
        <f>'إدارة المشاريع'!L15</f>
        <v/>
      </c>
      <c r="G109" s="47">
        <f>'إدارة المشاريع'!N15</f>
        <v/>
      </c>
      <c r="H109" s="15">
        <f>'إدارة المشاريع'!O15</f>
        <v/>
      </c>
      <c r="I109" s="68">
        <f>'إدارة المشاريع'!G15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المشاريع'!C16</f>
        <v/>
      </c>
      <c r="D110" s="15">
        <f>'إدارة المشاريع'!J16</f>
        <v/>
      </c>
      <c r="E110" s="13">
        <f>'إدارة المشاريع'!K16</f>
        <v/>
      </c>
      <c r="F110" s="15">
        <f>'إدارة المشاريع'!L16</f>
        <v/>
      </c>
      <c r="G110" s="47">
        <f>'إدارة المشاريع'!N16</f>
        <v/>
      </c>
      <c r="H110" s="15">
        <f>'إدارة المشاريع'!O16</f>
        <v/>
      </c>
      <c r="I110" s="68">
        <f>'إدارة المشاريع'!G16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المشاريع'!C17</f>
        <v/>
      </c>
      <c r="D111" s="15">
        <f>'إدارة المشاريع'!J17</f>
        <v/>
      </c>
      <c r="E111" s="13">
        <f>'إدارة المشاريع'!K17</f>
        <v/>
      </c>
      <c r="F111" s="15">
        <f>'إدارة المشاريع'!L17</f>
        <v/>
      </c>
      <c r="G111" s="47">
        <f>'إدارة المشاريع'!N17</f>
        <v/>
      </c>
      <c r="H111" s="15">
        <f>'إدارة المشاريع'!O17</f>
        <v/>
      </c>
      <c r="I111" s="68">
        <f>'إدارة المشاريع'!G17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إدارة المشاريع</t>
        </is>
      </c>
      <c r="C112" s="13">
        <f>'إدارة المشاريع'!C18</f>
        <v/>
      </c>
      <c r="D112" s="15">
        <f>'إدارة المشاريع'!J18</f>
        <v/>
      </c>
      <c r="E112" s="13">
        <f>'إدارة المشاريع'!K18</f>
        <v/>
      </c>
      <c r="F112" s="15">
        <f>'إدارة المشاريع'!L18</f>
        <v/>
      </c>
      <c r="G112" s="47">
        <f>'إدارة المشاريع'!N18</f>
        <v/>
      </c>
      <c r="H112" s="15">
        <f>'إدارة المشاريع'!O18</f>
        <v/>
      </c>
      <c r="I112" s="68">
        <f>'إدارة المشاريع'!G18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الإمداد'!C4</f>
        <v/>
      </c>
      <c r="D113" s="15">
        <f>'سلاسل الإمداد'!J4</f>
        <v/>
      </c>
      <c r="E113" s="13">
        <f>'سلاسل الإمداد'!K4</f>
        <v/>
      </c>
      <c r="F113" s="15">
        <f>'سلاسل الإمداد'!L4</f>
        <v/>
      </c>
      <c r="G113" s="47">
        <f>'سلاسل الإمداد'!N4</f>
        <v/>
      </c>
      <c r="H113" s="15">
        <f>'سلاسل الإمداد'!O4</f>
        <v/>
      </c>
      <c r="I113" s="68">
        <f>'سلاسل الإمداد'!G4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الإمداد'!C5</f>
        <v/>
      </c>
      <c r="D114" s="15">
        <f>'سلاسل الإمداد'!J5</f>
        <v/>
      </c>
      <c r="E114" s="13">
        <f>'سلاسل الإمداد'!K5</f>
        <v/>
      </c>
      <c r="F114" s="15">
        <f>'سلاسل الإمداد'!L5</f>
        <v/>
      </c>
      <c r="G114" s="47">
        <f>'سلاسل الإمداد'!N5</f>
        <v/>
      </c>
      <c r="H114" s="15">
        <f>'سلاسل الإمداد'!O5</f>
        <v/>
      </c>
      <c r="I114" s="68">
        <f>'سلاسل الإمداد'!G5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الإمداد'!C6</f>
        <v/>
      </c>
      <c r="D115" s="15">
        <f>'سلاسل الإمداد'!J6</f>
        <v/>
      </c>
      <c r="E115" s="13">
        <f>'سلاسل الإمداد'!K6</f>
        <v/>
      </c>
      <c r="F115" s="15">
        <f>'سلاسل الإمداد'!L6</f>
        <v/>
      </c>
      <c r="G115" s="47">
        <f>'سلاسل الإمداد'!N6</f>
        <v/>
      </c>
      <c r="H115" s="15">
        <f>'سلاسل الإمداد'!O6</f>
        <v/>
      </c>
      <c r="I115" s="68">
        <f>'سلاسل الإمداد'!G6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الإمداد'!C7</f>
        <v/>
      </c>
      <c r="D116" s="15">
        <f>'سلاسل الإمداد'!J7</f>
        <v/>
      </c>
      <c r="E116" s="13">
        <f>'سلاسل الإمداد'!K7</f>
        <v/>
      </c>
      <c r="F116" s="15">
        <f>'سلاسل الإمداد'!L7</f>
        <v/>
      </c>
      <c r="G116" s="47">
        <f>'سلاسل الإمداد'!N7</f>
        <v/>
      </c>
      <c r="H116" s="15">
        <f>'سلاسل الإمداد'!O7</f>
        <v/>
      </c>
      <c r="I116" s="68">
        <f>'سلاسل الإمداد'!G7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الإمداد'!C8</f>
        <v/>
      </c>
      <c r="D117" s="15">
        <f>'سلاسل الإمداد'!J8</f>
        <v/>
      </c>
      <c r="E117" s="13">
        <f>'سلاسل الإمداد'!K8</f>
        <v/>
      </c>
      <c r="F117" s="15">
        <f>'سلاسل الإمداد'!L8</f>
        <v/>
      </c>
      <c r="G117" s="47">
        <f>'سلاسل الإمداد'!N8</f>
        <v/>
      </c>
      <c r="H117" s="15">
        <f>'سلاسل الإمداد'!O8</f>
        <v/>
      </c>
      <c r="I117" s="68">
        <f>'سلاسل الإمداد'!G8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الإمداد'!C9</f>
        <v/>
      </c>
      <c r="D118" s="15">
        <f>'سلاسل الإمداد'!J9</f>
        <v/>
      </c>
      <c r="E118" s="13">
        <f>'سلاسل الإمداد'!K9</f>
        <v/>
      </c>
      <c r="F118" s="15">
        <f>'سلاسل الإمداد'!L9</f>
        <v/>
      </c>
      <c r="G118" s="47">
        <f>'سلاسل الإمداد'!N9</f>
        <v/>
      </c>
      <c r="H118" s="15">
        <f>'سلاسل الإمداد'!O9</f>
        <v/>
      </c>
      <c r="I118" s="68">
        <f>'سلاسل الإمداد'!G9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الإمداد'!C10</f>
        <v/>
      </c>
      <c r="D119" s="15">
        <f>'سلاسل الإمداد'!J10</f>
        <v/>
      </c>
      <c r="E119" s="13">
        <f>'سلاسل الإمداد'!K10</f>
        <v/>
      </c>
      <c r="F119" s="15">
        <f>'سلاسل الإمداد'!L10</f>
        <v/>
      </c>
      <c r="G119" s="47">
        <f>'سلاسل الإمداد'!N10</f>
        <v/>
      </c>
      <c r="H119" s="15">
        <f>'سلاسل الإمداد'!O10</f>
        <v/>
      </c>
      <c r="I119" s="68">
        <f>'سلاسل الإمداد'!G10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الإمداد'!C11</f>
        <v/>
      </c>
      <c r="D120" s="15">
        <f>'سلاسل الإمداد'!J11</f>
        <v/>
      </c>
      <c r="E120" s="13">
        <f>'سلاسل الإمداد'!K11</f>
        <v/>
      </c>
      <c r="F120" s="15">
        <f>'سلاسل الإمداد'!L11</f>
        <v/>
      </c>
      <c r="G120" s="47">
        <f>'سلاسل الإمداد'!N11</f>
        <v/>
      </c>
      <c r="H120" s="15">
        <f>'سلاسل الإمداد'!O11</f>
        <v/>
      </c>
      <c r="I120" s="68">
        <f>'سلاسل الإمداد'!G11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الإمداد'!C12</f>
        <v/>
      </c>
      <c r="D121" s="15">
        <f>'سلاسل الإمداد'!J12</f>
        <v/>
      </c>
      <c r="E121" s="13">
        <f>'سلاسل الإمداد'!K12</f>
        <v/>
      </c>
      <c r="F121" s="15">
        <f>'سلاسل الإمداد'!L12</f>
        <v/>
      </c>
      <c r="G121" s="47">
        <f>'سلاسل الإمداد'!N12</f>
        <v/>
      </c>
      <c r="H121" s="15">
        <f>'سلاسل الإمداد'!O12</f>
        <v/>
      </c>
      <c r="I121" s="68">
        <f>'سلاسل الإمداد'!G12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الرقمية'!C4</f>
        <v/>
      </c>
      <c r="D122" s="15">
        <f>'التقنية الرقمية'!J4</f>
        <v/>
      </c>
      <c r="E122" s="13">
        <f>'التقنية الرقمية'!K4</f>
        <v/>
      </c>
      <c r="F122" s="15">
        <f>'التقنية الرقمية'!L4</f>
        <v/>
      </c>
      <c r="G122" s="47">
        <f>'التقنية الرقمية'!N4</f>
        <v/>
      </c>
      <c r="H122" s="15">
        <f>'التقنية الرقمية'!O4</f>
        <v/>
      </c>
      <c r="I122" s="68">
        <f>'التقنية الرقمية'!G4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الرقمية'!C5</f>
        <v/>
      </c>
      <c r="D123" s="15">
        <f>'التقنية الرقمية'!J5</f>
        <v/>
      </c>
      <c r="E123" s="13">
        <f>'التقنية الرقمية'!K5</f>
        <v/>
      </c>
      <c r="F123" s="15">
        <f>'التقنية الرقمية'!L5</f>
        <v/>
      </c>
      <c r="G123" s="47">
        <f>'التقنية الرقمية'!N5</f>
        <v/>
      </c>
      <c r="H123" s="15">
        <f>'التقنية الرقمية'!O5</f>
        <v/>
      </c>
      <c r="I123" s="68">
        <f>'التقنية الرقمية'!G5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الرقمية'!C6</f>
        <v/>
      </c>
      <c r="D124" s="15">
        <f>'التقنية الرقمية'!J6</f>
        <v/>
      </c>
      <c r="E124" s="13">
        <f>'التقنية الرقمية'!K6</f>
        <v/>
      </c>
      <c r="F124" s="15">
        <f>'التقنية الرقمية'!L6</f>
        <v/>
      </c>
      <c r="G124" s="47">
        <f>'التقنية الرقمية'!N6</f>
        <v/>
      </c>
      <c r="H124" s="15">
        <f>'التقنية الرقمية'!O6</f>
        <v/>
      </c>
      <c r="I124" s="68">
        <f>'التقنية الرقمية'!G6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الرقمية'!C7</f>
        <v/>
      </c>
      <c r="D125" s="15">
        <f>'التقنية الرقمية'!J7</f>
        <v/>
      </c>
      <c r="E125" s="13">
        <f>'التقنية الرقمية'!K7</f>
        <v/>
      </c>
      <c r="F125" s="15">
        <f>'التقنية الرقمية'!L7</f>
        <v/>
      </c>
      <c r="G125" s="47">
        <f>'التقنية الرقمية'!N7</f>
        <v/>
      </c>
      <c r="H125" s="15">
        <f>'التقنية الرقمية'!O7</f>
        <v/>
      </c>
      <c r="I125" s="68">
        <f>'التقنية الرقمية'!G7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الرقمية'!C8</f>
        <v/>
      </c>
      <c r="D126" s="15">
        <f>'التقنية الرقمية'!J8</f>
        <v/>
      </c>
      <c r="E126" s="13">
        <f>'التقنية الرقمية'!K8</f>
        <v/>
      </c>
      <c r="F126" s="15">
        <f>'التقنية الرقمية'!L8</f>
        <v/>
      </c>
      <c r="G126" s="47">
        <f>'التقنية الرقمية'!N8</f>
        <v/>
      </c>
      <c r="H126" s="15">
        <f>'التقنية الرقمية'!O8</f>
        <v/>
      </c>
      <c r="I126" s="68">
        <f>'التقنية الرقمية'!G8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الرقمية'!C9</f>
        <v/>
      </c>
      <c r="D127" s="15">
        <f>'التقنية الرقمية'!J9</f>
        <v/>
      </c>
      <c r="E127" s="13">
        <f>'التقنية الرقمية'!K9</f>
        <v/>
      </c>
      <c r="F127" s="15">
        <f>'التقنية الرقمية'!L9</f>
        <v/>
      </c>
      <c r="G127" s="47">
        <f>'التقنية الرقمية'!N9</f>
        <v/>
      </c>
      <c r="H127" s="15">
        <f>'التقنية الرقمية'!O9</f>
        <v/>
      </c>
      <c r="I127" s="68">
        <f>'التقنية الرقمية'!G9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التقنية الرقمية</t>
        </is>
      </c>
      <c r="C128" s="13">
        <f>'التقنية الرقمية'!C10</f>
        <v/>
      </c>
      <c r="D128" s="15">
        <f>'التقنية الرقمية'!J10</f>
        <v/>
      </c>
      <c r="E128" s="13">
        <f>'التقنية الرقمية'!K10</f>
        <v/>
      </c>
      <c r="F128" s="15">
        <f>'التقنية الرقمية'!L10</f>
        <v/>
      </c>
      <c r="G128" s="47">
        <f>'التقنية الرقمية'!N10</f>
        <v/>
      </c>
      <c r="H128" s="15">
        <f>'التقنية الرقمية'!O10</f>
        <v/>
      </c>
      <c r="I128" s="68">
        <f>'التقنية الرقمية'!G10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التقنية الرقمية</t>
        </is>
      </c>
      <c r="C129" s="13">
        <f>'التقنية الرقمية'!C11</f>
        <v/>
      </c>
      <c r="D129" s="15">
        <f>'التقنية الرقمية'!J11</f>
        <v/>
      </c>
      <c r="E129" s="13">
        <f>'التقنية الرقمية'!K11</f>
        <v/>
      </c>
      <c r="F129" s="15">
        <f>'التقنية الرقمية'!L11</f>
        <v/>
      </c>
      <c r="G129" s="47">
        <f>'التقنية الرقمية'!N11</f>
        <v/>
      </c>
      <c r="H129" s="15">
        <f>'التقنية الرقمية'!O11</f>
        <v/>
      </c>
      <c r="I129" s="68">
        <f>'التقنية الرقمية'!G11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التقنية الرقمية</t>
        </is>
      </c>
      <c r="C130" s="13">
        <f>'التقنية الرقمية'!C12</f>
        <v/>
      </c>
      <c r="D130" s="15">
        <f>'التقنية الرقمية'!J12</f>
        <v/>
      </c>
      <c r="E130" s="13">
        <f>'التقنية الرقمية'!K12</f>
        <v/>
      </c>
      <c r="F130" s="15">
        <f>'التقنية الرقمية'!L12</f>
        <v/>
      </c>
      <c r="G130" s="47">
        <f>'التقنية الرقمية'!N12</f>
        <v/>
      </c>
      <c r="H130" s="15">
        <f>'التقنية الرقمية'!O12</f>
        <v/>
      </c>
      <c r="I130" s="68">
        <f>'التقنية الرقمية'!G12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البشرية'!C4</f>
        <v/>
      </c>
      <c r="D131" s="15">
        <f>'الموارد البشرية'!J4</f>
        <v/>
      </c>
      <c r="E131" s="13">
        <f>'الموارد البشرية'!K4</f>
        <v/>
      </c>
      <c r="F131" s="15">
        <f>'الموارد البشرية'!L4</f>
        <v/>
      </c>
      <c r="G131" s="47">
        <f>'الموارد البشرية'!N4</f>
        <v/>
      </c>
      <c r="H131" s="15">
        <f>'الموارد البشرية'!O4</f>
        <v/>
      </c>
      <c r="I131" s="68">
        <f>'الموارد البشرية'!G4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البشرية'!C5</f>
        <v/>
      </c>
      <c r="D132" s="15">
        <f>'الموارد البشرية'!J5</f>
        <v/>
      </c>
      <c r="E132" s="13">
        <f>'الموارد البشرية'!K5</f>
        <v/>
      </c>
      <c r="F132" s="15">
        <f>'الموارد البشرية'!L5</f>
        <v/>
      </c>
      <c r="G132" s="47">
        <f>'الموارد البشرية'!N5</f>
        <v/>
      </c>
      <c r="H132" s="15">
        <f>'الموارد البشرية'!O5</f>
        <v/>
      </c>
      <c r="I132" s="68">
        <f>'الموارد البشرية'!G5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البشرية'!C6</f>
        <v/>
      </c>
      <c r="D133" s="15">
        <f>'الموارد البشرية'!J6</f>
        <v/>
      </c>
      <c r="E133" s="13">
        <f>'الموارد البشرية'!K6</f>
        <v/>
      </c>
      <c r="F133" s="15">
        <f>'الموارد البشرية'!L6</f>
        <v/>
      </c>
      <c r="G133" s="47">
        <f>'الموارد البشرية'!N6</f>
        <v/>
      </c>
      <c r="H133" s="15">
        <f>'الموارد البشرية'!O6</f>
        <v/>
      </c>
      <c r="I133" s="68">
        <f>'الموارد البشرية'!G6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البشرية'!C7</f>
        <v/>
      </c>
      <c r="D134" s="15">
        <f>'الموارد البشرية'!J7</f>
        <v/>
      </c>
      <c r="E134" s="13">
        <f>'الموارد البشرية'!K7</f>
        <v/>
      </c>
      <c r="F134" s="15">
        <f>'الموارد البشرية'!L7</f>
        <v/>
      </c>
      <c r="G134" s="47">
        <f>'الموارد البشرية'!N7</f>
        <v/>
      </c>
      <c r="H134" s="15">
        <f>'الموارد البشرية'!O7</f>
        <v/>
      </c>
      <c r="I134" s="68">
        <f>'الموارد البشرية'!G7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البشرية'!C8</f>
        <v/>
      </c>
      <c r="D135" s="15">
        <f>'الموارد البشرية'!J8</f>
        <v/>
      </c>
      <c r="E135" s="13">
        <f>'الموارد البشرية'!K8</f>
        <v/>
      </c>
      <c r="F135" s="15">
        <f>'الموارد البشرية'!L8</f>
        <v/>
      </c>
      <c r="G135" s="47">
        <f>'الموارد البشرية'!N8</f>
        <v/>
      </c>
      <c r="H135" s="15">
        <f>'الموارد البشرية'!O8</f>
        <v/>
      </c>
      <c r="I135" s="68">
        <f>'الموارد البشرية'!G8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البشرية'!C9</f>
        <v/>
      </c>
      <c r="D136" s="15">
        <f>'الموارد البشرية'!J9</f>
        <v/>
      </c>
      <c r="E136" s="13">
        <f>'الموارد البشرية'!K9</f>
        <v/>
      </c>
      <c r="F136" s="15">
        <f>'الموارد البشرية'!L9</f>
        <v/>
      </c>
      <c r="G136" s="47">
        <f>'الموارد البشرية'!N9</f>
        <v/>
      </c>
      <c r="H136" s="15">
        <f>'الموارد البشرية'!O9</f>
        <v/>
      </c>
      <c r="I136" s="68">
        <f>'الموارد البشرية'!G9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البشرية'!C10</f>
        <v/>
      </c>
      <c r="D137" s="15">
        <f>'الموارد البشرية'!J10</f>
        <v/>
      </c>
      <c r="E137" s="13">
        <f>'الموارد البشرية'!K10</f>
        <v/>
      </c>
      <c r="F137" s="15">
        <f>'الموارد البشرية'!L10</f>
        <v/>
      </c>
      <c r="G137" s="47">
        <f>'الموارد البشرية'!N10</f>
        <v/>
      </c>
      <c r="H137" s="15">
        <f>'الموارد البشرية'!O10</f>
        <v/>
      </c>
      <c r="I137" s="68">
        <f>'الموارد البشرية'!G10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البشرية'!C11</f>
        <v/>
      </c>
      <c r="D138" s="15">
        <f>'الموارد البشرية'!J11</f>
        <v/>
      </c>
      <c r="E138" s="13">
        <f>'الموارد البشرية'!K11</f>
        <v/>
      </c>
      <c r="F138" s="15">
        <f>'الموارد البشرية'!L11</f>
        <v/>
      </c>
      <c r="G138" s="47">
        <f>'الموارد البشرية'!N11</f>
        <v/>
      </c>
      <c r="H138" s="15">
        <f>'الموارد البشرية'!O11</f>
        <v/>
      </c>
      <c r="I138" s="68">
        <f>'الموارد البشرية'!G11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البشرية'!C12</f>
        <v/>
      </c>
      <c r="D139" s="15">
        <f>'الموارد البشرية'!J12</f>
        <v/>
      </c>
      <c r="E139" s="13">
        <f>'الموارد البشرية'!K12</f>
        <v/>
      </c>
      <c r="F139" s="15">
        <f>'الموارد البشرية'!L12</f>
        <v/>
      </c>
      <c r="G139" s="47">
        <f>'الموارد البشرية'!N12</f>
        <v/>
      </c>
      <c r="H139" s="15">
        <f>'الموارد البشرية'!O12</f>
        <v/>
      </c>
      <c r="I139" s="68">
        <f>'الموارد البشرية'!G12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البشرية'!C13</f>
        <v/>
      </c>
      <c r="D140" s="15">
        <f>'الموارد البشرية'!J13</f>
        <v/>
      </c>
      <c r="E140" s="13">
        <f>'الموارد البشرية'!K13</f>
        <v/>
      </c>
      <c r="F140" s="15">
        <f>'الموارد البشرية'!L13</f>
        <v/>
      </c>
      <c r="G140" s="47">
        <f>'الموارد البشرية'!N13</f>
        <v/>
      </c>
      <c r="H140" s="15">
        <f>'الموارد البشرية'!O13</f>
        <v/>
      </c>
      <c r="I140" s="68">
        <f>'الموارد البشرية'!G13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البشرية'!C14</f>
        <v/>
      </c>
      <c r="D141" s="15">
        <f>'الموارد البشرية'!J14</f>
        <v/>
      </c>
      <c r="E141" s="13">
        <f>'الموارد البشرية'!K14</f>
        <v/>
      </c>
      <c r="F141" s="15">
        <f>'الموارد البشرية'!L14</f>
        <v/>
      </c>
      <c r="G141" s="47">
        <f>'الموارد البشرية'!N14</f>
        <v/>
      </c>
      <c r="H141" s="15">
        <f>'الموارد البشرية'!O14</f>
        <v/>
      </c>
      <c r="I141" s="68">
        <f>'الموارد البشرية'!G14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البشرية'!C15</f>
        <v/>
      </c>
      <c r="D142" s="15">
        <f>'الموارد البشرية'!J15</f>
        <v/>
      </c>
      <c r="E142" s="13">
        <f>'الموارد البشرية'!K15</f>
        <v/>
      </c>
      <c r="F142" s="15">
        <f>'الموارد البشرية'!L15</f>
        <v/>
      </c>
      <c r="G142" s="47">
        <f>'الموارد البشرية'!N15</f>
        <v/>
      </c>
      <c r="H142" s="15">
        <f>'الموارد البشرية'!O15</f>
        <v/>
      </c>
      <c r="I142" s="68">
        <f>'الموارد البشرية'!G15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الموارد البشرية</t>
        </is>
      </c>
      <c r="C143" s="13">
        <f>'الموارد البشرية'!C16</f>
        <v/>
      </c>
      <c r="D143" s="15">
        <f>'الموارد البشرية'!J16</f>
        <v/>
      </c>
      <c r="E143" s="13">
        <f>'الموارد البشرية'!K16</f>
        <v/>
      </c>
      <c r="F143" s="15">
        <f>'الموارد البشرية'!L16</f>
        <v/>
      </c>
      <c r="G143" s="47">
        <f>'الموارد البشرية'!N16</f>
        <v/>
      </c>
      <c r="H143" s="15">
        <f>'الموارد البشرية'!O16</f>
        <v/>
      </c>
      <c r="I143" s="68">
        <f>'الموارد البشرية'!G16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الموارد البشرية</t>
        </is>
      </c>
      <c r="C144" s="13">
        <f>'الموارد البشرية'!C17</f>
        <v/>
      </c>
      <c r="D144" s="15">
        <f>'الموارد البشرية'!J17</f>
        <v/>
      </c>
      <c r="E144" s="13">
        <f>'الموارد البشرية'!K17</f>
        <v/>
      </c>
      <c r="F144" s="15">
        <f>'الموارد البشرية'!L17</f>
        <v/>
      </c>
      <c r="G144" s="47">
        <f>'الموارد البشرية'!N17</f>
        <v/>
      </c>
      <c r="H144" s="15">
        <f>'الموارد البشرية'!O17</f>
        <v/>
      </c>
      <c r="I144" s="68">
        <f>'الموارد البشرية'!G17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الموارد البشرية</t>
        </is>
      </c>
      <c r="C145" s="13">
        <f>'الموارد البشرية'!C18</f>
        <v/>
      </c>
      <c r="D145" s="15">
        <f>'الموارد البشرية'!J18</f>
        <v/>
      </c>
      <c r="E145" s="13">
        <f>'الموارد البشرية'!K18</f>
        <v/>
      </c>
      <c r="F145" s="15">
        <f>'الموارد البشرية'!L18</f>
        <v/>
      </c>
      <c r="G145" s="47">
        <f>'الموارد البشرية'!N18</f>
        <v/>
      </c>
      <c r="H145" s="15">
        <f>'الموارد البشرية'!O18</f>
        <v/>
      </c>
      <c r="I145" s="68">
        <f>'الموارد البشرية'!G18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البشرية'!C19</f>
        <v/>
      </c>
      <c r="D146" s="15">
        <f>'الموارد البشرية'!J19</f>
        <v/>
      </c>
      <c r="E146" s="13">
        <f>'الموارد البشرية'!K19</f>
        <v/>
      </c>
      <c r="F146" s="15">
        <f>'الموارد البشرية'!L19</f>
        <v/>
      </c>
      <c r="G146" s="47">
        <f>'الموارد البشرية'!N19</f>
        <v/>
      </c>
      <c r="H146" s="15">
        <f>'الموارد البشرية'!O19</f>
        <v/>
      </c>
      <c r="I146" s="68">
        <f>'الموارد البشرية'!G19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البشرية'!C20</f>
        <v/>
      </c>
      <c r="D147" s="15">
        <f>'الموارد البشرية'!J20</f>
        <v/>
      </c>
      <c r="E147" s="13">
        <f>'الموارد البشرية'!K20</f>
        <v/>
      </c>
      <c r="F147" s="15">
        <f>'الموارد البشرية'!L20</f>
        <v/>
      </c>
      <c r="G147" s="47">
        <f>'الموارد البشرية'!N20</f>
        <v/>
      </c>
      <c r="H147" s="15">
        <f>'الموارد البشرية'!O20</f>
        <v/>
      </c>
      <c r="I147" s="68">
        <f>'الموارد البشرية'!G20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'التسويق'!C4</f>
        <v/>
      </c>
      <c r="D148" s="15">
        <f>'التسويق'!J4</f>
        <v/>
      </c>
      <c r="E148" s="13">
        <f>'التسويق'!K4</f>
        <v/>
      </c>
      <c r="F148" s="15">
        <f>'التسويق'!L4</f>
        <v/>
      </c>
      <c r="G148" s="47">
        <f>'التسويق'!N4</f>
        <v/>
      </c>
      <c r="H148" s="15">
        <f>'التسويق'!O4</f>
        <v/>
      </c>
      <c r="I148" s="68">
        <f>'التسويق'!G4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'التسويق'!C5</f>
        <v/>
      </c>
      <c r="D149" s="15">
        <f>'التسويق'!J5</f>
        <v/>
      </c>
      <c r="E149" s="13">
        <f>'التسويق'!K5</f>
        <v/>
      </c>
      <c r="F149" s="15">
        <f>'التسويق'!L5</f>
        <v/>
      </c>
      <c r="G149" s="47">
        <f>'التسويق'!N5</f>
        <v/>
      </c>
      <c r="H149" s="15">
        <f>'التسويق'!O5</f>
        <v/>
      </c>
      <c r="I149" s="68">
        <f>'التسويق'!G5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'التسويق'!C6</f>
        <v/>
      </c>
      <c r="D150" s="15">
        <f>'التسويق'!J6</f>
        <v/>
      </c>
      <c r="E150" s="13">
        <f>'التسويق'!K6</f>
        <v/>
      </c>
      <c r="F150" s="15">
        <f>'التسويق'!L6</f>
        <v/>
      </c>
      <c r="G150" s="47">
        <f>'التسويق'!N6</f>
        <v/>
      </c>
      <c r="H150" s="15">
        <f>'التسويق'!O6</f>
        <v/>
      </c>
      <c r="I150" s="68">
        <f>'التسويق'!G6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'التسويق'!C7</f>
        <v/>
      </c>
      <c r="D151" s="15">
        <f>'التسويق'!J7</f>
        <v/>
      </c>
      <c r="E151" s="13">
        <f>'التسويق'!K7</f>
        <v/>
      </c>
      <c r="F151" s="15">
        <f>'التسويق'!L7</f>
        <v/>
      </c>
      <c r="G151" s="47">
        <f>'التسويق'!N7</f>
        <v/>
      </c>
      <c r="H151" s="15">
        <f>'التسويق'!O7</f>
        <v/>
      </c>
      <c r="I151" s="68">
        <f>'التسويق'!G7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التسويق</t>
        </is>
      </c>
      <c r="C152" s="13">
        <f>'التسويق'!C8</f>
        <v/>
      </c>
      <c r="D152" s="15">
        <f>'التسويق'!J8</f>
        <v/>
      </c>
      <c r="E152" s="13">
        <f>'التسويق'!K8</f>
        <v/>
      </c>
      <c r="F152" s="15">
        <f>'التسويق'!L8</f>
        <v/>
      </c>
      <c r="G152" s="47">
        <f>'التسويق'!N8</f>
        <v/>
      </c>
      <c r="H152" s="15">
        <f>'التسويق'!O8</f>
        <v/>
      </c>
      <c r="I152" s="68">
        <f>'التسويق'!G8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التسويق</t>
        </is>
      </c>
      <c r="C153" s="13">
        <f>'التسويق'!C9</f>
        <v/>
      </c>
      <c r="D153" s="15">
        <f>'التسويق'!J9</f>
        <v/>
      </c>
      <c r="E153" s="13">
        <f>'التسويق'!K9</f>
        <v/>
      </c>
      <c r="F153" s="15">
        <f>'التسويق'!L9</f>
        <v/>
      </c>
      <c r="G153" s="47">
        <f>'التسويق'!N9</f>
        <v/>
      </c>
      <c r="H153" s="15">
        <f>'التسويق'!O9</f>
        <v/>
      </c>
      <c r="I153" s="68">
        <f>'التسويق'!G9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التسويق</t>
        </is>
      </c>
      <c r="C154" s="13">
        <f>'التسويق'!C10</f>
        <v/>
      </c>
      <c r="D154" s="15">
        <f>'التسويق'!J10</f>
        <v/>
      </c>
      <c r="E154" s="13">
        <f>'التسويق'!K10</f>
        <v/>
      </c>
      <c r="F154" s="15">
        <f>'التسويق'!L10</f>
        <v/>
      </c>
      <c r="G154" s="47">
        <f>'التسويق'!N10</f>
        <v/>
      </c>
      <c r="H154" s="15">
        <f>'التسويق'!O10</f>
        <v/>
      </c>
      <c r="I154" s="68">
        <f>'التسويق'!G10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التسويق</t>
        </is>
      </c>
      <c r="C155" s="13">
        <f>'التسويق'!C11</f>
        <v/>
      </c>
      <c r="D155" s="15">
        <f>'التسويق'!J11</f>
        <v/>
      </c>
      <c r="E155" s="13">
        <f>'التسويق'!K11</f>
        <v/>
      </c>
      <c r="F155" s="15">
        <f>'التسويق'!L11</f>
        <v/>
      </c>
      <c r="G155" s="47">
        <f>'التسويق'!N11</f>
        <v/>
      </c>
      <c r="H155" s="15">
        <f>'التسويق'!O11</f>
        <v/>
      </c>
      <c r="I155" s="68">
        <f>'التسويق'!G11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التسويق</t>
        </is>
      </c>
      <c r="C156" s="13">
        <f>'التسويق'!C12</f>
        <v/>
      </c>
      <c r="D156" s="15">
        <f>'التسويق'!J12</f>
        <v/>
      </c>
      <c r="E156" s="13">
        <f>'التسويق'!K12</f>
        <v/>
      </c>
      <c r="F156" s="15">
        <f>'التسويق'!L12</f>
        <v/>
      </c>
      <c r="G156" s="47">
        <f>'التسويق'!N12</f>
        <v/>
      </c>
      <c r="H156" s="15">
        <f>'التسويق'!O12</f>
        <v/>
      </c>
      <c r="I156" s="68">
        <f>'التسويق'!G12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التسويق</t>
        </is>
      </c>
      <c r="C157" s="13">
        <f>'التسويق'!C13</f>
        <v/>
      </c>
      <c r="D157" s="15">
        <f>'التسويق'!J13</f>
        <v/>
      </c>
      <c r="E157" s="13">
        <f>'التسويق'!K13</f>
        <v/>
      </c>
      <c r="F157" s="15">
        <f>'التسويق'!L13</f>
        <v/>
      </c>
      <c r="G157" s="47">
        <f>'التسويق'!N13</f>
        <v/>
      </c>
      <c r="H157" s="15">
        <f>'التسويق'!O13</f>
        <v/>
      </c>
      <c r="I157" s="68">
        <f>'التسويق'!G13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'التسويق'!C14</f>
        <v/>
      </c>
      <c r="D158" s="15">
        <f>'التسويق'!J14</f>
        <v/>
      </c>
      <c r="E158" s="13">
        <f>'التسويق'!K14</f>
        <v/>
      </c>
      <c r="F158" s="15">
        <f>'التسويق'!L14</f>
        <v/>
      </c>
      <c r="G158" s="47">
        <f>'التسويق'!N14</f>
        <v/>
      </c>
      <c r="H158" s="15">
        <f>'التسويق'!O14</f>
        <v/>
      </c>
      <c r="I158" s="68">
        <f>'التسويق'!G14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'التسويق'!C15</f>
        <v/>
      </c>
      <c r="D159" s="15">
        <f>'التسويق'!J15</f>
        <v/>
      </c>
      <c r="E159" s="13">
        <f>'التسويق'!K15</f>
        <v/>
      </c>
      <c r="F159" s="15">
        <f>'التسويق'!L15</f>
        <v/>
      </c>
      <c r="G159" s="47">
        <f>'التسويق'!N15</f>
        <v/>
      </c>
      <c r="H159" s="15">
        <f>'التسويق'!O15</f>
        <v/>
      </c>
      <c r="I159" s="68">
        <f>'التسويق'!G15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'التسويق'!C16</f>
        <v/>
      </c>
      <c r="D160" s="15">
        <f>'التسويق'!J16</f>
        <v/>
      </c>
      <c r="E160" s="13">
        <f>'التسويق'!K16</f>
        <v/>
      </c>
      <c r="F160" s="15">
        <f>'التسويق'!L16</f>
        <v/>
      </c>
      <c r="G160" s="47">
        <f>'التسويق'!N16</f>
        <v/>
      </c>
      <c r="H160" s="15">
        <f>'التسويق'!O16</f>
        <v/>
      </c>
      <c r="I160" s="68">
        <f>'التسويق'!G16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'التسويق'!C17</f>
        <v/>
      </c>
      <c r="D161" s="15">
        <f>'التسويق'!J17</f>
        <v/>
      </c>
      <c r="E161" s="13">
        <f>'التسويق'!K17</f>
        <v/>
      </c>
      <c r="F161" s="15">
        <f>'التسويق'!L17</f>
        <v/>
      </c>
      <c r="G161" s="47">
        <f>'التسويق'!N17</f>
        <v/>
      </c>
      <c r="H161" s="15">
        <f>'التسويق'!O17</f>
        <v/>
      </c>
      <c r="I161" s="68">
        <f>'التسويق'!G17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'التسويق'!C18</f>
        <v/>
      </c>
      <c r="D162" s="15">
        <f>'التسويق'!J18</f>
        <v/>
      </c>
      <c r="E162" s="13">
        <f>'التسويق'!K18</f>
        <v/>
      </c>
      <c r="F162" s="15">
        <f>'التسويق'!L18</f>
        <v/>
      </c>
      <c r="G162" s="47">
        <f>'التسويق'!N18</f>
        <v/>
      </c>
      <c r="H162" s="15">
        <f>'التسويق'!O18</f>
        <v/>
      </c>
      <c r="I162" s="68">
        <f>'التسويق'!G18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'الجودة'!C4</f>
        <v/>
      </c>
      <c r="D163" s="15">
        <f>'الجودة'!J4</f>
        <v/>
      </c>
      <c r="E163" s="13">
        <f>'الجودة'!K4</f>
        <v/>
      </c>
      <c r="F163" s="15">
        <f>'الجودة'!L4</f>
        <v/>
      </c>
      <c r="G163" s="47">
        <f>'الجودة'!N4</f>
        <v/>
      </c>
      <c r="H163" s="15">
        <f>'الجودة'!O4</f>
        <v/>
      </c>
      <c r="I163" s="68">
        <f>'الجودة'!G4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'الجودة'!C5</f>
        <v/>
      </c>
      <c r="D164" s="15">
        <f>'الجودة'!J5</f>
        <v/>
      </c>
      <c r="E164" s="13">
        <f>'الجودة'!K5</f>
        <v/>
      </c>
      <c r="F164" s="15">
        <f>'الجودة'!L5</f>
        <v/>
      </c>
      <c r="G164" s="47">
        <f>'الجودة'!N5</f>
        <v/>
      </c>
      <c r="H164" s="15">
        <f>'الجودة'!O5</f>
        <v/>
      </c>
      <c r="I164" s="68">
        <f>'الجودة'!G5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'الجودة'!C6</f>
        <v/>
      </c>
      <c r="D165" s="15">
        <f>'الجودة'!J6</f>
        <v/>
      </c>
      <c r="E165" s="13">
        <f>'الجودة'!K6</f>
        <v/>
      </c>
      <c r="F165" s="15">
        <f>'الجودة'!L6</f>
        <v/>
      </c>
      <c r="G165" s="47">
        <f>'الجودة'!N6</f>
        <v/>
      </c>
      <c r="H165" s="15">
        <f>'الجودة'!O6</f>
        <v/>
      </c>
      <c r="I165" s="68">
        <f>'الجودة'!G6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'الجودة'!C7</f>
        <v/>
      </c>
      <c r="D166" s="15">
        <f>'الجودة'!J7</f>
        <v/>
      </c>
      <c r="E166" s="13">
        <f>'الجودة'!K7</f>
        <v/>
      </c>
      <c r="F166" s="15">
        <f>'الجودة'!L7</f>
        <v/>
      </c>
      <c r="G166" s="47">
        <f>'الجودة'!N7</f>
        <v/>
      </c>
      <c r="H166" s="15">
        <f>'الجودة'!O7</f>
        <v/>
      </c>
      <c r="I166" s="68">
        <f>'الجودة'!G7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'الجودة'!C8</f>
        <v/>
      </c>
      <c r="D167" s="15">
        <f>'الجودة'!J8</f>
        <v/>
      </c>
      <c r="E167" s="13">
        <f>'الجودة'!K8</f>
        <v/>
      </c>
      <c r="F167" s="15">
        <f>'الجودة'!L8</f>
        <v/>
      </c>
      <c r="G167" s="47">
        <f>'الجودة'!N8</f>
        <v/>
      </c>
      <c r="H167" s="15">
        <f>'الجودة'!O8</f>
        <v/>
      </c>
      <c r="I167" s="68">
        <f>'الجودة'!G8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'الجودة'!C9</f>
        <v/>
      </c>
      <c r="D168" s="15">
        <f>'الجودة'!J9</f>
        <v/>
      </c>
      <c r="E168" s="13">
        <f>'الجودة'!K9</f>
        <v/>
      </c>
      <c r="F168" s="15">
        <f>'الجودة'!L9</f>
        <v/>
      </c>
      <c r="G168" s="47">
        <f>'الجودة'!N9</f>
        <v/>
      </c>
      <c r="H168" s="15">
        <f>'الجودة'!O9</f>
        <v/>
      </c>
      <c r="I168" s="68">
        <f>'الجودة'!G9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'الجودة'!C10</f>
        <v/>
      </c>
      <c r="D169" s="15">
        <f>'الجودة'!J10</f>
        <v/>
      </c>
      <c r="E169" s="13">
        <f>'الجودة'!K10</f>
        <v/>
      </c>
      <c r="F169" s="15">
        <f>'الجودة'!L10</f>
        <v/>
      </c>
      <c r="G169" s="47">
        <f>'الجودة'!N10</f>
        <v/>
      </c>
      <c r="H169" s="15">
        <f>'الجودة'!O10</f>
        <v/>
      </c>
      <c r="I169" s="68">
        <f>'الجودة'!G10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'الجودة'!C11</f>
        <v/>
      </c>
      <c r="D170" s="15">
        <f>'الجودة'!J11</f>
        <v/>
      </c>
      <c r="E170" s="13">
        <f>'الجودة'!K11</f>
        <v/>
      </c>
      <c r="F170" s="15">
        <f>'الجودة'!L11</f>
        <v/>
      </c>
      <c r="G170" s="47">
        <f>'الجودة'!N11</f>
        <v/>
      </c>
      <c r="H170" s="15">
        <f>'الجودة'!O11</f>
        <v/>
      </c>
      <c r="I170" s="68">
        <f>'الجودة'!G11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'الجودة'!C12</f>
        <v/>
      </c>
      <c r="D171" s="15">
        <f>'الجودة'!J12</f>
        <v/>
      </c>
      <c r="E171" s="13">
        <f>'الجودة'!K12</f>
        <v/>
      </c>
      <c r="F171" s="15">
        <f>'الجودة'!L12</f>
        <v/>
      </c>
      <c r="G171" s="47">
        <f>'الجودة'!N12</f>
        <v/>
      </c>
      <c r="H171" s="15">
        <f>'الجودة'!O12</f>
        <v/>
      </c>
      <c r="I171" s="68">
        <f>'الجودة'!G12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'الجودة'!C13</f>
        <v/>
      </c>
      <c r="D172" s="15">
        <f>'الجودة'!J13</f>
        <v/>
      </c>
      <c r="E172" s="13">
        <f>'الجودة'!K13</f>
        <v/>
      </c>
      <c r="F172" s="15">
        <f>'الجودة'!L13</f>
        <v/>
      </c>
      <c r="G172" s="47">
        <f>'الجودة'!N13</f>
        <v/>
      </c>
      <c r="H172" s="15">
        <f>'الجودة'!O13</f>
        <v/>
      </c>
      <c r="I172" s="68">
        <f>'الجودة'!G13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'الجودة'!C14</f>
        <v/>
      </c>
      <c r="D173" s="15">
        <f>'الجودة'!J14</f>
        <v/>
      </c>
      <c r="E173" s="13">
        <f>'الجودة'!K14</f>
        <v/>
      </c>
      <c r="F173" s="15">
        <f>'الجودة'!L14</f>
        <v/>
      </c>
      <c r="G173" s="47">
        <f>'الجودة'!N14</f>
        <v/>
      </c>
      <c r="H173" s="15">
        <f>'الجودة'!O14</f>
        <v/>
      </c>
      <c r="I173" s="68">
        <f>'الجودة'!G14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'الجودة'!C15</f>
        <v/>
      </c>
      <c r="D174" s="15">
        <f>'الجودة'!J15</f>
        <v/>
      </c>
      <c r="E174" s="13">
        <f>'الجودة'!K15</f>
        <v/>
      </c>
      <c r="F174" s="15">
        <f>'الجودة'!L15</f>
        <v/>
      </c>
      <c r="G174" s="47">
        <f>'الجودة'!N15</f>
        <v/>
      </c>
      <c r="H174" s="15">
        <f>'الجودة'!O15</f>
        <v/>
      </c>
      <c r="I174" s="68">
        <f>'الجودة'!G15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'الجودة'!C16</f>
        <v/>
      </c>
      <c r="D175" s="15">
        <f>'الجودة'!J16</f>
        <v/>
      </c>
      <c r="E175" s="13">
        <f>'الجودة'!K16</f>
        <v/>
      </c>
      <c r="F175" s="15">
        <f>'الجودة'!L16</f>
        <v/>
      </c>
      <c r="G175" s="47">
        <f>'الجودة'!N16</f>
        <v/>
      </c>
      <c r="H175" s="15">
        <f>'الجودة'!O16</f>
        <v/>
      </c>
      <c r="I175" s="68">
        <f>'الجودة'!G16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'الجودة'!C17</f>
        <v/>
      </c>
      <c r="D176" s="15">
        <f>'الجودة'!J17</f>
        <v/>
      </c>
      <c r="E176" s="13">
        <f>'الجودة'!K17</f>
        <v/>
      </c>
      <c r="F176" s="15">
        <f>'الجودة'!L17</f>
        <v/>
      </c>
      <c r="G176" s="47">
        <f>'الجودة'!N17</f>
        <v/>
      </c>
      <c r="H176" s="15">
        <f>'الجودة'!O17</f>
        <v/>
      </c>
      <c r="I176" s="68">
        <f>'الجودة'!G17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الإدارة القانونية</t>
        </is>
      </c>
      <c r="C177" s="13">
        <f>'الإدارة القانونية'!C4</f>
        <v/>
      </c>
      <c r="D177" s="15">
        <f>'الإدارة القانونية'!J4</f>
        <v/>
      </c>
      <c r="E177" s="13">
        <f>'الإدارة القانونية'!K4</f>
        <v/>
      </c>
      <c r="F177" s="15">
        <f>'الإدارة القانونية'!L4</f>
        <v/>
      </c>
      <c r="G177" s="47">
        <f>'الإدارة القانونية'!N4</f>
        <v/>
      </c>
      <c r="H177" s="15">
        <f>'الإدارة القانونية'!O4</f>
        <v/>
      </c>
      <c r="I177" s="68">
        <f>'الإدارة القانونية'!G4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الإدارة القانونية</t>
        </is>
      </c>
      <c r="C178" s="13">
        <f>'الإدارة القانونية'!C5</f>
        <v/>
      </c>
      <c r="D178" s="15">
        <f>'الإدارة القانونية'!J5</f>
        <v/>
      </c>
      <c r="E178" s="13">
        <f>'الإدارة القانونية'!K5</f>
        <v/>
      </c>
      <c r="F178" s="15">
        <f>'الإدارة القانونية'!L5</f>
        <v/>
      </c>
      <c r="G178" s="47">
        <f>'الإدارة القانونية'!N5</f>
        <v/>
      </c>
      <c r="H178" s="15">
        <f>'الإدارة القانونية'!O5</f>
        <v/>
      </c>
      <c r="I178" s="68">
        <f>'الإدارة القانونية'!G5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الإدارة القانونية</t>
        </is>
      </c>
      <c r="C179" s="13">
        <f>'الإدارة القانونية'!C6</f>
        <v/>
      </c>
      <c r="D179" s="15">
        <f>'الإدارة القانونية'!J6</f>
        <v/>
      </c>
      <c r="E179" s="13">
        <f>'الإدارة القانونية'!K6</f>
        <v/>
      </c>
      <c r="F179" s="15">
        <f>'الإدارة القانونية'!L6</f>
        <v/>
      </c>
      <c r="G179" s="47">
        <f>'الإدارة القانونية'!N6</f>
        <v/>
      </c>
      <c r="H179" s="15">
        <f>'الإدارة القانونية'!O6</f>
        <v/>
      </c>
      <c r="I179" s="68">
        <f>'الإدارة القانونية'!G6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الإدارة القانونية</t>
        </is>
      </c>
      <c r="C180" s="13">
        <f>'الإدارة القانونية'!C7</f>
        <v/>
      </c>
      <c r="D180" s="15">
        <f>'الإدارة القانونية'!J7</f>
        <v/>
      </c>
      <c r="E180" s="13">
        <f>'الإدارة القانونية'!K7</f>
        <v/>
      </c>
      <c r="F180" s="15">
        <f>'الإدارة القانونية'!L7</f>
        <v/>
      </c>
      <c r="G180" s="47">
        <f>'الإدارة القانونية'!N7</f>
        <v/>
      </c>
      <c r="H180" s="15">
        <f>'الإدارة القانونية'!O7</f>
        <v/>
      </c>
      <c r="I180" s="68">
        <f>'الإدارة القانونية'!G7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الإدارة القانونية</t>
        </is>
      </c>
      <c r="C181" s="13">
        <f>'الإدارة القانونية'!C8</f>
        <v/>
      </c>
      <c r="D181" s="15">
        <f>'الإدارة القانونية'!J8</f>
        <v/>
      </c>
      <c r="E181" s="13">
        <f>'الإدارة القانونية'!K8</f>
        <v/>
      </c>
      <c r="F181" s="15">
        <f>'الإدارة القانونية'!L8</f>
        <v/>
      </c>
      <c r="G181" s="47">
        <f>'الإدارة القانونية'!N8</f>
        <v/>
      </c>
      <c r="H181" s="15">
        <f>'الإدارة القانونية'!O8</f>
        <v/>
      </c>
      <c r="I181" s="68">
        <f>'الإدارة القانونية'!G8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الإدارة القانونية</t>
        </is>
      </c>
      <c r="C182" s="13">
        <f>'الإدارة القانونية'!C9</f>
        <v/>
      </c>
      <c r="D182" s="15">
        <f>'الإدارة القانونية'!J9</f>
        <v/>
      </c>
      <c r="E182" s="13">
        <f>'الإدارة القانونية'!K9</f>
        <v/>
      </c>
      <c r="F182" s="15">
        <f>'الإدارة القانونية'!L9</f>
        <v/>
      </c>
      <c r="G182" s="47">
        <f>'الإدارة القانونية'!N9</f>
        <v/>
      </c>
      <c r="H182" s="15">
        <f>'الإدارة القانونية'!O9</f>
        <v/>
      </c>
      <c r="I182" s="68">
        <f>'الإدارة القانونية'!G9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القانونية'!C10</f>
        <v/>
      </c>
      <c r="D183" s="15">
        <f>'الإدارة القانونية'!J10</f>
        <v/>
      </c>
      <c r="E183" s="13">
        <f>'الإدارة القانونية'!K10</f>
        <v/>
      </c>
      <c r="F183" s="15">
        <f>'الإدارة القانونية'!L10</f>
        <v/>
      </c>
      <c r="G183" s="47">
        <f>'الإدارة القانونية'!N10</f>
        <v/>
      </c>
      <c r="H183" s="15">
        <f>'الإدارة القانونية'!O10</f>
        <v/>
      </c>
      <c r="I183" s="68">
        <f>'الإدارة القانونية'!G10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القانونية'!C11</f>
        <v/>
      </c>
      <c r="D184" s="15">
        <f>'الإدارة القانونية'!J11</f>
        <v/>
      </c>
      <c r="E184" s="13">
        <f>'الإدارة القانونية'!K11</f>
        <v/>
      </c>
      <c r="F184" s="15">
        <f>'الإدارة القانونية'!L11</f>
        <v/>
      </c>
      <c r="G184" s="47">
        <f>'الإدارة القانونية'!N11</f>
        <v/>
      </c>
      <c r="H184" s="15">
        <f>'الإدارة القانونية'!O11</f>
        <v/>
      </c>
      <c r="I184" s="68">
        <f>'الإدارة القانونية'!G11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الإدارة المالية</t>
        </is>
      </c>
      <c r="C185" s="13">
        <f>'الإدارة المالية'!C4</f>
        <v/>
      </c>
      <c r="D185" s="15">
        <f>'الإدارة المالية'!J4</f>
        <v/>
      </c>
      <c r="E185" s="13">
        <f>'الإدارة المالية'!K4</f>
        <v/>
      </c>
      <c r="F185" s="15">
        <f>'الإدارة المالية'!L4</f>
        <v/>
      </c>
      <c r="G185" s="47">
        <f>'الإدارة المالية'!N4</f>
        <v/>
      </c>
      <c r="H185" s="15">
        <f>'الإدارة المالية'!O4</f>
        <v/>
      </c>
      <c r="I185" s="68">
        <f>'الإدارة المالية'!G4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الإدارة المالية</t>
        </is>
      </c>
      <c r="C186" s="13">
        <f>'الإدارة المالية'!C5</f>
        <v/>
      </c>
      <c r="D186" s="15">
        <f>'الإدارة المالية'!J5</f>
        <v/>
      </c>
      <c r="E186" s="13">
        <f>'الإدارة المالية'!K5</f>
        <v/>
      </c>
      <c r="F186" s="15">
        <f>'الإدارة المالية'!L5</f>
        <v/>
      </c>
      <c r="G186" s="47">
        <f>'الإدارة المالية'!N5</f>
        <v/>
      </c>
      <c r="H186" s="15">
        <f>'الإدارة المالية'!O5</f>
        <v/>
      </c>
      <c r="I186" s="68">
        <f>'الإدارة المالية'!G5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الإدارة المالية</t>
        </is>
      </c>
      <c r="C187" s="13">
        <f>'الإدارة المالية'!C6</f>
        <v/>
      </c>
      <c r="D187" s="15">
        <f>'الإدارة المالية'!J6</f>
        <v/>
      </c>
      <c r="E187" s="13">
        <f>'الإدارة المالية'!K6</f>
        <v/>
      </c>
      <c r="F187" s="15">
        <f>'الإدارة المالية'!L6</f>
        <v/>
      </c>
      <c r="G187" s="47">
        <f>'الإدارة المالية'!N6</f>
        <v/>
      </c>
      <c r="H187" s="15">
        <f>'الإدارة المالية'!O6</f>
        <v/>
      </c>
      <c r="I187" s="68">
        <f>'الإدارة المالية'!G6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المالية</t>
        </is>
      </c>
      <c r="C188" s="13">
        <f>'الإدارة المالية'!C7</f>
        <v/>
      </c>
      <c r="D188" s="15">
        <f>'الإدارة المالية'!J7</f>
        <v/>
      </c>
      <c r="E188" s="13">
        <f>'الإدارة المالية'!K7</f>
        <v/>
      </c>
      <c r="F188" s="15">
        <f>'الإدارة المالية'!L7</f>
        <v/>
      </c>
      <c r="G188" s="47">
        <f>'الإدارة المالية'!N7</f>
        <v/>
      </c>
      <c r="H188" s="15">
        <f>'الإدارة المالية'!O7</f>
        <v/>
      </c>
      <c r="I188" s="68">
        <f>'الإدارة المالية'!G7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المالية</t>
        </is>
      </c>
      <c r="C189" s="13">
        <f>'الإدارة المالية'!C8</f>
        <v/>
      </c>
      <c r="D189" s="15">
        <f>'الإدارة المالية'!J8</f>
        <v/>
      </c>
      <c r="E189" s="13">
        <f>'الإدارة المالية'!K8</f>
        <v/>
      </c>
      <c r="F189" s="15">
        <f>'الإدارة المالية'!L8</f>
        <v/>
      </c>
      <c r="G189" s="47">
        <f>'الإدارة المالية'!N8</f>
        <v/>
      </c>
      <c r="H189" s="15">
        <f>'الإدارة المالية'!O8</f>
        <v/>
      </c>
      <c r="I189" s="68">
        <f>'الإدارة المالية'!G8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المالية</t>
        </is>
      </c>
      <c r="C190" s="13">
        <f>'الإدارة المالية'!C9</f>
        <v/>
      </c>
      <c r="D190" s="15">
        <f>'الإدارة المالية'!J9</f>
        <v/>
      </c>
      <c r="E190" s="13">
        <f>'الإدارة المالية'!K9</f>
        <v/>
      </c>
      <c r="F190" s="15">
        <f>'الإدارة المالية'!L9</f>
        <v/>
      </c>
      <c r="G190" s="47">
        <f>'الإدارة المالية'!N9</f>
        <v/>
      </c>
      <c r="H190" s="15">
        <f>'الإدارة المالية'!O9</f>
        <v/>
      </c>
      <c r="I190" s="68">
        <f>'الإدارة المالية'!G9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المالية</t>
        </is>
      </c>
      <c r="C191" s="13">
        <f>'الإدارة المالية'!C10</f>
        <v/>
      </c>
      <c r="D191" s="15">
        <f>'الإدارة المالية'!J10</f>
        <v/>
      </c>
      <c r="E191" s="13">
        <f>'الإدارة المالية'!K10</f>
        <v/>
      </c>
      <c r="F191" s="15">
        <f>'الإدارة المالية'!L10</f>
        <v/>
      </c>
      <c r="G191" s="47">
        <f>'الإدارة المالية'!N10</f>
        <v/>
      </c>
      <c r="H191" s="15">
        <f>'الإدارة المالية'!O10</f>
        <v/>
      </c>
      <c r="I191" s="68">
        <f>'الإدارة المالية'!G10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المالية</t>
        </is>
      </c>
      <c r="C192" s="13">
        <f>'الإدارة المالية'!C11</f>
        <v/>
      </c>
      <c r="D192" s="15">
        <f>'الإدارة المالية'!J11</f>
        <v/>
      </c>
      <c r="E192" s="13">
        <f>'الإدارة المالية'!K11</f>
        <v/>
      </c>
      <c r="F192" s="15">
        <f>'الإدارة المالية'!L11</f>
        <v/>
      </c>
      <c r="G192" s="47">
        <f>'الإدارة المالية'!N11</f>
        <v/>
      </c>
      <c r="H192" s="15">
        <f>'الإدارة المالية'!O11</f>
        <v/>
      </c>
      <c r="I192" s="68">
        <f>'الإدارة المالية'!G11</f>
        <v/>
      </c>
      <c r="J192" s="15">
        <f>IF($G192="",0,$G192*$I192)</f>
        <v/>
      </c>
      <c r="K192" s="15">
        <f>IF($G192="",0,$I192)</f>
        <v/>
      </c>
    </row>
    <row r="193">
      <c r="A193" s="15" t="n">
        <v>192</v>
      </c>
      <c r="B193" s="13" t="inlineStr">
        <is>
          <t>الإدارة المالية</t>
        </is>
      </c>
      <c r="C193" s="13">
        <f>'الإدارة المالية'!C12</f>
        <v/>
      </c>
      <c r="D193" s="15">
        <f>'الإدارة المالية'!J12</f>
        <v/>
      </c>
      <c r="E193" s="13">
        <f>'الإدارة المالية'!K12</f>
        <v/>
      </c>
      <c r="F193" s="15">
        <f>'الإدارة المالية'!L12</f>
        <v/>
      </c>
      <c r="G193" s="47">
        <f>'الإدارة المالية'!N12</f>
        <v/>
      </c>
      <c r="H193" s="15">
        <f>'الإدارة المالية'!O12</f>
        <v/>
      </c>
      <c r="I193" s="68">
        <f>'الإدارة المالية'!G12</f>
        <v/>
      </c>
      <c r="J193" s="15">
        <f>IF($G193="",0,$G193*$I193)</f>
        <v/>
      </c>
      <c r="K193" s="15">
        <f>IF($G193="",0,$I193)</f>
        <v/>
      </c>
    </row>
    <row r="194">
      <c r="A194" s="15" t="n">
        <v>193</v>
      </c>
      <c r="B194" s="13" t="inlineStr">
        <is>
          <t>الإدارة المالية</t>
        </is>
      </c>
      <c r="C194" s="13">
        <f>'الإدارة المالية'!C13</f>
        <v/>
      </c>
      <c r="D194" s="15">
        <f>'الإدارة المالية'!J13</f>
        <v/>
      </c>
      <c r="E194" s="13">
        <f>'الإدارة المالية'!K13</f>
        <v/>
      </c>
      <c r="F194" s="15">
        <f>'الإدارة المالية'!L13</f>
        <v/>
      </c>
      <c r="G194" s="47">
        <f>'الإدارة المالية'!N13</f>
        <v/>
      </c>
      <c r="H194" s="15">
        <f>'الإدارة المالية'!O13</f>
        <v/>
      </c>
      <c r="I194" s="68">
        <f>'الإدارة المالية'!G13</f>
        <v/>
      </c>
      <c r="J194" s="15">
        <f>IF($G194="",0,$G194*$I194)</f>
        <v/>
      </c>
      <c r="K194" s="15">
        <f>IF($G194="",0,$I194)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المالية'!C14</f>
        <v/>
      </c>
      <c r="D195" s="15">
        <f>'الإدارة المالية'!J14</f>
        <v/>
      </c>
      <c r="E195" s="13">
        <f>'الإدارة المالية'!K14</f>
        <v/>
      </c>
      <c r="F195" s="15">
        <f>'الإدارة المالية'!L14</f>
        <v/>
      </c>
      <c r="G195" s="47">
        <f>'الإدارة المالية'!N14</f>
        <v/>
      </c>
      <c r="H195" s="15">
        <f>'الإدارة المالية'!O14</f>
        <v/>
      </c>
      <c r="I195" s="68">
        <f>'الإدارة المالية'!G14</f>
        <v/>
      </c>
      <c r="J195" s="15">
        <f>IF($G195="",0,$G195*$I195)</f>
        <v/>
      </c>
      <c r="K195" s="15">
        <f>IF($G195="",0,$I195)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المالية'!C15</f>
        <v/>
      </c>
      <c r="D196" s="15">
        <f>'الإدارة المالية'!J15</f>
        <v/>
      </c>
      <c r="E196" s="13">
        <f>'الإدارة المالية'!K15</f>
        <v/>
      </c>
      <c r="F196" s="15">
        <f>'الإدارة المالية'!L15</f>
        <v/>
      </c>
      <c r="G196" s="47">
        <f>'الإدارة المالية'!N15</f>
        <v/>
      </c>
      <c r="H196" s="15">
        <f>'الإدارة المالية'!O15</f>
        <v/>
      </c>
      <c r="I196" s="68">
        <f>'الإدارة المالية'!G15</f>
        <v/>
      </c>
      <c r="J196" s="15">
        <f>IF($G196="",0,$G196*$I196)</f>
        <v/>
      </c>
      <c r="K196" s="15">
        <f>IF($G196="",0,$I196)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المالية'!C16</f>
        <v/>
      </c>
      <c r="D197" s="15">
        <f>'الإدارة المالية'!J16</f>
        <v/>
      </c>
      <c r="E197" s="13">
        <f>'الإدارة المالية'!K16</f>
        <v/>
      </c>
      <c r="F197" s="15">
        <f>'الإدارة المالية'!L16</f>
        <v/>
      </c>
      <c r="G197" s="47">
        <f>'الإدارة المالية'!N16</f>
        <v/>
      </c>
      <c r="H197" s="15">
        <f>'الإدارة المالية'!O16</f>
        <v/>
      </c>
      <c r="I197" s="68">
        <f>'الإدارة المالية'!G16</f>
        <v/>
      </c>
      <c r="J197" s="15">
        <f>IF($G197="",0,$G197*$I197)</f>
        <v/>
      </c>
      <c r="K197" s="15">
        <f>IF($G197="",0,$I197)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المالية'!C17</f>
        <v/>
      </c>
      <c r="D198" s="15">
        <f>'الإدارة المالية'!J17</f>
        <v/>
      </c>
      <c r="E198" s="13">
        <f>'الإدارة المالية'!K17</f>
        <v/>
      </c>
      <c r="F198" s="15">
        <f>'الإدارة المالية'!L17</f>
        <v/>
      </c>
      <c r="G198" s="47">
        <f>'الإدارة المالية'!N17</f>
        <v/>
      </c>
      <c r="H198" s="15">
        <f>'الإدارة المالية'!O17</f>
        <v/>
      </c>
      <c r="I198" s="68">
        <f>'الإدارة المالية'!G17</f>
        <v/>
      </c>
      <c r="J198" s="15">
        <f>IF($G198="",0,$G198*$I198)</f>
        <v/>
      </c>
      <c r="K198" s="15">
        <f>IF($G198="",0,$I198)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المالية'!C18</f>
        <v/>
      </c>
      <c r="D199" s="15">
        <f>'الإدارة المالية'!J18</f>
        <v/>
      </c>
      <c r="E199" s="13">
        <f>'الإدارة المالية'!K18</f>
        <v/>
      </c>
      <c r="F199" s="15">
        <f>'الإدارة المالية'!L18</f>
        <v/>
      </c>
      <c r="G199" s="47">
        <f>'الإدارة المالية'!N18</f>
        <v/>
      </c>
      <c r="H199" s="15">
        <f>'الإدارة المالية'!O18</f>
        <v/>
      </c>
      <c r="I199" s="68">
        <f>'الإدارة المالية'!G18</f>
        <v/>
      </c>
      <c r="J199" s="15">
        <f>IF($G199="",0,$G199*$I199)</f>
        <v/>
      </c>
      <c r="K199" s="15">
        <f>IF($G199="",0,$I199)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المالية'!C19</f>
        <v/>
      </c>
      <c r="D200" s="15">
        <f>'الإدارة المالية'!J19</f>
        <v/>
      </c>
      <c r="E200" s="13">
        <f>'الإدارة المالية'!K19</f>
        <v/>
      </c>
      <c r="F200" s="15">
        <f>'الإدارة المالية'!L19</f>
        <v/>
      </c>
      <c r="G200" s="47">
        <f>'الإدارة المالية'!N19</f>
        <v/>
      </c>
      <c r="H200" s="15">
        <f>'الإدارة المالية'!O19</f>
        <v/>
      </c>
      <c r="I200" s="68">
        <f>'الإدارة المالية'!G19</f>
        <v/>
      </c>
      <c r="J200" s="15">
        <f>IF($G200="",0,$G200*$I200)</f>
        <v/>
      </c>
      <c r="K200" s="15">
        <f>IF($G200="",0,$I200)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المالية'!C20</f>
        <v/>
      </c>
      <c r="D201" s="15">
        <f>'الإدارة المالية'!J20</f>
        <v/>
      </c>
      <c r="E201" s="13">
        <f>'الإدارة المالية'!K20</f>
        <v/>
      </c>
      <c r="F201" s="15">
        <f>'الإدارة المالية'!L20</f>
        <v/>
      </c>
      <c r="G201" s="47">
        <f>'الإدارة المالية'!N20</f>
        <v/>
      </c>
      <c r="H201" s="15">
        <f>'الإدارة المالية'!O20</f>
        <v/>
      </c>
      <c r="I201" s="68">
        <f>'الإدارة المالية'!G20</f>
        <v/>
      </c>
      <c r="J201" s="15">
        <f>IF($G201="",0,$G201*$I201)</f>
        <v/>
      </c>
      <c r="K201" s="15">
        <f>IF($G201="",0,$I201)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المالية'!C21</f>
        <v/>
      </c>
      <c r="D202" s="15">
        <f>'الإدارة المالية'!J21</f>
        <v/>
      </c>
      <c r="E202" s="13">
        <f>'الإدارة المالية'!K21</f>
        <v/>
      </c>
      <c r="F202" s="15">
        <f>'الإدارة المالية'!L21</f>
        <v/>
      </c>
      <c r="G202" s="47">
        <f>'الإدارة المالية'!N21</f>
        <v/>
      </c>
      <c r="H202" s="15">
        <f>'الإدارة المالية'!O21</f>
        <v/>
      </c>
      <c r="I202" s="68">
        <f>'الإدارة المالية'!G21</f>
        <v/>
      </c>
      <c r="J202" s="15">
        <f>IF($G202="",0,$G202*$I202)</f>
        <v/>
      </c>
      <c r="K202" s="15">
        <f>IF($G202="",0,$I202)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المالية'!C22</f>
        <v/>
      </c>
      <c r="D203" s="15">
        <f>'الإدارة المالية'!J22</f>
        <v/>
      </c>
      <c r="E203" s="13">
        <f>'الإدارة المالية'!K22</f>
        <v/>
      </c>
      <c r="F203" s="15">
        <f>'الإدارة المالية'!L22</f>
        <v/>
      </c>
      <c r="G203" s="47">
        <f>'الإدارة المالية'!N22</f>
        <v/>
      </c>
      <c r="H203" s="15">
        <f>'الإدارة المالية'!O22</f>
        <v/>
      </c>
      <c r="I203" s="68">
        <f>'الإدارة المالية'!G22</f>
        <v/>
      </c>
      <c r="J203" s="15">
        <f>IF($G203="",0,$G203*$I203)</f>
        <v/>
      </c>
      <c r="K203" s="15">
        <f>IF($G203="",0,$I203)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المالية'!C23</f>
        <v/>
      </c>
      <c r="D204" s="15">
        <f>'الإدارة المالية'!J23</f>
        <v/>
      </c>
      <c r="E204" s="13">
        <f>'الإدارة المالية'!K23</f>
        <v/>
      </c>
      <c r="F204" s="15">
        <f>'الإدارة المالية'!L23</f>
        <v/>
      </c>
      <c r="G204" s="47">
        <f>'الإدارة المالية'!N23</f>
        <v/>
      </c>
      <c r="H204" s="15">
        <f>'الإدارة المالية'!O23</f>
        <v/>
      </c>
      <c r="I204" s="68">
        <f>'الإدارة المالية'!G23</f>
        <v/>
      </c>
      <c r="J204" s="15">
        <f>IF($G204="",0,$G204*$I204)</f>
        <v/>
      </c>
      <c r="K204" s="15">
        <f>IF($G204="",0,$I204)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المالية'!C24</f>
        <v/>
      </c>
      <c r="D205" s="15">
        <f>'الإدارة المالية'!J24</f>
        <v/>
      </c>
      <c r="E205" s="13">
        <f>'الإدارة المالية'!K24</f>
        <v/>
      </c>
      <c r="F205" s="15">
        <f>'الإدارة المالية'!L24</f>
        <v/>
      </c>
      <c r="G205" s="47">
        <f>'الإدارة المالية'!N24</f>
        <v/>
      </c>
      <c r="H205" s="15">
        <f>'الإدارة المالية'!O24</f>
        <v/>
      </c>
      <c r="I205" s="68">
        <f>'الإدارة المالية'!G24</f>
        <v/>
      </c>
      <c r="J205" s="15">
        <f>IF($G205="",0,$G205*$I205)</f>
        <v/>
      </c>
      <c r="K205" s="15">
        <f>IF($G205="",0,$I205)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المالية'!C25</f>
        <v/>
      </c>
      <c r="D206" s="15">
        <f>'الإدارة المالية'!J25</f>
        <v/>
      </c>
      <c r="E206" s="13">
        <f>'الإدارة المالية'!K25</f>
        <v/>
      </c>
      <c r="F206" s="15">
        <f>'الإدارة المالية'!L25</f>
        <v/>
      </c>
      <c r="G206" s="47">
        <f>'الإدارة المالية'!N25</f>
        <v/>
      </c>
      <c r="H206" s="15">
        <f>'الإدارة المالية'!O25</f>
        <v/>
      </c>
      <c r="I206" s="68">
        <f>'الإدارة المالية'!G25</f>
        <v/>
      </c>
      <c r="J206" s="15">
        <f>IF($G206="",0,$G206*$I206)</f>
        <v/>
      </c>
      <c r="K206" s="15">
        <f>IF($G206="",0,$I206)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المالية'!C26</f>
        <v/>
      </c>
      <c r="D207" s="15">
        <f>'الإدارة المالية'!J26</f>
        <v/>
      </c>
      <c r="E207" s="13">
        <f>'الإدارة المالية'!K26</f>
        <v/>
      </c>
      <c r="F207" s="15">
        <f>'الإدارة المالية'!L26</f>
        <v/>
      </c>
      <c r="G207" s="47">
        <f>'الإدارة المالية'!N26</f>
        <v/>
      </c>
      <c r="H207" s="15">
        <f>'الإدارة المالية'!O26</f>
        <v/>
      </c>
      <c r="I207" s="68">
        <f>'الإدارة المالية'!G26</f>
        <v/>
      </c>
      <c r="J207" s="15">
        <f>IF($G207="",0,$G207*$I207)</f>
        <v/>
      </c>
      <c r="K207" s="15">
        <f>IF($G207="",0,$I207)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المالية'!C27</f>
        <v/>
      </c>
      <c r="D208" s="15">
        <f>'الإدارة المالية'!J27</f>
        <v/>
      </c>
      <c r="E208" s="13">
        <f>'الإدارة المالية'!K27</f>
        <v/>
      </c>
      <c r="F208" s="15">
        <f>'الإدارة المالية'!L27</f>
        <v/>
      </c>
      <c r="G208" s="47">
        <f>'الإدارة المالية'!N27</f>
        <v/>
      </c>
      <c r="H208" s="15">
        <f>'الإدارة المالية'!O27</f>
        <v/>
      </c>
      <c r="I208" s="68">
        <f>'الإدارة المالية'!G27</f>
        <v/>
      </c>
      <c r="J208" s="15">
        <f>IF($G208="",0,$G208*$I208)</f>
        <v/>
      </c>
      <c r="K208" s="15">
        <f>IF($G208="",0,$I208)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2026-07-06T08:01:49Z</dcterms:created>
  <dcterms:modified xmlns:dcterms="http://purl.org/dc/terms/" xmlns:xsi="http://www.w3.org/2001/XMLSchema-instance" xsi:type="dcterms:W3CDTF">2026-07-06T08:01:51Z</dcterms:modified>
</cp:coreProperties>
</file>