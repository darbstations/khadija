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الانحراف'!$A$2:$M$160</definedName>
    <definedName name="_xlnm._FilterDatabase" localSheetId="7" hidden="1">'التتبّع الشهري'!$A$3:$X$213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المؤشرات'!$A$2:$N$212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والمحطات'!$A$3:$R$23</definedName>
    <definedName name="_xlnm._FilterDatabase" localSheetId="15" hidden="1">'الاستثمار'!$A$3:$R$19</definedName>
    <definedName name="_xlnm._FilterDatabase" localSheetId="16" hidden="1">'العقار'!$A$3:$R$22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'التسويق'!$A$3:$R$20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المؤشرات'!$G$2:$G$211,'قاعدة المؤشرات'!$D$2:$D$211,"النمو"),"—")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المؤشرات'!$G$2:$G$211,'قاعدة المؤشرات'!$D$2:$D$211,"الابتكار"),"—")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المؤشرات'!$G$2:$G$211,'قاعدة المؤشرات'!$D$2:$D$211,"الاستدامة"),"—")</f>
        <v/>
      </c>
      <c r="D10" s="11" t="inlineStr">
        <is>
          <t>وصول العلاقات العامة (PR)</t>
        </is>
      </c>
      <c r="E10" s="7" t="n"/>
      <c r="F10" s="12" t="n">
        <v>0.2142857142857143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 (Uptime)</t>
        </is>
      </c>
      <c r="E12" s="7" t="n"/>
      <c r="F12" s="12" t="n">
        <v>0.7222222222222222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والمحطات'!C9</f>
        <v/>
      </c>
      <c r="C16" s="22">
        <f>'التشغيل والمحطات'!I9</f>
        <v/>
      </c>
      <c r="D16" s="23">
        <f>'التشغيل والمحطات'!M9</f>
        <v/>
      </c>
      <c r="E16" s="10">
        <f>'التشغيل والمحطات'!N9</f>
        <v/>
      </c>
      <c r="F16" s="20">
        <f>'التشغيل والمحطات'!O9</f>
        <v/>
      </c>
      <c r="G16" s="24">
        <f>'التشغيل والمحطات'!G9</f>
        <v/>
      </c>
    </row>
    <row r="17" ht="22" customHeight="1">
      <c r="A17" s="20" t="n">
        <v>2</v>
      </c>
      <c r="B17" s="21">
        <f>'التشغيل والمحطات'!C10</f>
        <v/>
      </c>
      <c r="C17" s="22">
        <f>'التشغيل والمحطات'!I10</f>
        <v/>
      </c>
      <c r="D17" s="23">
        <f>'التشغيل والمحطات'!M10</f>
        <v/>
      </c>
      <c r="E17" s="10">
        <f>'التشغيل والمحطات'!N10</f>
        <v/>
      </c>
      <c r="F17" s="20">
        <f>'التشغيل والمحطات'!O10</f>
        <v/>
      </c>
      <c r="G17" s="24">
        <f>'التشغيل والمحطات'!G10</f>
        <v/>
      </c>
    </row>
    <row r="18" ht="22" customHeight="1">
      <c r="A18" s="20" t="n">
        <v>3</v>
      </c>
      <c r="B18" s="21">
        <f>'التشغيل والمحطات'!C13</f>
        <v/>
      </c>
      <c r="C18" s="22">
        <f>'التشغيل والمحطات'!I13</f>
        <v/>
      </c>
      <c r="D18" s="23">
        <f>'التشغيل والمحطات'!M13</f>
        <v/>
      </c>
      <c r="E18" s="10">
        <f>'التشغيل والمحطات'!N13</f>
        <v/>
      </c>
      <c r="F18" s="20">
        <f>'التشغيل والمحطات'!O13</f>
        <v/>
      </c>
      <c r="G18" s="24">
        <f>'التشغيل والمحطات'!G13</f>
        <v/>
      </c>
    </row>
    <row r="19" ht="22" customHeight="1">
      <c r="A19" s="20" t="n">
        <v>4</v>
      </c>
      <c r="B19" s="21">
        <f>'التشغيل والمحطات'!C17</f>
        <v/>
      </c>
      <c r="C19" s="22">
        <f>'التشغيل والمحطات'!I17</f>
        <v/>
      </c>
      <c r="D19" s="23">
        <f>'التشغيل والمحطات'!M17</f>
        <v/>
      </c>
      <c r="E19" s="10">
        <f>'التشغيل والمحطات'!N17</f>
        <v/>
      </c>
      <c r="F19" s="20">
        <f>'التشغيل والمحطات'!O17</f>
        <v/>
      </c>
      <c r="G19" s="24">
        <f>'التشغيل والمحطات'!G17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'التسويق'!C7</f>
        <v/>
      </c>
      <c r="C64" s="22">
        <f>'التسويق'!I7</f>
        <v/>
      </c>
      <c r="D64" s="23">
        <f>'التسويق'!M7</f>
        <v/>
      </c>
      <c r="E64" s="10">
        <f>'التسويق'!N7</f>
        <v/>
      </c>
      <c r="F64" s="20">
        <f>'التسويق'!O7</f>
        <v/>
      </c>
      <c r="G64" s="24">
        <f>'التسويق'!G7</f>
        <v/>
      </c>
    </row>
    <row r="65" ht="22" customHeight="1">
      <c r="A65" s="20" t="n">
        <v>2</v>
      </c>
      <c r="B65" s="21">
        <f>'التسويق'!C5</f>
        <v/>
      </c>
      <c r="C65" s="22">
        <f>'التسويق'!I5</f>
        <v/>
      </c>
      <c r="D65" s="23">
        <f>'التسويق'!M5</f>
        <v/>
      </c>
      <c r="E65" s="10">
        <f>'التسويق'!N5</f>
        <v/>
      </c>
      <c r="F65" s="20">
        <f>'التسويق'!O5</f>
        <v/>
      </c>
      <c r="G65" s="24">
        <f>'التسويق'!G5</f>
        <v/>
      </c>
    </row>
    <row r="66" ht="22" customHeight="1">
      <c r="A66" s="20" t="n">
        <v>3</v>
      </c>
      <c r="B66" s="21">
        <f>'التسويق'!C6</f>
        <v/>
      </c>
      <c r="C66" s="22">
        <f>'التسويق'!I6</f>
        <v/>
      </c>
      <c r="D66" s="23">
        <f>'التسويق'!M6</f>
        <v/>
      </c>
      <c r="E66" s="10">
        <f>'التسويق'!N6</f>
        <v/>
      </c>
      <c r="F66" s="20">
        <f>'التسويق'!O6</f>
        <v/>
      </c>
      <c r="G66" s="24">
        <f>'التسويق'!G6</f>
        <v/>
      </c>
    </row>
    <row r="67" ht="22" customHeight="1">
      <c r="A67" s="20" t="n">
        <v>4</v>
      </c>
      <c r="B67" s="21">
        <f>'التسويق'!C8</f>
        <v/>
      </c>
      <c r="C67" s="22">
        <f>'التسويق'!I8</f>
        <v/>
      </c>
      <c r="D67" s="23">
        <f>'التسويق'!M8</f>
        <v/>
      </c>
      <c r="E67" s="10">
        <f>'التسويق'!N8</f>
        <v/>
      </c>
      <c r="F67" s="20">
        <f>'التسويق'!O8</f>
        <v/>
      </c>
      <c r="G67" s="24">
        <f>'التسويق'!G8</f>
        <v/>
      </c>
    </row>
    <row r="68" ht="22" customHeight="1">
      <c r="A68" s="20" t="n">
        <v>5</v>
      </c>
      <c r="B68" s="21">
        <f>'التسويق'!C19</f>
        <v/>
      </c>
      <c r="C68" s="22">
        <f>'التسويق'!I19</f>
        <v/>
      </c>
      <c r="D68" s="23">
        <f>'التسويق'!M19</f>
        <v/>
      </c>
      <c r="E68" s="10">
        <f>'التسويق'!N19</f>
        <v/>
      </c>
      <c r="F68" s="20">
        <f>'التسويق'!O19</f>
        <v/>
      </c>
      <c r="G68" s="24">
        <f>'التسويق'!G19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المؤشرات'!$J$2:$J$211,'قاعدة المؤشرات'!$B$2:$B$211,"الإدارة التنفيذية",'قاعدة المؤشرات'!$L$2:$L$211,"النمو")/SUMIFS('قاعدة المؤشرات'!$K$2:$K$211,'قاعدة المؤشرات'!$B$2:$B$211,"الإدارة التنفيذية",'قاعدة المؤشرات'!$L$2:$L$211,"النمو"),"")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المؤشرات'!$G$2:$G$211,'قاعدة المؤشرات'!$B$2:$B$211,"الإدارة التنفيذية",'قاعدة المؤشرات'!$L$2:$L$211,"النمو"))</f>
        <v/>
      </c>
      <c r="H3" s="30">
        <f>COUNTIFS('قاعدة المؤشرات'!$H$2:$H$211,"🔴 تحت الهدف",'قاعدة المؤشرات'!$B$2:$B$211,"الإدارة التنفيذية",'قاعدة المؤشرات'!$L$2:$L$211,"النمو")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المؤشرات'!$J$2:$J$211,'قاعدة المؤشرات'!$B$2:$B$211,"الإدارة التنفيذية",'قاعدة المؤشرات'!$L$2:$L$211,"الابتكار")/SUMIFS('قاعدة المؤشرات'!$K$2:$K$211,'قاعدة المؤشرات'!$B$2:$B$211,"الإدارة التنفيذية",'قاعدة المؤشرات'!$L$2:$L$211,"الابتكار"),"")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المؤشرات'!$G$2:$G$211,'قاعدة المؤشرات'!$B$2:$B$211,"الإدارة التنفيذية",'قاعدة المؤشرات'!$L$2:$L$211,"الابتكار"))</f>
        <v/>
      </c>
      <c r="H4" s="30">
        <f>COUNTIFS('قاعدة المؤشرات'!$H$2:$H$211,"🔴 تحت الهدف",'قاعدة المؤشرات'!$B$2:$B$211,"الإدارة التنفيذية",'قاعدة المؤشرات'!$L$2:$L$211,"الابتكار")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المؤشرات'!$J$2:$J$211,'قاعدة المؤشرات'!$B$2:$B$211,"الإدارة التنفيذية",'قاعدة المؤشرات'!$L$2:$L$211,"الاستدامة")/SUMIFS('قاعدة المؤشرات'!$K$2:$K$211,'قاعدة المؤشرات'!$B$2:$B$211,"الإدارة التنفيذية",'قاعدة المؤشرات'!$L$2:$L$211,"الاستدامة"),"")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المؤشرات'!$G$2:$G$211,'قاعدة المؤشرات'!$B$2:$B$211,"الإدارة التنفيذية",'قاعدة المؤشرات'!$L$2:$L$211,"الاستدامة"))</f>
        <v/>
      </c>
      <c r="H5" s="30">
        <f>COUNTIFS('قاعدة المؤشرات'!$H$2:$H$211,"🔴 تحت الهدف",'قاعدة المؤشرات'!$B$2:$B$211,"الإدارة التنفيذية",'قاعدة المؤشرات'!$L$2:$L$211,"الاستدامة")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المؤشرات'!$J$2:$J$211,'قاعدة المؤشرات'!$B$2:$B$211,"الإدارة التنفيذية",'قاعدة المؤشرات'!$L$2:$L$211,"الحوكمة")/SUMIFS('قاعدة المؤشرات'!$K$2:$K$211,'قاعدة المؤشرات'!$B$2:$B$211,"الإدارة التنفيذية",'قاعدة المؤشرات'!$L$2:$L$211,"الحوكمة"),"")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المؤشرات'!$G$2:$G$211,'قاعدة المؤشرات'!$B$2:$B$211,"الإدارة التنفيذية",'قاعدة المؤشرات'!$L$2:$L$211,"الحوكمة"))</f>
        <v/>
      </c>
      <c r="H6" s="30">
        <f>COUNTIFS('قاعدة المؤشرات'!$H$2:$H$211,"🔴 تحت الهدف",'قاعدة المؤشرات'!$B$2:$B$211,"الإدارة التنفيذية",'قاعدة المؤشرات'!$L$2:$L$211,"الحوكمة")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المؤشرات'!$J$2:$J$211,'قاعدة المؤشرات'!$B$2:$B$211,"الامتياز التجاري",'قاعدة المؤشرات'!$L$2:$L$211,"النمو والتوسع")/SUMIFS('قاعدة المؤشرات'!$K$2:$K$211,'قاعدة المؤشرات'!$B$2:$B$211,"الامتياز التجاري",'قاعدة المؤشرات'!$L$2:$L$211,"النمو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المؤشرات'!$G$2:$G$211,'قاعدة المؤشرات'!$B$2:$B$211,"الامتياز التجاري",'قاعدة المؤشرات'!$L$2:$L$211,"النمو والتوسع"))</f>
        <v/>
      </c>
      <c r="H7" s="30">
        <f>COUNTIFS('قاعدة المؤشرات'!$H$2:$H$211,"🔴 تحت الهدف",'قاعدة المؤشرات'!$B$2:$B$211,"الامتياز التجاري",'قاعدة المؤشرات'!$L$2:$L$211,"النمو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المؤشرات'!$J$2:$J$211,'قاعدة المؤشرات'!$B$2:$B$211,"الامتياز التجاري",'قاعدة المؤشرات'!$L$2:$L$211,"المبيعات والأداء التجاري")/SUMIFS('قاعدة المؤشرات'!$K$2:$K$211,'قاعدة المؤشرات'!$B$2:$B$211,"الامتياز التجاري",'قاعدة المؤشرات'!$L$2:$L$211,"المبيعات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المؤشرات'!$G$2:$G$211,'قاعدة المؤشرات'!$B$2:$B$211,"الامتياز التجاري",'قاعدة المؤشرات'!$L$2:$L$211,"المبيعات والأداء التجاري"))</f>
        <v/>
      </c>
      <c r="H8" s="30">
        <f>COUNTIFS('قاعدة المؤشرات'!$H$2:$H$211,"🔴 تحت الهدف",'قاعدة المؤشرات'!$B$2:$B$211,"الامتياز التجاري",'قاعدة المؤشرات'!$L$2:$L$211,"المبيعات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المؤشرات'!$J$2:$J$211,'قاعدة المؤشرات'!$B$2:$B$211,"الامتياز التجاري",'قاعدة المؤشرات'!$L$2:$L$211,"الأداء المالي")/SUMIFS('قاعدة المؤشرات'!$K$2:$K$211,'قاعدة المؤشرات'!$B$2:$B$211,"الامتياز التجاري",'قاعدة المؤشرات'!$L$2:$L$211,"الأداء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المؤشرات'!$G$2:$G$211,'قاعدة المؤشرات'!$B$2:$B$211,"الامتياز التجاري",'قاعدة المؤشرات'!$L$2:$L$211,"الأداء المالي"))</f>
        <v/>
      </c>
      <c r="H9" s="30">
        <f>COUNTIFS('قاعدة المؤشرات'!$H$2:$H$211,"🔴 تحت الهدف",'قاعدة المؤشرات'!$B$2:$B$211,"الامتياز التجاري",'قاعدة المؤشرات'!$L$2:$L$211,"الأداء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المؤشرات'!$J$2:$J$211,'قاعدة المؤشرات'!$B$2:$B$211,"الامتياز التجاري",'قاعدة المؤشرات'!$L$2:$L$211,"التشغيل والجودة")/SUMIFS('قاعدة المؤشرات'!$K$2:$K$211,'قاعدة المؤشرات'!$B$2:$B$211,"الامتياز التجاري",'قاعدة المؤشرات'!$L$2:$L$211,"التشغيل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المؤشرات'!$G$2:$G$211,'قاعدة المؤشرات'!$B$2:$B$211,"الامتياز التجاري",'قاعدة المؤشرات'!$L$2:$L$211,"التشغيل والجودة"))</f>
        <v/>
      </c>
      <c r="H10" s="30">
        <f>COUNTIFS('قاعدة المؤشرات'!$H$2:$H$211,"🔴 تحت الهدف",'قاعدة المؤشرات'!$B$2:$B$211,"الامتياز التجاري",'قاعدة المؤشرات'!$L$2:$L$211,"التشغيل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المؤشرات'!$J$2:$J$211,'قاعدة المؤشرات'!$B$2:$B$211,"الامتياز التجاري",'قاعدة المؤشرات'!$L$2:$L$211,"الهوية والتسويق")/SUMIFS('قاعدة المؤشرات'!$K$2:$K$211,'قاعدة المؤشرات'!$B$2:$B$211,"الامتياز التجاري",'قاعدة المؤشرات'!$L$2:$L$211,"الهوية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المؤشرات'!$G$2:$G$211,'قاعدة المؤشرات'!$B$2:$B$211,"الامتياز التجاري",'قاعدة المؤشرات'!$L$2:$L$211,"الهوية والتسويق"))</f>
        <v/>
      </c>
      <c r="H11" s="30">
        <f>COUNTIFS('قاعدة المؤشرات'!$H$2:$H$211,"🔴 تحت الهدف",'قاعدة المؤشرات'!$B$2:$B$211,"الامتياز التجاري",'قاعدة المؤشرات'!$L$2:$L$211,"الهوية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المؤشرات'!$J$2:$J$211,'قاعدة المؤشرات'!$B$2:$B$211,"الامتياز التجاري",'قاعدة المؤشرات'!$L$2:$L$211,"تجربة العملاء والشركاء")/SUMIFS('قاعدة المؤشرات'!$K$2:$K$211,'قاعدة المؤشرات'!$B$2:$B$211,"الامتياز التجاري",'قاعدة المؤشرات'!$L$2:$L$211,"تجربة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المؤشرات'!$G$2:$G$211,'قاعدة المؤشرات'!$B$2:$B$211,"الامتياز التجاري",'قاعدة المؤشرات'!$L$2:$L$211,"تجربة العملاء والشركاء"))</f>
        <v/>
      </c>
      <c r="H12" s="30">
        <f>COUNTIFS('قاعدة المؤشرات'!$H$2:$H$211,"🔴 تحت الهدف",'قاعدة المؤشرات'!$B$2:$B$211,"الامتياز التجاري",'قاعدة المؤشرات'!$L$2:$L$211,"تجربة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المؤشرات'!$J$2:$J$211,'قاعدة المؤشرات'!$B$2:$B$211,"الامتياز التجاري",'قاعدة المؤشرات'!$L$2:$L$211,"استدامة الشراكة والامتثال")/SUMIFS('قاعدة المؤشرات'!$K$2:$K$211,'قاعدة المؤشرات'!$B$2:$B$211,"الامتياز التجاري",'قاعدة المؤشرات'!$L$2:$L$211,"استدامة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المؤشرات'!$G$2:$G$211,'قاعدة المؤشرات'!$B$2:$B$211,"الامتياز التجاري",'قاعدة المؤشرات'!$L$2:$L$211,"استدامة الشراكة والامتثال"))</f>
        <v/>
      </c>
      <c r="H13" s="30">
        <f>COUNTIFS('قاعدة المؤشرات'!$H$2:$H$211,"🔴 تحت الهدف",'قاعدة المؤشرات'!$B$2:$B$211,"الامتياز التجاري",'قاعدة المؤشرات'!$L$2:$L$211,"استدامة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3</v>
      </c>
      <c r="E14" s="28">
        <f>IFERROR(SUMIFS('قاعدة المؤشرات'!$J$2:$J$211,'قاعدة المؤشرات'!$B$2:$B$211,"التشغيل والمحطات",'قاعدة المؤشرات'!$L$2:$L$211,"النمو والأداء والكفاءة التشغيلية")/SUMIFS('قاعدة المؤشرات'!$K$2:$K$211,'قاعدة المؤشرات'!$B$2:$B$211,"التشغيل والمحطات",'قاعدة المؤشرات'!$L$2:$L$211,"النمو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المؤشرات'!$G$2:$G$211,'قاعدة المؤشرات'!$B$2:$B$211,"التشغيل والمحطات",'قاعدة المؤشرات'!$L$2:$L$211,"النمو والأداء والكفاءة التشغيلية"))</f>
        <v/>
      </c>
      <c r="H14" s="30">
        <f>COUNTIFS('قاعدة المؤشرات'!$H$2:$H$211,"🔴 تحت الهدف",'قاعدة المؤشرات'!$B$2:$B$211,"التشغيل والمحطات",'قاعدة المؤشرات'!$L$2:$L$211,"النمو والأداء والكفاءة التشغيلية")</f>
        <v/>
      </c>
      <c r="I14" s="31" t="inlineStr">
        <is>
          <t>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المؤشرات'!$J$2:$J$211,'قاعدة المؤشرات'!$B$2:$B$211,"التشغيل والمحطات",'قاعدة المؤشرات'!$L$2:$L$211,"جودة التشغيل")/SUMIFS('قاعدة المؤشرات'!$K$2:$K$211,'قاعدة المؤشرات'!$B$2:$B$211,"التشغيل والمحطات",'قاعدة المؤشرات'!$L$2:$L$211,"جودة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المؤشرات'!$G$2:$G$211,'قاعدة المؤشرات'!$B$2:$B$211,"التشغيل والمحطات",'قاعدة المؤشرات'!$L$2:$L$211,"جودة التشغيل"))</f>
        <v/>
      </c>
      <c r="H15" s="30">
        <f>COUNTIFS('قاعدة المؤشرات'!$H$2:$H$211,"🔴 تحت الهدف",'قاعدة المؤشرات'!$B$2:$B$211,"التشغيل والمحطات",'قاعدة المؤشرات'!$L$2:$L$211,"جودة التشغيل")</f>
        <v/>
      </c>
      <c r="I15" s="31" t="inlineStr">
        <is>
          <t>مؤشر جودة التشغيل بالمحطات · نسبة الالتزام بإجراءات التشغيل القياسية SOPs · نسبة إغلاق الملاحظات التشغيلية ضمن SLA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المؤشرات'!$J$2:$J$211,'قاعدة المؤشرات'!$B$2:$B$211,"التشغيل والمحطات",'قاعدة المؤشرات'!$L$2:$L$211,"السلامة والتراخيص والامتثال")/SUMIFS('قاعدة المؤشرات'!$K$2:$K$211,'قاعدة المؤشرات'!$B$2:$B$211,"التشغيل والمحطات",'قاعدة المؤشرات'!$L$2:$L$211,"السلامة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المؤشرات'!$G$2:$G$211,'قاعدة المؤشرات'!$B$2:$B$211,"التشغيل والمحطات",'قاعدة المؤشرات'!$L$2:$L$211,"السلامة والتراخيص والامتثال"))</f>
        <v/>
      </c>
      <c r="H16" s="30">
        <f>COUNTIFS('قاعدة المؤشرات'!$H$2:$H$211,"🔴 تحت الهدف",'قاعدة المؤشرات'!$B$2:$B$211,"التشغيل والمحطات",'قاعدة المؤشرات'!$L$2:$L$211,"السلامة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المؤشرات'!$J$2:$J$211,'قاعدة المؤشرات'!$B$2:$B$211,"التشغيل والمحطات",'قاعدة المؤشرات'!$L$2:$L$211,"النظافة والبيئة والهوية البصرية")/SUMIFS('قاعدة المؤشرات'!$K$2:$K$211,'قاعدة المؤشرات'!$B$2:$B$211,"التشغيل والمحطات",'قاعدة المؤشرات'!$L$2:$L$211,"النظافة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المؤشرات'!$G$2:$G$211,'قاعدة المؤشرات'!$B$2:$B$211,"التشغيل والمحطات",'قاعدة المؤشرات'!$L$2:$L$211,"النظافة والبيئة والهوية البصرية"))</f>
        <v/>
      </c>
      <c r="H17" s="30">
        <f>COUNTIFS('قاعدة المؤشرات'!$H$2:$H$211,"🔴 تحت الهدف",'قاعدة المؤشرات'!$B$2:$B$211,"التشغيل والمحطات",'قاعدة المؤشرات'!$L$2:$L$211,"النظافة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المؤشرات'!$J$2:$J$211,'قاعدة المؤشرات'!$B$2:$B$211,"التشغيل والمحطات",'قاعدة المؤشرات'!$L$2:$L$211,"تجربة العميل والرضا")/SUMIFS('قاعدة المؤشرات'!$K$2:$K$211,'قاعدة المؤشرات'!$B$2:$B$211,"التشغيل والمحطات",'قاعدة المؤشرات'!$L$2:$L$211,"تجربة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المؤشرات'!$G$2:$G$211,'قاعدة المؤشرات'!$B$2:$B$211,"التشغيل والمحطات",'قاعدة المؤشرات'!$L$2:$L$211,"تجربة العميل والرضا"))</f>
        <v/>
      </c>
      <c r="H18" s="30">
        <f>COUNTIFS('قاعدة المؤشرات'!$H$2:$H$211,"🔴 تحت الهدف",'قاعدة المؤشرات'!$B$2:$B$211,"التشغيل والمحطات",'قاعدة المؤشرات'!$L$2:$L$211,"تجربة العميل والرضا")</f>
        <v/>
      </c>
      <c r="I18" s="31" t="inlineStr">
        <is>
          <t>انخفاض معدل الشكاوى التشغيلية · نسبة حل الشكاوى التشغيلية خلال المدة المحددة SLA · متوسط تقييم المحطات على خرائط Google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المؤشرات'!$J$2:$J$211,'قاعدة المؤشرات'!$B$2:$B$211,"الاستثمار",'قاعدة المؤشرات'!$L$2:$L$211,"الفرص والنمو")/SUMIFS('قاعدة المؤشرات'!$K$2:$K$211,'قاعدة المؤشرات'!$B$2:$B$211,"الاستثمار",'قاعدة المؤشرات'!$L$2:$L$211,"الفرص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المؤشرات'!$G$2:$G$211,'قاعدة المؤشرات'!$B$2:$B$211,"الاستثمار",'قاعدة المؤشرات'!$L$2:$L$211,"الفرص والنمو"))</f>
        <v/>
      </c>
      <c r="H19" s="30">
        <f>COUNTIFS('قاعدة المؤشرات'!$H$2:$H$211,"🔴 تحت الهدف",'قاعدة المؤشرات'!$B$2:$B$211,"الاستثمار",'قاعدة المؤشرات'!$L$2:$L$211,"الفرص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المؤشرات'!$J$2:$J$211,'قاعدة المؤشرات'!$B$2:$B$211,"الاستثمار",'قاعدة المؤشرات'!$L$2:$L$211,"العائد والربحية")/SUMIFS('قاعدة المؤشرات'!$K$2:$K$211,'قاعدة المؤشرات'!$B$2:$B$211,"الاستثمار",'قاعدة المؤشرات'!$L$2:$L$211,"العائد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المؤشرات'!$G$2:$G$211,'قاعدة المؤشرات'!$B$2:$B$211,"الاستثمار",'قاعدة المؤشرات'!$L$2:$L$211,"العائد والربحية"))</f>
        <v/>
      </c>
      <c r="H20" s="30">
        <f>COUNTIFS('قاعدة المؤشرات'!$H$2:$H$211,"🔴 تحت الهدف",'قاعدة المؤشرات'!$B$2:$B$211,"الاستثمار",'قاعدة المؤشرات'!$L$2:$L$211,"العائد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المؤشرات'!$J$2:$J$211,'قاعدة المؤشرات'!$B$2:$B$211,"الاستثمار",'قاعدة المؤشرات'!$L$2:$L$211,"الكفاءة التشغيلية")/SUMIFS('قاعدة المؤشرات'!$K$2:$K$211,'قاعدة المؤشرات'!$B$2:$B$211,"الاستثمار",'قاعدة المؤشرات'!$L$2:$L$211,"الكفاءة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المؤشرات'!$G$2:$G$211,'قاعدة المؤشرات'!$B$2:$B$211,"الاستثمار",'قاعدة المؤشرات'!$L$2:$L$211,"الكفاءة التشغيلية"))</f>
        <v/>
      </c>
      <c r="H21" s="30">
        <f>COUNTIFS('قاعدة المؤشرات'!$H$2:$H$211,"🔴 تحت الهدف",'قاعدة المؤشرات'!$B$2:$B$211,"الاستثمار",'قاعدة المؤشرات'!$L$2:$L$211,"الكفاءة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المؤشرات'!$J$2:$J$211,'قاعدة المؤشرات'!$B$2:$B$211,"الاستثمار",'قاعدة المؤشرات'!$L$2:$L$211,"الجودة الإدارية والامتثال")/SUMIFS('قاعدة المؤشرات'!$K$2:$K$211,'قاعدة المؤشرات'!$B$2:$B$211,"الاستثمار",'قاعدة المؤشرات'!$L$2:$L$211,"الجودة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المؤشرات'!$G$2:$G$211,'قاعدة المؤشرات'!$B$2:$B$211,"الاستثمار",'قاعدة المؤشرات'!$L$2:$L$211,"الجودة الإدارية والامتثال"))</f>
        <v/>
      </c>
      <c r="H22" s="30">
        <f>COUNTIFS('قاعدة المؤشرات'!$H$2:$H$211,"🔴 تحت الهدف",'قاعدة المؤشرات'!$B$2:$B$211,"الاستثمار",'قاعدة المؤشرات'!$L$2:$L$211,"الجودة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المؤشرات'!$J$2:$J$211,'قاعدة المؤشرات'!$B$2:$B$211,"الاستثمار",'قاعدة المؤشرات'!$L$2:$L$211,"رضا المستثمرين")/SUMIFS('قاعدة المؤشرات'!$K$2:$K$211,'قاعدة المؤشرات'!$B$2:$B$211,"الاستثمار",'قاعدة المؤشرات'!$L$2:$L$211,"رضا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المؤشرات'!$G$2:$G$211,'قاعدة المؤشرات'!$B$2:$B$211,"الاستثمار",'قاعدة المؤشرات'!$L$2:$L$211,"رضا المستثمرين"))</f>
        <v/>
      </c>
      <c r="H23" s="30">
        <f>COUNTIFS('قاعدة المؤشرات'!$H$2:$H$211,"🔴 تحت الهدف",'قاعدة المؤشرات'!$B$2:$B$211,"الاستثمار",'قاعدة المؤشرات'!$L$2:$L$211,"رضا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6</v>
      </c>
      <c r="E24" s="28">
        <f>IFERROR(SUMIFS('قاعدة المؤشرات'!$J$2:$J$211,'قاعدة المؤشرات'!$B$2:$B$211,"العقار",'قاعدة المؤشرات'!$L$2:$L$211,"التأجير والإشغال")/SUMIFS('قاعدة المؤشرات'!$K$2:$K$211,'قاعدة المؤشرات'!$B$2:$B$211,"العقار",'قاعدة المؤشرات'!$L$2:$L$211,"التأجير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المؤشرات'!$G$2:$G$211,'قاعدة المؤشرات'!$B$2:$B$211,"العقار",'قاعدة المؤشرات'!$L$2:$L$211,"التأجير والإشغال"))</f>
        <v/>
      </c>
      <c r="H24" s="30">
        <f>COUNTIFS('قاعدة المؤشرات'!$H$2:$H$211,"🔴 تحت الهدف",'قاعدة المؤشرات'!$B$2:$B$211,"العقار",'قاعدة المؤشرات'!$L$2:$L$211,"التأجير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نمو الإيراد الإيجاري لكل م² (ARPU) · متوسط مدة تأجير الوحدة الشاغرة (Time-to-Lease)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المؤشرات'!$J$2:$J$211,'قاعدة المؤشرات'!$B$2:$B$211,"العقار",'قاعدة المؤشرات'!$L$2:$L$211,"كفاءة التحصيل")/SUMIFS('قاعدة المؤشرات'!$K$2:$K$211,'قاعدة المؤشرات'!$B$2:$B$211,"العقار",'قاعدة المؤشرات'!$L$2:$L$211,"كفاءة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المؤشرات'!$G$2:$G$211,'قاعدة المؤشرات'!$B$2:$B$211,"العقار",'قاعدة المؤشرات'!$L$2:$L$211,"كفاءة التحصيل"))</f>
        <v/>
      </c>
      <c r="H25" s="30">
        <f>COUNTIFS('قاعدة المؤشرات'!$H$2:$H$211,"🔴 تحت الهدف",'قاعدة المؤشرات'!$B$2:$B$211,"العقار",'قاعدة المؤشرات'!$L$2:$L$211,"كفاءة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المؤشرات'!$J$2:$J$211,'قاعدة المؤشرات'!$B$2:$B$211,"العقار",'قاعدة المؤشرات'!$L$2:$L$211,"تشغيل وخدمة الوحدات")/SUMIFS('قاعدة المؤشرات'!$K$2:$K$211,'قاعدة المؤشرات'!$B$2:$B$211,"العقار",'قاعدة المؤشرات'!$L$2:$L$211,"تشغيل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المؤشرات'!$G$2:$G$211,'قاعدة المؤشرات'!$B$2:$B$211,"العقار",'قاعدة المؤشرات'!$L$2:$L$211,"تشغيل وخدمة الوحدات"))</f>
        <v/>
      </c>
      <c r="H26" s="30">
        <f>COUNTIFS('قاعدة المؤشرات'!$H$2:$H$211,"🔴 تحت الهدف",'قاعدة المؤشرات'!$B$2:$B$211,"العقار",'قاعدة المؤشرات'!$L$2:$L$211,"تشغيل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المؤشرات'!$J$2:$J$211,'قاعدة المؤشرات'!$B$2:$B$211,"العقار",'قاعدة المؤشرات'!$L$2:$L$211,"رضا واستبقاء المستأجرين")/SUMIFS('قاعدة المؤشرات'!$K$2:$K$211,'قاعدة المؤشرات'!$B$2:$B$211,"العقار",'قاعدة المؤشرات'!$L$2:$L$211,"رضا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المؤشرات'!$G$2:$G$211,'قاعدة المؤشرات'!$B$2:$B$211,"العقار",'قاعدة المؤشرات'!$L$2:$L$211,"رضا واستبقاء المستأجرين"))</f>
        <v/>
      </c>
      <c r="H27" s="30">
        <f>COUNTIFS('قاعدة المؤشرات'!$H$2:$H$211,"🔴 تحت الهدف",'قاعدة المؤشرات'!$B$2:$B$211,"العقار",'قاعدة المؤشرات'!$L$2:$L$211,"رضا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المؤشرات'!$J$2:$J$211,'قاعدة المؤشرات'!$B$2:$B$211,"العقار",'قاعدة المؤشرات'!$L$2:$L$211,"ساحات درب")/SUMIFS('قاعدة المؤشرات'!$K$2:$K$211,'قاعدة المؤشرات'!$B$2:$B$211,"العقار",'قاعدة المؤشرات'!$L$2:$L$211,"ساحات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المؤشرات'!$G$2:$G$211,'قاعدة المؤشرات'!$B$2:$B$211,"العقار",'قاعدة المؤشرات'!$L$2:$L$211,"ساحات درب"))</f>
        <v/>
      </c>
      <c r="H28" s="30">
        <f>COUNTIFS('قاعدة المؤشرات'!$H$2:$H$211,"🔴 تحت الهدف",'قاعدة المؤشرات'!$B$2:$B$211,"العقار",'قاعدة المؤشرات'!$L$2:$L$211,"ساحات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المؤشرات'!$J$2:$J$211,'قاعدة المؤشرات'!$B$2:$B$211,"إدارة المشاريع",'قاعدة المؤشرات'!$L$2:$L$211,"تسليم محطات الشركة")/SUMIFS('قاعدة المؤشرات'!$K$2:$K$211,'قاعدة المؤشرات'!$B$2:$B$211,"إدارة المشاريع",'قاعدة المؤشرات'!$L$2:$L$211,"تسليم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المؤشرات'!$G$2:$G$211,'قاعدة المؤشرات'!$B$2:$B$211,"إدارة المشاريع",'قاعدة المؤشرات'!$L$2:$L$211,"تسليم محطات الشركة"))</f>
        <v/>
      </c>
      <c r="H29" s="30">
        <f>COUNTIFS('قاعدة المؤشرات'!$H$2:$H$211,"🔴 تحت الهدف",'قاعدة المؤشرات'!$B$2:$B$211,"إدارة المشاريع",'قاعدة المؤشرات'!$L$2:$L$211,"تسليم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المؤشرات'!$J$2:$J$211,'قاعدة المؤشرات'!$B$2:$B$211,"إدارة المشاريع",'قاعدة المؤشرات'!$L$2:$L$211,"الإشراف على الامتياز")/SUMIFS('قاعدة المؤشرات'!$K$2:$K$211,'قاعدة المؤشرات'!$B$2:$B$211,"إدارة المشاريع",'قاعدة المؤشرات'!$L$2:$L$211,"الإشراف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المؤشرات'!$G$2:$G$211,'قاعدة المؤشرات'!$B$2:$B$211,"إدارة المشاريع",'قاعدة المؤشرات'!$L$2:$L$211,"الإشراف على الامتياز"))</f>
        <v/>
      </c>
      <c r="H30" s="30">
        <f>COUNTIFS('قاعدة المؤشرات'!$H$2:$H$211,"🔴 تحت الهدف",'قاعدة المؤشرات'!$B$2:$B$211,"إدارة المشاريع",'قاعدة المؤشرات'!$L$2:$L$211,"الإشراف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المؤشرات'!$J$2:$J$211,'قاعدة المؤشرات'!$B$2:$B$211,"إدارة المشاريع",'قاعدة المؤشرات'!$L$2:$L$211,"الجودة والمقاولون")/SUMIFS('قاعدة المؤشرات'!$K$2:$K$211,'قاعدة المؤشرات'!$B$2:$B$211,"إدارة المشاريع",'قاعدة المؤشرات'!$L$2:$L$211,"الجودة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المؤشرات'!$G$2:$G$211,'قاعدة المؤشرات'!$B$2:$B$211,"إدارة المشاريع",'قاعدة المؤشرات'!$L$2:$L$211,"الجودة والمقاولون"))</f>
        <v/>
      </c>
      <c r="H31" s="30">
        <f>COUNTIFS('قاعدة المؤشرات'!$H$2:$H$211,"🔴 تحت الهدف",'قاعدة المؤشرات'!$B$2:$B$211,"إدارة المشاريع",'قاعدة المؤشرات'!$L$2:$L$211,"الجودة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المؤشرات'!$J$2:$J$211,'قاعدة المؤشرات'!$B$2:$B$211,"إدارة المشاريع",'قاعدة المؤشرات'!$L$2:$L$211,"الالتزام بالخطة")/SUMIFS('قاعدة المؤشرات'!$K$2:$K$211,'قاعدة المؤشرات'!$B$2:$B$211,"إدارة المشاريع",'قاعدة المؤشرات'!$L$2:$L$211,"الالتزام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المؤشرات'!$G$2:$G$211,'قاعدة المؤشرات'!$B$2:$B$211,"إدارة المشاريع",'قاعدة المؤشرات'!$L$2:$L$211,"الالتزام بالخطة"))</f>
        <v/>
      </c>
      <c r="H32" s="30">
        <f>COUNTIFS('قاعدة المؤشرات'!$H$2:$H$211,"🔴 تحت الهدف",'قاعدة المؤشرات'!$B$2:$B$211,"إدارة المشاريع",'قاعدة المؤشرات'!$L$2:$L$211,"الالتزام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المؤشرات'!$J$2:$J$211,'قاعدة المؤشرات'!$B$2:$B$211,"إدارة المشاريع",'قاعدة المؤشرات'!$L$2:$L$211,"التصاميم وأوامر التغيير")/SUMIFS('قاعدة المؤشرات'!$K$2:$K$211,'قاعدة المؤشرات'!$B$2:$B$211,"إدارة المشاريع",'قاعدة المؤشرات'!$L$2:$L$211,"التصاميم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المؤشرات'!$G$2:$G$211,'قاعدة المؤشرات'!$B$2:$B$211,"إدارة المشاريع",'قاعدة المؤشرات'!$L$2:$L$211,"التصاميم وأوامر التغيير"))</f>
        <v/>
      </c>
      <c r="H33" s="30">
        <f>COUNTIFS('قاعدة المؤشرات'!$H$2:$H$211,"🔴 تحت الهدف",'قاعدة المؤشرات'!$B$2:$B$211,"إدارة المشاريع",'قاعدة المؤشرات'!$L$2:$L$211,"التصاميم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المؤشرات'!$J$2:$J$211,'قاعدة المؤشرات'!$B$2:$B$211,"سلاسل الإمداد",'قاعدة المؤشرات'!$L$2:$L$211,"خدمة العميل والتوفّر")/SUMIFS('قاعدة المؤشرات'!$K$2:$K$211,'قاعدة المؤشرات'!$B$2:$B$211,"سلاسل الإمداد",'قاعدة المؤشرات'!$L$2:$L$211,"خدمة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المؤشرات'!$G$2:$G$211,'قاعدة المؤشرات'!$B$2:$B$211,"سلاسل الإمداد",'قاعدة المؤشرات'!$L$2:$L$211,"خدمة العميل والتوفّر"))</f>
        <v/>
      </c>
      <c r="H34" s="30">
        <f>COUNTIFS('قاعدة المؤشرات'!$H$2:$H$211,"🔴 تحت الهدف",'قاعدة المؤشرات'!$B$2:$B$211,"سلاسل الإمداد",'قاعدة المؤشرات'!$L$2:$L$211,"خدمة العميل والتوفّر")</f>
        <v/>
      </c>
      <c r="I34" s="31" t="inlineStr">
        <is>
          <t>نسبة تلبية طلبات المحطات من الوقود Fill Rate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المؤشرات'!$J$2:$J$211,'قاعدة المؤشرات'!$B$2:$B$211,"سلاسل الإمداد",'قاعدة المؤشرات'!$L$2:$L$211,"المخزون")/SUMIFS('قاعدة المؤشرات'!$K$2:$K$211,'قاعدة المؤشرات'!$B$2:$B$211,"سلاسل الإمداد",'قاعدة المؤشرات'!$L$2:$L$211,"المخزون"),"")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المؤشرات'!$G$2:$G$211,'قاعدة المؤشرات'!$B$2:$B$211,"سلاسل الإمداد",'قاعدة المؤشرات'!$L$2:$L$211,"المخزون"))</f>
        <v/>
      </c>
      <c r="H35" s="30">
        <f>COUNTIFS('قاعدة المؤشرات'!$H$2:$H$211,"🔴 تحت الهدف",'قاعدة المؤشرات'!$B$2:$B$211,"سلاسل الإمداد",'قاعدة المؤشرات'!$L$2:$L$211,"المخزون")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المؤشرات'!$J$2:$J$211,'قاعدة المؤشرات'!$B$2:$B$211,"سلاسل الإمداد",'قاعدة المؤشرات'!$L$2:$L$211,"المشتريات")/SUMIFS('قاعدة المؤشرات'!$K$2:$K$211,'قاعدة المؤشرات'!$B$2:$B$211,"سلاسل الإمداد",'قاعدة المؤشرات'!$L$2:$L$211,"المشتريات"),"")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المؤشرات'!$G$2:$G$211,'قاعدة المؤشرات'!$B$2:$B$211,"سلاسل الإمداد",'قاعدة المؤشرات'!$L$2:$L$211,"المشتريات"))</f>
        <v/>
      </c>
      <c r="H36" s="30">
        <f>COUNTIFS('قاعدة المؤشرات'!$H$2:$H$211,"🔴 تحت الهدف",'قاعدة المؤشرات'!$B$2:$B$211,"سلاسل الإمداد",'قاعدة المؤشرات'!$L$2:$L$211,"المشتريات")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المؤشرات'!$J$2:$J$211,'قاعدة المؤشرات'!$B$2:$B$211,"سلاسل الإمداد",'قاعدة المؤشرات'!$L$2:$L$211,"التوريد والتسليم")/SUMIFS('قاعدة المؤشرات'!$K$2:$K$211,'قاعدة المؤشرات'!$B$2:$B$211,"سلاسل الإمداد",'قاعدة المؤشرات'!$L$2:$L$211,"التوريد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المؤشرات'!$G$2:$G$211,'قاعدة المؤشرات'!$B$2:$B$211,"سلاسل الإمداد",'قاعدة المؤشرات'!$L$2:$L$211,"التوريد والتسليم"))</f>
        <v/>
      </c>
      <c r="H37" s="30">
        <f>COUNTIFS('قاعدة المؤشرات'!$H$2:$H$211,"🔴 تحت الهدف",'قاعدة المؤشرات'!$B$2:$B$211,"سلاسل الإمداد",'قاعدة المؤشرات'!$L$2:$L$211,"التوريد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المؤشرات'!$J$2:$J$211,'قاعدة المؤشرات'!$B$2:$B$211,"سلاسل الإمداد",'قاعدة المؤشرات'!$L$2:$L$211,"النقل والأسطول")/SUMIFS('قاعدة المؤشرات'!$K$2:$K$211,'قاعدة المؤشرات'!$B$2:$B$211,"سلاسل الإمداد",'قاعدة المؤشرات'!$L$2:$L$211,"النقل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المؤشرات'!$G$2:$G$211,'قاعدة المؤشرات'!$B$2:$B$211,"سلاسل الإمداد",'قاعدة المؤشرات'!$L$2:$L$211,"النقل والأسطول"))</f>
        <v/>
      </c>
      <c r="H38" s="30">
        <f>COUNTIFS('قاعدة المؤشرات'!$H$2:$H$211,"🔴 تحت الهدف",'قاعدة المؤشرات'!$B$2:$B$211,"سلاسل الإمداد",'قاعدة المؤشرات'!$L$2:$L$211,"النقل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المؤشرات'!$J$2:$J$211,'قاعدة المؤشرات'!$B$2:$B$211,"سلاسل الإمداد",'قاعدة المؤشرات'!$L$2:$L$211,"الموردون والرضا")/SUMIFS('قاعدة المؤشرات'!$K$2:$K$211,'قاعدة المؤشرات'!$B$2:$B$211,"سلاسل الإمداد",'قاعدة المؤشرات'!$L$2:$L$211,"الموردون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المؤشرات'!$G$2:$G$211,'قاعدة المؤشرات'!$B$2:$B$211,"سلاسل الإمداد",'قاعدة المؤشرات'!$L$2:$L$211,"الموردون والرضا"))</f>
        <v/>
      </c>
      <c r="H39" s="30">
        <f>COUNTIFS('قاعدة المؤشرات'!$H$2:$H$211,"🔴 تحت الهدف",'قاعدة المؤشرات'!$B$2:$B$211,"سلاسل الإمداد",'قاعدة المؤشرات'!$L$2:$L$211,"الموردون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المؤشرات'!$J$2:$J$211,'قاعدة المؤشرات'!$B$2:$B$211,"الصيانة والأتمتة",'قاعدة المؤشرات'!$L$2:$L$211,"جاهزية الأصول")/SUMIFS('قاعدة المؤشرات'!$K$2:$K$211,'قاعدة المؤشرات'!$B$2:$B$211,"الصيانة والأتمتة",'قاعدة المؤشرات'!$L$2:$L$211,"جاهزية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المؤشرات'!$G$2:$G$211,'قاعدة المؤشرات'!$B$2:$B$211,"الصيانة والأتمتة",'قاعدة المؤشرات'!$L$2:$L$211,"جاهزية الأصول"))</f>
        <v/>
      </c>
      <c r="H40" s="30">
        <f>COUNTIFS('قاعدة المؤشرات'!$H$2:$H$211,"🔴 تحت الهدف",'قاعدة المؤشرات'!$B$2:$B$211,"الصيانة والأتمتة",'قاعدة المؤشرات'!$L$2:$L$211,"جاهزية الأصول")</f>
        <v/>
      </c>
      <c r="I40" s="31" t="inlineStr">
        <is>
          <t>نسبة الجاهزية الفنية للأصول والمعدات (Availability) · نسبة تنفيذ الصيانة الوقائية في موعدها (PM)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المؤشرات'!$J$2:$J$211,'قاعدة المؤشرات'!$B$2:$B$211,"الصيانة والأتمتة",'قاعدة المؤشرات'!$L$2:$L$211,"الاستجابة والإصلاح")/SUMIFS('قاعدة المؤشرات'!$K$2:$K$211,'قاعدة المؤشرات'!$B$2:$B$211,"الصيانة والأتمتة",'قاعدة المؤشرات'!$L$2:$L$211,"الاستجابة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المؤشرات'!$G$2:$G$211,'قاعدة المؤشرات'!$B$2:$B$211,"الصيانة والأتمتة",'قاعدة المؤشرات'!$L$2:$L$211,"الاستجابة والإصلاح"))</f>
        <v/>
      </c>
      <c r="H41" s="30">
        <f>COUNTIFS('قاعدة المؤشرات'!$H$2:$H$211,"🔴 تحت الهدف",'قاعدة المؤشرات'!$B$2:$B$211,"الصيانة والأتمتة",'قاعدة المؤشرات'!$L$2:$L$211,"الاستجابة والإصلاح")</f>
        <v/>
      </c>
      <c r="I41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المؤشرات'!$J$2:$J$211,'قاعدة المؤشرات'!$B$2:$B$211,"الصيانة والأتمتة",'قاعدة المؤشرات'!$L$2:$L$211,"استمرارية التشغيل")/SUMIFS('قاعدة المؤشرات'!$K$2:$K$211,'قاعدة المؤشرات'!$B$2:$B$211,"الصيانة والأتمتة",'قاعدة المؤشرات'!$L$2:$L$211,"استمرارية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المؤشرات'!$G$2:$G$211,'قاعدة المؤشرات'!$B$2:$B$211,"الصيانة والأتمتة",'قاعدة المؤشرات'!$L$2:$L$211,"استمرارية التشغيل"))</f>
        <v/>
      </c>
      <c r="H42" s="30">
        <f>COUNTIFS('قاعدة المؤشرات'!$H$2:$H$211,"🔴 تحت الهدف",'قاعدة المؤشرات'!$B$2:$B$211,"الصيانة والأتمتة",'قاعدة المؤشرات'!$L$2:$L$211,"استمرارية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المؤشرات'!$J$2:$J$211,'قاعدة المؤشرات'!$B$2:$B$211,"الصيانة والأتمتة",'قاعدة المؤشرات'!$L$2:$L$211,"موثوقية الأتمتة")/SUMIFS('قاعدة المؤشرات'!$K$2:$K$211,'قاعدة المؤشرات'!$B$2:$B$211,"الصيانة والأتمتة",'قاعدة المؤشرات'!$L$2:$L$211,"موثوقية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المؤشرات'!$G$2:$G$211,'قاعدة المؤشرات'!$B$2:$B$211,"الصيانة والأتمتة",'قاعدة المؤشرات'!$L$2:$L$211,"موثوقية الأتمتة"))</f>
        <v/>
      </c>
      <c r="H43" s="30">
        <f>COUNTIFS('قاعدة المؤشرات'!$H$2:$H$211,"🔴 تحت الهدف",'قاعدة المؤشرات'!$B$2:$B$211,"الصيانة والأتمتة",'قاعدة المؤشرات'!$L$2:$L$211,"موثوقية الأتمتة")</f>
        <v/>
      </c>
      <c r="I43" s="31" t="inlineStr">
        <is>
          <t>نسبة التشغيل السليم لأنظمة الأتمتة (Uptime)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المؤشرات'!$J$2:$J$211,'قاعدة المؤشرات'!$B$2:$B$211,"الصيانة والأتمتة",'قاعدة المؤشرات'!$L$2:$L$211,"كفاءة التكاليف")/SUMIFS('قاعدة المؤشرات'!$K$2:$K$211,'قاعدة المؤشرات'!$B$2:$B$211,"الصيانة والأتمتة",'قاعدة المؤشرات'!$L$2:$L$211,"كفاءة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المؤشرات'!$G$2:$G$211,'قاعدة المؤشرات'!$B$2:$B$211,"الصيانة والأتمتة",'قاعدة المؤشرات'!$L$2:$L$211,"كفاءة التكاليف"))</f>
        <v/>
      </c>
      <c r="H44" s="30">
        <f>COUNTIFS('قاعدة المؤشرات'!$H$2:$H$211,"🔴 تحت الهدف",'قاعدة المؤشرات'!$B$2:$B$211,"الصيانة والأتمتة",'قاعدة المؤشرات'!$L$2:$L$211,"كفاءة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المؤشرات'!$J$2:$J$211,'قاعدة المؤشرات'!$B$2:$B$211,"التقنية الرقمية",'قاعدة المؤشرات'!$L$2:$L$211,"توفّر واستقرار الأنظمة")/SUMIFS('قاعدة المؤشرات'!$K$2:$K$211,'قاعدة المؤشرات'!$B$2:$B$211,"التقنية الرقمية",'قاعدة المؤشرات'!$L$2:$L$211,"توفّر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المؤشرات'!$G$2:$G$211,'قاعدة المؤشرات'!$B$2:$B$211,"التقنية الرقمية",'قاعدة المؤشرات'!$L$2:$L$211,"توفّر واستقرار الأنظمة"))</f>
        <v/>
      </c>
      <c r="H45" s="30">
        <f>COUNTIFS('قاعدة المؤشرات'!$H$2:$H$211,"🔴 تحت الهدف",'قاعدة المؤشرات'!$B$2:$B$211,"التقنية الرقمية",'قاعدة المؤشرات'!$L$2:$L$211,"توفّر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المؤشرات'!$J$2:$J$211,'قاعدة المؤشرات'!$B$2:$B$211,"التقنية الرقمية",'قاعدة المؤشرات'!$L$2:$L$211,"المشاريع التقنية")/SUMIFS('قاعدة المؤشرات'!$K$2:$K$211,'قاعدة المؤشرات'!$B$2:$B$211,"التقنية الرقمية",'قاعدة المؤشرات'!$L$2:$L$211,"المشاريع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المؤشرات'!$G$2:$G$211,'قاعدة المؤشرات'!$B$2:$B$211,"التقنية الرقمية",'قاعدة المؤشرات'!$L$2:$L$211,"المشاريع التقنية"))</f>
        <v/>
      </c>
      <c r="H46" s="30">
        <f>COUNTIFS('قاعدة المؤشرات'!$H$2:$H$211,"🔴 تحت الهدف",'قاعدة المؤشرات'!$B$2:$B$211,"التقنية الرقمية",'قاعدة المؤشرات'!$L$2:$L$211,"المشاريع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المؤشرات'!$J$2:$J$211,'قاعدة المؤشرات'!$B$2:$B$211,"التقنية الرقمية",'قاعدة المؤشرات'!$L$2:$L$211,"الأمن والصلاحيات")/SUMIFS('قاعدة المؤشرات'!$K$2:$K$211,'قاعدة المؤشرات'!$B$2:$B$211,"التقنية الرقمية",'قاعدة المؤشرات'!$L$2:$L$211,"الأمن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المؤشرات'!$G$2:$G$211,'قاعدة المؤشرات'!$B$2:$B$211,"التقنية الرقمية",'قاعدة المؤشرات'!$L$2:$L$211,"الأمن والصلاحيات"))</f>
        <v/>
      </c>
      <c r="H47" s="30">
        <f>COUNTIFS('قاعدة المؤشرات'!$H$2:$H$211,"🔴 تحت الهدف",'قاعدة المؤشرات'!$B$2:$B$211,"التقنية الرقمية",'قاعدة المؤشرات'!$L$2:$L$211,"الأمن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المؤشرات'!$J$2:$J$211,'قاعدة المؤشرات'!$B$2:$B$211,"التقنية الرقمية",'قاعدة المؤشرات'!$L$2:$L$211,"الحوكمة والبيانات")/SUMIFS('قاعدة المؤشرات'!$K$2:$K$211,'قاعدة المؤشرات'!$B$2:$B$211,"التقنية الرقمية",'قاعدة المؤشرات'!$L$2:$L$211,"الحوكمة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المؤشرات'!$G$2:$G$211,'قاعدة المؤشرات'!$B$2:$B$211,"التقنية الرقمية",'قاعدة المؤشرات'!$L$2:$L$211,"الحوكمة والبيانات"))</f>
        <v/>
      </c>
      <c r="H48" s="30">
        <f>COUNTIFS('قاعدة المؤشرات'!$H$2:$H$211,"🔴 تحت الهدف",'قاعدة المؤشرات'!$B$2:$B$211,"التقنية الرقمية",'قاعدة المؤشرات'!$L$2:$L$211,"الحوكمة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المؤشرات'!$J$2:$J$211,'قاعدة المؤشرات'!$B$2:$B$211,"التقنية الرقمية",'قاعدة المؤشرات'!$L$2:$L$211,"الصيانة والرضا")/SUMIFS('قاعدة المؤشرات'!$K$2:$K$211,'قاعدة المؤشرات'!$B$2:$B$211,"التقنية الرقمية",'قاعدة المؤشرات'!$L$2:$L$211,"الصيانة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المؤشرات'!$G$2:$G$211,'قاعدة المؤشرات'!$B$2:$B$211,"التقنية الرقمية",'قاعدة المؤشرات'!$L$2:$L$211,"الصيانة والرضا"))</f>
        <v/>
      </c>
      <c r="H49" s="30">
        <f>COUNTIFS('قاعدة المؤشرات'!$H$2:$H$211,"🔴 تحت الهدف",'قاعدة المؤشرات'!$B$2:$B$211,"التقنية الرقمية",'قاعدة المؤشرات'!$L$2:$L$211,"الصيانة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المؤشرات'!$J$2:$J$211,'قاعدة المؤشرات'!$B$2:$B$211,"الموارد البشرية",'قاعدة المؤشرات'!$L$2:$L$211,"الامتثال والالتزام")/SUMIFS('قاعدة المؤشرات'!$K$2:$K$211,'قاعدة المؤشرات'!$B$2:$B$211,"الموارد البشرية",'قاعدة المؤشرات'!$L$2:$L$211,"الامتثال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المؤشرات'!$G$2:$G$211,'قاعدة المؤشرات'!$B$2:$B$211,"الموارد البشرية",'قاعدة المؤشرات'!$L$2:$L$211,"الامتثال والالتزام"))</f>
        <v/>
      </c>
      <c r="H50" s="30">
        <f>COUNTIFS('قاعدة المؤشرات'!$H$2:$H$211,"🔴 تحت الهدف",'قاعدة المؤشرات'!$B$2:$B$211,"الموارد البشرية",'قاعدة المؤشرات'!$L$2:$L$211,"الامتثال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المؤشرات'!$J$2:$J$211,'قاعدة المؤشرات'!$B$2:$B$211,"الموارد البشرية",'قاعدة المؤشرات'!$L$2:$L$211,"خدمات الموظفين")/SUMIFS('قاعدة المؤشرات'!$K$2:$K$211,'قاعدة المؤشرات'!$B$2:$B$211,"الموارد البشرية",'قاعدة المؤشرات'!$L$2:$L$211,"خدمات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المؤشرات'!$G$2:$G$211,'قاعدة المؤشرات'!$B$2:$B$211,"الموارد البشرية",'قاعدة المؤشرات'!$L$2:$L$211,"خدمات الموظفين"))</f>
        <v/>
      </c>
      <c r="H51" s="30">
        <f>COUNTIFS('قاعدة المؤشرات'!$H$2:$H$211,"🔴 تحت الهدف",'قاعدة المؤشرات'!$B$2:$B$211,"الموارد البشرية",'قاعدة المؤشرات'!$L$2:$L$211,"خدمات الموظفين")</f>
        <v/>
      </c>
      <c r="I51" s="31" t="inlineStr">
        <is>
          <t>نسبة إنجاز معاملات شؤون الموظفين ضمن المدة المستهدفة SLA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المؤشرات'!$J$2:$J$211,'قاعدة المؤشرات'!$B$2:$B$211,"الموارد البشرية",'قاعدة المؤشرات'!$L$2:$L$211,"التشغيل والتغطية")/SUMIFS('قاعدة المؤشرات'!$K$2:$K$211,'قاعدة المؤشرات'!$B$2:$B$211,"الموارد البشرية",'قاعدة المؤشرات'!$L$2:$L$211,"التشغيل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المؤشرات'!$G$2:$G$211,'قاعدة المؤشرات'!$B$2:$B$211,"الموارد البشرية",'قاعدة المؤشرات'!$L$2:$L$211,"التشغيل والتغطية"))</f>
        <v/>
      </c>
      <c r="H52" s="30">
        <f>COUNTIFS('قاعدة المؤشرات'!$H$2:$H$211,"🔴 تحت الهدف",'قاعدة المؤشرات'!$B$2:$B$211,"الموارد البشرية",'قاعدة المؤشرات'!$L$2:$L$211,"التشغيل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المؤشرات'!$J$2:$J$211,'قاعدة المؤشرات'!$B$2:$B$211,"الموارد البشرية",'قاعدة المؤشرات'!$L$2:$L$211,"الاستقطاب")/SUMIFS('قاعدة المؤشرات'!$K$2:$K$211,'قاعدة المؤشرات'!$B$2:$B$211,"الموارد البشرية",'قاعدة المؤشرات'!$L$2:$L$211,"الاستقطاب"),"")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المؤشرات'!$G$2:$G$211,'قاعدة المؤشرات'!$B$2:$B$211,"الموارد البشرية",'قاعدة المؤشرات'!$L$2:$L$211,"الاستقطاب"))</f>
        <v/>
      </c>
      <c r="H53" s="30">
        <f>COUNTIFS('قاعدة المؤشرات'!$H$2:$H$211,"🔴 تحت الهدف",'قاعدة المؤشرات'!$B$2:$B$211,"الموارد البشرية",'قاعدة المؤشرات'!$L$2:$L$211,"الاستقطاب")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المؤشرات'!$J$2:$J$211,'قاعدة المؤشرات'!$B$2:$B$211,"الموارد البشرية",'قاعدة المؤشرات'!$L$2:$L$211,"التكلفة والرواتب")/SUMIFS('قاعدة المؤشرات'!$K$2:$K$211,'قاعدة المؤشرات'!$B$2:$B$211,"الموارد البشرية",'قاعدة المؤشرات'!$L$2:$L$211,"التكلفة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المؤشرات'!$G$2:$G$211,'قاعدة المؤشرات'!$B$2:$B$211,"الموارد البشرية",'قاعدة المؤشرات'!$L$2:$L$211,"التكلفة والرواتب"))</f>
        <v/>
      </c>
      <c r="H54" s="30">
        <f>COUNTIFS('قاعدة المؤشرات'!$H$2:$H$211,"🔴 تحت الهدف",'قاعدة المؤشرات'!$B$2:$B$211,"الموارد البشرية",'قاعدة المؤشرات'!$L$2:$L$211,"التكلفة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3</v>
      </c>
      <c r="E55" s="28">
        <f>IFERROR(SUMIFS('قاعدة المؤشرات'!$J$2:$J$211,'قاعدة المؤشرات'!$B$2:$B$211,"الموارد البشرية",'قاعدة المؤشرات'!$L$2:$L$211,"الاستقرار والتطوير")/SUMIFS('قاعدة المؤشرات'!$K$2:$K$211,'قاعدة المؤشرات'!$B$2:$B$211,"الموارد البشرية",'قاعدة المؤشرات'!$L$2:$L$211,"الاستقرار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المؤشرات'!$G$2:$G$211,'قاعدة المؤشرات'!$B$2:$B$211,"الموارد البشرية",'قاعدة المؤشرات'!$L$2:$L$211,"الاستقرار والتطوير"))</f>
        <v/>
      </c>
      <c r="H55" s="30">
        <f>COUNTIFS('قاعدة المؤشرات'!$H$2:$H$211,"🔴 تحت الهدف",'قاعدة المؤشرات'!$B$2:$B$211,"الموارد البشرية",'قاعدة المؤشرات'!$L$2:$L$211,"الاستقرار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4</v>
      </c>
      <c r="E56" s="28">
        <f>IFERROR(SUMIFS('قاعدة المؤشرات'!$J$2:$J$211,'قاعدة المؤشرات'!$B$2:$B$211,"التسويق",'قاعدة المؤشرات'!$L$2:$L$211,"الاكتساب والعائد")/SUMIFS('قاعدة المؤشرات'!$K$2:$K$211,'قاعدة المؤشرات'!$B$2:$B$211,"التسويق",'قاعدة المؤشرات'!$L$2:$L$211,"الاكتساب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المؤشرات'!$G$2:$G$211,'قاعدة المؤشرات'!$B$2:$B$211,"التسويق",'قاعدة المؤشرات'!$L$2:$L$211,"الاكتساب والعائد"))</f>
        <v/>
      </c>
      <c r="H56" s="30">
        <f>COUNTIFS('قاعدة المؤشرات'!$H$2:$H$211,"🔴 تحت الهدف",'قاعدة المؤشرات'!$B$2:$B$211,"التسويق",'قاعدة المؤشرات'!$L$2:$L$211,"الاكتساب والعائد")</f>
        <v/>
      </c>
      <c r="I56" s="31" t="inlineStr">
        <is>
          <t>عملاء تجاريون جدد · تكلفة اكتساب العميل (CAC) · العائد على الإنفاق التسويقي (ROMI)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المؤشرات'!$J$2:$J$211,'قاعدة المؤشرات'!$B$2:$B$211,"التسويق",'قاعدة المؤشرات'!$L$2:$L$211,"الوعي والوصول")/SUMIFS('قاعدة المؤشرات'!$K$2:$K$211,'قاعدة المؤشرات'!$B$2:$B$211,"التسويق",'قاعدة المؤشرات'!$L$2:$L$211,"الوعي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المؤشرات'!$G$2:$G$211,'قاعدة المؤشرات'!$B$2:$B$211,"التسويق",'قاعدة المؤشرات'!$L$2:$L$211,"الوعي والوصول"))</f>
        <v/>
      </c>
      <c r="H57" s="30">
        <f>COUNTIFS('قاعدة المؤشرات'!$H$2:$H$211,"🔴 تحت الهدف",'قاعدة المؤشرات'!$B$2:$B$211,"التسويق",'قاعدة المؤشرات'!$L$2:$L$211,"الوعي والوصول")</f>
        <v/>
      </c>
      <c r="I57" s="31" t="inlineStr">
        <is>
          <t>نمو الوصول المؤهل · وصول العلاقات العامة (PR)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المؤشرات'!$J$2:$J$211,'قاعدة المؤشرات'!$B$2:$B$211,"التسويق",'قاعدة المؤشرات'!$L$2:$L$211,"التفاعل والمجتمع")/SUMIFS('قاعدة المؤشرات'!$K$2:$K$211,'قاعدة المؤشرات'!$B$2:$B$211,"التسويق",'قاعدة المؤشرات'!$L$2:$L$211,"التفاعل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المؤشرات'!$G$2:$G$211,'قاعدة المؤشرات'!$B$2:$B$211,"التسويق",'قاعدة المؤشرات'!$L$2:$L$211,"التفاعل والمجتمع"))</f>
        <v/>
      </c>
      <c r="H58" s="30">
        <f>COUNTIFS('قاعدة المؤشرات'!$H$2:$H$211,"🔴 تحت الهدف",'قاعدة المؤشرات'!$B$2:$B$211,"التسويق",'قاعدة المؤشرات'!$L$2:$L$211,"التفاعل والمجتمع")</f>
        <v/>
      </c>
      <c r="I58" s="31" t="inlineStr">
        <is>
          <t>معدل التفاعل (Engagement)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المؤشرات'!$J$2:$J$211,'قاعدة المؤشرات'!$B$2:$B$211,"التسويق",'قاعدة المؤشرات'!$L$2:$L$211,"السمعة وتجربة العلامة")/SUMIFS('قاعدة المؤشرات'!$K$2:$K$211,'قاعدة المؤشرات'!$B$2:$B$211,"التسويق",'قاعدة المؤشرات'!$L$2:$L$211,"السمعة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المؤشرات'!$G$2:$G$211,'قاعدة المؤشرات'!$B$2:$B$211,"التسويق",'قاعدة المؤشرات'!$L$2:$L$211,"السمعة وتجربة العلامة"))</f>
        <v/>
      </c>
      <c r="H59" s="30">
        <f>COUNTIFS('قاعدة المؤشرات'!$H$2:$H$211,"🔴 تحت الهدف",'قاعدة المؤشرات'!$B$2:$B$211,"التسويق",'قاعدة المؤشرات'!$L$2:$L$211,"السمعة وتجربة العلامة")</f>
        <v/>
      </c>
      <c r="I59" s="31" t="inlineStr">
        <is>
          <t>نسبة الالتزام بالهوية البصرية · نسبة المشاعر الإيجابية للعلامة (Sentiment)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تانكي</t>
        </is>
      </c>
      <c r="D60" s="15" t="n">
        <v>2</v>
      </c>
      <c r="E60" s="28">
        <f>IFERROR(SUMIFS('قاعدة المؤشرات'!$J$2:$J$211,'قاعدة المؤشرات'!$B$2:$B$211,"التسويق",'قاعدة المؤشرات'!$L$2:$L$211,"نمو تطبيق تانكي")/SUMIFS('قاعدة المؤشرات'!$K$2:$K$211,'قاعدة المؤشرات'!$B$2:$B$211,"التسويق",'قاعدة المؤشرات'!$L$2:$L$211,"نمو تطبيق تانكي"),"")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المؤشرات'!$G$2:$G$211,'قاعدة المؤشرات'!$B$2:$B$211,"التسويق",'قاعدة المؤشرات'!$L$2:$L$211,"نمو تطبيق تانكي"))</f>
        <v/>
      </c>
      <c r="H60" s="30">
        <f>COUNTIFS('قاعدة المؤشرات'!$H$2:$H$211,"🔴 تحت الهدف",'قاعدة المؤشرات'!$B$2:$B$211,"التسويق",'قاعدة المؤشرات'!$L$2:$L$211,"نمو تطبيق تانكي")</f>
        <v/>
      </c>
      <c r="I60" s="31" t="inlineStr">
        <is>
          <t>المستخدمون النشطون شهرياً (MAU) · معدل احتفاظ مستخدمي تانكي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المؤشرات'!$J$2:$J$211,'قاعدة المؤشرات'!$B$2:$B$211,"الجودة",'قاعدة المؤشرات'!$L$2:$L$211,"الزيارات الميدانية ورفع الملاحظات")/SUMIFS('قاعدة المؤشرات'!$K$2:$K$211,'قاعدة المؤشرات'!$B$2:$B$211,"الجودة",'قاعدة المؤشرات'!$L$2:$L$211,"الزيارات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المؤشرات'!$G$2:$G$211,'قاعدة المؤشرات'!$B$2:$B$211,"الجودة",'قاعدة المؤشرات'!$L$2:$L$211,"الزيارات الميدانية ورفع الملاحظات"))</f>
        <v/>
      </c>
      <c r="H61" s="30">
        <f>COUNTIFS('قاعدة المؤشرات'!$H$2:$H$211,"🔴 تحت الهدف",'قاعدة المؤشرات'!$B$2:$B$211,"الجودة",'قاعدة المؤشرات'!$L$2:$L$211,"الزيارات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المؤشرات'!$J$2:$J$211,'قاعدة المؤشرات'!$B$2:$B$211,"الجودة",'قاعدة المؤشرات'!$L$2:$L$211,"متابعة إغلاق الملاحظات والتحقق")/SUMIFS('قاعدة المؤشرات'!$K$2:$K$211,'قاعدة المؤشرات'!$B$2:$B$211,"الجودة",'قاعدة المؤشرات'!$L$2:$L$211,"متابعة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المؤشرات'!$G$2:$G$211,'قاعدة المؤشرات'!$B$2:$B$211,"الجودة",'قاعدة المؤشرات'!$L$2:$L$211,"متابعة إغلاق الملاحظات والتحقق"))</f>
        <v/>
      </c>
      <c r="H62" s="30">
        <f>COUNTIFS('قاعدة المؤشرات'!$H$2:$H$211,"🔴 تحت الهدف",'قاعدة المؤشرات'!$B$2:$B$211,"الجودة",'قاعدة المؤشرات'!$L$2:$L$211,"متابعة إغلاق الملاحظات والتحقق")</f>
        <v/>
      </c>
      <c r="I62" s="31" t="inlineStr">
        <is>
          <t>نسبة إغلاق الملاحظات ضمن SLA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المؤشرات'!$J$2:$J$211,'قاعدة المؤشرات'!$B$2:$B$211,"الجودة",'قاعدة المؤشرات'!$L$2:$L$211,"التدقيق الداخلي وعدم المطابقة")/SUMIFS('قاعدة المؤشرات'!$K$2:$K$211,'قاعدة المؤشرات'!$B$2:$B$211,"الجودة",'قاعدة المؤشرات'!$L$2:$L$211,"التدقيق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المؤشرات'!$G$2:$G$211,'قاعدة المؤشرات'!$B$2:$B$211,"الجودة",'قاعدة المؤشرات'!$L$2:$L$211,"التدقيق الداخلي وعدم المطابقة"))</f>
        <v/>
      </c>
      <c r="H63" s="30">
        <f>COUNTIFS('قاعدة المؤشرات'!$H$2:$H$211,"🔴 تحت الهدف",'قاعدة المؤشرات'!$B$2:$B$211,"الجودة",'قاعدة المؤشرات'!$L$2:$L$211,"التدقيق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المؤشرات'!$J$2:$J$211,'قاعدة المؤشرات'!$B$2:$B$211,"الجودة",'قاعدة المؤشرات'!$L$2:$L$211,"الإجراءات والسياسات والنماذج")/SUMIFS('قاعدة المؤشرات'!$K$2:$K$211,'قاعدة المؤشرات'!$B$2:$B$211,"الجودة",'قاعدة المؤشرات'!$L$2:$L$211,"الإجراءات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المؤشرات'!$G$2:$G$211,'قاعدة المؤشرات'!$B$2:$B$211,"الجودة",'قاعدة المؤشرات'!$L$2:$L$211,"الإجراءات والسياسات والنماذج"))</f>
        <v/>
      </c>
      <c r="H64" s="30">
        <f>COUNTIFS('قاعدة المؤشرات'!$H$2:$H$211,"🔴 تحت الهدف",'قاعدة المؤشرات'!$B$2:$B$211,"الجودة",'قاعدة المؤشرات'!$L$2:$L$211,"الإجراءات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المؤشرات'!$J$2:$J$211,'قاعدة المؤشرات'!$B$2:$B$211,"الجودة",'قاعدة المؤشرات'!$L$2:$L$211,"التحسين المستمر والتحليل")/SUMIFS('قاعدة المؤشرات'!$K$2:$K$211,'قاعدة المؤشرات'!$B$2:$B$211,"الجودة",'قاعدة المؤشرات'!$L$2:$L$211,"التحسين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المؤشرات'!$G$2:$G$211,'قاعدة المؤشرات'!$B$2:$B$211,"الجودة",'قاعدة المؤشرات'!$L$2:$L$211,"التحسين المستمر والتحليل"))</f>
        <v/>
      </c>
      <c r="H65" s="30">
        <f>COUNTIFS('قاعدة المؤشرات'!$H$2:$H$211,"🔴 تحت الهدف",'قاعدة المؤشرات'!$B$2:$B$211,"الجودة",'قاعدة المؤشرات'!$L$2:$L$211,"التحسين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المؤشرات'!$J$2:$J$211,'قاعدة المؤشرات'!$B$2:$B$211,"الجودة",'قاعدة المؤشرات'!$L$2:$L$211,"الرقمنة وجاهزية نظام الجودة")/SUMIFS('قاعدة المؤشرات'!$K$2:$K$211,'قاعدة المؤشرات'!$B$2:$B$211,"الجودة",'قاعدة المؤشرات'!$L$2:$L$211,"الرقمنة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المؤشرات'!$G$2:$G$211,'قاعدة المؤشرات'!$B$2:$B$211,"الجودة",'قاعدة المؤشرات'!$L$2:$L$211,"الرقمنة وجاهزية نظام الجودة"))</f>
        <v/>
      </c>
      <c r="H66" s="30">
        <f>COUNTIFS('قاعدة المؤشرات'!$H$2:$H$211,"🔴 تحت الهدف",'قاعدة المؤشرات'!$B$2:$B$211,"الجودة",'قاعدة المؤشرات'!$L$2:$L$211,"الرقمنة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ISO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المؤشرات'!$J$2:$J$211,'قاعدة المؤشرات'!$B$2:$B$211,"الإدارة القانونية",'قاعدة المؤشرات'!$L$2:$L$211,"أعمال العقود")/SUMIFS('قاعدة المؤشرات'!$K$2:$K$211,'قاعدة المؤشرات'!$B$2:$B$211,"الإدارة القانونية",'قاعدة المؤشرات'!$L$2:$L$211,"أعمال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المؤشرات'!$G$2:$G$211,'قاعدة المؤشرات'!$B$2:$B$211,"الإدارة القانونية",'قاعدة المؤشرات'!$L$2:$L$211,"أعمال العقود"))</f>
        <v/>
      </c>
      <c r="H67" s="30">
        <f>COUNTIFS('قاعدة المؤشرات'!$H$2:$H$211,"🔴 تحت الهدف",'قاعدة المؤشرات'!$B$2:$B$211,"الإدارة القانونية",'قاعدة المؤشرات'!$L$2:$L$211,"أعمال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المؤشرات'!$J$2:$J$211,'قاعدة المؤشرات'!$B$2:$B$211,"الإدارة القانونية",'قاعدة المؤشرات'!$L$2:$L$211,"أعمال القضايا")/SUMIFS('قاعدة المؤشرات'!$K$2:$K$211,'قاعدة المؤشرات'!$B$2:$B$211,"الإدارة القانونية",'قاعدة المؤشرات'!$L$2:$L$211,"أعمال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المؤشرات'!$G$2:$G$211,'قاعدة المؤشرات'!$B$2:$B$211,"الإدارة القانونية",'قاعدة المؤشرات'!$L$2:$L$211,"أعمال القضايا"))</f>
        <v/>
      </c>
      <c r="H68" s="30">
        <f>COUNTIFS('قاعدة المؤشرات'!$H$2:$H$211,"🔴 تحت الهدف",'قاعدة المؤشرات'!$B$2:$B$211,"الإدارة القانونية",'قاعدة المؤشرات'!$L$2:$L$211,"أعمال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المؤشرات'!$J$2:$J$211,'قاعدة المؤشرات'!$B$2:$B$211,"الإدارة القانونية",'قاعدة المؤشرات'!$L$2:$L$211,"الاستشارات القانونية")/SUMIFS('قاعدة المؤشرات'!$K$2:$K$211,'قاعدة المؤشرات'!$B$2:$B$211,"الإدارة القانونية",'قاعدة المؤشرات'!$L$2:$L$211,"الاستشارات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المؤشرات'!$G$2:$G$211,'قاعدة المؤشرات'!$B$2:$B$211,"الإدارة القانونية",'قاعدة المؤشرات'!$L$2:$L$211,"الاستشارات القانونية"))</f>
        <v/>
      </c>
      <c r="H69" s="30">
        <f>COUNTIFS('قاعدة المؤشرات'!$H$2:$H$211,"🔴 تحت الهدف",'قاعدة المؤشرات'!$B$2:$B$211,"الإدارة القانونية",'قاعدة المؤشرات'!$L$2:$L$211,"الاستشارات القانونية")</f>
        <v/>
      </c>
      <c r="I69" s="31" t="inlineStr">
        <is>
          <t>نسبة الاستشارات المُنجزة ضمن المدة المستهدفة (SLA)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المؤشرات'!$J$2:$J$211,'قاعدة المؤشرات'!$B$2:$B$211,"الإدارة القانونية",'قاعدة المؤشرات'!$L$2:$L$211,"التحقيق")/SUMIFS('قاعدة المؤشرات'!$K$2:$K$211,'قاعدة المؤشرات'!$B$2:$B$211,"الإدارة القانونية",'قاعدة المؤشرات'!$L$2:$L$211,"التحقيق"),"")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المؤشرات'!$G$2:$G$211,'قاعدة المؤشرات'!$B$2:$B$211,"الإدارة القانونية",'قاعدة المؤشرات'!$L$2:$L$211,"التحقيق"))</f>
        <v/>
      </c>
      <c r="H70" s="30">
        <f>COUNTIFS('قاعدة المؤشرات'!$H$2:$H$211,"🔴 تحت الهدف",'قاعدة المؤشرات'!$B$2:$B$211,"الإدارة القانونية",'قاعدة المؤشرات'!$L$2:$L$211,"التحقيق")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المؤشرات'!$J$2:$J$211,'قاعدة المؤشرات'!$B$2:$B$211,"الإدارة المالية",'قاعدة المؤشرات'!$L$2:$L$211,"المالية الاستراتيجية")/SUMIFS('قاعدة المؤشرات'!$K$2:$K$211,'قاعدة المؤشرات'!$B$2:$B$211,"الإدارة المالية",'قاعدة المؤشرات'!$L$2:$L$211,"المالية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المؤشرات'!$G$2:$G$211,'قاعدة المؤشرات'!$B$2:$B$211,"الإدارة المالية",'قاعدة المؤشرات'!$L$2:$L$211,"المالية الاستراتيجية"))</f>
        <v/>
      </c>
      <c r="H71" s="30">
        <f>COUNTIFS('قاعدة المؤشرات'!$H$2:$H$211,"🔴 تحت الهدف",'قاعدة المؤشرات'!$B$2:$B$211,"الإدارة المالية",'قاعدة المؤشرات'!$L$2:$L$211,"المالية الاستراتيجية")</f>
        <v/>
      </c>
      <c r="I71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المؤشرات'!$J$2:$J$211,'قاعدة المؤشرات'!$B$2:$B$211,"الإدارة المالية",'قاعدة المؤشرات'!$L$2:$L$211,"السيولة ورأس المال")/SUMIFS('قاعدة المؤشرات'!$K$2:$K$211,'قاعدة المؤشرات'!$B$2:$B$211,"الإدارة المالية",'قاعدة المؤشرات'!$L$2:$L$211,"السيولة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المؤشرات'!$G$2:$G$211,'قاعدة المؤشرات'!$B$2:$B$211,"الإدارة المالية",'قاعدة المؤشرات'!$L$2:$L$211,"السيولة ورأس المال"))</f>
        <v/>
      </c>
      <c r="H72" s="30">
        <f>COUNTIFS('قاعدة المؤشرات'!$H$2:$H$211,"🔴 تحت الهدف",'قاعدة المؤشرات'!$B$2:$B$211,"الإدارة المالية",'قاعدة المؤشرات'!$L$2:$L$211,"السيولة ورأس المال")</f>
        <v/>
      </c>
      <c r="I72" s="31" t="inlineStr">
        <is>
          <t>النسبة الجارية (Current Ratio)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المؤشرات'!$J$2:$J$211,'قاعدة المؤشرات'!$B$2:$B$211,"الإدارة المالية",'قاعدة المؤشرات'!$L$2:$L$211,"الذمم المدينة")/SUMIFS('قاعدة المؤشرات'!$K$2:$K$211,'قاعدة المؤشرات'!$B$2:$B$211,"الإدارة المالية",'قاعدة المؤشرات'!$L$2:$L$211,"الذمم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المؤشرات'!$G$2:$G$211,'قاعدة المؤشرات'!$B$2:$B$211,"الإدارة المالية",'قاعدة المؤشرات'!$L$2:$L$211,"الذمم المدينة"))</f>
        <v/>
      </c>
      <c r="H73" s="30">
        <f>COUNTIFS('قاعدة المؤشرات'!$H$2:$H$211,"🔴 تحت الهدف",'قاعدة المؤشرات'!$B$2:$B$211,"الإدارة المالية",'قاعدة المؤشرات'!$L$2:$L$211,"الذمم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المؤشرات'!$J$2:$J$211,'قاعدة المؤشرات'!$B$2:$B$211,"الإدارة المالية",'قاعدة المؤشرات'!$L$2:$L$211,"الذمم الدائنة")/SUMIFS('قاعدة المؤشرات'!$K$2:$K$211,'قاعدة المؤشرات'!$B$2:$B$211,"الإدارة المالية",'قاعدة المؤشرات'!$L$2:$L$211,"الذمم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المؤشرات'!$G$2:$G$211,'قاعدة المؤشرات'!$B$2:$B$211,"الإدارة المالية",'قاعدة المؤشرات'!$L$2:$L$211,"الذمم الدائنة"))</f>
        <v/>
      </c>
      <c r="H74" s="30">
        <f>COUNTIFS('قاعدة المؤشرات'!$H$2:$H$211,"🔴 تحت الهدف",'قاعدة المؤشرات'!$B$2:$B$211,"الإدارة المالية",'قاعدة المؤشرات'!$L$2:$L$211,"الذمم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المؤشرات'!$J$2:$J$211,'قاعدة المؤشرات'!$B$2:$B$211,"الإدارة المالية",'قاعدة المؤشرات'!$L$2:$L$211,"الخزينة")/SUMIFS('قاعدة المؤشرات'!$K$2:$K$211,'قاعدة المؤشرات'!$B$2:$B$211,"الإدارة المالية",'قاعدة المؤشرات'!$L$2:$L$211,"الخزينة"),"")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المؤشرات'!$G$2:$G$211,'قاعدة المؤشرات'!$B$2:$B$211,"الإدارة المالية",'قاعدة المؤشرات'!$L$2:$L$211,"الخزينة"))</f>
        <v/>
      </c>
      <c r="H75" s="30">
        <f>COUNTIFS('قاعدة المؤشرات'!$H$2:$H$211,"🔴 تحت الهدف",'قاعدة المؤشرات'!$B$2:$B$211,"الإدارة المالية",'قاعدة المؤشرات'!$L$2:$L$211,"الخزينة")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المؤشرات'!$J$2:$J$211,'قاعدة المؤشرات'!$B$2:$B$211,"الإدارة المالية",'قاعدة المؤشرات'!$L$2:$L$211,"صناعة الوقود")/SUMIFS('قاعدة المؤشرات'!$K$2:$K$211,'قاعدة المؤشرات'!$B$2:$B$211,"الإدارة المالية",'قاعدة المؤشرات'!$L$2:$L$211,"صناعة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المؤشرات'!$G$2:$G$211,'قاعدة المؤشرات'!$B$2:$B$211,"الإدارة المالية",'قاعدة المؤشرات'!$L$2:$L$211,"صناعة الوقود"))</f>
        <v/>
      </c>
      <c r="H76" s="30">
        <f>COUNTIFS('قاعدة المؤشرات'!$H$2:$H$211,"🔴 تحت الهدف",'قاعدة المؤشرات'!$B$2:$B$211,"الإدارة المالية",'قاعدة المؤشرات'!$L$2:$L$211,"صناعة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المؤشرات'!$J$2:$J$211,'قاعدة المؤشرات'!$B$2:$B$211,"الإدارة المالية",'قاعدة المؤشرات'!$L$2:$L$211,"الموازنة والتقارير")/SUMIFS('قاعدة المؤشرات'!$K$2:$K$211,'قاعدة المؤشرات'!$B$2:$B$211,"الإدارة المالية",'قاعدة المؤشرات'!$L$2:$L$211,"الموازنة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المؤشرات'!$G$2:$G$211,'قاعدة المؤشرات'!$B$2:$B$211,"الإدارة المالية",'قاعدة المؤشرات'!$L$2:$L$211,"الموازنة والتقارير"))</f>
        <v/>
      </c>
      <c r="H77" s="30">
        <f>COUNTIFS('قاعدة المؤشرات'!$H$2:$H$211,"🔴 تحت الهدف",'قاعدة المؤشرات'!$B$2:$B$211,"الإدارة المالية",'قاعدة المؤشرات'!$L$2:$L$211,"الموازنة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المؤشرات'!$E$2:$E$211,"التوسع في المواقع")</f>
        <v/>
      </c>
      <c r="E19" s="10">
        <f>IFERROR(AVERAGEIFS('قاعدة المؤشرات'!$G$2:$G$211,'قاعدة المؤشرات'!$E$2:$E$211,"التوسع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المؤشرات'!$E$2:$E$211,"الامتياز التجاري")</f>
        <v/>
      </c>
      <c r="E20" s="10">
        <f>IFERROR(AVERAGEIFS('قاعدة المؤشرات'!$G$2:$G$211,'قاعدة المؤشرات'!$E$2:$E$211,"الامتياز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المؤشرات'!$E$2:$E$211,"زيادة وصول العملاء")</f>
        <v/>
      </c>
      <c r="E21" s="10">
        <f>IFERROR(AVERAGEIFS('قاعدة المؤشرات'!$G$2:$G$211,'قاعدة المؤشرات'!$E$2:$E$211,"زيادة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المؤشرات'!$E$2:$E$211,"إطلاق مشاريع جديدة")</f>
        <v/>
      </c>
      <c r="E22" s="10">
        <f>IFERROR(AVERAGEIFS('قاعدة المؤشرات'!$G$2:$G$211,'قاعدة المؤشرات'!$E$2:$E$211,"إطلاق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المؤشرات'!$E$2:$E$211,"تطوير التصاميم والهوية")</f>
        <v/>
      </c>
      <c r="E23" s="10">
        <f>IFERROR(AVERAGEIFS('قاعدة المؤشرات'!$G$2:$G$211,'قاعدة المؤشرات'!$E$2:$E$211,"تطوير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المؤشرات'!$E$2:$E$211,"التحول التقني")</f>
        <v/>
      </c>
      <c r="E24" s="10">
        <f>IFERROR(AVERAGEIFS('قاعدة المؤشرات'!$G$2:$G$211,'قاعدة المؤشرات'!$E$2:$E$211,"التحول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المؤشرات'!$E$2:$E$211,"ساحات درب")</f>
        <v/>
      </c>
      <c r="E25" s="10">
        <f>IFERROR(AVERAGEIFS('قاعدة المؤشرات'!$G$2:$G$211,'قاعدة المؤشرات'!$E$2:$E$211,"ساحات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المؤشرات'!$E$2:$E$211,"تطبيق «تانكي»")</f>
        <v/>
      </c>
      <c r="E26" s="10">
        <f>IFERROR(AVERAGEIFS('قاعدة المؤشرات'!$G$2:$G$211,'قاعدة المؤشرات'!$E$2:$E$211,"تطبيق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المؤشرات'!$E$2:$E$211,"تعزيز تجربة العملاء")</f>
        <v/>
      </c>
      <c r="E27" s="10">
        <f>IFERROR(AVERAGEIFS('قاعدة المؤشرات'!$G$2:$G$211,'قاعدة المؤشرات'!$E$2:$E$211,"تعزيز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المؤشرات'!$E$2:$E$211,"جودة التشغيل")</f>
        <v/>
      </c>
      <c r="E28" s="10">
        <f>IFERROR(AVERAGEIFS('قاعدة المؤشرات'!$G$2:$G$211,'قاعدة المؤشرات'!$E$2:$E$211,"جودة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المؤشرات'!$E$2:$E$211,"منظومة التأجير")</f>
        <v/>
      </c>
      <c r="E29" s="10">
        <f>IFERROR(AVERAGEIFS('قاعدة المؤشرات'!$G$2:$G$211,'قاعدة المؤشرات'!$E$2:$E$211,"منظومة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المؤشرات'!$E$2:$E$211,"الاستثمار في الموظفين")</f>
        <v/>
      </c>
      <c r="E30" s="10">
        <f>IFERROR(AVERAGEIFS('قاعدة المؤشرات'!$G$2:$G$211,'قاعدة المؤشرات'!$E$2:$E$211,"الاستثمار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المؤشرات'!$G$2:$G$211,'قاعدة المؤشرات'!$F$2:$F$211,"مالي"),"—")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المؤشرات'!$G$2:$G$211,'قاعدة المؤشرات'!$E$2:$E$211,"زيادة وصول العملاء"),"—")</f>
        <v/>
      </c>
      <c r="E10" s="47">
        <f>IFERROR(AVERAGEIFS('قاعدة المؤشرات'!$G$2:$G$211,'قاعدة المؤشرات'!$E$2:$E$211,"تعزيز تجربة العملاء"),"—")</f>
        <v/>
      </c>
      <c r="H10" s="47">
        <f>IFERROR(AVERAGEIFS('قاعدة المؤشرات'!$G$2:$G$211,'قاعدة المؤشرات'!$E$2:$E$211,"تطبيق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المؤشرات'!$G$2:$G$211,'قاعدة المؤشرات'!$E$2:$E$211,"التوسع في المواقع"),"—")</f>
        <v/>
      </c>
      <c r="D14" s="49">
        <f>IFERROR(AVERAGEIFS('قاعدة المؤشرات'!$G$2:$G$211,'قاعدة المؤشرات'!$E$2:$E$211,"الامتياز التجاري"),"—")</f>
        <v/>
      </c>
      <c r="F14" s="49">
        <f>IFERROR(AVERAGEIFS('قاعدة المؤشرات'!$G$2:$G$211,'قاعدة المؤشرات'!$E$2:$E$211,"منظومة التأجير"),"—")</f>
        <v/>
      </c>
      <c r="H14" s="49">
        <f>IFERROR(AVERAGEIFS('قاعدة المؤشرات'!$G$2:$G$211,'قاعدة المؤشرات'!$E$2:$E$211,"ساحات درب"),"—")</f>
        <v/>
      </c>
      <c r="J14" s="49">
        <f>IFERROR(AVERAGEIFS('قاعدة المؤشرات'!$G$2:$G$211,'قاعدة المؤشرات'!$E$2:$E$211,"جودة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المؤشرات'!$G$2:$G$211,'قاعدة المؤشرات'!$E$2:$E$211,"الاستثمار في الموظفين"),"—")</f>
        <v/>
      </c>
      <c r="D18" s="51">
        <f>IFERROR(AVERAGEIFS('قاعدة المؤشرات'!$G$2:$G$211,'قاعدة المؤشرات'!$E$2:$E$211,"التحول التقني"),"—")</f>
        <v/>
      </c>
      <c r="F18" s="51">
        <f>IFERROR(AVERAGEIFS('قاعدة المؤشرات'!$G$2:$G$211,'قاعدة المؤشرات'!$E$2:$E$211,"إطلاق مشاريع جديدة"),"—")</f>
        <v/>
      </c>
      <c r="H18" s="51">
        <f>IFERROR(AVERAGEIFS('قاعدة المؤشرات'!$G$2:$G$211,'قاعدة المؤشرات'!$E$2:$E$211,"تطوير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المؤشرات'!$H$2:$H$211,"✅ محقق",'قاعدة المؤشرات'!$B$2:$B$211,"&lt;&gt;الإدارة التنفيذية")</f>
        <v/>
      </c>
      <c r="D5" s="5">
        <f>COUNTIFS('قاعدة المؤشرات'!$H$2:$H$211,"🟡 قريب",'قاعدة المؤشرات'!$B$2:$B$211,"&lt;&gt;الإدارة التنفيذية")</f>
        <v/>
      </c>
      <c r="E5" s="5">
        <f>COUNTIFS('قاعدة المؤشرات'!$H$2:$H$211,"🔴 تحت الهدف",'قاعدة المؤشرات'!$B$2:$B$211,"&lt;&gt;الإدارة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المؤشرات'!$B$2:$B$211,"الإدارة التنفيذية",'قاعدة المؤشرات'!$J$2:$J$211)/SUMIF('قاعدة المؤشرات'!$B$2:$B$211,"الإدارة التنفيذية",'قاعدة المؤشرات'!$K$2:$K$211),"—")</f>
        <v/>
      </c>
      <c r="D9" s="9" t="inlineStr">
        <is>
          <t>النمو</t>
        </is>
      </c>
      <c r="E9" s="10">
        <f>IFERROR(AVERAGEIFS('قاعدة المؤشرات'!$G$2:$G$211,'قاعدة المؤشرات'!$D$2:$D$211,"النمو"),"—")</f>
        <v/>
      </c>
      <c r="H9" s="15">
        <f>IFERROR(SUMIF('قاعدة المؤشرات'!$B$2:$B$211,"الإدارة التنفيذية",'قاعدة المؤشرات'!$J$2:$J$211)/SUMIF('قاعدة المؤشرات'!$B$2:$B$211,"الإدارة التنفيذية",'قاعدة المؤشرات'!$K$2:$K$211),0)</f>
        <v/>
      </c>
      <c r="I9" s="15" t="n">
        <v>0</v>
      </c>
      <c r="J9" s="15">
        <f>IF(SUMIF('قاعدة المؤشرات'!$B$2:$B$211,"الإدارة التنفيذية",'قاعدة المؤشرات'!$K$2:$K$211)=0,0,1)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المؤشرات'!$B$2:$B$211,"الامتياز التجاري",'قاعدة المؤشرات'!$J$2:$J$211)/SUMIF('قاعدة المؤشرات'!$B$2:$B$211,"الامتياز التجاري",'قاعدة المؤشرات'!$K$2:$K$211),"—")</f>
        <v/>
      </c>
      <c r="D10" s="9" t="inlineStr">
        <is>
          <t>الابتكار</t>
        </is>
      </c>
      <c r="E10" s="10">
        <f>IFERROR(AVERAGEIFS('قاعدة المؤشرات'!$G$2:$G$211,'قاعدة المؤشرات'!$D$2:$D$211,"الابتكار"),"—")</f>
        <v/>
      </c>
      <c r="H10" s="15">
        <f>IFERROR(SUMIF('قاعدة المؤشرات'!$B$2:$B$211,"الامتياز التجاري",'قاعدة المؤشرات'!$J$2:$J$211)/SUMIF('قاعدة المؤشرات'!$B$2:$B$211,"الامتياز التجاري",'قاعدة المؤشرات'!$K$2:$K$211),0)</f>
        <v/>
      </c>
      <c r="I10" s="15" t="n">
        <v>0.14</v>
      </c>
      <c r="J10" s="15">
        <f>IF(SUMIF('قاعدة المؤشرات'!$B$2:$B$211,"الامتياز التجاري",'قاعدة المؤشرات'!$K$2:$K$211)=0,0,1)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المؤشرات'!$B$2:$B$211,"التشغيل والمحطات",'قاعدة المؤشرات'!$J$2:$J$211)/SUMIF('قاعدة المؤشرات'!$B$2:$B$211,"التشغيل والمحطات",'قاعدة المؤشرات'!$K$2:$K$211),"—")</f>
        <v/>
      </c>
      <c r="D11" s="9" t="inlineStr">
        <is>
          <t>الاستدامة</t>
        </is>
      </c>
      <c r="E11" s="10">
        <f>IFERROR(AVERAGEIFS('قاعدة المؤشرات'!$G$2:$G$211,'قاعدة المؤشرات'!$D$2:$D$211,"الاستدامة"),"—")</f>
        <v/>
      </c>
      <c r="H11" s="15">
        <f>IFERROR(SUMIF('قاعدة المؤشرات'!$B$2:$B$211,"التشغيل والمحطات",'قاعدة المؤشرات'!$J$2:$J$211)/SUMIF('قاعدة المؤشرات'!$B$2:$B$211,"التشغيل والمحطات",'قاعدة المؤشرات'!$K$2:$K$211),0)</f>
        <v/>
      </c>
      <c r="I11" s="15" t="n">
        <v>0.12</v>
      </c>
      <c r="J11" s="15">
        <f>IF(SUMIF('قاعدة المؤشرات'!$B$2:$B$211,"التشغيل والمحطات",'قاعدة المؤشرات'!$K$2:$K$211)=0,0,1)</f>
        <v/>
      </c>
    </row>
    <row r="12">
      <c r="B12" s="9" t="inlineStr">
        <is>
          <t>الاستثمار</t>
        </is>
      </c>
      <c r="C12" s="10">
        <f>IFERROR(SUMIF('قاعدة المؤشرات'!$B$2:$B$211,"الاستثمار",'قاعدة المؤشرات'!$J$2:$J$211)/SUMIF('قاعدة المؤشرات'!$B$2:$B$211,"الاستثمار",'قاعدة المؤشرات'!$K$2:$K$211),"—")</f>
        <v/>
      </c>
      <c r="H12" s="15">
        <f>IFERROR(SUMIF('قاعدة المؤشرات'!$B$2:$B$211,"الاستثمار",'قاعدة المؤشرات'!$J$2:$J$211)/SUMIF('قاعدة المؤشرات'!$B$2:$B$211,"الاستثمار",'قاعدة المؤشرات'!$K$2:$K$211),0)</f>
        <v/>
      </c>
      <c r="I12" s="15" t="n">
        <v>0.11</v>
      </c>
      <c r="J12" s="15">
        <f>IF(SUMIF('قاعدة المؤشرات'!$B$2:$B$211,"الاستثمار",'قاعدة المؤشرات'!$K$2:$K$211)=0,0,1)</f>
        <v/>
      </c>
    </row>
    <row r="13">
      <c r="B13" s="9" t="inlineStr">
        <is>
          <t>العقار</t>
        </is>
      </c>
      <c r="C13" s="10">
        <f>IFERROR(SUMIF('قاعدة المؤشرات'!$B$2:$B$211,"العقار",'قاعدة المؤشرات'!$J$2:$J$211)/SUMIF('قاعدة المؤشرات'!$B$2:$B$211,"العقار",'قاعدة المؤشرات'!$K$2:$K$211),"—")</f>
        <v/>
      </c>
      <c r="D13" s="53" t="inlineStr">
        <is>
          <t>حسب منظور BSC</t>
        </is>
      </c>
      <c r="E13" s="7" t="n"/>
      <c r="H13" s="15">
        <f>IFERROR(SUMIF('قاعدة المؤشرات'!$B$2:$B$211,"العقار",'قاعدة المؤشرات'!$J$2:$J$211)/SUMIF('قاعدة المؤشرات'!$B$2:$B$211,"العقار",'قاعدة المؤشرات'!$K$2:$K$211),0)</f>
        <v/>
      </c>
      <c r="I13" s="15" t="n">
        <v>0.09</v>
      </c>
      <c r="J13" s="15">
        <f>IF(SUMIF('قاعدة المؤشرات'!$B$2:$B$211,"العقار",'قاعدة المؤشرات'!$K$2:$K$211)=0,0,1)</f>
        <v/>
      </c>
    </row>
    <row r="14">
      <c r="B14" s="9" t="inlineStr">
        <is>
          <t>إدارة المشاريع</t>
        </is>
      </c>
      <c r="C14" s="10">
        <f>IFERROR(SUMIF('قاعدة المؤشرات'!$B$2:$B$211,"إدارة المشاريع",'قاعدة المؤشرات'!$J$2:$J$211)/SUMIF('قاعدة المؤشرات'!$B$2:$B$211,"إدارة المشاريع",'قاعدة المؤشرات'!$K$2:$K$211),"—")</f>
        <v/>
      </c>
      <c r="D14" s="9" t="inlineStr">
        <is>
          <t>مالي</t>
        </is>
      </c>
      <c r="E14" s="10">
        <f>IFERROR(AVERAGEIFS('قاعدة المؤشرات'!$G$2:$G$211,'قاعدة المؤشرات'!$F$2:$F$211,"مالي"),"—")</f>
        <v/>
      </c>
      <c r="H14" s="15">
        <f>IFERROR(SUMIF('قاعدة المؤشرات'!$B$2:$B$211,"إدارة المشاريع",'قاعدة المؤشرات'!$J$2:$J$211)/SUMIF('قاعدة المؤشرات'!$B$2:$B$211,"إدارة المشاريع",'قاعدة المؤشرات'!$K$2:$K$211),0)</f>
        <v/>
      </c>
      <c r="I14" s="15" t="n">
        <v>0.08</v>
      </c>
      <c r="J14" s="15">
        <f>IF(SUMIF('قاعدة المؤشرات'!$B$2:$B$211,"إدارة المشاريع",'قاعدة المؤشرات'!$K$2:$K$211)=0,0,1)</f>
        <v/>
      </c>
    </row>
    <row r="15">
      <c r="B15" s="9" t="inlineStr">
        <is>
          <t>سلاسل الإمداد</t>
        </is>
      </c>
      <c r="C15" s="10">
        <f>IFERROR(SUMIF('قاعدة المؤشرات'!$B$2:$B$211,"سلاسل الإمداد",'قاعدة المؤشرات'!$J$2:$J$211)/SUMIF('قاعدة المؤشرات'!$B$2:$B$211,"سلاسل الإمداد",'قاعدة المؤشرات'!$K$2:$K$211),"—")</f>
        <v/>
      </c>
      <c r="D15" s="9" t="inlineStr">
        <is>
          <t>العملاء</t>
        </is>
      </c>
      <c r="E15" s="10">
        <f>IFERROR(AVERAGEIFS('قاعدة المؤشرات'!$G$2:$G$211,'قاعدة المؤشرات'!$F$2:$F$211,"العملاء"),"—")</f>
        <v/>
      </c>
      <c r="H15" s="15">
        <f>IFERROR(SUMIF('قاعدة المؤشرات'!$B$2:$B$211,"سلاسل الإمداد",'قاعدة المؤشرات'!$J$2:$J$211)/SUMIF('قاعدة المؤشرات'!$B$2:$B$211,"سلاسل الإمداد",'قاعدة المؤشرات'!$K$2:$K$211),0)</f>
        <v/>
      </c>
      <c r="I15" s="15" t="n">
        <v>0.1</v>
      </c>
      <c r="J15" s="15">
        <f>IF(SUMIF('قاعدة المؤشرات'!$B$2:$B$211,"سلاسل الإمداد",'قاعدة المؤشرات'!$K$2:$K$211)=0,0,1)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المؤشرات'!$B$2:$B$211,"الصيانة والأتمتة",'قاعدة المؤشرات'!$J$2:$J$211)/SUMIF('قاعدة المؤشرات'!$B$2:$B$211,"الصيانة والأتمتة",'قاعدة المؤشرات'!$K$2:$K$211),"—")</f>
        <v/>
      </c>
      <c r="D16" s="9" t="inlineStr">
        <is>
          <t>العمليات الداخلية</t>
        </is>
      </c>
      <c r="E16" s="10">
        <f>IFERROR(AVERAGEIFS('قاعدة المؤشرات'!$G$2:$G$211,'قاعدة المؤشرات'!$F$2:$F$211,"العمليات الداخلية"),"—")</f>
        <v/>
      </c>
      <c r="H16" s="15">
        <f>IFERROR(SUMIF('قاعدة المؤشرات'!$B$2:$B$211,"الصيانة والأتمتة",'قاعدة المؤشرات'!$J$2:$J$211)/SUMIF('قاعدة المؤشرات'!$B$2:$B$211,"الصيانة والأتمتة",'قاعدة المؤشرات'!$K$2:$K$211),0)</f>
        <v/>
      </c>
      <c r="I16" s="15" t="n">
        <v>0.07000000000000001</v>
      </c>
      <c r="J16" s="15">
        <f>IF(SUMIF('قاعدة المؤشرات'!$B$2:$B$211,"الصيانة والأتمتة",'قاعدة المؤشرات'!$K$2:$K$211)=0,0,1)</f>
        <v/>
      </c>
    </row>
    <row r="17">
      <c r="B17" s="9" t="inlineStr">
        <is>
          <t>التقنية الرقمية</t>
        </is>
      </c>
      <c r="C17" s="10">
        <f>IFERROR(SUMIF('قاعدة المؤشرات'!$B$2:$B$211,"التقنية الرقمية",'قاعدة المؤشرات'!$J$2:$J$211)/SUMIF('قاعدة المؤشرات'!$B$2:$B$211,"التقنية الرقمية",'قاعدة المؤشرات'!$K$2:$K$211),"—")</f>
        <v/>
      </c>
      <c r="D17" s="9" t="inlineStr">
        <is>
          <t>التعلّم والنمو</t>
        </is>
      </c>
      <c r="E17" s="10">
        <f>IFERROR(AVERAGEIFS('قاعدة المؤشرات'!$G$2:$G$211,'قاعدة المؤشرات'!$F$2:$F$211,"التعلّم والنمو"),"—")</f>
        <v/>
      </c>
      <c r="H17" s="15">
        <f>IFERROR(SUMIF('قاعدة المؤشرات'!$B$2:$B$211,"التقنية الرقمية",'قاعدة المؤشرات'!$J$2:$J$211)/SUMIF('قاعدة المؤشرات'!$B$2:$B$211,"التقنية الرقمية",'قاعدة المؤشرات'!$K$2:$K$211),0)</f>
        <v/>
      </c>
      <c r="I17" s="15" t="n">
        <v>0.04</v>
      </c>
      <c r="J17" s="15">
        <f>IF(SUMIF('قاعدة المؤشرات'!$B$2:$B$211,"التقنية الرقمية",'قاعدة المؤشرات'!$K$2:$K$211)=0,0,1)</f>
        <v/>
      </c>
    </row>
    <row r="18">
      <c r="B18" s="9" t="inlineStr">
        <is>
          <t>الموارد البشرية</t>
        </is>
      </c>
      <c r="C18" s="10">
        <f>IFERROR(SUMIF('قاعدة المؤشرات'!$B$2:$B$211,"الموارد البشرية",'قاعدة المؤشرات'!$J$2:$J$211)/SUMIF('قاعدة المؤشرات'!$B$2:$B$211,"الموارد البشرية",'قاعدة المؤشرات'!$K$2:$K$211),"—")</f>
        <v/>
      </c>
      <c r="H18" s="15">
        <f>IFERROR(SUMIF('قاعدة المؤشرات'!$B$2:$B$211,"الموارد البشرية",'قاعدة المؤشرات'!$J$2:$J$211)/SUMIF('قاعدة المؤشرات'!$B$2:$B$211,"الموارد البشرية",'قاعدة المؤشرات'!$K$2:$K$211),0)</f>
        <v/>
      </c>
      <c r="I18" s="15" t="n">
        <v>0.04</v>
      </c>
      <c r="J18" s="15">
        <f>IF(SUMIF('قاعدة المؤشرات'!$B$2:$B$211,"الموارد البشرية",'قاعدة المؤشرات'!$K$2:$K$211)=0,0,1)</f>
        <v/>
      </c>
    </row>
    <row r="19">
      <c r="B19" s="9" t="inlineStr">
        <is>
          <t>التسويق</t>
        </is>
      </c>
      <c r="C19" s="10">
        <f>IFERROR(SUMIF('قاعدة المؤشرات'!$B$2:$B$211,"التسويق",'قاعدة المؤشرات'!$J$2:$J$211)/SUMIF('قاعدة المؤشرات'!$B$2:$B$211,"التسويق",'قاعدة المؤشرات'!$K$2:$K$211),"—")</f>
        <v/>
      </c>
      <c r="H19" s="15">
        <f>IFERROR(SUMIF('قاعدة المؤشرات'!$B$2:$B$211,"التسويق",'قاعدة المؤشرات'!$J$2:$J$211)/SUMIF('قاعدة المؤشرات'!$B$2:$B$211,"التسويق",'قاعدة المؤشرات'!$K$2:$K$211),0)</f>
        <v/>
      </c>
      <c r="I19" s="15" t="n">
        <v>0.05</v>
      </c>
      <c r="J19" s="15">
        <f>IF(SUMIF('قاعدة المؤشرات'!$B$2:$B$211,"التسويق",'قاعدة المؤشرات'!$K$2:$K$211)=0,0,1)</f>
        <v/>
      </c>
    </row>
    <row r="20">
      <c r="B20" s="9" t="inlineStr">
        <is>
          <t>الجودة</t>
        </is>
      </c>
      <c r="C20" s="10">
        <f>IFERROR(SUMIF('قاعدة المؤشرات'!$B$2:$B$211,"الجودة",'قاعدة المؤشرات'!$J$2:$J$211)/SUMIF('قاعدة المؤشرات'!$B$2:$B$211,"الجودة",'قاعدة المؤشرات'!$K$2:$K$211),"—")</f>
        <v/>
      </c>
      <c r="H20" s="15">
        <f>IFERROR(SUMIF('قاعدة المؤشرات'!$B$2:$B$211,"الجودة",'قاعدة المؤشرات'!$J$2:$J$211)/SUMIF('قاعدة المؤشرات'!$B$2:$B$211,"الجودة",'قاعدة المؤشرات'!$K$2:$K$211),0)</f>
        <v/>
      </c>
      <c r="I20" s="15" t="n">
        <v>0.05</v>
      </c>
      <c r="J20" s="15">
        <f>IF(SUMIF('قاعدة المؤشرات'!$B$2:$B$211,"الجودة",'قاعدة المؤشرات'!$K$2:$K$211)=0,0,1)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المؤشرات'!$B$2:$B$211,"الإدارة القانونية",'قاعدة المؤشرات'!$J$2:$J$211)/SUMIF('قاعدة المؤشرات'!$B$2:$B$211,"الإدارة القانونية",'قاعدة المؤشرات'!$K$2:$K$211),"—")</f>
        <v/>
      </c>
      <c r="H21" s="15">
        <f>IFERROR(SUMIF('قاعدة المؤشرات'!$B$2:$B$211,"الإدارة القانونية",'قاعدة المؤشرات'!$J$2:$J$211)/SUMIF('قاعدة المؤشرات'!$B$2:$B$211,"الإدارة القانونية",'قاعدة المؤشرات'!$K$2:$K$211),0)</f>
        <v/>
      </c>
      <c r="I21" s="15" t="n">
        <v>0.03</v>
      </c>
      <c r="J21" s="15">
        <f>IF(SUMIF('قاعدة المؤشرات'!$B$2:$B$211,"الإدارة القانونية",'قاعدة المؤشرات'!$K$2:$K$211)=0,0,1)</f>
        <v/>
      </c>
    </row>
    <row r="22">
      <c r="B22" s="9" t="inlineStr">
        <is>
          <t>الإدارة المالية</t>
        </is>
      </c>
      <c r="C22" s="10">
        <f>IFERROR(SUMIF('قاعدة المؤشرات'!$B$2:$B$211,"الإدارة المالية",'قاعدة المؤشرات'!$J$2:$J$211)/SUMIF('قاعدة المؤشرات'!$B$2:$B$211,"الإدارة المالية",'قاعدة المؤشرات'!$K$2:$K$211),"—")</f>
        <v/>
      </c>
      <c r="H22" s="15">
        <f>IFERROR(SUMIF('قاعدة المؤشرات'!$B$2:$B$211,"الإدارة المالية",'قاعدة المؤشرات'!$J$2:$J$211)/SUMIF('قاعدة المؤشرات'!$B$2:$B$211,"الإدارة المالية",'قاعدة المؤشرات'!$K$2:$K$211),0)</f>
        <v/>
      </c>
      <c r="I22" s="15" t="n">
        <v>0.08</v>
      </c>
      <c r="J22" s="15">
        <f>IF(SUMIF('قاعدة المؤشرات'!$B$2:$B$211,"الإدارة المالية",'قاعدة المؤشرات'!$K$2:$K$211)=0,0,1)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 (PR)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 (Uptime)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 (SLA)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ISO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 (ROE)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 (eNPS)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 SLA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SLA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 SLA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 (PM)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الامتياز التجاري</t>
        </is>
      </c>
      <c r="C61" s="21" t="inlineStr">
        <is>
          <t>نسبة التزام المحطات بالهوية المؤسسية</t>
        </is>
      </c>
      <c r="D61" s="55" t="n">
        <v>0.44</v>
      </c>
      <c r="E61" s="55" t="n">
        <v>0.55</v>
      </c>
      <c r="F61" s="56" t="n">
        <v>0.7999999999999999</v>
      </c>
      <c r="G61" s="12" t="n">
        <v>0.2000000000000001</v>
      </c>
      <c r="H61" s="55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57" t="n"/>
    </row>
    <row r="62">
      <c r="A62" s="15" t="n">
        <v>60</v>
      </c>
      <c r="B62" s="13" t="inlineStr">
        <is>
          <t>الإدارة المالية</t>
        </is>
      </c>
      <c r="C62" s="21" t="inlineStr">
        <is>
          <t>هامش صافي الربح</t>
        </is>
      </c>
      <c r="D62" s="55" t="n">
        <v>0.008</v>
      </c>
      <c r="E62" s="55" t="n">
        <v>0.01</v>
      </c>
      <c r="F62" s="56" t="n">
        <v>0.8</v>
      </c>
      <c r="G62" s="12" t="n">
        <v>0.2</v>
      </c>
      <c r="H62" s="55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57" t="n"/>
    </row>
    <row r="63">
      <c r="A63" s="15" t="n">
        <v>61</v>
      </c>
      <c r="B63" s="13" t="inlineStr">
        <is>
          <t>التشغيل والمحطات</t>
        </is>
      </c>
      <c r="C63" s="21" t="inlineStr">
        <is>
          <t>متوسط تقييم المحطات على خرائط Google</t>
        </is>
      </c>
      <c r="D63" s="55" t="n">
        <v>3.362</v>
      </c>
      <c r="E63" s="55" t="n">
        <v>4.2</v>
      </c>
      <c r="F63" s="56" t="n">
        <v>0.8004761904761905</v>
      </c>
      <c r="G63" s="12" t="n">
        <v>0.1995238095238095</v>
      </c>
      <c r="H63" s="55" t="n">
        <v>3.362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التشغيل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نسبة الالتزام بمظهر وانضباط العاملين بالمحطات</t>
        </is>
      </c>
      <c r="D64" s="55" t="n">
        <v>0.761</v>
      </c>
      <c r="E64" s="55" t="n">
        <v>0.95</v>
      </c>
      <c r="F64" s="56" t="n">
        <v>0.8010526315789475</v>
      </c>
      <c r="G64" s="12" t="n">
        <v>0.1989473684210525</v>
      </c>
      <c r="H64" s="55" t="n">
        <v>0.761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سلاسل الإمداد</t>
        </is>
      </c>
      <c r="C65" s="21" t="inlineStr">
        <is>
          <t>نسبة تلبية طلبات المحطات من الوقود Fill Rate</t>
        </is>
      </c>
      <c r="D65" s="55" t="n">
        <v>0.786</v>
      </c>
      <c r="E65" s="55" t="n">
        <v>0.98</v>
      </c>
      <c r="F65" s="56" t="n">
        <v>0.8020408163265307</v>
      </c>
      <c r="G65" s="12" t="n">
        <v>0.1979591836734693</v>
      </c>
      <c r="H65" s="55" t="n">
        <v>0.786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سلاسل الإمداد</t>
        </is>
      </c>
      <c r="M65" s="57" t="n"/>
    </row>
    <row r="66">
      <c r="A66" s="15" t="n">
        <v>64</v>
      </c>
      <c r="B66" s="13" t="inlineStr">
        <is>
          <t>الامتياز التجاري</t>
        </is>
      </c>
      <c r="C66" s="21" t="inlineStr">
        <is>
          <t>إجمالي مبيعات وقود محطات الامتياز</t>
        </is>
      </c>
      <c r="D66" s="55" t="n">
        <v>576630340</v>
      </c>
      <c r="E66" s="55" t="n">
        <v>718838077</v>
      </c>
      <c r="F66" s="56" t="n">
        <v>0.8021699996840874</v>
      </c>
      <c r="G66" s="12" t="n">
        <v>0.1978300003159126</v>
      </c>
      <c r="H66" s="55" t="n">
        <v>1153260680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57" t="n"/>
    </row>
    <row r="67">
      <c r="A67" s="15" t="n">
        <v>65</v>
      </c>
      <c r="B67" s="13" t="inlineStr">
        <is>
          <t>الجودة</t>
        </is>
      </c>
      <c r="C67" s="21" t="inlineStr">
        <is>
          <t>نسبة تنفيذ خطة التدقيق الداخلي</t>
        </is>
      </c>
      <c r="D67" s="55" t="n">
        <v>0.766</v>
      </c>
      <c r="E67" s="55" t="n">
        <v>0.95</v>
      </c>
      <c r="F67" s="56" t="n">
        <v>0.8063157894736842</v>
      </c>
      <c r="G67" s="12" t="n">
        <v>0.1936842105263158</v>
      </c>
      <c r="H67" s="55" t="n">
        <v>0.766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57" t="n"/>
    </row>
    <row r="68">
      <c r="A68" s="15" t="n">
        <v>66</v>
      </c>
      <c r="B68" s="13" t="inlineStr">
        <is>
          <t>التقنية الرقمية</t>
        </is>
      </c>
      <c r="C68" s="21" t="inlineStr">
        <is>
          <t>نسبة استقرار التشغيل التقني للمحطات</t>
        </is>
      </c>
      <c r="D68" s="55" t="n">
        <v>0.8</v>
      </c>
      <c r="E68" s="55" t="n">
        <v>0.99</v>
      </c>
      <c r="F68" s="56" t="n">
        <v>0.8080808080808082</v>
      </c>
      <c r="G68" s="12" t="n">
        <v>0.1919191919191918</v>
      </c>
      <c r="H68" s="55" t="n">
        <v>0.8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التقنية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زيادة عدد أصحاب الامتياز</t>
        </is>
      </c>
      <c r="D69" s="55" t="n">
        <v>0.8100000000000001</v>
      </c>
      <c r="E69" s="55" t="n">
        <v>1</v>
      </c>
      <c r="F69" s="56" t="n">
        <v>0.8100000000000001</v>
      </c>
      <c r="G69" s="12" t="n">
        <v>0.1899999999999999</v>
      </c>
      <c r="H69" s="55" t="n">
        <v>0.8100000000000001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التنفيذية</t>
        </is>
      </c>
      <c r="C70" s="21" t="inlineStr">
        <is>
          <t>نسبة نمو إيرادات الشركة (سنوي)</t>
        </is>
      </c>
      <c r="D70" s="55" t="n">
        <v>0.122</v>
      </c>
      <c r="E70" s="55" t="n">
        <v>0.15</v>
      </c>
      <c r="F70" s="56" t="n">
        <v>0.8133333333333334</v>
      </c>
      <c r="G70" s="12" t="n">
        <v>0.1866666666666666</v>
      </c>
      <c r="H70" s="55" t="n">
        <v>0.122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الرئيس التنفيذي</t>
        </is>
      </c>
      <c r="M70" s="57" t="n"/>
    </row>
    <row r="71">
      <c r="A71" s="15" t="n">
        <v>69</v>
      </c>
      <c r="B71" s="13" t="inlineStr">
        <is>
          <t>الموارد البشرية</t>
        </is>
      </c>
      <c r="C71" s="21" t="inlineStr">
        <is>
          <t>نسبة إنجاز معاملات شؤون الموظفين ضمن المدة المستهدفة SLA</t>
        </is>
      </c>
      <c r="D71" s="55" t="n">
        <v>0.733</v>
      </c>
      <c r="E71" s="55" t="n">
        <v>0.9</v>
      </c>
      <c r="F71" s="56" t="n">
        <v>0.8144444444444444</v>
      </c>
      <c r="G71" s="12" t="n">
        <v>0.1855555555555556</v>
      </c>
      <c r="H71" s="55" t="n">
        <v>0.733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الموارد البشرية</t>
        </is>
      </c>
      <c r="M71" s="57" t="n"/>
    </row>
    <row r="72">
      <c r="A72" s="15" t="n">
        <v>70</v>
      </c>
      <c r="B72" s="13" t="inlineStr">
        <is>
          <t>الجودة</t>
        </is>
      </c>
      <c r="C72" s="21" t="inlineStr">
        <is>
          <t>نسبة فاعلية الإجراءات التصحيحية</t>
        </is>
      </c>
      <c r="D72" s="55" t="n">
        <v>0.774</v>
      </c>
      <c r="E72" s="55" t="n">
        <v>0.95</v>
      </c>
      <c r="F72" s="56" t="n">
        <v>0.8147368421052632</v>
      </c>
      <c r="G72" s="12" t="n">
        <v>0.1852631578947368</v>
      </c>
      <c r="H72" s="55" t="n">
        <v>0.774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الجودة</t>
        </is>
      </c>
      <c r="M72" s="57" t="n"/>
    </row>
    <row r="73">
      <c r="A73" s="15" t="n">
        <v>71</v>
      </c>
      <c r="B73" s="13" t="inlineStr">
        <is>
          <t>التسويق</t>
        </is>
      </c>
      <c r="C73" s="21" t="inlineStr">
        <is>
          <t>نمو الوصول المؤهل</t>
        </is>
      </c>
      <c r="D73" s="55" t="n">
        <v>0.163</v>
      </c>
      <c r="E73" s="55" t="n">
        <v>0.2</v>
      </c>
      <c r="F73" s="56" t="n">
        <v>0.8149999999999999</v>
      </c>
      <c r="G73" s="12" t="n">
        <v>0.1850000000000001</v>
      </c>
      <c r="H73" s="55" t="n">
        <v>0.163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التسويق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تحويل الفرص التسويقية إلى عقود</t>
        </is>
      </c>
      <c r="D74" s="55" t="n">
        <v>0.204</v>
      </c>
      <c r="E74" s="55" t="n">
        <v>0.25</v>
      </c>
      <c r="F74" s="56" t="n">
        <v>0.8159999999999999</v>
      </c>
      <c r="G74" s="12" t="n">
        <v>0.1840000000000001</v>
      </c>
      <c r="H74" s="55" t="n">
        <v>0.204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الإدارة القانونية</t>
        </is>
      </c>
      <c r="C75" s="21" t="inlineStr">
        <is>
          <t>نسبة القضايا المُغلقة لصالح الشركة</t>
        </is>
      </c>
      <c r="D75" s="55" t="n">
        <v>0.664</v>
      </c>
      <c r="E75" s="55" t="n">
        <v>0.8</v>
      </c>
      <c r="F75" s="56" t="n">
        <v>0.83</v>
      </c>
      <c r="G75" s="12" t="n">
        <v>0.17</v>
      </c>
      <c r="H75" s="55" t="n">
        <v>0.664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57" t="n"/>
    </row>
    <row r="76">
      <c r="A76" s="15" t="n">
        <v>74</v>
      </c>
      <c r="B76" s="13" t="inlineStr">
        <is>
          <t>العقار</t>
        </is>
      </c>
      <c r="C76" s="21" t="inlineStr">
        <is>
          <t>نمو العلامات التجارية (تراكمي — كل الوحدات)</t>
        </is>
      </c>
      <c r="D76" s="55" t="n">
        <v>204.2</v>
      </c>
      <c r="E76" s="55" t="n">
        <v>246</v>
      </c>
      <c r="F76" s="56" t="n">
        <v>0.8300813008130081</v>
      </c>
      <c r="G76" s="12" t="n">
        <v>0.1699186991869919</v>
      </c>
      <c r="H76" s="55" t="n">
        <v>204.2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العقار</t>
        </is>
      </c>
      <c r="M76" s="57" t="n"/>
    </row>
    <row r="77">
      <c r="A77" s="15" t="n">
        <v>75</v>
      </c>
      <c r="B77" s="13" t="inlineStr">
        <is>
          <t>سلاسل الإمداد</t>
        </is>
      </c>
      <c r="C77" s="21" t="inlineStr">
        <is>
          <t>نسبة الالتزام بجدول النقل واستخدام الأسطول بكفاءة</t>
        </is>
      </c>
      <c r="D77" s="55" t="n">
        <v>0.751</v>
      </c>
      <c r="E77" s="55" t="n">
        <v>0.9</v>
      </c>
      <c r="F77" s="56" t="n">
        <v>0.8344444444444444</v>
      </c>
      <c r="G77" s="12" t="n">
        <v>0.1655555555555556</v>
      </c>
      <c r="H77" s="55" t="n">
        <v>0.751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سلاسل الإمداد</t>
        </is>
      </c>
      <c r="M77" s="57" t="n"/>
    </row>
    <row r="78">
      <c r="A78" s="15" t="n">
        <v>76</v>
      </c>
      <c r="B78" s="13" t="inlineStr">
        <is>
          <t>الإدارة القانونية</t>
        </is>
      </c>
      <c r="C78" s="21" t="inlineStr">
        <is>
          <t>نسبة إنجاز التحقيقات ضمن المدة المحددة</t>
        </is>
      </c>
      <c r="D78" s="55" t="n">
        <v>0.753</v>
      </c>
      <c r="E78" s="55" t="n">
        <v>0.9</v>
      </c>
      <c r="F78" s="56" t="n">
        <v>0.8366666666666667</v>
      </c>
      <c r="G78" s="12" t="n">
        <v>0.1633333333333333</v>
      </c>
      <c r="H78" s="55" t="n">
        <v>0.753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المدير القانوني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نمو الإيراد الإيجاري لكل م² (ARPU)</t>
        </is>
      </c>
      <c r="D79" s="55" t="n">
        <v>0.067</v>
      </c>
      <c r="E79" s="55" t="n">
        <v>0.08</v>
      </c>
      <c r="F79" s="56" t="n">
        <v>0.8375</v>
      </c>
      <c r="G79" s="12" t="n">
        <v>0.1625</v>
      </c>
      <c r="H79" s="55" t="n">
        <v>0.067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55" t="n">
        <v>0.671</v>
      </c>
      <c r="E80" s="55" t="n">
        <v>0.8</v>
      </c>
      <c r="F80" s="56" t="n">
        <v>0.83875</v>
      </c>
      <c r="G80" s="12" t="n">
        <v>0.16125</v>
      </c>
      <c r="H80" s="55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7" t="n"/>
    </row>
    <row r="81">
      <c r="A81" s="15" t="n">
        <v>79</v>
      </c>
      <c r="B81" s="13" t="inlineStr">
        <is>
          <t>الإدارة المالية</t>
        </is>
      </c>
      <c r="C81" s="21" t="inlineStr">
        <is>
          <t>نمو الإيرادات السنوي</t>
        </is>
      </c>
      <c r="D81" s="55" t="n">
        <v>0.169</v>
      </c>
      <c r="E81" s="55" t="n">
        <v>0.2</v>
      </c>
      <c r="F81" s="56" t="n">
        <v>0.845</v>
      </c>
      <c r="G81" s="12" t="n">
        <v>0.155</v>
      </c>
      <c r="H81" s="55" t="n">
        <v>0.169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المالي</t>
        </is>
      </c>
      <c r="M81" s="57" t="n"/>
    </row>
    <row r="82">
      <c r="A82" s="15" t="n">
        <v>80</v>
      </c>
      <c r="B82" s="13" t="inlineStr">
        <is>
          <t>الجودة</t>
        </is>
      </c>
      <c r="C82" s="21" t="inlineStr">
        <is>
          <t>نسبة تحديث لوحة مؤشرات الجودة شهريًا</t>
        </is>
      </c>
      <c r="D82" s="55" t="n">
        <v>0.804</v>
      </c>
      <c r="E82" s="55" t="n">
        <v>0.95</v>
      </c>
      <c r="F82" s="56" t="n">
        <v>0.8463157894736844</v>
      </c>
      <c r="G82" s="12" t="n">
        <v>0.1536842105263156</v>
      </c>
      <c r="H82" s="55" t="n">
        <v>0.804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55" t="n">
        <v>0.805</v>
      </c>
      <c r="E83" s="55" t="n">
        <v>0.95</v>
      </c>
      <c r="F83" s="56" t="n">
        <v>0.8473684210526317</v>
      </c>
      <c r="G83" s="12" t="n">
        <v>0.1526315789473683</v>
      </c>
      <c r="H83" s="55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التشغيل والمحطات</t>
        </is>
      </c>
      <c r="C84" s="21" t="inlineStr">
        <is>
          <t>نسبة المحطات ذات التراخيص والتصاريح السارية</t>
        </is>
      </c>
      <c r="D84" s="55" t="n">
        <v>0.849</v>
      </c>
      <c r="E84" s="55" t="n">
        <v>1</v>
      </c>
      <c r="F84" s="56" t="n">
        <v>0.849</v>
      </c>
      <c r="G84" s="12" t="n">
        <v>0.151</v>
      </c>
      <c r="H84" s="55" t="n">
        <v>0.849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57" t="n"/>
    </row>
    <row r="85">
      <c r="A85" s="15" t="n">
        <v>83</v>
      </c>
      <c r="B85" s="13" t="inlineStr">
        <is>
          <t>التقنية الرقمية</t>
        </is>
      </c>
      <c r="C85" s="21" t="inlineStr">
        <is>
          <t>نسبة الامتثال لضوابط الأمن السيبراني الأساسية</t>
        </is>
      </c>
      <c r="D85" s="55" t="n">
        <v>0.8070000000000001</v>
      </c>
      <c r="E85" s="55" t="n">
        <v>0.95</v>
      </c>
      <c r="F85" s="56" t="n">
        <v>0.8494736842105264</v>
      </c>
      <c r="G85" s="12" t="n">
        <v>0.1505263157894736</v>
      </c>
      <c r="H85" s="55" t="n">
        <v>0.8070000000000001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التقنية</t>
        </is>
      </c>
      <c r="M85" s="57" t="n"/>
    </row>
    <row r="86">
      <c r="A86" s="15" t="n">
        <v>84</v>
      </c>
      <c r="B86" s="13" t="inlineStr">
        <is>
          <t>الإدارة التنفيذية</t>
        </is>
      </c>
      <c r="C86" s="21" t="inlineStr">
        <is>
          <t>نسبة تحقيق المستهدفات الاستراتيجية العامة</t>
        </is>
      </c>
      <c r="D86" s="55" t="n">
        <v>0.85</v>
      </c>
      <c r="E86" s="55" t="n">
        <v>1</v>
      </c>
      <c r="F86" s="56" t="n">
        <v>0.85</v>
      </c>
      <c r="G86" s="12" t="n">
        <v>0.15</v>
      </c>
      <c r="H86" s="55" t="n">
        <v>0.85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الرئيس التنفيذي</t>
        </is>
      </c>
      <c r="M86" s="57" t="n"/>
    </row>
    <row r="87">
      <c r="A87" s="15" t="n">
        <v>85</v>
      </c>
      <c r="B87" s="13" t="inlineStr">
        <is>
          <t>العقار</t>
        </is>
      </c>
      <c r="C87" s="21" t="inlineStr">
        <is>
          <t>نمو الإيرادات الإيجارية</t>
        </is>
      </c>
      <c r="D87" s="55" t="n">
        <v>0.068</v>
      </c>
      <c r="E87" s="55" t="n">
        <v>0.08</v>
      </c>
      <c r="F87" s="56" t="n">
        <v>0.8500000000000001</v>
      </c>
      <c r="G87" s="12" t="n">
        <v>0.1499999999999999</v>
      </c>
      <c r="H87" s="55" t="n">
        <v>0.068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الإقفال الشهري</t>
        </is>
      </c>
      <c r="D88" s="55" t="n">
        <v>7.044</v>
      </c>
      <c r="E88" s="55" t="n">
        <v>6</v>
      </c>
      <c r="F88" s="56" t="n">
        <v>0.8517887563884157</v>
      </c>
      <c r="G88" s="12" t="n">
        <v>0.1482112436115843</v>
      </c>
      <c r="H88" s="55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النسبة الجارية (Current Ratio)</t>
        </is>
      </c>
      <c r="D89" s="55" t="n">
        <v>0.852</v>
      </c>
      <c r="E89" s="55" t="n">
        <v>1</v>
      </c>
      <c r="F89" s="56" t="n">
        <v>0.852</v>
      </c>
      <c r="G89" s="12" t="n">
        <v>0.148</v>
      </c>
      <c r="H89" s="55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التحصيل المالي من شركاء الامتياز</t>
        </is>
      </c>
      <c r="D90" s="55" t="n">
        <v>0.8120000000000001</v>
      </c>
      <c r="E90" s="55" t="n">
        <v>0.95</v>
      </c>
      <c r="F90" s="56" t="n">
        <v>0.8547368421052632</v>
      </c>
      <c r="G90" s="12" t="n">
        <v>0.1452631578947368</v>
      </c>
      <c r="H90" s="55" t="n">
        <v>0.8120000000000001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7" t="n"/>
    </row>
    <row r="91">
      <c r="A91" s="15" t="n">
        <v>89</v>
      </c>
      <c r="B91" s="13" t="inlineStr">
        <is>
          <t>الاستثمار</t>
        </is>
      </c>
      <c r="C91" s="21" t="inlineStr">
        <is>
          <t>نسبة المواقع ذات العائد المجدي</t>
        </is>
      </c>
      <c r="D91" s="55" t="n">
        <v>0.6850000000000001</v>
      </c>
      <c r="E91" s="55" t="n">
        <v>0.8</v>
      </c>
      <c r="F91" s="56" t="n">
        <v>0.8562500000000001</v>
      </c>
      <c r="G91" s="12" t="n">
        <v>0.1437499999999999</v>
      </c>
      <c r="H91" s="55" t="n">
        <v>0.6850000000000001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57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نسبة إغلاق ملاحظات الجودة على المطوّرين</t>
        </is>
      </c>
      <c r="D92" s="55" t="n">
        <v>0.777</v>
      </c>
      <c r="E92" s="55" t="n">
        <v>0.9</v>
      </c>
      <c r="F92" s="56" t="n">
        <v>0.8633333333333333</v>
      </c>
      <c r="G92" s="12" t="n">
        <v>0.1366666666666667</v>
      </c>
      <c r="H92" s="55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متوسط زمن الاستجابة للبلاغات الطارئة</t>
        </is>
      </c>
      <c r="D93" s="55" t="n">
        <v>34.7</v>
      </c>
      <c r="E93" s="55" t="n">
        <v>30</v>
      </c>
      <c r="F93" s="56" t="n">
        <v>0.8645533141210374</v>
      </c>
      <c r="G93" s="12" t="n">
        <v>0.1354466858789626</v>
      </c>
      <c r="H93" s="55" t="n">
        <v>34.7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 (Availability)</t>
        </is>
      </c>
      <c r="D94" s="55" t="n">
        <v>0.848</v>
      </c>
      <c r="E94" s="55" t="n">
        <v>0.98</v>
      </c>
      <c r="F94" s="56" t="n">
        <v>0.8653061224489795</v>
      </c>
      <c r="G94" s="12" t="n">
        <v>0.1346938775510205</v>
      </c>
      <c r="H94" s="55" t="n">
        <v>0.848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55" t="n">
        <v>34.7</v>
      </c>
      <c r="E95" s="55" t="n">
        <v>40</v>
      </c>
      <c r="F95" s="56" t="n">
        <v>0.8675</v>
      </c>
      <c r="G95" s="12" t="n">
        <v>0.1325</v>
      </c>
      <c r="H95" s="55" t="n">
        <v>69.40000000000001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7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رفع هامش الربحية للامتياز</t>
        </is>
      </c>
      <c r="D96" s="55" t="n">
        <v>1.564</v>
      </c>
      <c r="E96" s="55" t="n">
        <v>1.8</v>
      </c>
      <c r="F96" s="56" t="n">
        <v>0.8688888888888889</v>
      </c>
      <c r="G96" s="12" t="n">
        <v>0.1311111111111111</v>
      </c>
      <c r="H96" s="55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55" t="n">
        <v>0.652</v>
      </c>
      <c r="E97" s="55" t="n">
        <v>0.75</v>
      </c>
      <c r="F97" s="56" t="n">
        <v>0.8693333333333334</v>
      </c>
      <c r="G97" s="12" t="n">
        <v>0.1306666666666666</v>
      </c>
      <c r="H97" s="55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التسويق</t>
        </is>
      </c>
      <c r="C98" s="21" t="inlineStr">
        <is>
          <t>نمو المتابعين النشطين</t>
        </is>
      </c>
      <c r="D98" s="55" t="n">
        <v>0.174</v>
      </c>
      <c r="E98" s="55" t="n">
        <v>0.2</v>
      </c>
      <c r="F98" s="56" t="n">
        <v>0.8699999999999999</v>
      </c>
      <c r="G98" s="12" t="n">
        <v>0.1300000000000001</v>
      </c>
      <c r="H98" s="55" t="n">
        <v>0.174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عدد العلامات التجارية الجديدة بالساحة</t>
        </is>
      </c>
      <c r="D99" s="55" t="n">
        <v>5.235</v>
      </c>
      <c r="E99" s="55" t="n">
        <v>6</v>
      </c>
      <c r="F99" s="56" t="n">
        <v>0.8725000000000001</v>
      </c>
      <c r="G99" s="12" t="n">
        <v>0.1274999999999999</v>
      </c>
      <c r="H99" s="55" t="n">
        <v>10.47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التغطية الإقليمية (13 منطقة)</t>
        </is>
      </c>
      <c r="D100" s="55" t="n">
        <v>0.873</v>
      </c>
      <c r="E100" s="55" t="n">
        <v>1</v>
      </c>
      <c r="F100" s="56" t="n">
        <v>0.873</v>
      </c>
      <c r="G100" s="12" t="n">
        <v>0.127</v>
      </c>
      <c r="H100" s="55" t="n">
        <v>0.873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العقار</t>
        </is>
      </c>
      <c r="C101" s="21" t="inlineStr">
        <is>
          <t>معدل تحويل فرص التأجير إلى عقود</t>
        </is>
      </c>
      <c r="D101" s="55" t="n">
        <v>0.175</v>
      </c>
      <c r="E101" s="55" t="n">
        <v>0.2</v>
      </c>
      <c r="F101" s="56" t="n">
        <v>0.8749999999999999</v>
      </c>
      <c r="G101" s="12" t="n">
        <v>0.1250000000000001</v>
      </c>
      <c r="H101" s="55" t="n">
        <v>0.175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متوسط زمن تسليم الوحدة</t>
        </is>
      </c>
      <c r="D102" s="55" t="n">
        <v>7.983</v>
      </c>
      <c r="E102" s="55" t="n">
        <v>7</v>
      </c>
      <c r="F102" s="56" t="n">
        <v>0.8768633345859953</v>
      </c>
      <c r="G102" s="12" t="n">
        <v>0.1231366654140047</v>
      </c>
      <c r="H102" s="55" t="n">
        <v>7.983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الإدارة التنفيذية</t>
        </is>
      </c>
      <c r="C103" s="21" t="inlineStr">
        <is>
          <t>إجمالي المحطات المشغّلة — الشركة (تراكمي)</t>
        </is>
      </c>
      <c r="D103" s="55" t="n">
        <v>206.1</v>
      </c>
      <c r="E103" s="55" t="n">
        <v>235</v>
      </c>
      <c r="F103" s="56" t="n">
        <v>0.8770212765957447</v>
      </c>
      <c r="G103" s="12" t="n">
        <v>0.1229787234042553</v>
      </c>
      <c r="H103" s="55" t="n">
        <v>206.1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الرئيس التنفيذي</t>
        </is>
      </c>
      <c r="M103" s="57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نسبة تحقيق مستهدف مبيعات الوقود</t>
        </is>
      </c>
      <c r="D104" s="55" t="n">
        <v>0.881</v>
      </c>
      <c r="E104" s="55" t="n">
        <v>1</v>
      </c>
      <c r="F104" s="56" t="n">
        <v>0.881</v>
      </c>
      <c r="G104" s="12" t="n">
        <v>0.119</v>
      </c>
      <c r="H104" s="55" t="n">
        <v>0.881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7" t="n"/>
    </row>
    <row r="105">
      <c r="A105" s="15" t="n">
        <v>103</v>
      </c>
      <c r="B105" s="13" t="inlineStr">
        <is>
          <t>التسويق</t>
        </is>
      </c>
      <c r="C105" s="21" t="inlineStr">
        <is>
          <t>المستخدمون النشطون شهرياً (MAU)</t>
        </is>
      </c>
      <c r="D105" s="55" t="n">
        <v>88203</v>
      </c>
      <c r="E105" s="55" t="n">
        <v>100000</v>
      </c>
      <c r="F105" s="56" t="n">
        <v>0.88203</v>
      </c>
      <c r="G105" s="12" t="n">
        <v>0.11797</v>
      </c>
      <c r="H105" s="55" t="n">
        <v>88203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التسويق</t>
        </is>
      </c>
      <c r="M105" s="57" t="n"/>
    </row>
    <row r="106">
      <c r="A106" s="15" t="n">
        <v>104</v>
      </c>
      <c r="B106" s="13" t="inlineStr">
        <is>
          <t>الجودة</t>
        </is>
      </c>
      <c r="C106" s="21" t="inlineStr">
        <is>
          <t>نسبة تنفيذ مبادرات التحسين المعتمدة</t>
        </is>
      </c>
      <c r="D106" s="55" t="n">
        <v>0.839</v>
      </c>
      <c r="E106" s="55" t="n">
        <v>0.95</v>
      </c>
      <c r="F106" s="56" t="n">
        <v>0.8831578947368421</v>
      </c>
      <c r="G106" s="12" t="n">
        <v>0.1168421052631579</v>
      </c>
      <c r="H106" s="55" t="n">
        <v>0.839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الجودة</t>
        </is>
      </c>
      <c r="M106" s="57" t="n"/>
    </row>
    <row r="107">
      <c r="A107" s="15" t="n">
        <v>105</v>
      </c>
      <c r="B107" s="13" t="inlineStr">
        <is>
          <t>التشغيل والمحطات</t>
        </is>
      </c>
      <c r="C107" s="21" t="inlineStr">
        <is>
          <t>نسبة الالتزام بإجراءات التشغيل القياسية SOPs</t>
        </is>
      </c>
      <c r="D107" s="55" t="n">
        <v>0.84</v>
      </c>
      <c r="E107" s="55" t="n">
        <v>0.95</v>
      </c>
      <c r="F107" s="56" t="n">
        <v>0.8842105263157894</v>
      </c>
      <c r="G107" s="12" t="n">
        <v>0.1157894736842106</v>
      </c>
      <c r="H107" s="55" t="n">
        <v>0.84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التشغيل</t>
        </is>
      </c>
      <c r="M107" s="57" t="n"/>
    </row>
    <row r="108">
      <c r="A108" s="15" t="n">
        <v>106</v>
      </c>
      <c r="B108" s="13" t="inlineStr">
        <is>
          <t>العقار</t>
        </is>
      </c>
      <c r="C108" s="21" t="inlineStr">
        <is>
          <t>معدل استبقاء المستأجرين (تجديد وبلا إنهاء مبكر)</t>
        </is>
      </c>
      <c r="D108" s="55" t="n">
        <v>0.752</v>
      </c>
      <c r="E108" s="55" t="n">
        <v>0.85</v>
      </c>
      <c r="F108" s="56" t="n">
        <v>0.8847058823529412</v>
      </c>
      <c r="G108" s="12" t="n">
        <v>0.1152941176470588</v>
      </c>
      <c r="H108" s="55" t="n">
        <v>0.752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العقار</t>
        </is>
      </c>
      <c r="M108" s="57" t="n"/>
    </row>
    <row r="109">
      <c r="A109" s="15" t="n">
        <v>107</v>
      </c>
      <c r="B109" s="13" t="inlineStr">
        <is>
          <t>الموارد البشرية</t>
        </is>
      </c>
      <c r="C109" s="21" t="inlineStr">
        <is>
          <t>نسبة دقة الرواتب والمستحقات الشهرية</t>
        </is>
      </c>
      <c r="D109" s="55" t="n">
        <v>0.888</v>
      </c>
      <c r="E109" s="55" t="n">
        <v>0.995</v>
      </c>
      <c r="F109" s="56" t="n">
        <v>0.892462311557789</v>
      </c>
      <c r="G109" s="12" t="n">
        <v>0.107537688442211</v>
      </c>
      <c r="H109" s="55" t="n">
        <v>0.888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الموارد البشرية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متوسط مدة إغلاق الشواغر المعتمدة</t>
        </is>
      </c>
      <c r="D110" s="55" t="n">
        <v>33.5</v>
      </c>
      <c r="E110" s="55" t="n">
        <v>30</v>
      </c>
      <c r="F110" s="56" t="n">
        <v>0.8955223880597015</v>
      </c>
      <c r="G110" s="12" t="n">
        <v>0.1044776119402985</v>
      </c>
      <c r="H110" s="55" t="n">
        <v>33.5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إدارة المشاريع</t>
        </is>
      </c>
      <c r="C111" s="21" t="inlineStr">
        <is>
          <t>نسبة التزام المقاولين بمعايير السلامة</t>
        </is>
      </c>
      <c r="D111" s="55" t="n">
        <v>0.852</v>
      </c>
      <c r="E111" s="55" t="n">
        <v>0.95</v>
      </c>
      <c r="F111" s="56" t="n">
        <v>0.8968421052631579</v>
      </c>
      <c r="G111" s="12" t="n">
        <v>0.1031578947368421</v>
      </c>
      <c r="H111" s="55" t="n">
        <v>0.852</v>
      </c>
      <c r="I111" s="15" t="inlineStr">
        <is>
          <t>🔴 تحت الهدف</t>
        </is>
      </c>
      <c r="J111" s="11" t="inlineStr">
        <is>
          <t>انحراف جوهري — أولوية عاجلة.</t>
        </is>
      </c>
      <c r="K111" s="11" t="inlineStr">
        <is>
          <t>إجراء تصحيحي خلال 30 يوماً.</t>
        </is>
      </c>
      <c r="L111" s="15" t="inlineStr">
        <is>
          <t>مدير إدارة المشاريع</t>
        </is>
      </c>
      <c r="M111" s="57" t="n"/>
    </row>
    <row r="112">
      <c r="A112" s="15" t="n">
        <v>110</v>
      </c>
      <c r="B112" s="13" t="inlineStr">
        <is>
          <t>التشغيل والمحطات</t>
        </is>
      </c>
      <c r="C112" s="21" t="inlineStr">
        <is>
          <t>مؤشر الالتزام بالهوية البصرية والمظهر العام</t>
        </is>
      </c>
      <c r="D112" s="55" t="n">
        <v>85.59999999999999</v>
      </c>
      <c r="E112" s="55" t="n">
        <v>95</v>
      </c>
      <c r="F112" s="56" t="n">
        <v>0.9010526315789473</v>
      </c>
      <c r="G112" s="12" t="n">
        <v>0.09894736842105267</v>
      </c>
      <c r="H112" s="55" t="n">
        <v>85.59999999999999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التشغيل</t>
        </is>
      </c>
      <c r="M112" s="57" t="n"/>
    </row>
    <row r="113">
      <c r="A113" s="15" t="n">
        <v>111</v>
      </c>
      <c r="B113" s="13" t="inlineStr">
        <is>
          <t>التسويق</t>
        </is>
      </c>
      <c r="C113" s="21" t="inlineStr">
        <is>
          <t>نسبة الالتزام بالهوية البصرية</t>
        </is>
      </c>
      <c r="D113" s="55" t="n">
        <v>0.902</v>
      </c>
      <c r="E113" s="55" t="n">
        <v>1</v>
      </c>
      <c r="F113" s="56" t="n">
        <v>0.902</v>
      </c>
      <c r="G113" s="12" t="n">
        <v>0.09799999999999998</v>
      </c>
      <c r="H113" s="55" t="n">
        <v>0.902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التسويق</t>
        </is>
      </c>
      <c r="M113" s="57" t="n"/>
    </row>
    <row r="114">
      <c r="A114" s="15" t="n">
        <v>112</v>
      </c>
      <c r="B114" s="13" t="inlineStr">
        <is>
          <t>الإدارة المالية</t>
        </is>
      </c>
      <c r="C114" s="21" t="inlineStr">
        <is>
          <t>نسبة التدفق النقدي التشغيلي</t>
        </is>
      </c>
      <c r="D114" s="55" t="n">
        <v>0.902</v>
      </c>
      <c r="E114" s="55" t="n">
        <v>1</v>
      </c>
      <c r="F114" s="56" t="n">
        <v>0.902</v>
      </c>
      <c r="G114" s="12" t="n">
        <v>0.09799999999999998</v>
      </c>
      <c r="H114" s="55" t="n">
        <v>0.902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المدير المالي</t>
        </is>
      </c>
      <c r="M114" s="57" t="n"/>
    </row>
    <row r="115">
      <c r="A115" s="15" t="n">
        <v>113</v>
      </c>
      <c r="B115" s="13" t="inlineStr">
        <is>
          <t>الجودة</t>
        </is>
      </c>
      <c r="C115" s="21" t="inlineStr">
        <is>
          <t>نسبة مراجعة وتحديث الإجراءات والسياسات حسب الخطة</t>
        </is>
      </c>
      <c r="D115" s="55" t="n">
        <v>0.859</v>
      </c>
      <c r="E115" s="55" t="n">
        <v>0.95</v>
      </c>
      <c r="F115" s="56" t="n">
        <v>0.9042105263157895</v>
      </c>
      <c r="G115" s="12" t="n">
        <v>0.09578947368421054</v>
      </c>
      <c r="H115" s="55" t="n">
        <v>0.859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الجودة</t>
        </is>
      </c>
      <c r="M115" s="57" t="n"/>
    </row>
    <row r="116">
      <c r="A116" s="15" t="n">
        <v>114</v>
      </c>
      <c r="B116" s="13" t="inlineStr">
        <is>
          <t>الإدارة التنفيذية</t>
        </is>
      </c>
      <c r="C116" s="21" t="inlineStr">
        <is>
          <t>نسبة إنجاز مشاريع الخارطة التنفيذية</t>
        </is>
      </c>
      <c r="D116" s="55" t="n">
        <v>0.906</v>
      </c>
      <c r="E116" s="55" t="n">
        <v>1</v>
      </c>
      <c r="F116" s="56" t="n">
        <v>0.906</v>
      </c>
      <c r="G116" s="12" t="n">
        <v>0.09399999999999997</v>
      </c>
      <c r="H116" s="55" t="n">
        <v>0.906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الرئيس التنفيذي</t>
        </is>
      </c>
      <c r="M116" s="57" t="n"/>
    </row>
    <row r="117">
      <c r="A117" s="15" t="n">
        <v>115</v>
      </c>
      <c r="B117" s="13" t="inlineStr">
        <is>
          <t>التشغيل والمحطات</t>
        </is>
      </c>
      <c r="C117" s="21" t="inlineStr">
        <is>
          <t>مؤشر الالتزام بمتطلبات السلامة</t>
        </is>
      </c>
      <c r="D117" s="55" t="n">
        <v>86.09999999999999</v>
      </c>
      <c r="E117" s="55" t="n">
        <v>95</v>
      </c>
      <c r="F117" s="56" t="n">
        <v>0.9063157894736842</v>
      </c>
      <c r="G117" s="12" t="n">
        <v>0.09368421052631581</v>
      </c>
      <c r="H117" s="55" t="n">
        <v>86.09999999999999</v>
      </c>
      <c r="I117" s="15" t="inlineStr">
        <is>
          <t>🔴 تحت الهدف</t>
        </is>
      </c>
      <c r="J117" s="11" t="inlineStr">
        <is>
          <t>انحراف جوهري — أولوية عاجلة.</t>
        </is>
      </c>
      <c r="K117" s="11" t="inlineStr">
        <is>
          <t>إجراء تصحيحي خلال 30 يوماً.</t>
        </is>
      </c>
      <c r="L117" s="15" t="inlineStr">
        <is>
          <t>مدير التشغيل</t>
        </is>
      </c>
      <c r="M117" s="57" t="n"/>
    </row>
    <row r="118">
      <c r="A118" s="15" t="n">
        <v>116</v>
      </c>
      <c r="B118" s="13" t="inlineStr">
        <is>
          <t>العقار</t>
        </is>
      </c>
      <c r="C118" s="21" t="inlineStr">
        <is>
          <t>نسبة إشغال الوحدات</t>
        </is>
      </c>
      <c r="D118" s="55" t="n">
        <v>0.545</v>
      </c>
      <c r="E118" s="55" t="n">
        <v>0.6</v>
      </c>
      <c r="F118" s="56" t="n">
        <v>0.9083333333333334</v>
      </c>
      <c r="G118" s="12" t="n">
        <v>0.09166666666666656</v>
      </c>
      <c r="H118" s="55" t="n">
        <v>0.545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العقار</t>
        </is>
      </c>
      <c r="M118" s="57" t="n"/>
    </row>
    <row r="119">
      <c r="A119" s="15" t="n">
        <v>117</v>
      </c>
      <c r="B119" s="13" t="inlineStr">
        <is>
          <t>العقار</t>
        </is>
      </c>
      <c r="C119" s="21" t="inlineStr">
        <is>
          <t>نسبة المتأخرات في السداد</t>
        </is>
      </c>
      <c r="D119" s="55" t="n">
        <v>0.055</v>
      </c>
      <c r="E119" s="55" t="n">
        <v>0.05</v>
      </c>
      <c r="F119" s="56" t="n">
        <v>0.9090909090909092</v>
      </c>
      <c r="G119" s="12" t="n">
        <v>0.09090909090909083</v>
      </c>
      <c r="H119" s="55" t="n">
        <v>0.055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57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المشاريع المنفّذة ضمن الميزانية</t>
        </is>
      </c>
      <c r="D120" s="55" t="n">
        <v>0.774</v>
      </c>
      <c r="E120" s="55" t="n">
        <v>0.85</v>
      </c>
      <c r="F120" s="56" t="n">
        <v>0.9105882352941177</v>
      </c>
      <c r="G120" s="12" t="n">
        <v>0.0894117647058823</v>
      </c>
      <c r="H120" s="55" t="n">
        <v>0.774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إدارة المشاريع</t>
        </is>
      </c>
      <c r="M120" s="57" t="n"/>
    </row>
    <row r="121">
      <c r="A121" s="15" t="n">
        <v>119</v>
      </c>
      <c r="B121" s="13" t="inlineStr">
        <is>
          <t>الامتياز التجاري</t>
        </is>
      </c>
      <c r="C121" s="21" t="inlineStr">
        <is>
          <t>نسبة المحطات المستوفية لمعايير السلامة</t>
        </is>
      </c>
      <c r="D121" s="55" t="n">
        <v>0.911</v>
      </c>
      <c r="E121" s="55" t="n">
        <v>1</v>
      </c>
      <c r="F121" s="56" t="n">
        <v>0.911</v>
      </c>
      <c r="G121" s="12" t="n">
        <v>0.08899999999999997</v>
      </c>
      <c r="H121" s="55" t="n">
        <v>0.911</v>
      </c>
      <c r="I121" s="15" t="inlineStr">
        <is>
          <t>🔴 تحت الهدف</t>
        </is>
      </c>
      <c r="J121" s="11" t="inlineStr">
        <is>
          <t>انحراف جوهري — أولوية عاجلة.</t>
        </is>
      </c>
      <c r="K121" s="11" t="inlineStr">
        <is>
          <t>إجراء تصحيحي خلال 30 يوماً.</t>
        </is>
      </c>
      <c r="L121" s="15" t="inlineStr">
        <is>
          <t>مدير الامتياز</t>
        </is>
      </c>
      <c r="M121" s="57" t="n"/>
    </row>
    <row r="122">
      <c r="A122" s="15" t="n">
        <v>120</v>
      </c>
      <c r="B122" s="13" t="inlineStr">
        <is>
          <t>الامتياز التجاري</t>
        </is>
      </c>
      <c r="C122" s="21" t="inlineStr">
        <is>
          <t>نسبة انخفاض الشكاوى التشغيلية والإدارية</t>
        </is>
      </c>
      <c r="D122" s="55" t="n">
        <v>0.274</v>
      </c>
      <c r="E122" s="55" t="n">
        <v>0.3</v>
      </c>
      <c r="F122" s="56" t="n">
        <v>0.9133333333333334</v>
      </c>
      <c r="G122" s="12" t="n">
        <v>0.08666666666666656</v>
      </c>
      <c r="H122" s="55" t="n">
        <v>0.274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الامتياز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متوسط وقت معالجة البلاغات التشغيلية</t>
        </is>
      </c>
      <c r="D123" s="55" t="n">
        <v>26.2</v>
      </c>
      <c r="E123" s="55" t="n">
        <v>24</v>
      </c>
      <c r="F123" s="56" t="n">
        <v>0.916030534351145</v>
      </c>
      <c r="G123" s="12" t="n">
        <v>0.08396946564885499</v>
      </c>
      <c r="H123" s="55" t="n">
        <v>26.2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سلاسل الإمداد</t>
        </is>
      </c>
      <c r="C124" s="21" t="inlineStr">
        <is>
          <t>دقة أوامر الشراء ومستنداتها</t>
        </is>
      </c>
      <c r="D124" s="55" t="n">
        <v>0.905</v>
      </c>
      <c r="E124" s="55" t="n">
        <v>0.98</v>
      </c>
      <c r="F124" s="56" t="n">
        <v>0.9234693877551021</v>
      </c>
      <c r="G124" s="12" t="n">
        <v>0.07653061224489788</v>
      </c>
      <c r="H124" s="55" t="n">
        <v>0.905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سلاسل الإمداد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نسبة إغلاق ملاحظات الجودة الميدانية</t>
        </is>
      </c>
      <c r="D125" s="55" t="n">
        <v>0.879</v>
      </c>
      <c r="E125" s="55" t="n">
        <v>0.95</v>
      </c>
      <c r="F125" s="56" t="n">
        <v>0.9252631578947369</v>
      </c>
      <c r="G125" s="12" t="n">
        <v>0.0747368421052631</v>
      </c>
      <c r="H125" s="55" t="n">
        <v>0.879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الجودة</t>
        </is>
      </c>
      <c r="C126" s="21" t="inlineStr">
        <is>
          <t>نسبة اكتمال سجل مخاطر وملاحظات الجودة</t>
        </is>
      </c>
      <c r="D126" s="55" t="n">
        <v>0.879</v>
      </c>
      <c r="E126" s="55" t="n">
        <v>0.95</v>
      </c>
      <c r="F126" s="56" t="n">
        <v>0.9252631578947369</v>
      </c>
      <c r="G126" s="12" t="n">
        <v>0.0747368421052631</v>
      </c>
      <c r="H126" s="55" t="n">
        <v>0.879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الجودة</t>
        </is>
      </c>
      <c r="M126" s="57" t="n"/>
    </row>
    <row r="127">
      <c r="A127" s="15" t="n">
        <v>125</v>
      </c>
      <c r="B127" s="13" t="inlineStr">
        <is>
          <t>إدارة المشاريع</t>
        </is>
      </c>
      <c r="C127" s="21" t="inlineStr">
        <is>
          <t>متوسط مدة إغلاق قائمة الملاحظات النهائية</t>
        </is>
      </c>
      <c r="D127" s="55" t="n">
        <v>32.4</v>
      </c>
      <c r="E127" s="55" t="n">
        <v>30</v>
      </c>
      <c r="F127" s="56" t="n">
        <v>0.9259259259259259</v>
      </c>
      <c r="G127" s="12" t="n">
        <v>0.07407407407407407</v>
      </c>
      <c r="H127" s="55" t="n">
        <v>32.4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إدارة المشاريع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درجة تقييم جودة المحطة (قائمة التحقق)</t>
        </is>
      </c>
      <c r="D128" s="55" t="n">
        <v>78.8</v>
      </c>
      <c r="E128" s="55" t="n">
        <v>85</v>
      </c>
      <c r="F128" s="56" t="n">
        <v>0.9270588235294117</v>
      </c>
      <c r="G128" s="12" t="n">
        <v>0.07294117647058829</v>
      </c>
      <c r="H128" s="55" t="n">
        <v>78.8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التسويق</t>
        </is>
      </c>
      <c r="C129" s="21" t="inlineStr">
        <is>
          <t>معدل احتفاظ مستخدمي تانكي</t>
        </is>
      </c>
      <c r="D129" s="55" t="n">
        <v>0.372</v>
      </c>
      <c r="E129" s="55" t="n">
        <v>0.4</v>
      </c>
      <c r="F129" s="56" t="n">
        <v>0.9299999999999999</v>
      </c>
      <c r="G129" s="12" t="n">
        <v>0.07000000000000006</v>
      </c>
      <c r="H129" s="55" t="n">
        <v>0.372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التسويق</t>
        </is>
      </c>
      <c r="M129" s="57" t="n"/>
    </row>
    <row r="130">
      <c r="A130" s="15" t="n">
        <v>128</v>
      </c>
      <c r="B130" s="13" t="inlineStr">
        <is>
          <t>التشغيل والمحطات</t>
        </is>
      </c>
      <c r="C130" s="21" t="inlineStr">
        <is>
          <t>انخفاض معدل الشكاوى التشغيلية</t>
        </is>
      </c>
      <c r="D130" s="55" t="n">
        <v>0.187</v>
      </c>
      <c r="E130" s="55" t="n">
        <v>0.2</v>
      </c>
      <c r="F130" s="56" t="n">
        <v>0.9349999999999999</v>
      </c>
      <c r="G130" s="12" t="n">
        <v>0.06500000000000006</v>
      </c>
      <c r="H130" s="55" t="n">
        <v>0.187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التشغيل</t>
        </is>
      </c>
      <c r="M130" s="57" t="n"/>
    </row>
    <row r="131">
      <c r="A131" s="15" t="n">
        <v>129</v>
      </c>
      <c r="B131" s="13" t="inlineStr">
        <is>
          <t>العقار</t>
        </is>
      </c>
      <c r="C131" s="21" t="inlineStr">
        <is>
          <t>نسبة إغلاق طلبات الخدمة خلال المدة</t>
        </is>
      </c>
      <c r="D131" s="55" t="n">
        <v>0.846</v>
      </c>
      <c r="E131" s="55" t="n">
        <v>0.9</v>
      </c>
      <c r="F131" s="56" t="n">
        <v>0.9399999999999999</v>
      </c>
      <c r="G131" s="12" t="n">
        <v>0.06000000000000005</v>
      </c>
      <c r="H131" s="55" t="n">
        <v>0.846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العقار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عدد محطات الشركة المُسلَّمة</t>
        </is>
      </c>
      <c r="D132" s="55" t="n">
        <v>18.8</v>
      </c>
      <c r="E132" s="55" t="n">
        <v>20</v>
      </c>
      <c r="F132" s="56" t="n">
        <v>0.9400000000000001</v>
      </c>
      <c r="G132" s="12" t="n">
        <v>0.05999999999999994</v>
      </c>
      <c r="H132" s="55" t="n">
        <v>37.6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الإدارة القانونية</t>
        </is>
      </c>
      <c r="C133" s="21" t="inlineStr">
        <is>
          <t>متوسط زمن إغلاق قضية التحقيق</t>
        </is>
      </c>
      <c r="D133" s="55" t="n">
        <v>31.9</v>
      </c>
      <c r="E133" s="55" t="n">
        <v>30</v>
      </c>
      <c r="F133" s="56" t="n">
        <v>0.9404388714733543</v>
      </c>
      <c r="G133" s="12" t="n">
        <v>0.05956112852664575</v>
      </c>
      <c r="H133" s="55" t="n">
        <v>31.9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المدير القانوني</t>
        </is>
      </c>
      <c r="M133" s="57" t="n"/>
    </row>
    <row r="134">
      <c r="A134" s="15" t="n">
        <v>132</v>
      </c>
      <c r="B134" s="13" t="inlineStr">
        <is>
          <t>سلاسل الإمداد</t>
        </is>
      </c>
      <c r="C134" s="21" t="inlineStr">
        <is>
          <t>نسبة تغطية مخزون الوقود بالأيام</t>
        </is>
      </c>
      <c r="D134" s="55" t="n">
        <v>4.706</v>
      </c>
      <c r="E134" s="55" t="n">
        <v>5</v>
      </c>
      <c r="F134" s="56" t="n">
        <v>0.9412</v>
      </c>
      <c r="G134" s="12" t="n">
        <v>0.05879999999999996</v>
      </c>
      <c r="H134" s="55" t="n">
        <v>4.706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سلاسل الإمداد</t>
        </is>
      </c>
      <c r="M134" s="57" t="n"/>
    </row>
    <row r="135">
      <c r="A135" s="15" t="n">
        <v>133</v>
      </c>
      <c r="B135" s="13" t="inlineStr">
        <is>
          <t>الصيانة والأتمتة</t>
        </is>
      </c>
      <c r="C135" s="21" t="inlineStr">
        <is>
          <t>نسبة استمرارية تشغيل المحطات دون توقف فني</t>
        </is>
      </c>
      <c r="D135" s="55" t="n">
        <v>0.9320000000000001</v>
      </c>
      <c r="E135" s="55" t="n">
        <v>0.99</v>
      </c>
      <c r="F135" s="56" t="n">
        <v>0.9414141414141415</v>
      </c>
      <c r="G135" s="12" t="n">
        <v>0.05858585858585852</v>
      </c>
      <c r="H135" s="55" t="n">
        <v>0.9320000000000001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الصيانة والأتمتة</t>
        </is>
      </c>
      <c r="M135" s="57" t="n"/>
    </row>
    <row r="136">
      <c r="A136" s="15" t="n">
        <v>134</v>
      </c>
      <c r="B136" s="13" t="inlineStr">
        <is>
          <t>الامتياز التجاري</t>
        </is>
      </c>
      <c r="C136" s="21" t="inlineStr">
        <is>
          <t>نسبة استدامة أصحاب الامتياز (Retention)</t>
        </is>
      </c>
      <c r="D136" s="55" t="n">
        <v>0.853</v>
      </c>
      <c r="E136" s="55" t="n">
        <v>0.9</v>
      </c>
      <c r="F136" s="56" t="n">
        <v>0.9477777777777777</v>
      </c>
      <c r="G136" s="12" t="n">
        <v>0.05222222222222228</v>
      </c>
      <c r="H136" s="55" t="n">
        <v>0.853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الامتياز</t>
        </is>
      </c>
      <c r="M136" s="57" t="n"/>
    </row>
    <row r="137">
      <c r="A137" s="15" t="n">
        <v>135</v>
      </c>
      <c r="B137" s="13" t="inlineStr">
        <is>
          <t>الجودة</t>
        </is>
      </c>
      <c r="C137" s="21" t="inlineStr">
        <is>
          <t>نسبة اعتماد النماذج والإجراءات الجديدة أو المحدثة</t>
        </is>
      </c>
      <c r="D137" s="55" t="n">
        <v>0.902</v>
      </c>
      <c r="E137" s="55" t="n">
        <v>0.95</v>
      </c>
      <c r="F137" s="56" t="n">
        <v>0.9494736842105264</v>
      </c>
      <c r="G137" s="12" t="n">
        <v>0.05052631578947364</v>
      </c>
      <c r="H137" s="55" t="n">
        <v>0.902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الجودة</t>
        </is>
      </c>
      <c r="M137" s="57" t="n"/>
    </row>
    <row r="138">
      <c r="A138" s="15" t="n">
        <v>136</v>
      </c>
      <c r="B138" s="13" t="inlineStr">
        <is>
          <t>الموارد البشرية</t>
        </is>
      </c>
      <c r="C138" s="21" t="inlineStr">
        <is>
          <t>نسبة جاهزية وتغطية عمالة المحطات حسب خطة التشغيل والافتتاحات</t>
        </is>
      </c>
      <c r="D138" s="55" t="n">
        <v>0.903</v>
      </c>
      <c r="E138" s="55" t="n">
        <v>0.95</v>
      </c>
      <c r="F138" s="56" t="n">
        <v>0.9505263157894738</v>
      </c>
      <c r="G138" s="12" t="n">
        <v>0.04947368421052623</v>
      </c>
      <c r="H138" s="55" t="n">
        <v>0.903</v>
      </c>
      <c r="I138" s="15" t="inlineStr">
        <is>
          <t>🔴 تحت الهدف</t>
        </is>
      </c>
      <c r="J138" s="11" t="inlineStr">
        <is>
          <t>انحراف جوهري — أولوية عاجلة.</t>
        </is>
      </c>
      <c r="K138" s="11" t="inlineStr">
        <is>
          <t>إجراء تصحيحي خلال 30 يوماً.</t>
        </is>
      </c>
      <c r="L138" s="15" t="inlineStr">
        <is>
          <t>مدير الموارد البشرية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جاهزية الإمداد للمحطات الجديدة وخطط الافتتاح</t>
        </is>
      </c>
      <c r="D139" s="55" t="n">
        <v>0.952</v>
      </c>
      <c r="E139" s="55" t="n">
        <v>1</v>
      </c>
      <c r="F139" s="56" t="n">
        <v>0.952</v>
      </c>
      <c r="G139" s="12" t="n">
        <v>0.04800000000000004</v>
      </c>
      <c r="H139" s="55" t="n">
        <v>0.952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الجودة</t>
        </is>
      </c>
      <c r="C140" s="21" t="inlineStr">
        <is>
          <t>نسبة إصدار تقارير الزيارات خلال المدة المحددة</t>
        </is>
      </c>
      <c r="D140" s="55" t="n">
        <v>0.907</v>
      </c>
      <c r="E140" s="55" t="n">
        <v>0.95</v>
      </c>
      <c r="F140" s="56" t="n">
        <v>0.9547368421052632</v>
      </c>
      <c r="G140" s="12" t="n">
        <v>0.04526315789473678</v>
      </c>
      <c r="H140" s="55" t="n">
        <v>0.907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الجودة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إغلاق الملاحظات ضمن SLA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إدارة المشاريع</t>
        </is>
      </c>
      <c r="C142" s="21" t="inlineStr">
        <is>
          <t>نسبة الالتزام بالميزانية المعتمدة</t>
        </is>
      </c>
      <c r="D142" s="55" t="n">
        <v>0.96</v>
      </c>
      <c r="E142" s="55" t="n">
        <v>1</v>
      </c>
      <c r="F142" s="56" t="n">
        <v>0.96</v>
      </c>
      <c r="G142" s="12" t="n">
        <v>0.04000000000000004</v>
      </c>
      <c r="H142" s="55" t="n">
        <v>0.96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إدارة المشاريع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عدد مخالفات المقاولين (سنوي)</t>
        </is>
      </c>
      <c r="D143" s="55" t="n">
        <v>10.4</v>
      </c>
      <c r="E143" s="55" t="n">
        <v>10</v>
      </c>
      <c r="F143" s="56" t="n">
        <v>0.9615384615384615</v>
      </c>
      <c r="G143" s="12" t="n">
        <v>0.03846153846153855</v>
      </c>
      <c r="H143" s="55" t="n">
        <v>20.8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الموارد البشرية</t>
        </is>
      </c>
      <c r="C144" s="21" t="inlineStr">
        <is>
          <t>نسبة كفاءة تكلفة القوى العاملة</t>
        </is>
      </c>
      <c r="D144" s="55" t="n">
        <v>0.917</v>
      </c>
      <c r="E144" s="55" t="n">
        <v>0.95</v>
      </c>
      <c r="F144" s="56" t="n">
        <v>0.9652631578947369</v>
      </c>
      <c r="G144" s="12" t="n">
        <v>0.03473684210526307</v>
      </c>
      <c r="H144" s="55" t="n">
        <v>0.917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الموارد البشرية</t>
        </is>
      </c>
      <c r="M144" s="57" t="n"/>
    </row>
    <row r="145">
      <c r="A145" s="15" t="n">
        <v>143</v>
      </c>
      <c r="B145" s="13" t="inlineStr">
        <is>
          <t>إدارة المشاريع</t>
        </is>
      </c>
      <c r="C145" s="21" t="inlineStr">
        <is>
          <t>نسبة إنجاز محفظة مشاريع التوسع</t>
        </is>
      </c>
      <c r="D145" s="55" t="n">
        <v>0.676</v>
      </c>
      <c r="E145" s="55" t="n">
        <v>0.7</v>
      </c>
      <c r="F145" s="56" t="n">
        <v>0.9657142857142859</v>
      </c>
      <c r="G145" s="12" t="n">
        <v>0.03428571428571414</v>
      </c>
      <c r="H145" s="55" t="n">
        <v>0.676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57" t="n"/>
    </row>
    <row r="146">
      <c r="A146" s="15" t="n">
        <v>144</v>
      </c>
      <c r="B146" s="13" t="inlineStr">
        <is>
          <t>الجودة</t>
        </is>
      </c>
      <c r="C146" s="21" t="inlineStr">
        <is>
          <t>نسبة انخفاض تكرار الملاحظات بعد التحسين</t>
        </is>
      </c>
      <c r="D146" s="55" t="n">
        <v>0.918</v>
      </c>
      <c r="E146" s="55" t="n">
        <v>0.95</v>
      </c>
      <c r="F146" s="56" t="n">
        <v>0.9663157894736844</v>
      </c>
      <c r="G146" s="12" t="n">
        <v>0.03368421052631565</v>
      </c>
      <c r="H146" s="55" t="n">
        <v>0.918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الجودة</t>
        </is>
      </c>
      <c r="M146" s="57" t="n"/>
    </row>
    <row r="147">
      <c r="A147" s="15" t="n">
        <v>145</v>
      </c>
      <c r="B147" s="13" t="inlineStr">
        <is>
          <t>الامتياز التجاري</t>
        </is>
      </c>
      <c r="C147" s="21" t="inlineStr">
        <is>
          <t>نسبة حل الشكاوى خلال المدة المحددة</t>
        </is>
      </c>
      <c r="D147" s="55" t="n">
        <v>0.922</v>
      </c>
      <c r="E147" s="55" t="n">
        <v>0.95</v>
      </c>
      <c r="F147" s="56" t="n">
        <v>0.9705263157894738</v>
      </c>
      <c r="G147" s="12" t="n">
        <v>0.02947368421052621</v>
      </c>
      <c r="H147" s="55" t="n">
        <v>0.922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الامتياز</t>
        </is>
      </c>
      <c r="M147" s="57" t="n"/>
    </row>
    <row r="148">
      <c r="A148" s="15" t="n">
        <v>146</v>
      </c>
      <c r="B148" s="13" t="inlineStr">
        <is>
          <t>الإدارة التنفيذية</t>
        </is>
      </c>
      <c r="C148" s="21" t="inlineStr">
        <is>
          <t>إجمالي العقود الجديدة — الشركة</t>
        </is>
      </c>
      <c r="D148" s="55" t="n">
        <v>346.6</v>
      </c>
      <c r="E148" s="55" t="n">
        <v>357</v>
      </c>
      <c r="F148" s="56" t="n">
        <v>0.9708683473389357</v>
      </c>
      <c r="G148" s="12" t="n">
        <v>0.02913165266106432</v>
      </c>
      <c r="H148" s="55" t="n">
        <v>693.2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الرئيس التنفيذي</t>
        </is>
      </c>
      <c r="M148" s="57" t="n"/>
    </row>
    <row r="149">
      <c r="A149" s="15" t="n">
        <v>147</v>
      </c>
      <c r="B149" s="13" t="inlineStr">
        <is>
          <t>الإدارة القانونية</t>
        </is>
      </c>
      <c r="C149" s="21" t="inlineStr">
        <is>
          <t>نسبة العقود الخالية من الملاحظات والمخاطر القانونية</t>
        </is>
      </c>
      <c r="D149" s="55" t="n">
        <v>0.924</v>
      </c>
      <c r="E149" s="55" t="n">
        <v>0.95</v>
      </c>
      <c r="F149" s="56" t="n">
        <v>0.9726315789473685</v>
      </c>
      <c r="G149" s="12" t="n">
        <v>0.02736842105263149</v>
      </c>
      <c r="H149" s="55" t="n">
        <v>0.924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المدير القانوني</t>
        </is>
      </c>
      <c r="M149" s="57" t="n"/>
    </row>
    <row r="150">
      <c r="A150" s="15" t="n">
        <v>148</v>
      </c>
      <c r="B150" s="13" t="inlineStr">
        <is>
          <t>الجودة</t>
        </is>
      </c>
      <c r="C150" s="21" t="inlineStr">
        <is>
          <t>نسبة اكتمال تقارير الزيارة الميدانية بالصور والأدلة</t>
        </is>
      </c>
      <c r="D150" s="55" t="n">
        <v>0.925</v>
      </c>
      <c r="E150" s="55" t="n">
        <v>0.95</v>
      </c>
      <c r="F150" s="56" t="n">
        <v>0.9736842105263159</v>
      </c>
      <c r="G150" s="12" t="n">
        <v>0.02631578947368407</v>
      </c>
      <c r="H150" s="55" t="n">
        <v>0.925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الجودة</t>
        </is>
      </c>
      <c r="M150" s="57" t="n"/>
    </row>
    <row r="151">
      <c r="A151" s="15" t="n">
        <v>149</v>
      </c>
      <c r="B151" s="13" t="inlineStr">
        <is>
          <t>سلاسل الإمداد</t>
        </is>
      </c>
      <c r="C151" s="21" t="inlineStr">
        <is>
          <t>كفاءة إدارة الموردين</t>
        </is>
      </c>
      <c r="D151" s="55" t="n">
        <v>0.881</v>
      </c>
      <c r="E151" s="55" t="n">
        <v>0.9</v>
      </c>
      <c r="F151" s="56" t="n">
        <v>0.9788888888888889</v>
      </c>
      <c r="G151" s="12" t="n">
        <v>0.02111111111111108</v>
      </c>
      <c r="H151" s="55" t="n">
        <v>0.881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سلاسل الإمداد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نسبة إنجاز أوامر الشراء خلال المدة المستهدفة</t>
        </is>
      </c>
      <c r="D152" s="55" t="n">
        <v>0.9320000000000001</v>
      </c>
      <c r="E152" s="55" t="n">
        <v>0.95</v>
      </c>
      <c r="F152" s="56" t="n">
        <v>0.9810526315789475</v>
      </c>
      <c r="G152" s="12" t="n">
        <v>0.01894736842105249</v>
      </c>
      <c r="H152" s="55" t="n">
        <v>0.9320000000000001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الجودة</t>
        </is>
      </c>
      <c r="C153" s="21" t="inlineStr">
        <is>
          <t>نسبة التحقق من إغلاق الملاحظات ميدانيًا أو بالصور</t>
        </is>
      </c>
      <c r="D153" s="55" t="n">
        <v>0.9370000000000001</v>
      </c>
      <c r="E153" s="55" t="n">
        <v>0.95</v>
      </c>
      <c r="F153" s="56" t="n">
        <v>0.9863157894736844</v>
      </c>
      <c r="G153" s="12" t="n">
        <v>0.01368421052631563</v>
      </c>
      <c r="H153" s="55" t="n">
        <v>0.9370000000000001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الجودة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إغلاق ملاحظات التدقيق الداخلي ضمن المدة</t>
        </is>
      </c>
      <c r="D154" s="55" t="n">
        <v>0.9389999999999999</v>
      </c>
      <c r="E154" s="55" t="n">
        <v>0.95</v>
      </c>
      <c r="F154" s="56" t="n">
        <v>0.988421052631579</v>
      </c>
      <c r="G154" s="12" t="n">
        <v>0.01157894736842102</v>
      </c>
      <c r="H154" s="55" t="n">
        <v>0.9389999999999999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التقنية الرقمية</t>
        </is>
      </c>
      <c r="C155" s="21" t="inlineStr">
        <is>
          <t>نسبة إنجاز مشاريع التحول الرقمي والمشاريع التقنية حسب الخطة</t>
        </is>
      </c>
      <c r="D155" s="55" t="n">
        <v>0.89</v>
      </c>
      <c r="E155" s="55" t="n">
        <v>0.9</v>
      </c>
      <c r="F155" s="56" t="n">
        <v>0.9888888888888889</v>
      </c>
      <c r="G155" s="12" t="n">
        <v>0.01111111111111107</v>
      </c>
      <c r="H155" s="55" t="n">
        <v>0.89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التقنية</t>
        </is>
      </c>
      <c r="M155" s="57" t="n"/>
    </row>
    <row r="156">
      <c r="A156" s="15" t="n">
        <v>154</v>
      </c>
      <c r="B156" s="13" t="inlineStr">
        <is>
          <t>الإدارة المالية</t>
        </is>
      </c>
      <c r="C156" s="21" t="inlineStr">
        <is>
          <t>انحراف الموازنة</t>
        </is>
      </c>
      <c r="D156" s="55" t="n">
        <v>0.101</v>
      </c>
      <c r="E156" s="55" t="n">
        <v>0.1</v>
      </c>
      <c r="F156" s="56" t="n">
        <v>0.9900990099009901</v>
      </c>
      <c r="G156" s="12" t="n">
        <v>0.00990099009900991</v>
      </c>
      <c r="H156" s="55" t="n">
        <v>0.101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المدير المالي</t>
        </is>
      </c>
      <c r="M156" s="57" t="n"/>
    </row>
    <row r="157">
      <c r="A157" s="15" t="n">
        <v>155</v>
      </c>
      <c r="B157" s="13" t="inlineStr">
        <is>
          <t>الصيانة والأتمتة</t>
        </is>
      </c>
      <c r="C157" s="21" t="inlineStr">
        <is>
          <t>نسبة استعادة أنظمة الأتمتة ضمن الزمن المحدد</t>
        </is>
      </c>
      <c r="D157" s="55" t="n">
        <v>0.9419999999999999</v>
      </c>
      <c r="E157" s="55" t="n">
        <v>0.95</v>
      </c>
      <c r="F157" s="56" t="n">
        <v>0.991578947368421</v>
      </c>
      <c r="G157" s="12" t="n">
        <v>0.008421052631578996</v>
      </c>
      <c r="H157" s="55" t="n">
        <v>0.9419999999999999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الصيانة والأتمتة</t>
        </is>
      </c>
      <c r="M157" s="57" t="n"/>
    </row>
    <row r="158">
      <c r="A158" s="15" t="n">
        <v>156</v>
      </c>
      <c r="B158" s="13" t="inlineStr">
        <is>
          <t>التسويق</t>
        </is>
      </c>
      <c r="C158" s="21" t="inlineStr">
        <is>
          <t>نسبة المشاعر الإيجابية للعلامة (Sentiment)</t>
        </is>
      </c>
      <c r="D158" s="55" t="n">
        <v>0.795</v>
      </c>
      <c r="E158" s="55" t="n">
        <v>0.8</v>
      </c>
      <c r="F158" s="56" t="n">
        <v>0.99375</v>
      </c>
      <c r="G158" s="12" t="n">
        <v>0.006249999999999978</v>
      </c>
      <c r="H158" s="55" t="n">
        <v>0.795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التسويق</t>
        </is>
      </c>
      <c r="M158" s="57" t="n"/>
    </row>
    <row r="159">
      <c r="A159" s="15" t="n">
        <v>157</v>
      </c>
      <c r="B159" s="13" t="inlineStr">
        <is>
          <t>الامتياز التجاري</t>
        </is>
      </c>
      <c r="C159" s="21" t="inlineStr">
        <is>
          <t>نسبة تطبيق المعيار الشامل داخل المحطات</t>
        </is>
      </c>
      <c r="D159" s="55" t="n">
        <v>0.299</v>
      </c>
      <c r="E159" s="55" t="n">
        <v>0.3</v>
      </c>
      <c r="F159" s="56" t="n">
        <v>0.9966666666666667</v>
      </c>
      <c r="G159" s="12" t="n">
        <v>0.003333333333333299</v>
      </c>
      <c r="H159" s="55" t="n">
        <v>0.299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الامتياز</t>
        </is>
      </c>
      <c r="M159" s="57" t="n"/>
    </row>
    <row r="160">
      <c r="A160" s="15" t="n">
        <v>158</v>
      </c>
      <c r="B160" s="13" t="inlineStr">
        <is>
          <t>الجودة</t>
        </is>
      </c>
      <c r="C160" s="21" t="inlineStr">
        <is>
          <t>نسبة نشر وتعميم الإجراءات المعتمدة</t>
        </is>
      </c>
      <c r="D160" s="55" t="n">
        <v>0.949</v>
      </c>
      <c r="E160" s="55" t="n">
        <v>0.95</v>
      </c>
      <c r="F160" s="56" t="n">
        <v>0.9989473684210526</v>
      </c>
      <c r="G160" s="12" t="n">
        <v>0.001052631578947416</v>
      </c>
      <c r="H160" s="55" t="n">
        <v>0.949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الجودة</t>
        </is>
      </c>
      <c r="M160" s="57" t="n"/>
    </row>
  </sheetData>
  <autoFilter ref="A2:M160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3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نسبة تحقيق مستهدف مبيعات الوقود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↑</t>
        </is>
      </c>
      <c r="G40" s="64" t="n">
        <v>1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تشغيل المحطات الجديدة وفق الخطة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0.95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تكلفة التشغيل لكل لتر مبيع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↓</t>
        </is>
      </c>
      <c r="G42" s="55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9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70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مؤشر جودة التشغيل بالمحطات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7" t="n">
        <v>95</v>
      </c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نسبة الالتزام بإجراءات التشغيل القياسية SOPs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0.95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إغلاق الملاحظات التشغيلية ضمن SLA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مؤشر الالتزام بمتطلبات السلامة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7" t="n">
        <v>95</v>
      </c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9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محقق",IF($U46&gt;=0.97,"🟡 قريب","🔴 تحت الهدف")))</f>
        <v/>
      </c>
      <c r="W46" s="70">
        <f>IF($G46="","",$G46)</f>
        <v/>
      </c>
      <c r="X46" s="59">
        <f>IF($U46="","—",IF($U46&gt;=0.97,"🟢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المحطات ذات التراخيص والتصاريح السارية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1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معدل الحوادث والمخالفات التشغيلية الجسيمة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↓</t>
        </is>
      </c>
      <c r="G48" s="60" t="n">
        <v>0</v>
      </c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62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3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مؤشر النظافة والبيئة بالمحطات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7" t="n">
        <v>95</v>
      </c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9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70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الالتزام بالهوية البصرية والمظهر العام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الالتزام بمظهر وانضباط العاملين بالمحطات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انخفاض معدل الشكاوى التشغيلية</t>
        </is>
      </c>
      <c r="D52" s="15" t="inlineStr">
        <is>
          <t>ربعي</t>
        </is>
      </c>
      <c r="E52" s="15" t="inlineStr">
        <is>
          <t>معدل</t>
        </is>
      </c>
      <c r="F52" s="55" t="inlineStr">
        <is>
          <t>↑</t>
        </is>
      </c>
      <c r="G52" s="64" t="n">
        <v>0.2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حل الشكاوى التشغيلية خلال المدة المحددة SLA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0.95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متوسط تقييم المحطات على خرائط Google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7" t="n">
        <v>4.2</v>
      </c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9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70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الاستثمار</t>
        </is>
      </c>
      <c r="C55" s="11" t="inlineStr">
        <is>
          <t>عدد فرص الاستثمار المدروسة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↑</t>
        </is>
      </c>
      <c r="G55" s="60" t="n">
        <v>30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نسبة الفرص المحوَّلة إلى عقود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0.4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عقود الاستثمار الجديدة (كل النماذج)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190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المحطات المستحوَذ عليها المشغّلة (تراكمي)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0" t="n">
        <v>120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نسبة المواقع ذات العائد المجدي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4" t="n">
        <v>0.8</v>
      </c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56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6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متوسط فترة استرداد رأس المال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↓</t>
        </is>
      </c>
      <c r="G60" s="67" t="n">
        <v>5</v>
      </c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9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70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مدة إغلاق عقد الاستثمار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1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نسبة العقود المتحوّلة إلى محطات مشغّلة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↑</t>
        </is>
      </c>
      <c r="G62" s="64" t="n">
        <v>0.3</v>
      </c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56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6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التغطية الإقليمية (13 منطقة)</t>
        </is>
      </c>
      <c r="D63" s="15" t="inlineStr">
        <is>
          <t>شهري</t>
        </is>
      </c>
      <c r="E63" s="15" t="inlineStr">
        <is>
          <t>لقطة</t>
        </is>
      </c>
      <c r="F63" s="55" t="inlineStr">
        <is>
          <t>↑</t>
        </is>
      </c>
      <c r="G63" s="64" t="n">
        <v>1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IFERROR(LOOKUP(2,1/($H63:$S63&lt;&gt;""),$H63:$S63),"")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اكتمال المستندات النظامية قبل التوقيع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العقود المؤرشفة إلكترونياً خلال 48 ساعة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0.95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مدى رضا المستثمرين وشركاء الاستثمار</t>
        </is>
      </c>
      <c r="D66" s="15" t="inlineStr">
        <is>
          <t>ربعي</t>
        </is>
      </c>
      <c r="E66" s="15" t="inlineStr">
        <is>
          <t>معدل</t>
        </is>
      </c>
      <c r="F66" s="55" t="inlineStr">
        <is>
          <t>↑</t>
        </is>
      </c>
      <c r="G66" s="64" t="n">
        <v>0.85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هدف",IF($U66&gt;=0.9,"✅ محقق",IF($U66&gt;=0.75,"🟡 قريب","🔴 تحت الهدف")))</f>
        <v/>
      </c>
      <c r="W66" s="66">
        <f>IF($G66="","",$G66)</f>
        <v/>
      </c>
      <c r="X66" s="59">
        <f>IF($U66="","—",IF($U66&gt;=0.75,"🟢 على المسار","🟠 متأخّر"))</f>
        <v/>
      </c>
    </row>
    <row r="67" ht="22" customHeight="1">
      <c r="A67" s="59" t="n">
        <v>64</v>
      </c>
      <c r="B67" s="13" t="inlineStr">
        <is>
          <t>العقار</t>
        </is>
      </c>
      <c r="C67" s="11" t="inlineStr">
        <is>
          <t>نسبة إشغال الوحدات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0.6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نمو العلامات التجارية (تراكمي — كل الوحدات)</t>
        </is>
      </c>
      <c r="D68" s="15" t="inlineStr">
        <is>
          <t>شهري</t>
        </is>
      </c>
      <c r="E68" s="15" t="inlineStr">
        <is>
          <t>لقطة</t>
        </is>
      </c>
      <c r="F68" s="55" t="inlineStr">
        <is>
          <t>↑</t>
        </is>
      </c>
      <c r="G68" s="60" t="n">
        <v>246</v>
      </c>
      <c r="H68" s="61" t="n"/>
      <c r="I68" s="61" t="n"/>
      <c r="J68" s="61" t="n"/>
      <c r="K68" s="61" t="n"/>
      <c r="L68" s="61" t="n"/>
      <c r="M68" s="61" t="n"/>
      <c r="N68" s="61" t="n"/>
      <c r="O68" s="61" t="n"/>
      <c r="P68" s="61" t="n"/>
      <c r="Q68" s="61" t="n"/>
      <c r="R68" s="61" t="n"/>
      <c r="S68" s="61" t="n"/>
      <c r="T68" s="62">
        <f>IFERROR(LOOKUP(2,1/($H68:$S68&lt;&gt;""),$H68:$S68),"")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3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معدل تحويل فرص التأجير إلى عقود</t>
        </is>
      </c>
      <c r="D69" s="15" t="inlineStr">
        <is>
          <t>شهري</t>
        </is>
      </c>
      <c r="E69" s="15" t="inlineStr">
        <is>
          <t>معدل</t>
        </is>
      </c>
      <c r="F69" s="55" t="inlineStr">
        <is>
          <t>↑</t>
        </is>
      </c>
      <c r="G69" s="64" t="n">
        <v>0.2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نمو الإيرادات الإيجارية</t>
        </is>
      </c>
      <c r="D70" s="15" t="inlineStr">
        <is>
          <t>ربعي</t>
        </is>
      </c>
      <c r="E70" s="15" t="inlineStr">
        <is>
          <t>معدل</t>
        </is>
      </c>
      <c r="F70" s="55" t="inlineStr">
        <is>
          <t>↑</t>
        </is>
      </c>
      <c r="G70" s="64" t="n">
        <v>0.08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 الإيجاري لكل م² (ARPU)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متوسط مدة تأجير الوحدة الشاغرة (Time-to-Lease)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↓</t>
        </is>
      </c>
      <c r="G72" s="67" t="n">
        <v>30</v>
      </c>
      <c r="H72" s="68" t="n"/>
      <c r="I72" s="68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9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70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نسبة تحصيل الإيجارات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↑</t>
        </is>
      </c>
      <c r="G73" s="64" t="n">
        <v>0.95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المتأخرات في السداد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4" t="n">
        <v>0.05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متوسط زمن تسليم الوحدة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7" t="n">
        <v>7</v>
      </c>
      <c r="H75" s="68" t="n"/>
      <c r="I75" s="68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9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70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إغلاق طلبات الخدمة خلال المدة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0.9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معدل رضا المستأجرين (استبيان ربعي)</t>
        </is>
      </c>
      <c r="D77" s="15" t="inlineStr">
        <is>
          <t>ربعي</t>
        </is>
      </c>
      <c r="E77" s="15" t="inlineStr">
        <is>
          <t>معدل</t>
        </is>
      </c>
      <c r="F77" s="55" t="inlineStr">
        <is>
          <t>↑</t>
        </is>
      </c>
      <c r="G77" s="64" t="n">
        <v>0.9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هدف",IF($U77&gt;=0.9,"✅ محقق",IF($U77&gt;=0.75,"🟡 قريب","🔴 تحت الهدف")))</f>
        <v/>
      </c>
      <c r="W77" s="66">
        <f>IF($G77="","",$G77)</f>
        <v/>
      </c>
      <c r="X77" s="59">
        <f>IF($U77="","—",IF($U77&gt;=0.75,"🟢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معدل استبقاء المستأجرين (تجديد وبلا إنهاء مبكر)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0.85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نسبة تأجير ساحة درب</t>
        </is>
      </c>
      <c r="D79" s="15" t="inlineStr">
        <is>
          <t>شهري</t>
        </is>
      </c>
      <c r="E79" s="15" t="inlineStr">
        <is>
          <t>لقطة</t>
        </is>
      </c>
      <c r="F79" s="55" t="inlineStr">
        <is>
          <t>↑</t>
        </is>
      </c>
      <c r="G79" s="64" t="n">
        <v>0.8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IFERROR(LOOKUP(2,1/($H79:$S79&lt;&gt;""),$H79:$S79),"")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عدد العلامات التجارية الجديدة بالساحة</t>
        </is>
      </c>
      <c r="D80" s="15" t="inlineStr">
        <is>
          <t>شهري</t>
        </is>
      </c>
      <c r="E80" s="15" t="inlineStr">
        <is>
          <t>تراكمي</t>
        </is>
      </c>
      <c r="F80" s="55" t="inlineStr">
        <is>
          <t>↑</t>
        </is>
      </c>
      <c r="G80" s="60" t="n">
        <v>6</v>
      </c>
      <c r="H80" s="61" t="n"/>
      <c r="I80" s="61" t="n"/>
      <c r="J80" s="61" t="n"/>
      <c r="K80" s="61" t="n"/>
      <c r="L80" s="61" t="n"/>
      <c r="M80" s="61" t="n"/>
      <c r="N80" s="61" t="n"/>
      <c r="O80" s="61" t="n"/>
      <c r="P80" s="61" t="n"/>
      <c r="Q80" s="61" t="n"/>
      <c r="R80" s="61" t="n"/>
      <c r="S80" s="61" t="n"/>
      <c r="T80" s="62">
        <f>IF(COUNT($H80:$S80)=0,"",SUM($H80:$S80))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3">
        <f>IF($G80="","",$G80*COUNT($H80:$S80)/12)</f>
        <v/>
      </c>
      <c r="X80" s="59">
        <f>IF($U80="","—",IF($U80&gt;=COUNT($H80:$S80)/12,"🟢 على المسار","🟠 متأخّر"))</f>
        <v/>
      </c>
    </row>
    <row r="81" ht="22" customHeight="1">
      <c r="A81" s="59" t="n">
        <v>78</v>
      </c>
      <c r="B81" s="13" t="inlineStr">
        <is>
          <t>إدارة المشاريع</t>
        </is>
      </c>
      <c r="C81" s="11" t="inlineStr">
        <is>
          <t>عدد محطات الشركة المُسلَّمة</t>
        </is>
      </c>
      <c r="D81" s="15" t="inlineStr">
        <is>
          <t>شهري</t>
        </is>
      </c>
      <c r="E81" s="15" t="inlineStr">
        <is>
          <t>تراكمي</t>
        </is>
      </c>
      <c r="F81" s="55" t="inlineStr">
        <is>
          <t>↑</t>
        </is>
      </c>
      <c r="G81" s="60" t="n">
        <v>20</v>
      </c>
      <c r="H81" s="61" t="n"/>
      <c r="I81" s="61" t="n"/>
      <c r="J81" s="61" t="n"/>
      <c r="K81" s="61" t="n"/>
      <c r="L81" s="61" t="n"/>
      <c r="M81" s="61" t="n"/>
      <c r="N81" s="61" t="n"/>
      <c r="O81" s="61" t="n"/>
      <c r="P81" s="61" t="n"/>
      <c r="Q81" s="61" t="n"/>
      <c r="R81" s="61" t="n"/>
      <c r="S81" s="61" t="n"/>
      <c r="T81" s="62">
        <f>IF(COUNT($H81:$S81)=0,"",SUM($H81:$S81))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3">
        <f>IF($G81="","",$G81*COUNT($H81:$S81)/12)</f>
        <v/>
      </c>
      <c r="X81" s="59">
        <f>IF($U81="","—",IF($U81&gt;=COUNT($H81:$S81)/12,"🟢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نسبة إنجاز محفظة مشاريع التوسع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0.7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تسليم المحطات في الموعد المخطط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0.8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المشاريع المنفّذة ضمن الميزانية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0.85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عدد محطات الامتياز المُسلَّمة بالهوية</t>
        </is>
      </c>
      <c r="D85" s="15" t="inlineStr">
        <is>
          <t>شهري</t>
        </is>
      </c>
      <c r="E85" s="15" t="inlineStr">
        <is>
          <t>تراكمي</t>
        </is>
      </c>
      <c r="F85" s="55" t="inlineStr">
        <is>
          <t>↑</t>
        </is>
      </c>
      <c r="G85" s="60" t="n">
        <v>40</v>
      </c>
      <c r="H85" s="61" t="n"/>
      <c r="I85" s="61" t="n"/>
      <c r="J85" s="61" t="n"/>
      <c r="K85" s="61" t="n"/>
      <c r="L85" s="61" t="n"/>
      <c r="M85" s="61" t="n"/>
      <c r="N85" s="61" t="n"/>
      <c r="O85" s="61" t="n"/>
      <c r="P85" s="61" t="n"/>
      <c r="Q85" s="61" t="n"/>
      <c r="R85" s="61" t="n"/>
      <c r="S85" s="61" t="n"/>
      <c r="T85" s="62">
        <f>IF(COUNT($H85:$S85)=0,"",SUM($H85:$S85))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3">
        <f>IF($G85="","",$G85*COUNT($H85:$S85)/12)</f>
        <v/>
      </c>
      <c r="X85" s="59">
        <f>IF($U85="","—",IF($U85&gt;=COUNT($H85:$S85)/12,"🟢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تنفيذ زيارات الإشراف المجدولة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0.9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التزام المطوّرين بالجدول الزمني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0.75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إغلاق ملاحظات الجودة على المطوّرين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المشاريع الخالية من مخالفات الجودة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عدد مخالفات المقاولين (سنوي)</t>
        </is>
      </c>
      <c r="D90" s="15" t="inlineStr">
        <is>
          <t>شهري</t>
        </is>
      </c>
      <c r="E90" s="15" t="inlineStr">
        <is>
          <t>تراكمي</t>
        </is>
      </c>
      <c r="F90" s="55" t="inlineStr">
        <is>
          <t>↓</t>
        </is>
      </c>
      <c r="G90" s="60" t="n">
        <v>10</v>
      </c>
      <c r="H90" s="61" t="n"/>
      <c r="I90" s="61" t="n"/>
      <c r="J90" s="61" t="n"/>
      <c r="K90" s="61" t="n"/>
      <c r="L90" s="61" t="n"/>
      <c r="M90" s="61" t="n"/>
      <c r="N90" s="61" t="n"/>
      <c r="O90" s="61" t="n"/>
      <c r="P90" s="61" t="n"/>
      <c r="Q90" s="61" t="n"/>
      <c r="R90" s="61" t="n"/>
      <c r="S90" s="61" t="n"/>
      <c r="T90" s="62">
        <f>IF(COUNT($H90:$S90)=0,"",SUM($H90:$S90))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3">
        <f>IF($G90="","",$G90*COUNT($H90:$S90)/12)</f>
        <v/>
      </c>
      <c r="X90" s="59">
        <f>IF($U90="","—",IF($U90&gt;=COUNT($H90:$S90)/12,"🟢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التزام المقاولين بمعايير السلامة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0.95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محقق",IF($U91&gt;=0.97,"🟡 قريب","🔴 تحت الهدف")))</f>
        <v/>
      </c>
      <c r="W91" s="66">
        <f>IF($G91="","",$G91)</f>
        <v/>
      </c>
      <c r="X91" s="59">
        <f>IF($U91="","—",IF($U91&gt;=0.97,"🟢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الالتزام بالميزانية المعتمدة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1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الالتزام بالجدول الزمني العام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1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متوسط مدة إغلاق قائمة الملاحظات النهائية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↓</t>
        </is>
      </c>
      <c r="G94" s="67" t="n">
        <v>30</v>
      </c>
      <c r="H94" s="68" t="n"/>
      <c r="I94" s="68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9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70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سلاسل الإمداد</t>
        </is>
      </c>
      <c r="C95" s="11" t="inlineStr">
        <is>
          <t>نسبة تلبية طلبات المحطات من الوقود Fill Rate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0.98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عدد انقطاعات التوريد المؤثرة شهريًا</t>
        </is>
      </c>
      <c r="D96" s="15" t="inlineStr">
        <is>
          <t>شهري</t>
        </is>
      </c>
      <c r="E96" s="15" t="inlineStr">
        <is>
          <t>تراكمي</t>
        </is>
      </c>
      <c r="F96" s="55" t="inlineStr">
        <is>
          <t>↓</t>
        </is>
      </c>
      <c r="G96" s="60" t="n">
        <v>0</v>
      </c>
      <c r="H96" s="61" t="n"/>
      <c r="I96" s="61" t="n"/>
      <c r="J96" s="61" t="n"/>
      <c r="K96" s="61" t="n"/>
      <c r="L96" s="61" t="n"/>
      <c r="M96" s="61" t="n"/>
      <c r="N96" s="61" t="n"/>
      <c r="O96" s="61" t="n"/>
      <c r="P96" s="61" t="n"/>
      <c r="Q96" s="61" t="n"/>
      <c r="R96" s="61" t="n"/>
      <c r="S96" s="61" t="n"/>
      <c r="T96" s="62">
        <f>IF(COUNT($H96:$S96)=0,"",SUM($H96:$S96))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3">
        <f>IF($G96="","",$G96*COUNT($H96:$S96)/12)</f>
        <v/>
      </c>
      <c r="X96" s="59">
        <f>IF($U96="","—",IF($U96&gt;=COUNT($H96:$S96)/12,"🟢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نسبة تغطية مخزون الوقود بالأيام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7" t="n">
        <v>5</v>
      </c>
      <c r="H97" s="68" t="n"/>
      <c r="I97" s="68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9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70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توفر المواد المخزنية والحرجة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0.98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المواد الراكدة من المخزون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↓</t>
        </is>
      </c>
      <c r="G99" s="64" t="n">
        <v>0.05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دقة أوامر الشراء ومستنداتها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0.98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إنجاز أوامر الشراء خلال المدة المستهدفة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0.95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الالتزام بزمن التسليم والتوريد للمحطات والإدارات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جاهزية الإمداد للمحطات الجديدة وخطط الافتتاح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1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محقق",IF($U103&gt;=0.97,"🟡 قريب","🔴 تحت الهدف")))</f>
        <v/>
      </c>
      <c r="W103" s="66">
        <f>IF($G103="","",$G103)</f>
        <v/>
      </c>
      <c r="X103" s="59">
        <f>IF($U103="","—",IF($U103&gt;=0.97,"🟢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الالتزام بجدول النقل واستخدام الأسطول بكفاءة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كفاءة إدارة الموردين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مستوى رضا الإدارات عن خدمات سلاسل الإمداد</t>
        </is>
      </c>
      <c r="D106" s="15" t="inlineStr">
        <is>
          <t>ربعي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0.85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هدف",IF($U106&gt;=0.9,"✅ محقق",IF($U106&gt;=0.75,"🟡 قريب","🔴 تحت الهدف")))</f>
        <v/>
      </c>
      <c r="W106" s="66">
        <f>IF($G106="","",$G106)</f>
        <v/>
      </c>
      <c r="X106" s="59">
        <f>IF($U106="","—",IF($U106&gt;=0.75,"🟢 على المسار","🟠 متأخّر"))</f>
        <v/>
      </c>
    </row>
    <row r="107" ht="22" customHeight="1">
      <c r="A107" s="59" t="n">
        <v>104</v>
      </c>
      <c r="B107" s="13" t="inlineStr">
        <is>
          <t>الصيانة والأتمتة</t>
        </is>
      </c>
      <c r="C107" s="11" t="inlineStr">
        <is>
          <t>نسبة الجاهزية الفنية للأصول والمعدات (Availability)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0.98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محقق",IF($U107&gt;=0.97,"🟡 قريب","🔴 تحت الهدف")))</f>
        <v/>
      </c>
      <c r="W107" s="66">
        <f>IF($G107="","",$G107)</f>
        <v/>
      </c>
      <c r="X107" s="59">
        <f>IF($U107="","—",IF($U107&gt;=0.97,"🟢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تنفيذ الصيانة الوقائية في موعدها (PM)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إغلاق بلاغات الصيانة ضمن اتفاقية الخدمة (SLA)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متوسط زمن الاستجابة للبلاغات الطارئة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↓</t>
        </is>
      </c>
      <c r="G110" s="67" t="n">
        <v>30</v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68" t="n"/>
      <c r="Q110" s="68" t="n"/>
      <c r="R110" s="68" t="n"/>
      <c r="S110" s="68" t="n"/>
      <c r="T110" s="69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70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متوسط زمن إصلاح الأعطال (MTTR)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7" t="n">
        <v>4</v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68" t="n"/>
      <c r="Q111" s="68" t="n"/>
      <c r="R111" s="68" t="n"/>
      <c r="S111" s="68" t="n"/>
      <c r="T111" s="69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70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معدل تكرار الأعطال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4" t="n">
        <v>0.05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نسبة استمرارية تشغيل المحطات دون توقف فني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0.99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التشغيل السليم لأنظمة الأتمتة (Uptime)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0.99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محقق",IF($U114&gt;=0.97,"🟡 قريب","🔴 تحت الهدف")))</f>
        <v/>
      </c>
      <c r="W114" s="66">
        <f>IF($G114="","",$G114)</f>
        <v/>
      </c>
      <c r="X114" s="59">
        <f>IF($U114="","—",IF($U114&gt;=0.97,"🟢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استعادة أنظمة الأتمتة ضمن الزمن المحدد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كفاءة تكاليف الصيانة (الالتزام بالميزانية)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التقنية الرقمية</t>
        </is>
      </c>
      <c r="C117" s="11" t="inlineStr">
        <is>
          <t>نسبة توفر الأنظمة والخدمات التقنية المركزية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0.99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معالجة الأعطال وطلبات الدعم الفني ضمن المدة المستهدفة SLA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استقرار التشغيل التقني للمحطات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إنجاز مشاريع التحول الرقمي والمشاريع التقنية حسب الخطة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تسليم المشاريع التقنية ضمن الوقت والميزانية ونطاق العمل المعتمد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الالتزام بإدارة صلاحيات المستخدمين والحسابات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نجاح النسخ الاحتياطي واختبارات استعادة البيانات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1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الامتثال لضوابط الأمن السيبراني الأساسية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0.95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محقق",IF($U124&gt;=0.97,"🟡 قريب","🔴 تحت الهدف")))</f>
        <v/>
      </c>
      <c r="W124" s="66">
        <f>IF($G124="","",$G124)</f>
        <v/>
      </c>
      <c r="X124" s="59">
        <f>IF($U124="","—",IF($U124&gt;=0.97,"🟢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دقة وتكامل البيانات بين الأنظمة الرقمية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0.98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الالتزام بتحديث وتوثيق أصول تقنية المعلومات والتراخيص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تنفيذ الصيانة الوقائية للأجهزة والبنية التقنية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مستوى رضا الإدارات والمستخدمين عن خدمات تقنية المعلومات</t>
        </is>
      </c>
      <c r="D128" s="15" t="inlineStr">
        <is>
          <t>ربعي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0.85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هدف",IF($U128&gt;=0.9,"✅ محقق",IF($U128&gt;=0.75,"🟡 قريب","🔴 تحت الهدف")))</f>
        <v/>
      </c>
      <c r="W128" s="66">
        <f>IF($G128="","",$G128)</f>
        <v/>
      </c>
      <c r="X128" s="59">
        <f>IF($U128="","—",IF($U128&gt;=0.75,"🟢 على المسار","🟠 متأخّر"))</f>
        <v/>
      </c>
    </row>
    <row r="129" ht="22" customHeight="1">
      <c r="A129" s="59" t="n">
        <v>126</v>
      </c>
      <c r="B129" s="13" t="inlineStr">
        <is>
          <t>الموارد البشرية</t>
        </is>
      </c>
      <c r="C129" s="11" t="inlineStr">
        <is>
          <t>نسبة الالتزام بالتوطين والامتثال الحكومي دون مخالفات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1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محقق",IF($U129&gt;=0.97,"🟡 قريب","🔴 تحت الهدف")))</f>
        <v/>
      </c>
      <c r="W129" s="66">
        <f>IF($G129="","",$G129)</f>
        <v/>
      </c>
      <c r="X129" s="59">
        <f>IF($U129="","—",IF($U129&gt;=0.97,"🟢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بنظام العمل واللوائح وخطة القوى العاملة المعتمدة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بتجديد الوثائق واكتمال ملفات الموظفين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إنجاز معاملات شؤون الموظفين ضمن المدة المستهدفة SLA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جاهزية وتغطية عمالة المحطات حسب خطة التشغيل والافتتاحات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0.95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محقق",IF($U133&gt;=0.97,"🟡 قريب","🔴 تحت الهدف")))</f>
        <v/>
      </c>
      <c r="W133" s="66">
        <f>IF($G133="","",$G133)</f>
        <v/>
      </c>
      <c r="X133" s="59">
        <f>IF($U133="","—",IF($U133&gt;=0.97,"🟢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متوسط مدة إغلاق الشواغر المعتمدة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↓</t>
        </is>
      </c>
      <c r="G134" s="67" t="n">
        <v>30</v>
      </c>
      <c r="H134" s="68" t="n"/>
      <c r="I134" s="68" t="n"/>
      <c r="J134" s="68" t="n"/>
      <c r="K134" s="68" t="n"/>
      <c r="L134" s="68" t="n"/>
      <c r="M134" s="68" t="n"/>
      <c r="N134" s="68" t="n"/>
      <c r="O134" s="68" t="n"/>
      <c r="P134" s="68" t="n"/>
      <c r="Q134" s="68" t="n"/>
      <c r="R134" s="68" t="n"/>
      <c r="S134" s="68" t="n"/>
      <c r="T134" s="69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70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نجاح التعيينات الجديدة خلال فترة التجربة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كفاءة تكلفة القوى العاملة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دقة الرواتب والمستحقات الشهرية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معدل دوران الموظفين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↓</t>
        </is>
      </c>
      <c r="G138" s="64" t="n">
        <v>0.1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تنفيذ برامج التدريب والتأهيل المعتمدة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إغلاق تقييمات الأداء وخطط الإحلال للوظائف الحرجة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التسويق</t>
        </is>
      </c>
      <c r="C141" s="11" t="inlineStr">
        <is>
          <t>عملاء تجاريون جدد</t>
        </is>
      </c>
      <c r="D141" s="15" t="inlineStr">
        <is>
          <t>شهري</t>
        </is>
      </c>
      <c r="E141" s="15" t="inlineStr">
        <is>
          <t>تراكمي</t>
        </is>
      </c>
      <c r="F141" s="55" t="inlineStr">
        <is>
          <t>↑</t>
        </is>
      </c>
      <c r="G141" s="60" t="n">
        <v>200</v>
      </c>
      <c r="H141" s="61" t="n"/>
      <c r="I141" s="61" t="n"/>
      <c r="J141" s="61" t="n"/>
      <c r="K141" s="61" t="n"/>
      <c r="L141" s="61" t="n"/>
      <c r="M141" s="61" t="n"/>
      <c r="N141" s="61" t="n"/>
      <c r="O141" s="61" t="n"/>
      <c r="P141" s="61" t="n"/>
      <c r="Q141" s="61" t="n"/>
      <c r="R141" s="61" t="n"/>
      <c r="S141" s="61" t="n"/>
      <c r="T141" s="62">
        <f>IF(COUNT($H141:$S141)=0,"",SUM($H141:$S141))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3">
        <f>IF($G141="","",$G141*COUNT($H141:$S141)/12)</f>
        <v/>
      </c>
      <c r="X141" s="59">
        <f>IF($U141="","—",IF($U141&gt;=COUNT($H141:$S141)/12,"🟢 على المسار","🟠 متأخّر"))</f>
        <v/>
      </c>
    </row>
    <row r="142" ht="22" customHeight="1">
      <c r="A142" s="59" t="n">
        <v>139</v>
      </c>
      <c r="B142" s="13" t="inlineStr">
        <is>
          <t>التسويق</t>
        </is>
      </c>
      <c r="C142" s="11" t="inlineStr">
        <is>
          <t>تكلفة اكتساب العميل (CAC)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↓</t>
        </is>
      </c>
      <c r="G142" s="55" t="n"/>
      <c r="H142" s="68" t="n"/>
      <c r="I142" s="68" t="n"/>
      <c r="J142" s="68" t="n"/>
      <c r="K142" s="68" t="n"/>
      <c r="L142" s="68" t="n"/>
      <c r="M142" s="68" t="n"/>
      <c r="N142" s="68" t="n"/>
      <c r="O142" s="68" t="n"/>
      <c r="P142" s="68" t="n"/>
      <c r="Q142" s="68" t="n"/>
      <c r="R142" s="68" t="n"/>
      <c r="S142" s="68" t="n"/>
      <c r="T142" s="69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70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العائد على الإنفاق التسويقي (ROMI)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7" t="n">
        <v>3</v>
      </c>
      <c r="H143" s="68" t="n"/>
      <c r="I143" s="68" t="n"/>
      <c r="J143" s="68" t="n"/>
      <c r="K143" s="68" t="n"/>
      <c r="L143" s="68" t="n"/>
      <c r="M143" s="68" t="n"/>
      <c r="N143" s="68" t="n"/>
      <c r="O143" s="68" t="n"/>
      <c r="P143" s="68" t="n"/>
      <c r="Q143" s="68" t="n"/>
      <c r="R143" s="68" t="n"/>
      <c r="S143" s="68" t="n"/>
      <c r="T143" s="69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70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تحويل الفرص التسويقية إلى عقود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0.25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6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نمو الوصول المؤهل</t>
        </is>
      </c>
      <c r="D145" s="15" t="inlineStr">
        <is>
          <t>ربعي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0.2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هدف",IF($U145&gt;=0.9,"✅ محقق",IF($U145&gt;=0.75,"🟡 قريب","🔴 تحت الهدف")))</f>
        <v/>
      </c>
      <c r="W145" s="66">
        <f>IF($G145="","",$G145)</f>
        <v/>
      </c>
      <c r="X145" s="59">
        <f>IF($U145="","—",IF($U145&gt;=0.75,"🟢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وصول العلاقات العامة (PR)</t>
        </is>
      </c>
      <c r="D146" s="15" t="inlineStr">
        <is>
          <t>شهري</t>
        </is>
      </c>
      <c r="E146" s="15" t="inlineStr">
        <is>
          <t>لقطة</t>
        </is>
      </c>
      <c r="F146" s="55" t="inlineStr">
        <is>
          <t>↑</t>
        </is>
      </c>
      <c r="G146" s="60" t="n">
        <v>7000000</v>
      </c>
      <c r="H146" s="61" t="n"/>
      <c r="I146" s="61" t="n"/>
      <c r="J146" s="61" t="n"/>
      <c r="K146" s="61" t="n"/>
      <c r="L146" s="61" t="n"/>
      <c r="M146" s="61" t="n"/>
      <c r="N146" s="61" t="n"/>
      <c r="O146" s="61" t="n"/>
      <c r="P146" s="61" t="n"/>
      <c r="Q146" s="61" t="n"/>
      <c r="R146" s="61" t="n"/>
      <c r="S146" s="61" t="n"/>
      <c r="T146" s="62">
        <f>IFERROR(LOOKUP(2,1/($H146:$S146&lt;&gt;""),$H146:$S146),"")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3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معدل التفاعل (Engagement)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نمو المتابعين النشطين</t>
        </is>
      </c>
      <c r="D148" s="15" t="inlineStr">
        <is>
          <t>ربعي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0.2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نسبة الالتزام بالهوية البصرية</t>
        </is>
      </c>
      <c r="D149" s="15" t="inlineStr">
        <is>
          <t>شهري</t>
        </is>
      </c>
      <c r="E149" s="15" t="inlineStr">
        <is>
          <t>لقطة</t>
        </is>
      </c>
      <c r="F149" s="55" t="inlineStr">
        <is>
          <t>↑</t>
        </is>
      </c>
      <c r="G149" s="64" t="n">
        <v>1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IFERROR(LOOKUP(2,1/($H149:$S149&lt;&gt;""),$H149:$S149),"")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نسبة المشاعر الإيجابية للعلامة (Sentiment)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0.8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المستخدمون النشطون شهرياً (MAU)</t>
        </is>
      </c>
      <c r="D151" s="15" t="inlineStr">
        <is>
          <t>شهري</t>
        </is>
      </c>
      <c r="E151" s="15" t="inlineStr">
        <is>
          <t>لقطة</t>
        </is>
      </c>
      <c r="F151" s="55" t="inlineStr">
        <is>
          <t>↑</t>
        </is>
      </c>
      <c r="G151" s="60" t="n">
        <v>100000</v>
      </c>
      <c r="H151" s="61" t="n"/>
      <c r="I151" s="61" t="n"/>
      <c r="J151" s="61" t="n"/>
      <c r="K151" s="61" t="n"/>
      <c r="L151" s="61" t="n"/>
      <c r="M151" s="61" t="n"/>
      <c r="N151" s="61" t="n"/>
      <c r="O151" s="61" t="n"/>
      <c r="P151" s="61" t="n"/>
      <c r="Q151" s="61" t="n"/>
      <c r="R151" s="61" t="n"/>
      <c r="S151" s="61" t="n"/>
      <c r="T151" s="62">
        <f>IFERROR(LOOKUP(2,1/($H151:$S151&lt;&gt;""),$H151:$S151),"")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3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معدل احتفاظ مستخدمي تانكي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0.4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الجودة</t>
        </is>
      </c>
      <c r="C153" s="11" t="inlineStr">
        <is>
          <t>نسبة تنفيذ خطة الزيارات الميدانية للمحطات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0.95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الجودة</t>
        </is>
      </c>
      <c r="C154" s="11" t="inlineStr">
        <is>
          <t>عدد الملاحظات الميدانية المرصودة والمصنفة حسب الخطورة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55" t="n"/>
      <c r="H154" s="61" t="n"/>
      <c r="I154" s="61" t="n"/>
      <c r="J154" s="61" t="n"/>
      <c r="K154" s="61" t="n"/>
      <c r="L154" s="61" t="n"/>
      <c r="M154" s="61" t="n"/>
      <c r="N154" s="61" t="n"/>
      <c r="O154" s="61" t="n"/>
      <c r="P154" s="61" t="n"/>
      <c r="Q154" s="61" t="n"/>
      <c r="R154" s="61" t="n"/>
      <c r="S154" s="61" t="n"/>
      <c r="T154" s="62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3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نسبة تغطية المحطات بالزيارات الشهرية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اكتمال تقارير الزيارة الميدانية بالصور والأدلة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إصدار تقارير الزيارات خلال المدة المحددة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الزيارات المفاجئة من إجمالي الزيارات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إغلاق الملاحظات ضمن SLA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التحقق من إغلاق الملاحظات ميدانيًا أو بالصور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الملاحظات المتأخرة عن الإغلاق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↓</t>
        </is>
      </c>
      <c r="G161" s="64" t="n">
        <v>0.05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الملاحظات المتكررة في نفس المحطة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4" t="n">
        <v>0.05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متوسط زمن إغلاق الملاحظات الحرجة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7" t="n">
        <v>7</v>
      </c>
      <c r="H163" s="68" t="n"/>
      <c r="I163" s="68" t="n"/>
      <c r="J163" s="68" t="n"/>
      <c r="K163" s="68" t="n"/>
      <c r="L163" s="68" t="n"/>
      <c r="M163" s="68" t="n"/>
      <c r="N163" s="68" t="n"/>
      <c r="O163" s="68" t="n"/>
      <c r="P163" s="68" t="n"/>
      <c r="Q163" s="68" t="n"/>
      <c r="R163" s="68" t="n"/>
      <c r="S163" s="68" t="n"/>
      <c r="T163" s="69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70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تنفيذ خطة التدقيق الداخلي</t>
        </is>
      </c>
      <c r="D164" s="15" t="inlineStr">
        <is>
          <t>ربعي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0.95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إغلاق ملاحظات التدقيق الداخلي ضمن المدة</t>
        </is>
      </c>
      <c r="D165" s="15" t="inlineStr">
        <is>
          <t>ربعي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0.95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عدد حالات عدم المطابقة المتكررة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↓</t>
        </is>
      </c>
      <c r="G166" s="60" t="n">
        <v>0</v>
      </c>
      <c r="H166" s="61" t="n"/>
      <c r="I166" s="61" t="n"/>
      <c r="J166" s="61" t="n"/>
      <c r="K166" s="61" t="n"/>
      <c r="L166" s="61" t="n"/>
      <c r="M166" s="61" t="n"/>
      <c r="N166" s="61" t="n"/>
      <c r="O166" s="61" t="n"/>
      <c r="P166" s="61" t="n"/>
      <c r="Q166" s="61" t="n"/>
      <c r="R166" s="61" t="n"/>
      <c r="S166" s="61" t="n"/>
      <c r="T166" s="62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محقق",IF($U166&gt;=0.97,"🟡 قريب","🔴 تحت الهدف")))</f>
        <v/>
      </c>
      <c r="W166" s="63">
        <f>IF($G166="","",$G166)</f>
        <v/>
      </c>
      <c r="X166" s="59">
        <f>IF($U166="","—",IF($U166&gt;=0.97,"🟢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فاعلية الإجراءات التصحيحية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متوسط زمن إغلاق حالات عدم المطابقة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↓</t>
        </is>
      </c>
      <c r="G168" s="67" t="n">
        <v>7</v>
      </c>
      <c r="H168" s="68" t="n"/>
      <c r="I168" s="68" t="n"/>
      <c r="J168" s="68" t="n"/>
      <c r="K168" s="68" t="n"/>
      <c r="L168" s="68" t="n"/>
      <c r="M168" s="68" t="n"/>
      <c r="N168" s="68" t="n"/>
      <c r="O168" s="68" t="n"/>
      <c r="P168" s="68" t="n"/>
      <c r="Q168" s="68" t="n"/>
      <c r="R168" s="68" t="n"/>
      <c r="S168" s="68" t="n"/>
      <c r="T168" s="69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محقق",IF($U168&gt;=0.97,"🟡 قريب","🔴 تحت الهدف")))</f>
        <v/>
      </c>
      <c r="W168" s="70">
        <f>IF($G168="","",$G168)</f>
        <v/>
      </c>
      <c r="X168" s="59">
        <f>IF($U168="","—",IF($U168&gt;=0.97,"🟢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مراجعة وتحديث الإجراءات والسياسات حسب الخطة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اكتمال توثيق إجراءات الإدارات المستهدفة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اعتماد النماذج والإجراءات الجديدة أو المحدثة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عدد حالات استخدام نماذج أو إجراءات غير معتمدة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↓</t>
        </is>
      </c>
      <c r="G172" s="60" t="n">
        <v>0</v>
      </c>
      <c r="H172" s="61" t="n"/>
      <c r="I172" s="61" t="n"/>
      <c r="J172" s="61" t="n"/>
      <c r="K172" s="61" t="n"/>
      <c r="L172" s="61" t="n"/>
      <c r="M172" s="61" t="n"/>
      <c r="N172" s="61" t="n"/>
      <c r="O172" s="61" t="n"/>
      <c r="P172" s="61" t="n"/>
      <c r="Q172" s="61" t="n"/>
      <c r="R172" s="61" t="n"/>
      <c r="S172" s="61" t="n"/>
      <c r="T172" s="62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3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نشر وتعميم الإجراءات المعتمدة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عدد فرص التحسين المستخرجة من الزيارات والتدقيق</t>
        </is>
      </c>
      <c r="D174" s="15" t="inlineStr">
        <is>
          <t>ربعي</t>
        </is>
      </c>
      <c r="E174" s="15" t="inlineStr">
        <is>
          <t>معدل</t>
        </is>
      </c>
      <c r="F174" s="55" t="inlineStr">
        <is>
          <t>↑</t>
        </is>
      </c>
      <c r="G174" s="55" t="n"/>
      <c r="H174" s="61" t="n"/>
      <c r="I174" s="61" t="n"/>
      <c r="J174" s="61" t="n"/>
      <c r="K174" s="61" t="n"/>
      <c r="L174" s="61" t="n"/>
      <c r="M174" s="61" t="n"/>
      <c r="N174" s="61" t="n"/>
      <c r="O174" s="61" t="n"/>
      <c r="P174" s="61" t="n"/>
      <c r="Q174" s="61" t="n"/>
      <c r="R174" s="61" t="n"/>
      <c r="S174" s="61" t="n"/>
      <c r="T174" s="62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3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تنفيذ مبادرات التحسين المعتمدة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انخفاض تكرار الملاحظات بعد التحسين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عدد التقارير التحليلية الشهرية للجودة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55" t="n"/>
      <c r="H177" s="61" t="n"/>
      <c r="I177" s="61" t="n"/>
      <c r="J177" s="61" t="n"/>
      <c r="K177" s="61" t="n"/>
      <c r="L177" s="61" t="n"/>
      <c r="M177" s="61" t="n"/>
      <c r="N177" s="61" t="n"/>
      <c r="O177" s="61" t="n"/>
      <c r="P177" s="61" t="n"/>
      <c r="Q177" s="61" t="n"/>
      <c r="R177" s="61" t="n"/>
      <c r="S177" s="61" t="n"/>
      <c r="T177" s="62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3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الدروس المستفادة المعممة على الإدارات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55" t="n"/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أتمتة قوائم الفحص وتقارير الزيارات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تحديث لوحة مؤشرات الجودة شهريًا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جاهزية متطلبات ISO 9001 / 14001 / 45001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محقق",IF($U181&gt;=0.97,"🟡 قريب","🔴 تحت الهدف")))</f>
        <v/>
      </c>
      <c r="W181" s="66">
        <f>IF($G181="","",$G181)</f>
        <v/>
      </c>
      <c r="X181" s="59">
        <f>IF($U181="","—",IF($U181&gt;=0.97,"🟢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اكتمال سجل مخاطر وملاحظات الجودة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الإدارة القانونية</t>
        </is>
      </c>
      <c r="C183" s="11" t="inlineStr">
        <is>
          <t>نسبة العقود المُراجَعة قانونياً قبل التوقيع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1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القانونية</t>
        </is>
      </c>
      <c r="C184" s="11" t="inlineStr">
        <is>
          <t>متوسط زمن صياغة ومراجعة العقد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↓</t>
        </is>
      </c>
      <c r="G184" s="67" t="n">
        <v>3</v>
      </c>
      <c r="H184" s="68" t="n"/>
      <c r="I184" s="68" t="n"/>
      <c r="J184" s="68" t="n"/>
      <c r="K184" s="68" t="n"/>
      <c r="L184" s="68" t="n"/>
      <c r="M184" s="68" t="n"/>
      <c r="N184" s="68" t="n"/>
      <c r="O184" s="68" t="n"/>
      <c r="P184" s="68" t="n"/>
      <c r="Q184" s="68" t="n"/>
      <c r="R184" s="68" t="n"/>
      <c r="S184" s="68" t="n"/>
      <c r="T184" s="69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70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نسبة العقود الخالية من الملاحظات والمخاطر القانونية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القضايا المُغلقة لصالح الشركة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0.8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تقديم المذكرات والردود في المواعيد النظامية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1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متوسط زمن إعداد المذكرة القانونية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↓</t>
        </is>
      </c>
      <c r="G188" s="67" t="n">
        <v>5</v>
      </c>
      <c r="H188" s="68" t="n"/>
      <c r="I188" s="68" t="n"/>
      <c r="J188" s="68" t="n"/>
      <c r="K188" s="68" t="n"/>
      <c r="L188" s="68" t="n"/>
      <c r="M188" s="68" t="n"/>
      <c r="N188" s="68" t="n"/>
      <c r="O188" s="68" t="n"/>
      <c r="P188" s="68" t="n"/>
      <c r="Q188" s="68" t="n"/>
      <c r="R188" s="68" t="n"/>
      <c r="S188" s="68" t="n"/>
      <c r="T188" s="69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70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الاستشارات المُنجزة ضمن المدة المستهدفة (SLA)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0.9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مستوى رضا الإدارات عن الدعم القانوني</t>
        </is>
      </c>
      <c r="D190" s="15" t="inlineStr">
        <is>
          <t>ربعي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0.85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هدف",IF($U190&gt;=0.9,"✅ محقق",IF($U190&gt;=0.75,"🟡 قريب","🔴 تحت الهدف")))</f>
        <v/>
      </c>
      <c r="W190" s="66">
        <f>IF($G190="","",$G190)</f>
        <v/>
      </c>
      <c r="X190" s="59">
        <f>IF($U190="","—",IF($U190&gt;=0.75,"🟢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إنجاز التحقيقات ضمن المدة المحددة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التحقيقات المُغلقة من إجمالي المُحالة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متوسط زمن إغلاق قضية التحقيق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↓</t>
        </is>
      </c>
      <c r="G193" s="67" t="n">
        <v>30</v>
      </c>
      <c r="H193" s="68" t="n"/>
      <c r="I193" s="68" t="n"/>
      <c r="J193" s="68" t="n"/>
      <c r="K193" s="68" t="n"/>
      <c r="L193" s="68" t="n"/>
      <c r="M193" s="68" t="n"/>
      <c r="N193" s="68" t="n"/>
      <c r="O193" s="68" t="n"/>
      <c r="P193" s="68" t="n"/>
      <c r="Q193" s="68" t="n"/>
      <c r="R193" s="68" t="n"/>
      <c r="S193" s="68" t="n"/>
      <c r="T193" s="69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70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تنفيذ التوصيات الصادرة عن التحقيقات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التزام التحقيقات بالإجراءات النظامية والعدالة الإجرائية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1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المالية</t>
        </is>
      </c>
      <c r="C196" s="11" t="inlineStr">
        <is>
          <t>نمو الإيرادات السنوي</t>
        </is>
      </c>
      <c r="D196" s="15" t="inlineStr">
        <is>
          <t>ربعي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0.2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هامش EBITDA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0.08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هامش صافي الربح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0.01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العائد على حقوق الملكية (ROE)</t>
        </is>
      </c>
      <c r="D199" s="15" t="inlineStr">
        <is>
          <t>ربعي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نسبة التدفق النقدي التشغيلي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7" t="n">
        <v>1</v>
      </c>
      <c r="H200" s="68" t="n"/>
      <c r="I200" s="68" t="n"/>
      <c r="J200" s="68" t="n"/>
      <c r="K200" s="68" t="n"/>
      <c r="L200" s="68" t="n"/>
      <c r="M200" s="68" t="n"/>
      <c r="N200" s="68" t="n"/>
      <c r="O200" s="68" t="n"/>
      <c r="P200" s="68" t="n"/>
      <c r="Q200" s="68" t="n"/>
      <c r="R200" s="68" t="n"/>
      <c r="S200" s="68" t="n"/>
      <c r="T200" s="69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70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النسبة الجارية (Current Ratio)</t>
        </is>
      </c>
      <c r="D201" s="15" t="inlineStr">
        <is>
          <t>شهري</t>
        </is>
      </c>
      <c r="E201" s="15" t="inlineStr">
        <is>
          <t>لقطة</t>
        </is>
      </c>
      <c r="F201" s="55" t="inlineStr">
        <is>
          <t>↑</t>
        </is>
      </c>
      <c r="G201" s="67" t="n">
        <v>1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IFERROR(LOOKUP(2,1/($H201:$S201&lt;&gt;""),$H201:$S201),"")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دورة التحويل النقدي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↓</t>
        </is>
      </c>
      <c r="G202" s="67" t="n">
        <v>20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التحصيل العام (الشركة)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0.95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نسبة الذمم المتأخرة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4" t="n">
        <v>0.1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الديون المعدومة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4" t="n">
        <v>0.01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سداد الموردين في الموعد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0.98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دقة مطابقة حسابات الموردين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0.95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محقق",IF($U207&gt;=0.97,"🟡 قريب","🔴 تحت الهدف")))</f>
        <v/>
      </c>
      <c r="W207" s="66">
        <f>IF($G207="","",$G207)</f>
        <v/>
      </c>
      <c r="X207" s="59">
        <f>IF($U207="","—",IF($U207&gt;=0.97,"🟢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دقة التنبؤ النقدي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مطابقة المخزون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0.995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محقق",IF($U209&gt;=0.97,"🟡 قريب","🔴 تحت الهدف")))</f>
        <v/>
      </c>
      <c r="W209" s="66">
        <f>IF($G209="","",$G209)</f>
        <v/>
      </c>
      <c r="X209" s="59">
        <f>IF($U209="","—",IF($U209&gt;=0.97,"🟢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تسوية أرامكو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1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انحراف الموازنة</t>
        </is>
      </c>
      <c r="D211" s="15" t="inlineStr">
        <is>
          <t>ربعي</t>
        </is>
      </c>
      <c r="E211" s="15" t="inlineStr">
        <is>
          <t>معدل</t>
        </is>
      </c>
      <c r="F211" s="55" t="inlineStr">
        <is>
          <t>↓</t>
        </is>
      </c>
      <c r="G211" s="64" t="n">
        <v>0.1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أيام الإقفال الشهري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↓</t>
        </is>
      </c>
      <c r="G212" s="67" t="n">
        <v>6</v>
      </c>
      <c r="H212" s="68" t="n"/>
      <c r="I212" s="68" t="n"/>
      <c r="J212" s="68" t="n"/>
      <c r="K212" s="68" t="n"/>
      <c r="L212" s="68" t="n"/>
      <c r="M212" s="68" t="n"/>
      <c r="N212" s="68" t="n"/>
      <c r="O212" s="68" t="n"/>
      <c r="P212" s="68" t="n"/>
      <c r="Q212" s="68" t="n"/>
      <c r="R212" s="68" t="n"/>
      <c r="S212" s="68" t="n"/>
      <c r="T212" s="69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70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نسبة تسويات التدقيق</t>
        </is>
      </c>
      <c r="D213" s="15" t="inlineStr">
        <is>
          <t>ربعي</t>
        </is>
      </c>
      <c r="E213" s="15" t="inlineStr">
        <is>
          <t>معدل</t>
        </is>
      </c>
      <c r="F213" s="55" t="inlineStr">
        <is>
          <t>↓</t>
        </is>
      </c>
      <c r="G213" s="64" t="n">
        <v>0.02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</sheetData>
  <autoFilter ref="A3:X213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15</v>
      </c>
      <c r="D7" s="72" t="n">
        <v>1</v>
      </c>
      <c r="E7" s="15" t="n">
        <v>10</v>
      </c>
      <c r="F7" s="15" t="n">
        <v>0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14</v>
      </c>
      <c r="D9" s="72" t="n">
        <v>1</v>
      </c>
      <c r="E9" s="15" t="n">
        <v>8</v>
      </c>
      <c r="F9" s="15" t="n">
        <v>1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12</v>
      </c>
      <c r="D15" s="72" t="n">
        <v>1</v>
      </c>
      <c r="E15" s="15" t="n">
        <v>4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27</v>
      </c>
      <c r="D22" s="24" t="n">
        <v>0.129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0.08599999999999999</v>
      </c>
    </row>
    <row r="24">
      <c r="A24" s="15" t="n">
        <v>3</v>
      </c>
      <c r="B24" s="13" t="inlineStr">
        <is>
          <t>العمليات الداخلية</t>
        </is>
      </c>
      <c r="C24" s="15" t="n">
        <v>140</v>
      </c>
      <c r="D24" s="24" t="n">
        <v>0.667</v>
      </c>
    </row>
    <row r="25">
      <c r="A25" s="15" t="n">
        <v>4</v>
      </c>
      <c r="B25" s="13" t="inlineStr">
        <is>
          <t>التعلّم والنمو</t>
        </is>
      </c>
      <c r="C25" s="15" t="n">
        <v>25</v>
      </c>
      <c r="D25" s="24" t="n">
        <v>0.119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9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2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 (eNPS)</t>
        </is>
      </c>
      <c r="D10" s="7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(QMS)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نسبة تحقيق مستهدف مبيعات الوقود</t>
        </is>
      </c>
      <c r="D39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النمو · زيادة وصول العملاء</t>
        </is>
      </c>
      <c r="H39" s="15" t="inlineStr">
        <is>
          <t>مالي</t>
        </is>
      </c>
      <c r="I39" s="64" t="n">
        <v>0.07000000000000001</v>
      </c>
      <c r="J39" s="15" t="inlineStr">
        <is>
          <t>مدير التشغيل</t>
        </is>
      </c>
      <c r="K39" s="11" t="inlineStr">
        <is>
          <t>نظام إدارة القضايا والتحقيقات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تشغيل المحطات الجديدة وفق الخطة</t>
        </is>
      </c>
      <c r="D40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🔧 تشغيلي</t>
        </is>
      </c>
      <c r="G40" s="11" t="inlineStr">
        <is>
          <t>النمو · زيادة وصول العملاء</t>
        </is>
      </c>
      <c r="H40" s="15" t="inlineStr">
        <is>
          <t>العمليات الداخلية</t>
        </is>
      </c>
      <c r="I40" s="64" t="n">
        <v>0.04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تكلفة التشغيل لكل لتر مبيع</t>
        </is>
      </c>
      <c r="D41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1" s="11" t="inlineStr">
        <is>
          <t>إجمالي العدد خلال الفترة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مؤشر جودة التشغيل بالمحطات</t>
        </is>
      </c>
      <c r="D42" s="73" t="inlineStr">
        <is>
          <t>يقيس مؤشر جودة التشغيل بالمحطات ضمن محور «جودة التشغيل»، ويعكس مساهمة الإدارة في ركيزة الاستدامة.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الاستدامة · جودة التشغيل</t>
        </is>
      </c>
      <c r="H42" s="15" t="inlineStr">
        <is>
          <t>العمليات الداخلية</t>
        </is>
      </c>
      <c r="I42" s="64" t="n">
        <v>0.15</v>
      </c>
      <c r="J42" s="15" t="inlineStr">
        <is>
          <t>مدير التشغيل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نسبة الالتزام بإجراءات التشغيل القياسية SOPs</t>
        </is>
      </c>
      <c r="D43" s="73" t="inlineStr">
        <is>
          <t>يقيس نسبة الالتزام بإجراءات التشغيل القياسية SOPs ضمن محور «جودة التشغيل»، ويعكس مساهمة الإدارة في ركيزة الاستدامة.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</v>
      </c>
      <c r="J43" s="15" t="inlineStr">
        <is>
          <t>مدير التشغيل</t>
        </is>
      </c>
      <c r="K43" s="11" t="inlineStr">
        <is>
          <t>نظام إدارة الجودة (QMS)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إغلاق الملاحظات التشغيلية ضمن SLA</t>
        </is>
      </c>
      <c r="D44" s="73" t="inlineStr">
        <is>
          <t>يقيس نسبة إغلاق الملاحظات التشغيلية ضمن SLA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0.05</v>
      </c>
      <c r="J44" s="15" t="inlineStr">
        <is>
          <t>مدير التشغيل</t>
        </is>
      </c>
      <c r="K44" s="11" t="inlineStr">
        <is>
          <t>نظام إدارة الجودة (QMS)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مؤشر الالتزام بمتطلبات السلامة</t>
        </is>
      </c>
      <c r="D45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5" s="11" t="inlineStr">
        <is>
          <t>إجمالي العدد خلال الفترة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المحطات ذات التراخيص والتصاريح السارية</t>
        </is>
      </c>
      <c r="D46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🔧 تشغيلي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0.07000000000000001</v>
      </c>
      <c r="J46" s="15" t="inlineStr">
        <is>
          <t>مدير التشغيل</t>
        </is>
      </c>
      <c r="K46" s="11" t="inlineStr">
        <is>
          <t>نظام إدارة الجودة (QMS)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معدل الحوادث والمخالفات التشغيلية الجسيمة</t>
        </is>
      </c>
      <c r="D47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0.05</v>
      </c>
      <c r="J47" s="15" t="inlineStr">
        <is>
          <t>مدير التشغيل</t>
        </is>
      </c>
      <c r="K47" s="11" t="inlineStr">
        <is>
          <t>نظام إدارة الجودة (QMS)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مؤشر النظافة والبيئة بالمحطات</t>
        </is>
      </c>
      <c r="D48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0.08</v>
      </c>
      <c r="J48" s="15" t="inlineStr">
        <is>
          <t>مدير التشغيل</t>
        </is>
      </c>
      <c r="K48" s="11" t="inlineStr">
        <is>
          <t>نظام تشغيل المحطات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الالتزام بالهوية البصرية والمظهر العام</t>
        </is>
      </c>
      <c r="D49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🎯 نتيجة</t>
        </is>
      </c>
      <c r="G49" s="11" t="inlineStr">
        <is>
          <t>الاستدامة · جودة التشغيل</t>
        </is>
      </c>
      <c r="H49" s="15" t="inlineStr">
        <is>
          <t>التعلّم والنمو</t>
        </is>
      </c>
      <c r="I49" s="64" t="n">
        <v>0.06</v>
      </c>
      <c r="J49" s="15" t="inlineStr">
        <is>
          <t>مدير التشغيل</t>
        </is>
      </c>
      <c r="K49" s="11" t="inlineStr">
        <is>
          <t>سجلات الإدارة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الالتزام بمظهر وانضباط العاملين بالمحطات</t>
        </is>
      </c>
      <c r="D50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0.04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انخفاض معدل الشكاوى التشغيلية</t>
        </is>
      </c>
      <c r="D51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0.06</v>
      </c>
      <c r="J51" s="15" t="inlineStr">
        <is>
          <t>مدير التشغيل</t>
        </is>
      </c>
      <c r="K51" s="11" t="inlineStr">
        <is>
          <t>استبيان دوري</t>
        </is>
      </c>
      <c r="L51" s="15" t="inlineStr">
        <is>
          <t>ربعي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 SLA</t>
        </is>
      </c>
      <c r="D52" s="73" t="inlineStr">
        <is>
          <t>يقيس نسبة حل الشكاوى التشغيلية خلال المدة المحددة SLA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0.05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متوسط تقييم المحطات على خرائط Google</t>
        </is>
      </c>
      <c r="D53" s="73" t="inlineStr">
        <is>
          <t>يقيس متوسط تقييم المحطات على خرائط Google ضمن محور «تجربة العميل والرضا»، ويعكس مساهمة الإدارة في ركيزة الاستدامة.</t>
        </is>
      </c>
      <c r="E53" s="11" t="inlineStr">
        <is>
          <t>إجمالي العدد خلال الفترة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0.04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الاستثمار</t>
        </is>
      </c>
      <c r="C54" s="21" t="inlineStr">
        <is>
          <t>عدد فرص الاستثمار المدروسة</t>
        </is>
      </c>
      <c r="D54" s="73" t="inlineStr">
        <is>
          <t>يقيس عدد فرص الاستثمار المدروسة ضمن محور «الفرص والنمو»، ويعكس مساهمة الإدارة في ركيزة النمو.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النمو · التوسع في المواقع</t>
        </is>
      </c>
      <c r="H54" s="15" t="inlineStr">
        <is>
          <t>العمليات الداخلية</t>
        </is>
      </c>
      <c r="I54" s="64" t="n">
        <v>0.06</v>
      </c>
      <c r="J54" s="15" t="inlineStr">
        <is>
          <t>مدير الاستثمار</t>
        </is>
      </c>
      <c r="K54" s="11" t="inlineStr">
        <is>
          <t>نظام إدارة العقود (CRM)</t>
        </is>
      </c>
      <c r="L54" s="15" t="inlineStr">
        <is>
          <t>شهري</t>
        </is>
      </c>
      <c r="M54" s="15" t="inlineStr">
        <is>
          <t>مدير الاستثمار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نسبة الفرص المحوَّلة إلى عقود</t>
        </is>
      </c>
      <c r="D55" s="73" t="inlineStr">
        <is>
          <t>يقيس نسبة الفرص المحوَّلة إلى عقود ضمن محور «الفرص والنمو»،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0.1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عقود الاستثمار الجديدة (كل النماذج)</t>
        </is>
      </c>
      <c r="D56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المحطات المستحوَذ عليها المشغّلة (تراكمي)</t>
        </is>
      </c>
      <c r="D57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نسبة المواقع ذات العائد المجدي</t>
        </is>
      </c>
      <c r="D58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🎯 نتيجة</t>
        </is>
      </c>
      <c r="G58" s="11" t="inlineStr">
        <is>
          <t>الاستدامة · جودة التشغيل</t>
        </is>
      </c>
      <c r="H58" s="15" t="inlineStr">
        <is>
          <t>مالي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المحاسبة / ERP (D365)</t>
        </is>
      </c>
      <c r="L58" s="15" t="inlineStr">
        <is>
          <t>شهري</t>
        </is>
      </c>
      <c r="M58" s="15" t="inlineStr">
        <is>
          <t>الإدارة المالية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متوسط فترة استرداد رأس المال</t>
        </is>
      </c>
      <c r="D59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59" s="11" t="inlineStr">
        <is>
          <t>متوسط سنة خلال الفترة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0.06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مدة إغلاق عقد الاستثمار</t>
        </is>
      </c>
      <c r="D60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0" s="11" t="inlineStr">
        <is>
          <t>متوسط أسبوع خلال الفترة</t>
        </is>
      </c>
      <c r="F60" s="15" t="inlineStr">
        <is>
          <t>🎯 نتيجة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نسبة العقود المتحوّلة إلى محطات مشغّلة</t>
        </is>
      </c>
      <c r="D61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التغطية الإقليمية (13 منطقة)</t>
        </is>
      </c>
      <c r="D62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0.06</v>
      </c>
      <c r="J62" s="15" t="inlineStr">
        <is>
          <t>مدير الاستثمار</t>
        </is>
      </c>
      <c r="K62" s="11" t="inlineStr">
        <is>
          <t>سجلات الإدارة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اكتمال المستندات النظامية قبل التوقيع</t>
        </is>
      </c>
      <c r="D63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64" t="n">
        <v>0.03</v>
      </c>
      <c r="J63" s="15" t="inlineStr">
        <is>
          <t>مدير الاستثمار</t>
        </is>
      </c>
      <c r="K63" s="11" t="inlineStr">
        <is>
          <t>نظام إدارة الجودة (QMS)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العقود المؤرشفة إلكترونياً خلال 48 ساعة</t>
        </is>
      </c>
      <c r="D64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0.1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مدى رضا المستثمرين وشركاء الاستثمار</t>
        </is>
      </c>
      <c r="D65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64" t="n">
        <v>0.09</v>
      </c>
      <c r="J65" s="15" t="inlineStr">
        <is>
          <t>مدير الاستثمار</t>
        </is>
      </c>
      <c r="K65" s="11" t="inlineStr">
        <is>
          <t>استبيان دوري</t>
        </is>
      </c>
      <c r="L65" s="15" t="inlineStr">
        <is>
          <t>ربعي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العقار</t>
        </is>
      </c>
      <c r="C66" s="21" t="inlineStr">
        <is>
          <t>نسبة إشغال الوحدات</t>
        </is>
      </c>
      <c r="D66" s="73" t="inlineStr">
        <is>
          <t>يقيس نسبة إشغال الوحدات ضمن محور «التأجير والإشغال»،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منظومة التأجير</t>
        </is>
      </c>
      <c r="H66" s="15" t="inlineStr">
        <is>
          <t>العمليات الداخلية</t>
        </is>
      </c>
      <c r="I66" s="64" t="n">
        <v>0.06</v>
      </c>
      <c r="J66" s="15" t="inlineStr">
        <is>
          <t>مدير العقار</t>
        </is>
      </c>
      <c r="K66" s="11" t="inlineStr">
        <is>
          <t>نظام إدارة العقود (CRM)</t>
        </is>
      </c>
      <c r="L66" s="15" t="inlineStr">
        <is>
          <t>شهري</t>
        </is>
      </c>
      <c r="M66" s="15" t="inlineStr">
        <is>
          <t>مدير العقار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نمو العلامات التجارية (تراكمي — كل الوحدات)</t>
        </is>
      </c>
      <c r="D67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7" s="11" t="inlineStr">
        <is>
          <t>إجمالي العدد خلال الفترة</t>
        </is>
      </c>
      <c r="F67" s="15" t="inlineStr">
        <is>
          <t>🎯 نتيجة</t>
        </is>
      </c>
      <c r="G67" s="11" t="inlineStr">
        <is>
          <t>النمو · منظومة التأجير</t>
        </is>
      </c>
      <c r="H67" s="15" t="inlineStr">
        <is>
          <t>العمليات الداخلية</t>
        </is>
      </c>
      <c r="I67" s="64" t="n">
        <v>0.09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معدل تحويل فرص التأجير إلى عقود</t>
        </is>
      </c>
      <c r="D68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نمو الإيرادات الإيجارية</t>
        </is>
      </c>
      <c r="D69" s="73" t="inlineStr">
        <is>
          <t>يقيس نمو الإيرادات الإيجارية ضمن محور «التأجير والإشغال»،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الاستدامة · منظومة التأجير</t>
        </is>
      </c>
      <c r="H69" s="15" t="inlineStr">
        <is>
          <t>مالي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المحاسبة / ERP (D365)</t>
        </is>
      </c>
      <c r="L69" s="15" t="inlineStr">
        <is>
          <t>ربعي</t>
        </is>
      </c>
      <c r="M69" s="15" t="inlineStr">
        <is>
          <t>الإدارة المالية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 الإيجاري لكل م² (ARPU)</t>
        </is>
      </c>
      <c r="D70" s="73" t="inlineStr">
        <is>
          <t>يقيس نمو الإيراد الإيجاري لكل م² (ARPU)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المحاسبة / ERP (D365)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متوسط مدة تأجير الوحدة الشاغرة (Time-to-Lease)</t>
        </is>
      </c>
      <c r="D71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1" s="11" t="inlineStr">
        <is>
          <t>متوسط يوم خلال الفترة</t>
        </is>
      </c>
      <c r="F71" s="15" t="inlineStr">
        <is>
          <t>🔧 تشغيلي</t>
        </is>
      </c>
      <c r="G71" s="11" t="inlineStr">
        <is>
          <t>الاستدامة · منظومة التأجير</t>
        </is>
      </c>
      <c r="H71" s="15" t="inlineStr">
        <is>
          <t>العمليات الداخلية</t>
        </is>
      </c>
      <c r="I71" s="64" t="n">
        <v>0.06</v>
      </c>
      <c r="J71" s="15" t="inlineStr">
        <is>
          <t>مدير العقار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نسبة تحصيل الإيجارات</t>
        </is>
      </c>
      <c r="D72" s="73" t="inlineStr">
        <is>
          <t>يقيس نسبة تحصيل الإيجارات ضمن محور «كفاءة التحصيل»،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🎯 نتيجة</t>
        </is>
      </c>
      <c r="G72" s="11" t="inlineStr">
        <is>
          <t>الاستدامة · منظومة التأجير</t>
        </is>
      </c>
      <c r="H72" s="15" t="inlineStr">
        <is>
          <t>مالي</t>
        </is>
      </c>
      <c r="I72" s="64" t="n">
        <v>0.08</v>
      </c>
      <c r="J72" s="15" t="inlineStr">
        <is>
          <t>مدير العقار</t>
        </is>
      </c>
      <c r="K72" s="11" t="inlineStr">
        <is>
          <t>نظام المحاسبة / ERP (D365)</t>
        </is>
      </c>
      <c r="L72" s="15" t="inlineStr">
        <is>
          <t>شهري</t>
        </is>
      </c>
      <c r="M72" s="15" t="inlineStr">
        <is>
          <t>الإدارة المالية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المتأخرات في السداد</t>
        </is>
      </c>
      <c r="D73" s="73" t="inlineStr">
        <is>
          <t>يقيس نسبة المتأخرات في السداد ضمن محور «كفاءة التحصيل»،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منظومة التأجير</t>
        </is>
      </c>
      <c r="H73" s="15" t="inlineStr">
        <is>
          <t>مالي</t>
        </is>
      </c>
      <c r="I73" s="64" t="n">
        <v>0.06</v>
      </c>
      <c r="J73" s="15" t="inlineStr">
        <is>
          <t>مدير العقار</t>
        </is>
      </c>
      <c r="K73" s="11" t="inlineStr">
        <is>
          <t>نظام المحاسبة / ERP (D365)</t>
        </is>
      </c>
      <c r="L73" s="15" t="inlineStr">
        <is>
          <t>شهري</t>
        </is>
      </c>
      <c r="M73" s="15" t="inlineStr">
        <is>
          <t>الإدارة المالية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متوسط زمن تسليم الوحدة</t>
        </is>
      </c>
      <c r="D74" s="73" t="inlineStr">
        <is>
          <t>يقيس متوسط زمن تسليم الوحدة ضمن محور «تشغيل وخدمة الوحدات»، ويعكس مساهمة الإدارة في ركيزة الاستدامة.</t>
        </is>
      </c>
      <c r="E74" s="11" t="inlineStr">
        <is>
          <t>متوسط يوم خلال الفترة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0.06</v>
      </c>
      <c r="J74" s="15" t="inlineStr">
        <is>
          <t>مدير العقار</t>
        </is>
      </c>
      <c r="K74" s="11" t="inlineStr">
        <is>
          <t>سجلات الإدارة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إغلاق طلبات الخدمة خلال المدة</t>
        </is>
      </c>
      <c r="D75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0.06</v>
      </c>
      <c r="J75" s="15" t="inlineStr">
        <is>
          <t>مدير العقار</t>
        </is>
      </c>
      <c r="K75" s="11" t="inlineStr">
        <is>
          <t>سجلات الإدارة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معدل رضا المستأجرين (استبيان ربعي)</t>
        </is>
      </c>
      <c r="D76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تعزيز تجربة العملاء</t>
        </is>
      </c>
      <c r="H76" s="15" t="inlineStr">
        <is>
          <t>العملاء</t>
        </is>
      </c>
      <c r="I76" s="64" t="n">
        <v>0.08</v>
      </c>
      <c r="J76" s="15" t="inlineStr">
        <is>
          <t>مدير العقار</t>
        </is>
      </c>
      <c r="K76" s="11" t="inlineStr">
        <is>
          <t>استبيان دوري</t>
        </is>
      </c>
      <c r="L76" s="15" t="inlineStr">
        <is>
          <t>ربعي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معدل استبقاء المستأجرين (تجديد وبلا إنهاء مبكر)</t>
        </is>
      </c>
      <c r="D77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تعزيز تجربة العملاء</t>
        </is>
      </c>
      <c r="H77" s="15" t="inlineStr">
        <is>
          <t>التعلّم والنمو</t>
        </is>
      </c>
      <c r="I77" s="64" t="n">
        <v>0.08</v>
      </c>
      <c r="J77" s="15" t="inlineStr">
        <is>
          <t>مدير العقار</t>
        </is>
      </c>
      <c r="K77" s="11" t="inlineStr">
        <is>
          <t>استبيان دوري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نسبة تأجير ساحة درب</t>
        </is>
      </c>
      <c r="D78" s="73" t="inlineStr">
        <is>
          <t>يقيس نسبة تأجير ساحة درب ضمن محور «ساحات درب»، ويعكس مساهمة الإدارة في ركيزة الابتكار.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الابتكار · ساحات درب</t>
        </is>
      </c>
      <c r="H78" s="15" t="inlineStr">
        <is>
          <t>العمليات الداخلية</t>
        </is>
      </c>
      <c r="I78" s="64" t="n">
        <v>0.06</v>
      </c>
      <c r="J78" s="15" t="inlineStr">
        <is>
          <t>مدير العقار</t>
        </is>
      </c>
      <c r="K78" s="11" t="inlineStr">
        <is>
          <t>نظام إدارة العقود (CRM)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عدد العلامات التجارية الجديدة بالساحة</t>
        </is>
      </c>
      <c r="D79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79" s="11" t="inlineStr">
        <is>
          <t>إجمالي العدد خلال الفترة</t>
        </is>
      </c>
      <c r="F79" s="15" t="inlineStr">
        <is>
          <t>⚙️ نشاط</t>
        </is>
      </c>
      <c r="G79" s="11" t="inlineStr">
        <is>
          <t>الابتكار · ساحات درب</t>
        </is>
      </c>
      <c r="H79" s="15" t="inlineStr">
        <is>
          <t>العمليات الداخلية</t>
        </is>
      </c>
      <c r="I79" s="64" t="n">
        <v>0.06</v>
      </c>
      <c r="J79" s="15" t="inlineStr">
        <is>
          <t>مدير العقار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إدارة المشاريع</t>
        </is>
      </c>
      <c r="C80" s="21" t="inlineStr">
        <is>
          <t>عدد محطات الشركة المُسلَّمة</t>
        </is>
      </c>
      <c r="D80" s="73" t="inlineStr">
        <is>
          <t>يقيس عدد محطات الشركة المُسلَّمة ضمن محور «تسليم محطات الشركة»، ويعكس مساهمة الإدارة في ركيزة النمو.</t>
        </is>
      </c>
      <c r="E80" s="11" t="inlineStr">
        <is>
          <t>إجمالي العدد خلال الفترة</t>
        </is>
      </c>
      <c r="F80" s="15" t="inlineStr">
        <is>
          <t>⚙️ نشاط</t>
        </is>
      </c>
      <c r="G80" s="11" t="inlineStr">
        <is>
          <t>النمو · التوسع في المواقع</t>
        </is>
      </c>
      <c r="H80" s="15" t="inlineStr">
        <is>
          <t>العمليات الداخلية</t>
        </is>
      </c>
      <c r="I80" s="64" t="n">
        <v>0.1</v>
      </c>
      <c r="J80" s="15" t="inlineStr">
        <is>
          <t>مدير إدارة المشاريع</t>
        </is>
      </c>
      <c r="K80" s="11" t="inlineStr">
        <is>
          <t>نظام إدارة المشاريع (PMO/Primavera)</t>
        </is>
      </c>
      <c r="L80" s="15" t="inlineStr">
        <is>
          <t>شهري</t>
        </is>
      </c>
      <c r="M80" s="15" t="inlineStr">
        <is>
          <t>مدير إدارة المشاريع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نسبة إنجاز محفظة مشاريع التوسع</t>
        </is>
      </c>
      <c r="D81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0.09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تسليم المحطات في الموعد المخطط</t>
        </is>
      </c>
      <c r="D82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0.09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المشاريع المنفّذة ضمن الميزانية</t>
        </is>
      </c>
      <c r="D83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64" t="n">
        <v>0.06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عدد محطات الامتياز المُسلَّمة بالهوية</t>
        </is>
      </c>
      <c r="D84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4" s="11" t="inlineStr">
        <is>
          <t>إجمالي العدد خلال الفترة</t>
        </is>
      </c>
      <c r="F84" s="15" t="inlineStr">
        <is>
          <t>⚙️ نشاط</t>
        </is>
      </c>
      <c r="G84" s="11" t="inlineStr">
        <is>
          <t>النمو · الامتياز التجاري</t>
        </is>
      </c>
      <c r="H84" s="15" t="inlineStr">
        <is>
          <t>التعلّم والنمو</t>
        </is>
      </c>
      <c r="I84" s="64" t="n">
        <v>0.09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تنفيذ زيارات الإشراف المجدولة</t>
        </is>
      </c>
      <c r="D85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⚙️ نشاط</t>
        </is>
      </c>
      <c r="G85" s="11" t="inlineStr">
        <is>
          <t>الاستدامة · الامتياز التجاري</t>
        </is>
      </c>
      <c r="H85" s="15" t="inlineStr">
        <is>
          <t>العمليات الداخلية</t>
        </is>
      </c>
      <c r="I85" s="64" t="n">
        <v>0.06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التزام المطوّرين بالجدول الزمني</t>
        </is>
      </c>
      <c r="D86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إغلاق ملاحظات الجودة على المطوّرين</t>
        </is>
      </c>
      <c r="D87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المشاريع الخالية من مخالفات الجودة</t>
        </is>
      </c>
      <c r="D88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عدد مخالفات المقاولين (سنوي)</t>
        </is>
      </c>
      <c r="D89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التزام المقاولين بمعايير السلامة</t>
        </is>
      </c>
      <c r="D90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0.09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الالتزام بالميزانية المعتمدة</t>
        </is>
      </c>
      <c r="D91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الالتزام بالجدول الزمني العام</t>
        </is>
      </c>
      <c r="D92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متوسط مدة إغلاق قائمة الملاحظات النهائية</t>
        </is>
      </c>
      <c r="D93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3" s="11" t="inlineStr">
        <is>
          <t>متوسط يوم خلال الفترة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(PMO/Primavera)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سلاسل الإمداد</t>
        </is>
      </c>
      <c r="C94" s="21" t="inlineStr">
        <is>
          <t>نسبة تلبية طلبات المحطات من الوقود Fill Rate</t>
        </is>
      </c>
      <c r="D94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4" s="11" t="inlineStr">
        <is>
          <t>(المتحقّق ÷ الإجمالي) × 100٪</t>
        </is>
      </c>
      <c r="F94" s="15" t="inlineStr">
        <is>
          <t>🔧 تشغيلي</t>
        </is>
      </c>
      <c r="G94" s="11" t="inlineStr">
        <is>
          <t>النمو · زيادة وصول العملاء</t>
        </is>
      </c>
      <c r="H94" s="15" t="inlineStr">
        <is>
          <t>العمليات الداخلية</t>
        </is>
      </c>
      <c r="I94" s="64" t="n">
        <v>0.13</v>
      </c>
      <c r="J94" s="15" t="inlineStr">
        <is>
          <t>مدير سلاسل الإمداد</t>
        </is>
      </c>
      <c r="K94" s="11" t="inlineStr">
        <is>
          <t>نظام سلاسل الإمداد والمخزون (WMS/ERP)</t>
        </is>
      </c>
      <c r="L94" s="15" t="inlineStr">
        <is>
          <t>شهري</t>
        </is>
      </c>
      <c r="M94" s="15" t="inlineStr">
        <is>
          <t>مدير سلاسل الإمداد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عدد انقطاعات التوريد المؤثرة شهريًا</t>
        </is>
      </c>
      <c r="D95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5" s="11" t="inlineStr">
        <is>
          <t>إجمالي العدد خلال الفترة</t>
        </is>
      </c>
      <c r="F95" s="15" t="inlineStr">
        <is>
          <t>⚙️ نشاط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0.1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نسبة تغطية مخزون الوقود بالأيام</t>
        </is>
      </c>
      <c r="D96" s="73" t="inlineStr">
        <is>
          <t>يقيس نسبة تغطية مخزون الوقود بالأيام ضمن محور «المخزون»،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0.09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توفر المواد المخزنية والحرجة</t>
        </is>
      </c>
      <c r="D97" s="73" t="inlineStr">
        <is>
          <t>يقيس نسبة توفر المواد المخزنية والحرجة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المواد الراكدة من المخزون</t>
        </is>
      </c>
      <c r="D98" s="73" t="inlineStr">
        <is>
          <t>يقيس نسبة المواد الراكدة من المخزون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0.06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دقة أوامر الشراء ومستنداتها</t>
        </is>
      </c>
      <c r="D99" s="73" t="inlineStr">
        <is>
          <t>يقيس دقة أوامر الشراء ومستنداتها ضمن محور «المشتريات»،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0.1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إنجاز أوامر الشراء خلال المدة المستهدفة</t>
        </is>
      </c>
      <c r="D100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0.08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الالتزام بزمن التسليم والتوريد للمحطات والإدارات</t>
        </is>
      </c>
      <c r="D101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0.1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جاهزية الإمداد للمحطات الجديدة وخطط الافتتاح</t>
        </is>
      </c>
      <c r="D102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النمو · التوسع في المواقع</t>
        </is>
      </c>
      <c r="H102" s="15" t="inlineStr">
        <is>
          <t>العمليات الداخلية</t>
        </is>
      </c>
      <c r="I102" s="64" t="n">
        <v>0.08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الالتزام بجدول النقل واستخدام الأسطول بكفاءة</t>
        </is>
      </c>
      <c r="D103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0.07000000000000001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كفاءة إدارة الموردين</t>
        </is>
      </c>
      <c r="D104" s="73" t="inlineStr">
        <is>
          <t>يقيس كفاءة إدارة الموردين ضمن محور «الموردون والرضا»،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0.06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مستوى رضا الإدارات عن خدمات سلاسل الإمداد</t>
        </is>
      </c>
      <c r="D105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العملاء</t>
        </is>
      </c>
      <c r="I105" s="64" t="n">
        <v>0.04</v>
      </c>
      <c r="J105" s="15" t="inlineStr">
        <is>
          <t>مدير سلاسل الإمداد</t>
        </is>
      </c>
      <c r="K105" s="11" t="inlineStr">
        <is>
          <t>نظام سلاسل الإمداد والمخزون (WMS/ERP)</t>
        </is>
      </c>
      <c r="L105" s="15" t="inlineStr">
        <is>
          <t>ربعي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الصيانة والأتمتة</t>
        </is>
      </c>
      <c r="C106" s="21" t="inlineStr">
        <is>
          <t>نسبة الجاهزية الفنية للأصول والمعدات (Availability)</t>
        </is>
      </c>
      <c r="D106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0.15</v>
      </c>
      <c r="J106" s="15" t="inlineStr">
        <is>
          <t>مدير الصيانة والأتمتة</t>
        </is>
      </c>
      <c r="K106" s="11" t="inlineStr">
        <is>
          <t>نظام إدارة الصيانة (CMMS) وأنظمة الأتمتة (SCADA)</t>
        </is>
      </c>
      <c r="L106" s="15" t="inlineStr">
        <is>
          <t>شهري</t>
        </is>
      </c>
      <c r="M106" s="15" t="inlineStr">
        <is>
          <t>مدير الصيانة والأتمتة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تنفيذ الصيانة الوقائية في موعدها (PM)</t>
        </is>
      </c>
      <c r="D107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⚙️ نشاط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0.12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إغلاق بلاغات الصيانة ضمن اتفاقية الخدمة (SLA)</t>
        </is>
      </c>
      <c r="D108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متوسط زمن الاستجابة للبلاغات الطارئة</t>
        </is>
      </c>
      <c r="D109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09" s="11" t="inlineStr">
        <is>
          <t>متوسط دقيقة خلال الفترة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متوسط زمن إصلاح الأعطال (MTTR)</t>
        </is>
      </c>
      <c r="D110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10" s="11" t="inlineStr">
        <is>
          <t>متوسط ساعة خلال الفترة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0.08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معدل تكرار الأعطال</t>
        </is>
      </c>
      <c r="D111" s="73" t="inlineStr">
        <is>
          <t>يقيس معدل تكرار الأعطال ضمن محور «الاستجابة والإصلاح»،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نسبة استمرارية تشغيل المحطات دون توقف فني</t>
        </is>
      </c>
      <c r="D112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0.15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التشغيل السليم لأنظمة الأتمتة (Uptime)</t>
        </is>
      </c>
      <c r="D113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الابتكار · التحول التقني</t>
        </is>
      </c>
      <c r="H113" s="15" t="inlineStr">
        <is>
          <t>التعلّم والنمو</t>
        </is>
      </c>
      <c r="I113" s="64" t="n">
        <v>0.1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استعادة أنظمة الأتمتة ضمن الزمن المحدد</t>
        </is>
      </c>
      <c r="D114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الابتكار · التحول التقني</t>
        </is>
      </c>
      <c r="H114" s="15" t="inlineStr">
        <is>
          <t>التعلّم والنمو</t>
        </is>
      </c>
      <c r="I114" s="64" t="n">
        <v>0.08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كفاءة تكاليف الصيانة (الالتزام بالميزانية)</t>
        </is>
      </c>
      <c r="D115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0.04</v>
      </c>
      <c r="J115" s="15" t="inlineStr">
        <is>
          <t>مدير الصيانة والأتمتة</t>
        </is>
      </c>
      <c r="K115" s="11" t="inlineStr">
        <is>
          <t>نظام إدارة الصيانة (CMMS) وأنظمة الأتمتة (SCADA)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التقنية الرقمية</t>
        </is>
      </c>
      <c r="C116" s="21" t="inlineStr">
        <is>
          <t>نسبة توفر الأنظمة والخدمات التقنية المركزية</t>
        </is>
      </c>
      <c r="D116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الابتكار · التحول التقني</t>
        </is>
      </c>
      <c r="H116" s="15" t="inlineStr">
        <is>
          <t>التعلّم والنمو</t>
        </is>
      </c>
      <c r="I116" s="64" t="n">
        <v>0.13</v>
      </c>
      <c r="J116" s="15" t="inlineStr">
        <is>
          <t>مدير التقنية</t>
        </is>
      </c>
      <c r="K116" s="11" t="inlineStr">
        <is>
          <t>أنظمة تقنية المعلومات (ERP/ITSM/SIEM)</t>
        </is>
      </c>
      <c r="L116" s="15" t="inlineStr">
        <is>
          <t>شهري</t>
        </is>
      </c>
      <c r="M116" s="15" t="inlineStr">
        <is>
          <t>مدير التقنية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معالجة الأعطال وطلبات الدعم الفني ضمن المدة المستهدفة SLA</t>
        </is>
      </c>
      <c r="D117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الابتكار · التحول التقني</t>
        </is>
      </c>
      <c r="H117" s="15" t="inlineStr">
        <is>
          <t>العمليات الداخلية</t>
        </is>
      </c>
      <c r="I117" s="64" t="n">
        <v>0.12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استقرار التشغيل التقني للمحطات</t>
        </is>
      </c>
      <c r="D118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العمليات الداخلية</t>
        </is>
      </c>
      <c r="I118" s="64" t="n">
        <v>0.1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إنجاز مشاريع التحول الرقمي والمشاريع التقنية حسب الخطة</t>
        </is>
      </c>
      <c r="D119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64" t="n">
        <v>0.1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تسليم المشاريع التقنية ضمن الوقت والميزانية ونطاق العمل المعتمد</t>
        </is>
      </c>
      <c r="D120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العمليات الداخلية</t>
        </is>
      </c>
      <c r="I120" s="64" t="n">
        <v>0.09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الالتزام بإدارة صلاحيات المستخدمين والحسابات</t>
        </is>
      </c>
      <c r="D121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الابتكار · التحول التقني</t>
        </is>
      </c>
      <c r="H121" s="15" t="inlineStr">
        <is>
          <t>التعلّم والنمو</t>
        </is>
      </c>
      <c r="I121" s="64" t="n">
        <v>0.1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نجاح النسخ الاحتياطي واختبارات استعادة البيانات</t>
        </is>
      </c>
      <c r="D122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العمليات الداخلية</t>
        </is>
      </c>
      <c r="I122" s="64" t="n">
        <v>0.08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الامتثال لضوابط الأمن السيبراني الأساسية</t>
        </is>
      </c>
      <c r="D123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0.08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دقة وتكامل البيانات بين الأنظمة الرقمية</t>
        </is>
      </c>
      <c r="D124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0.06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الالتزام بتحديث وتوثيق أصول تقنية المعلومات والتراخيص</t>
        </is>
      </c>
      <c r="D125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0.05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تنفيذ الصيانة الوقائية للأجهزة والبنية التقنية</t>
        </is>
      </c>
      <c r="D126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0.05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مستوى رضا الإدارات والمستخدمين عن خدمات تقنية المعلومات</t>
        </is>
      </c>
      <c r="D127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التعلّم والنمو</t>
        </is>
      </c>
      <c r="I127" s="64" t="n">
        <v>0.04</v>
      </c>
      <c r="J127" s="15" t="inlineStr">
        <is>
          <t>مدير التقنية</t>
        </is>
      </c>
      <c r="K127" s="11" t="inlineStr">
        <is>
          <t>أنظمة تقنية المعلومات (ERP/ITSM/SIEM)</t>
        </is>
      </c>
      <c r="L127" s="15" t="inlineStr">
        <is>
          <t>ربعي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الموارد البشرية</t>
        </is>
      </c>
      <c r="C128" s="21" t="inlineStr">
        <is>
          <t>نسبة الالتزام بالتوطين والامتثال الحكومي دون مخالفات</t>
        </is>
      </c>
      <c r="D128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الاستثمار في الموظفين</t>
        </is>
      </c>
      <c r="H128" s="15" t="inlineStr">
        <is>
          <t>العمليات الداخلية</t>
        </is>
      </c>
      <c r="I128" s="64" t="n">
        <v>0.11</v>
      </c>
      <c r="J128" s="15" t="inlineStr">
        <is>
          <t>مدير الموارد البشرية</t>
        </is>
      </c>
      <c r="K128" s="11" t="inlineStr">
        <is>
          <t>نظام الموارد البشرية (HRMS)</t>
        </is>
      </c>
      <c r="L128" s="15" t="inlineStr">
        <is>
          <t>شهري</t>
        </is>
      </c>
      <c r="M128" s="15" t="inlineStr">
        <is>
          <t>مدير الموارد البشرية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بنظام العمل واللوائح وخطة القوى العاملة المعتمدة</t>
        </is>
      </c>
      <c r="D129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العمليات الداخلية</t>
        </is>
      </c>
      <c r="I129" s="64" t="n">
        <v>0.11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بتجديد الوثائق واكتمال ملفات الموظفين</t>
        </is>
      </c>
      <c r="D130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التعلّم والنمو</t>
        </is>
      </c>
      <c r="I130" s="64" t="n">
        <v>0.09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إنجاز معاملات شؤون الموظفين ضمن المدة المستهدفة SLA</t>
        </is>
      </c>
      <c r="D131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الاستثمار في الموظفين</t>
        </is>
      </c>
      <c r="H131" s="15" t="inlineStr">
        <is>
          <t>التعلّم والنمو</t>
        </is>
      </c>
      <c r="I131" s="64" t="n">
        <v>0.09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جاهزية وتغطية عمالة المحطات حسب خطة التشغيل والافتتاحات</t>
        </is>
      </c>
      <c r="D132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0.11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متوسط مدة إغلاق الشواغر المعتمدة</t>
        </is>
      </c>
      <c r="D133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3" s="11" t="inlineStr">
        <is>
          <t>متوسط يوم خلال الفترة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نجاح التعيينات الجديدة خلال فترة التجربة</t>
        </is>
      </c>
      <c r="D134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العملاء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 (HRMS)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كفاءة تكلفة القوى العاملة</t>
        </is>
      </c>
      <c r="D135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مالي</t>
        </is>
      </c>
      <c r="I135" s="64" t="n">
        <v>0.09</v>
      </c>
      <c r="J135" s="15" t="inlineStr">
        <is>
          <t>مدير الموارد البشرية</t>
        </is>
      </c>
      <c r="K135" s="11" t="inlineStr">
        <is>
          <t>نظام الرواتب (Payroll) / حماية الأجور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دقة الرواتب والمستحقات الشهرية</t>
        </is>
      </c>
      <c r="D136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مالي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الرواتب (Payroll) / حماية الأجور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معدل دوران الموظفين</t>
        </is>
      </c>
      <c r="D137" s="73" t="inlineStr">
        <is>
          <t>يقيس معدل دوران الموظفين ضمن محور «الاستقرار والتطوير»،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64" t="n">
        <v>0.06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تنفيذ برامج التدريب والتأهيل المعتمدة</t>
        </is>
      </c>
      <c r="D138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⚙️ نشاط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4" t="n">
        <v>0.06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إغلاق تقييمات الأداء وخطط الإحلال للوظائف الحرجة</t>
        </is>
      </c>
      <c r="D139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الاستثمار في الموظفين</t>
        </is>
      </c>
      <c r="H139" s="15" t="inlineStr">
        <is>
          <t>العمليات الداخلية</t>
        </is>
      </c>
      <c r="I139" s="64" t="n">
        <v>0.04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التسويق</t>
        </is>
      </c>
      <c r="C140" s="21" t="inlineStr">
        <is>
          <t>عملاء تجاريون جدد</t>
        </is>
      </c>
      <c r="D140" s="73" t="inlineStr">
        <is>
          <t>يقيس عملاء تجاريون جدد ضمن محور «الاكتساب والعائد»، ويعكس مساهمة الإدارة في ركيزة النمو.</t>
        </is>
      </c>
      <c r="E140" s="11" t="inlineStr">
        <is>
          <t>إجمالي العدد خلال الفترة</t>
        </is>
      </c>
      <c r="F140" s="15" t="inlineStr">
        <is>
          <t>🔧 تشغيلي</t>
        </is>
      </c>
      <c r="G140" s="11" t="inlineStr">
        <is>
          <t>النمو · زيادة وصول العملاء</t>
        </is>
      </c>
      <c r="H140" s="15" t="inlineStr">
        <is>
          <t>العملاء</t>
        </is>
      </c>
      <c r="I140" s="64" t="n">
        <v>0.1</v>
      </c>
      <c r="J140" s="15" t="inlineStr">
        <is>
          <t>مدير التسويق</t>
        </is>
      </c>
      <c r="K140" s="11" t="inlineStr">
        <is>
          <t>نظام المحاسبة / ERP (D365)</t>
        </is>
      </c>
      <c r="L140" s="15" t="inlineStr">
        <is>
          <t>شهري</t>
        </is>
      </c>
      <c r="M140" s="15" t="inlineStr">
        <is>
          <t>الإدارة المالية</t>
        </is>
      </c>
      <c r="N140" s="57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تكلفة اكتساب العميل (CAC)</t>
        </is>
      </c>
      <c r="D141" s="73" t="inlineStr">
        <is>
          <t>يقيس تكلفة اكتساب العميل (CAC) ضمن محور «الاكتساب والعائد»، ويعكس مساهمة الإدارة في ركيزة النمو.</t>
        </is>
      </c>
      <c r="E141" s="11" t="inlineStr">
        <is>
          <t>إجمالي العدد خلال الفترة</t>
        </is>
      </c>
      <c r="F141" s="15" t="inlineStr">
        <is>
          <t>🔧 تشغيلي</t>
        </is>
      </c>
      <c r="G141" s="11" t="inlineStr">
        <is>
          <t>النمو · زيادة وصول العملاء</t>
        </is>
      </c>
      <c r="H141" s="15" t="inlineStr">
        <is>
          <t>مالي</t>
        </is>
      </c>
      <c r="I141" s="64" t="n">
        <v>0.1</v>
      </c>
      <c r="J141" s="15" t="inlineStr">
        <is>
          <t>مدير التسويق</t>
        </is>
      </c>
      <c r="K141" s="11" t="inlineStr">
        <is>
          <t>نظام المحاسبة / ERP (D365)</t>
        </is>
      </c>
      <c r="L141" s="15" t="inlineStr">
        <is>
          <t>شهري</t>
        </is>
      </c>
      <c r="M141" s="15" t="inlineStr">
        <is>
          <t>الإدارة المالية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العائد على الإنفاق التسويقي (ROMI)</t>
        </is>
      </c>
      <c r="D142" s="73" t="inlineStr">
        <is>
          <t>يقيس العائد على الإنفاق التسويقي (ROMI) ضمن محور «الاكتساب والعائد»، ويعكس مساهمة الإدارة في ركيزة النمو.</t>
        </is>
      </c>
      <c r="E142" s="11" t="inlineStr">
        <is>
          <t>إجمالي العدد خلال الفترة</t>
        </is>
      </c>
      <c r="F142" s="15" t="inlineStr">
        <is>
          <t>🎯 نتيجة</t>
        </is>
      </c>
      <c r="G142" s="11" t="inlineStr">
        <is>
          <t>النمو · زيادة وصول العملاء</t>
        </is>
      </c>
      <c r="H142" s="15" t="inlineStr">
        <is>
          <t>مالي</t>
        </is>
      </c>
      <c r="I142" s="64" t="n">
        <v>0.12</v>
      </c>
      <c r="J142" s="15" t="inlineStr">
        <is>
          <t>مدير التسويق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تحويل الفرص التسويقية إلى عقود</t>
        </is>
      </c>
      <c r="D143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النمو · زيادة وصول العملاء</t>
        </is>
      </c>
      <c r="H143" s="15" t="inlineStr">
        <is>
          <t>العمليات الداخلية</t>
        </is>
      </c>
      <c r="I143" s="64" t="n">
        <v>0.1</v>
      </c>
      <c r="J143" s="15" t="inlineStr">
        <is>
          <t>مدير التسويق</t>
        </is>
      </c>
      <c r="K143" s="11" t="inlineStr">
        <is>
          <t>نظام المحاسبة / ERP (D365)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نمو الوصول المؤهل</t>
        </is>
      </c>
      <c r="D144" s="73" t="inlineStr">
        <is>
          <t>يقيس نمو الوصول المؤهل ضمن محور «الوعي والوصول»، ويعكس مساهمة الإدارة في ركيزة النمو.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النمو · زيادة وصول العملاء</t>
        </is>
      </c>
      <c r="H144" s="15" t="inlineStr">
        <is>
          <t>العملاء</t>
        </is>
      </c>
      <c r="I144" s="64" t="n">
        <v>0.08</v>
      </c>
      <c r="J144" s="15" t="inlineStr">
        <is>
          <t>مدير التسويق</t>
        </is>
      </c>
      <c r="K144" s="11" t="inlineStr">
        <is>
          <t>أنظمة التسويق الرقمي / تانكي</t>
        </is>
      </c>
      <c r="L144" s="15" t="inlineStr">
        <is>
          <t>ربعي</t>
        </is>
      </c>
      <c r="M144" s="15" t="inlineStr">
        <is>
          <t>مدير التسويق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وصول العلاقات العامة (PR)</t>
        </is>
      </c>
      <c r="D145" s="73" t="inlineStr">
        <is>
          <t>يقيس وصول العلاقات العامة (PR) ضمن محور «الوعي والوصول»، ويعكس مساهمة الإدارة في ركيزة النمو.</t>
        </is>
      </c>
      <c r="E145" s="11" t="inlineStr">
        <is>
          <t>إجمالي العدد خلال الفترة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0.05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شهري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معدل التفاعل (Engagement)</t>
        </is>
      </c>
      <c r="D146" s="73" t="inlineStr">
        <is>
          <t>يقيس معدل التفاعل (Engagement) ضمن محور «التفاعل والمجتمع»،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0.08</v>
      </c>
      <c r="J146" s="15" t="inlineStr">
        <is>
          <t>مدير التسويق</t>
        </is>
      </c>
      <c r="K146" s="11" t="inlineStr">
        <is>
          <t>أنظمة التسويق الرقمي / تانكي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نمو المتابعين النشطين</t>
        </is>
      </c>
      <c r="D147" s="73" t="inlineStr">
        <is>
          <t>يقيس نمو المتابعين النشطين ضمن محور «التفاعل والمجتمع»،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0.06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ربعي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نسبة الالتزام بالهوية البصرية</t>
        </is>
      </c>
      <c r="D148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الابتكار · تطوير التصاميم والهوية</t>
        </is>
      </c>
      <c r="H148" s="15" t="inlineStr">
        <is>
          <t>التعلّم والنمو</t>
        </is>
      </c>
      <c r="I148" s="64" t="n">
        <v>0.06</v>
      </c>
      <c r="J148" s="15" t="inlineStr">
        <is>
          <t>مدير التسويق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نسبة المشاعر الإيجابية للعلامة (Sentiment)</t>
        </is>
      </c>
      <c r="D149" s="73" t="inlineStr">
        <is>
          <t>يقيس نسبة المشاعر الإيجابية للعلامة (Sentiment) ضمن محور «السمعة وتجربة العلامة»،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تعزيز تجربة العملاء</t>
        </is>
      </c>
      <c r="H149" s="15" t="inlineStr">
        <is>
          <t>العمليات الداخلية</t>
        </is>
      </c>
      <c r="I149" s="64" t="n">
        <v>0.07000000000000001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المستخدمون النشطون شهرياً (MAU)</t>
        </is>
      </c>
      <c r="D150" s="73" t="inlineStr">
        <is>
          <t>يقيس المستخدمون النشطون شهرياً (MAU) ضمن محور «نمو تطبيق تانكي»، ويعكس مساهمة الإدارة في ركيزة الابتكار.</t>
        </is>
      </c>
      <c r="E150" s="11" t="inlineStr">
        <is>
          <t>إجمالي العدد خلال الفترة</t>
        </is>
      </c>
      <c r="F150" s="15" t="inlineStr">
        <is>
          <t>🔧 تشغيلي</t>
        </is>
      </c>
      <c r="G150" s="11" t="inlineStr">
        <is>
          <t>الابتكار · تطبيق «تانكي»</t>
        </is>
      </c>
      <c r="H150" s="15" t="inlineStr">
        <is>
          <t>التعلّم والنمو</t>
        </is>
      </c>
      <c r="I150" s="64" t="n">
        <v>0.1</v>
      </c>
      <c r="J150" s="15" t="inlineStr">
        <is>
          <t>مدير التسويق</t>
        </is>
      </c>
      <c r="K150" s="11" t="inlineStr">
        <is>
          <t>أنظمة التسويق الرقمي / تانكي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معدل احتفاظ مستخدمي تانكي</t>
        </is>
      </c>
      <c r="D151" s="73" t="inlineStr">
        <is>
          <t>يقيس معدل احتفاظ مستخدمي تانكي ضمن محور «نمو تطبيق تانكي»، ويعكس مساهمة الإدارة في ركيزة الابتكار.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الابتكار · تطبيق «تانكي»</t>
        </is>
      </c>
      <c r="H151" s="15" t="inlineStr">
        <is>
          <t>التعلّم والنمو</t>
        </is>
      </c>
      <c r="I151" s="64" t="n">
        <v>0.08</v>
      </c>
      <c r="J151" s="15" t="inlineStr">
        <is>
          <t>مدير التسويق</t>
        </is>
      </c>
      <c r="K151" s="11" t="inlineStr">
        <is>
          <t>أنظمة التسويق الرقمي / تانكي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الجودة</t>
        </is>
      </c>
      <c r="C152" s="21" t="inlineStr">
        <is>
          <t>نسبة تنفيذ خطة الزيارات الميدانية للمحطات</t>
        </is>
      </c>
      <c r="D152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⚙️ نشاط</t>
        </is>
      </c>
      <c r="G152" s="11" t="inlineStr">
        <is>
          <t>الاستدامة · جودة التشغيل</t>
        </is>
      </c>
      <c r="H152" s="15" t="inlineStr">
        <is>
          <t>العمليات الداخلية</t>
        </is>
      </c>
      <c r="I152" s="64" t="n">
        <v>0.08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57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عدد الملاحظات الميدانية المرصودة والمصنفة حسب الخطورة</t>
        </is>
      </c>
      <c r="D153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3" s="11" t="inlineStr">
        <is>
          <t>إجمالي العدد خلال الفترة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64" t="n">
        <v>0.05</v>
      </c>
      <c r="J153" s="15" t="inlineStr">
        <is>
          <t>مدير الجودة</t>
        </is>
      </c>
      <c r="K153" s="11" t="inlineStr">
        <is>
          <t>نظام إدارة الجودة (QMS)</t>
        </is>
      </c>
      <c r="L153" s="15" t="inlineStr">
        <is>
          <t>شهري</t>
        </is>
      </c>
      <c r="M153" s="15" t="inlineStr">
        <is>
          <t>مدير الجودة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تغطية المحطات بالزيارات الشهرية</t>
        </is>
      </c>
      <c r="D154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0.06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اكتمال تقارير الزيارة الميدانية بالصور والأدلة</t>
        </is>
      </c>
      <c r="D155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0.05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إصدار تقارير الزيارات خلال المدة المحددة</t>
        </is>
      </c>
      <c r="D156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0.04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الزيارات المفاجئة من إجمالي الزيارات</t>
        </is>
      </c>
      <c r="D157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0.02</v>
      </c>
      <c r="J157" s="15" t="inlineStr">
        <is>
          <t>مدير الجودة</t>
        </is>
      </c>
      <c r="K157" s="11" t="inlineStr">
        <is>
          <t>نظام إدارة الجودة (QMS)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إغلاق الملاحظات ضمن SLA</t>
        </is>
      </c>
      <c r="D158" s="73" t="inlineStr">
        <is>
          <t>يقيس نسبة إغلاق الملاحظات ضمن SLA ضمن محور «متابعة إغلاق الملاحظات والتحقق»،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0.06</v>
      </c>
      <c r="J158" s="15" t="inlineStr">
        <is>
          <t>مدير الجودة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التحقق من إغلاق الملاحظات ميدانيًا أو بالصور</t>
        </is>
      </c>
      <c r="D159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0.05</v>
      </c>
      <c r="J159" s="15" t="inlineStr">
        <is>
          <t>مدير الجودة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الملاحظات المتأخرة عن الإغلاق</t>
        </is>
      </c>
      <c r="D160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0.03</v>
      </c>
      <c r="J160" s="15" t="inlineStr">
        <is>
          <t>مدير الجودة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الملاحظات المتكررة في نفس المحطة</t>
        </is>
      </c>
      <c r="D161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🔧 تشغيلي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0.03</v>
      </c>
      <c r="J161" s="15" t="inlineStr">
        <is>
          <t>مدير الجودة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متوسط زمن إغلاق الملاحظات الحرجة</t>
        </is>
      </c>
      <c r="D162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2" s="11" t="inlineStr">
        <is>
          <t>متوسط يوم خلال الفترة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تنفيذ خطة التدقيق الداخلي</t>
        </is>
      </c>
      <c r="D163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⚙️ نشاط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0.05</v>
      </c>
      <c r="J163" s="15" t="inlineStr">
        <is>
          <t>مدير الجودة</t>
        </is>
      </c>
      <c r="K163" s="11" t="inlineStr">
        <is>
          <t>نظام المحاسبة / ERP (D365)</t>
        </is>
      </c>
      <c r="L163" s="15" t="inlineStr">
        <is>
          <t>ربعي</t>
        </is>
      </c>
      <c r="M163" s="15" t="inlineStr">
        <is>
          <t>الإدارة المالية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إغلاق ملاحظات التدقيق الداخلي ضمن المدة</t>
        </is>
      </c>
      <c r="D164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0.05</v>
      </c>
      <c r="J164" s="15" t="inlineStr">
        <is>
          <t>مدير الجودة</t>
        </is>
      </c>
      <c r="K164" s="11" t="inlineStr">
        <is>
          <t>نظام المحاسبة / ERP (D365)</t>
        </is>
      </c>
      <c r="L164" s="15" t="inlineStr">
        <is>
          <t>ربعي</t>
        </is>
      </c>
      <c r="M164" s="15" t="inlineStr">
        <is>
          <t>الإدارة المالية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عدد حالات عدم المطابقة المتكررة</t>
        </is>
      </c>
      <c r="D165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5" s="11" t="inlineStr">
        <is>
          <t>إجمالي العدد خلال الفترة</t>
        </is>
      </c>
      <c r="F165" s="15" t="inlineStr">
        <is>
          <t>⚙️ نشاط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نظام المحاسبة / ERP (D365)</t>
        </is>
      </c>
      <c r="L165" s="15" t="inlineStr">
        <is>
          <t>شهري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فاعلية الإجراءات التصحيحية</t>
        </is>
      </c>
      <c r="D166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0.03</v>
      </c>
      <c r="J166" s="15" t="inlineStr">
        <is>
          <t>مدير الجودة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متوسط زمن إغلاق حالات عدم المطابقة</t>
        </is>
      </c>
      <c r="D167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7" s="11" t="inlineStr">
        <is>
          <t>متوسط يوم خلال الفترة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0.02</v>
      </c>
      <c r="J167" s="15" t="inlineStr">
        <is>
          <t>مدير الجودة</t>
        </is>
      </c>
      <c r="K167" s="11" t="inlineStr">
        <is>
          <t>نظام المحاسبة / ERP (D365)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مراجعة وتحديث الإجراءات والسياسات حسب الخطة</t>
        </is>
      </c>
      <c r="D168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0.04</v>
      </c>
      <c r="J168" s="15" t="inlineStr">
        <is>
          <t>مدير الجودة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الجودة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اكتمال توثيق إجراءات الإدارات المستهدفة</t>
        </is>
      </c>
      <c r="D169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0.04</v>
      </c>
      <c r="J169" s="15" t="inlineStr">
        <is>
          <t>مدير الجودة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اعتماد النماذج والإجراءات الجديدة أو المحدثة</t>
        </is>
      </c>
      <c r="D170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0.03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عدد حالات استخدام نماذج أو إجراءات غير معتمدة</t>
        </is>
      </c>
      <c r="D171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1" s="11" t="inlineStr">
        <is>
          <t>إجمالي العدد خلال الفترة</t>
        </is>
      </c>
      <c r="F171" s="15" t="inlineStr">
        <is>
          <t>⚙️ نشاط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0.02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نشر وتعميم الإجراءات المعتمدة</t>
        </is>
      </c>
      <c r="D172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0.01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عدد فرص التحسين المستخرجة من الزيارات والتدقيق</t>
        </is>
      </c>
      <c r="D173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3" s="11" t="inlineStr">
        <is>
          <t>إجمالي العدد خلال الفترة</t>
        </is>
      </c>
      <c r="F173" s="15" t="inlineStr">
        <is>
          <t>⚙️ نشاط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0.03</v>
      </c>
      <c r="J173" s="15" t="inlineStr">
        <is>
          <t>مدير الجودة</t>
        </is>
      </c>
      <c r="K173" s="11" t="inlineStr">
        <is>
          <t>نظام المحاسبة / ERP (D365)</t>
        </is>
      </c>
      <c r="L173" s="15" t="inlineStr">
        <is>
          <t>ربعي</t>
        </is>
      </c>
      <c r="M173" s="15" t="inlineStr">
        <is>
          <t>الإدارة المالية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تنفيذ مبادرات التحسين المعتمدة</t>
        </is>
      </c>
      <c r="D174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التعلّم والنمو</t>
        </is>
      </c>
      <c r="I174" s="64" t="n">
        <v>0.03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انخفاض تكرار الملاحظات بعد التحسين</t>
        </is>
      </c>
      <c r="D175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0.02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عدد التقارير التحليلية الشهرية للجودة</t>
        </is>
      </c>
      <c r="D176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الدروس المستفادة المعممة على الإدارات</t>
        </is>
      </c>
      <c r="D177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أتمتة قوائم الفحص وتقارير الزيارات</t>
        </is>
      </c>
      <c r="D178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78" s="11" t="inlineStr">
        <is>
          <t>(المتحقّق ÷ الإجمالي) × 100٪</t>
        </is>
      </c>
      <c r="F178" s="15" t="inlineStr">
        <is>
          <t>⚙️ نشاط</t>
        </is>
      </c>
      <c r="G178" s="11" t="inlineStr">
        <is>
          <t>الابتكار · التحول التقني</t>
        </is>
      </c>
      <c r="H178" s="15" t="inlineStr">
        <is>
          <t>التعلّم والنمو</t>
        </is>
      </c>
      <c r="I178" s="64" t="n">
        <v>0.02</v>
      </c>
      <c r="J178" s="15" t="inlineStr">
        <is>
          <t>مدير الجودة</t>
        </is>
      </c>
      <c r="K178" s="11" t="inlineStr">
        <is>
          <t>مكتب إدارة المشاريع (PMO)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تحديث لوحة مؤشرات الجودة شهريًا</t>
        </is>
      </c>
      <c r="D179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الابتكار · التحول التقني</t>
        </is>
      </c>
      <c r="H179" s="15" t="inlineStr">
        <is>
          <t>العمليات الداخلية</t>
        </is>
      </c>
      <c r="I179" s="64" t="n">
        <v>0.02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متطلبات ISO 9001 / 14001 / 45001</t>
        </is>
      </c>
      <c r="D180" s="73" t="inlineStr">
        <is>
          <t>يقيس نسبة جاهزية متطلبات ISO 9001 / 14001 / 45001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الابتكار · التحول التقني</t>
        </is>
      </c>
      <c r="H180" s="15" t="inlineStr">
        <is>
          <t>العمليات الداخلية</t>
        </is>
      </c>
      <c r="I180" s="64" t="n">
        <v>0.03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اكتمال سجل مخاطر وملاحظات الجودة</t>
        </is>
      </c>
      <c r="D181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الإدارة القانونية</t>
        </is>
      </c>
      <c r="C182" s="21" t="inlineStr">
        <is>
          <t>نسبة العقود المُراجَعة قانونياً قبل التوقيع</t>
        </is>
      </c>
      <c r="D182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0.1</v>
      </c>
      <c r="J182" s="15" t="inlineStr">
        <is>
          <t>المدير القانوني</t>
        </is>
      </c>
      <c r="K182" s="11" t="inlineStr">
        <is>
          <t>نظام إدارة العقود (CRM)</t>
        </is>
      </c>
      <c r="L182" s="15" t="inlineStr">
        <is>
          <t>شهري</t>
        </is>
      </c>
      <c r="M182" s="15" t="inlineStr">
        <is>
          <t>المدير القانوني</t>
        </is>
      </c>
      <c r="N182" s="57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متوسط زمن صياغة ومراجعة العقد</t>
        </is>
      </c>
      <c r="D183" s="73" t="inlineStr">
        <is>
          <t>يقيس متوسط زمن صياغة ومراجعة العقد ضمن محور «أعمال العقود»، ويعكس مساهمة الإدارة في ركيزة الاستدامة.</t>
        </is>
      </c>
      <c r="E183" s="11" t="inlineStr">
        <is>
          <t>متوسط يوم خلال الفترة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0.1</v>
      </c>
      <c r="J183" s="15" t="inlineStr">
        <is>
          <t>المدير القانوني</t>
        </is>
      </c>
      <c r="K183" s="11" t="inlineStr">
        <is>
          <t>نظام إدارة القضايا والتحقيقات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العقود الخالية من الملاحظات والمخاطر القانونية</t>
        </is>
      </c>
      <c r="D184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القضايا المُغلقة لصالح الشركة</t>
        </is>
      </c>
      <c r="D185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0.07000000000000001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تقديم المذكرات والردود في المواعيد النظامية</t>
        </is>
      </c>
      <c r="D186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0.07000000000000001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متوسط زمن إعداد المذكرة القانونية</t>
        </is>
      </c>
      <c r="D187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7" s="11" t="inlineStr">
        <is>
          <t>متوسط يوم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الاستشارات المُنجزة ضمن المدة المستهدفة (SLA)</t>
        </is>
      </c>
      <c r="D188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مستوى رضا الإدارات عن الدعم القانوني</t>
        </is>
      </c>
      <c r="D189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🎯 نتيجة</t>
        </is>
      </c>
      <c r="G189" s="11" t="inlineStr">
        <is>
          <t>الاستدامة · جودة التشغيل</t>
        </is>
      </c>
      <c r="H189" s="15" t="inlineStr">
        <is>
          <t>العملاء</t>
        </is>
      </c>
      <c r="I189" s="64" t="n">
        <v>0.1</v>
      </c>
      <c r="J189" s="15" t="inlineStr">
        <is>
          <t>المدير القانوني</t>
        </is>
      </c>
      <c r="K189" s="11" t="inlineStr">
        <is>
          <t>استبيان دوري</t>
        </is>
      </c>
      <c r="L189" s="15" t="inlineStr">
        <is>
          <t>ربعي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إنجاز التحقيقات ضمن المدة المحددة</t>
        </is>
      </c>
      <c r="D190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التحقيقات المُغلقة من إجمالي المُحالة</t>
        </is>
      </c>
      <c r="D191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متوسط زمن إغلاق قضية التحقيق</t>
        </is>
      </c>
      <c r="D192" s="73" t="inlineStr">
        <is>
          <t>يقيس متوسط زمن إغلاق قضية التحقيق ضمن محور «التحقيق»، ويعكس مساهمة الإدارة في ركيزة الاستدامة.</t>
        </is>
      </c>
      <c r="E192" s="11" t="inlineStr">
        <is>
          <t>متوسط يوم خلال الفترة</t>
        </is>
      </c>
      <c r="F192" s="15" t="inlineStr">
        <is>
          <t>🎯 نتيجة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0.06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تنفيذ التوصيات الصادرة عن التحقيقات</t>
        </is>
      </c>
      <c r="D193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0.06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التزام التحقيقات بالإجراءات النظامية والعدالة الإجرائية</t>
        </is>
      </c>
      <c r="D194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المالية</t>
        </is>
      </c>
      <c r="C195" s="21" t="inlineStr">
        <is>
          <t>نمو الإيرادات السنوي</t>
        </is>
      </c>
      <c r="D195" s="73" t="inlineStr">
        <is>
          <t>يقيس نمو الإيرادات السنوي ضمن محور «المالية الاستراتيجية»، ويعكس مساهمة الإدارة في ركيزة النمو.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النمو · زيادة وصول العملاء</t>
        </is>
      </c>
      <c r="H195" s="15" t="inlineStr">
        <is>
          <t>مالي</t>
        </is>
      </c>
      <c r="I195" s="64" t="n">
        <v>0.08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ربعي</t>
        </is>
      </c>
      <c r="M195" s="15" t="inlineStr">
        <is>
          <t>الإدارة المالية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هامش EBITDA</t>
        </is>
      </c>
      <c r="D196" s="73" t="inlineStr">
        <is>
          <t>يقيس هامش EBITDA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4" t="n">
        <v>0.05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شهري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هامش صافي الربح</t>
        </is>
      </c>
      <c r="D197" s="73" t="inlineStr">
        <is>
          <t>يقيس هامش صافي الربح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العائد على حقوق الملكية (ROE)</t>
        </is>
      </c>
      <c r="D198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0.08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ربعي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نسبة التدفق النقدي التشغيلي</t>
        </is>
      </c>
      <c r="D199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🔧 تشغيلي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النسبة الجارية (Current Ratio)</t>
        </is>
      </c>
      <c r="D200" s="73" t="inlineStr">
        <is>
          <t>يقيس النسبة الجارية (Current Ratio) ضمن محور «السيولة ورأس المال»،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سجلات الإدارة</t>
        </is>
      </c>
      <c r="L200" s="15" t="inlineStr">
        <is>
          <t>شهري</t>
        </is>
      </c>
      <c r="M200" s="15" t="inlineStr">
        <is>
          <t>المدير المالي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دورة التحويل النقدي</t>
        </is>
      </c>
      <c r="D201" s="73" t="inlineStr">
        <is>
          <t>يقيس دورة التحويل النقدي ضمن محور «السيولة ورأس المال»، ويعكس مساهمة الإدارة في ركيزة الاستدامة.</t>
        </is>
      </c>
      <c r="E201" s="11" t="inlineStr">
        <is>
          <t>متوسط يوم خلال الفترة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0.07000000000000001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التحصيل العام (الشركة)</t>
        </is>
      </c>
      <c r="D202" s="73" t="inlineStr">
        <is>
          <t>يقيس نسبة التحصيل العام (الشركة) ضمن محور «الذمم المدينة»،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الاستدامة · جودة التشغيل</t>
        </is>
      </c>
      <c r="H202" s="15" t="inlineStr">
        <is>
          <t>مالي</t>
        </is>
      </c>
      <c r="I202" s="64" t="n">
        <v>0.07000000000000001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نسبة الذمم المتأخرة</t>
        </is>
      </c>
      <c r="D203" s="73" t="inlineStr">
        <is>
          <t>يقيس نسبة الذمم المتأخرة ضمن محور «الذمم المدينة»،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الديون المعدومة</t>
        </is>
      </c>
      <c r="D204" s="73" t="inlineStr">
        <is>
          <t>يقيس نسبة الديون المعدومة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سداد الموردين في الموعد</t>
        </is>
      </c>
      <c r="D205" s="73" t="inlineStr">
        <is>
          <t>يقيس سداد الموردين في الموعد ضمن محور «الذمم الدائنة»،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دقة مطابقة حسابات الموردين</t>
        </is>
      </c>
      <c r="D206" s="73" t="inlineStr">
        <is>
          <t>يقيس دقة مطابقة حسابات الموردين ضمن محور «الذمم الدائنة»،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دقة التنبؤ النقدي</t>
        </is>
      </c>
      <c r="D207" s="73" t="inlineStr">
        <is>
          <t>يقيس دقة التنبؤ النقدي ضمن محور «الخزينة»،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مطابقة المخزون</t>
        </is>
      </c>
      <c r="D208" s="73" t="inlineStr">
        <is>
          <t>يقيس دقة مطابقة المخزون ضمن محور «صناعة الوقود»،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إدارة الجودة (QMS)</t>
        </is>
      </c>
      <c r="L208" s="15" t="inlineStr">
        <is>
          <t>شهري</t>
        </is>
      </c>
      <c r="M208" s="15" t="inlineStr">
        <is>
          <t>المدير المالي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تسوية أرامكو</t>
        </is>
      </c>
      <c r="D209" s="73" t="inlineStr">
        <is>
          <t>يقيس دقة تسوية أرامكو ضمن محور «صناعة الوقود»،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تشغيل المحطات</t>
        </is>
      </c>
      <c r="L209" s="15" t="inlineStr">
        <is>
          <t>شهري</t>
        </is>
      </c>
      <c r="M209" s="15" t="inlineStr">
        <is>
          <t>المدير المالي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انحراف الموازنة</t>
        </is>
      </c>
      <c r="D210" s="73" t="inlineStr">
        <is>
          <t>يقيس انحراف الموازنة ضمن محور «الموازنة والتقارير»،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ربعي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أيام الإقفال الشهري</t>
        </is>
      </c>
      <c r="D211" s="73" t="inlineStr">
        <is>
          <t>يقيس أيام الإقفال الشهري ضمن محور «الموازنة والتقارير»، ويعكس مساهمة الإدارة في ركيزة الاستدامة.</t>
        </is>
      </c>
      <c r="E211" s="11" t="inlineStr">
        <is>
          <t>متوسط يوم خلال الفترة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نسبة تسويات التدقيق</t>
        </is>
      </c>
      <c r="D212" s="73" t="inlineStr">
        <is>
          <t>يقيس نسبة تسويات التدقيق ضمن محور «الموازنة والتقارير»،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ربعي</t>
        </is>
      </c>
      <c r="M212" s="15" t="inlineStr">
        <is>
          <t>الإدارة المالية</t>
        </is>
      </c>
      <c r="N212" s="57" t="n"/>
    </row>
  </sheetData>
  <autoFilter ref="A2:N212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 (eNPS)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eNPS)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(QMS)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0.15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نسبة تحقيق مستهدف مبيعات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0.07000000000000001</v>
      </c>
      <c r="H5" s="64" t="n">
        <v>1</v>
      </c>
      <c r="I5" s="22" t="inlineStr">
        <is>
          <t>≥ 100% من المستهدف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0.881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«تحقيق مستهدف مبيعات الوقود» ÷ الإجمالي المستهدف لنفس البند × 100٪</t>
        </is>
      </c>
      <c r="Q5" s="83" t="inlineStr">
        <is>
          <t>نظام إدارة القضايا والتحقيقات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تشغيل المحطات الجديدة وفق الخطة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0.04</v>
      </c>
      <c r="H6" s="64" t="n">
        <v>0.95</v>
      </c>
      <c r="I6" s="22" t="inlineStr">
        <is>
          <t>≥ 95%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العمليات الداخلية</t>
        </is>
      </c>
      <c r="M6" s="65" t="n">
        <v>0.747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«تشغيل المحطات الجديدة وفق الخطة» ÷ الإجمالي المستهدف لنفس البند × 100٪</t>
        </is>
      </c>
      <c r="Q6" s="83" t="inlineStr">
        <is>
          <t>نظام تشغيل المحطات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تكلفة التشغيل لكل لتر مبيع</t>
        </is>
      </c>
      <c r="D7" s="55" t="inlineStr">
        <is>
          <t>ريال/لتر</t>
        </is>
      </c>
      <c r="E7" s="55" t="inlineStr">
        <is>
          <t>↓</t>
        </is>
      </c>
      <c r="F7" s="15" t="inlineStr">
        <is>
          <t>🟠 مهم</t>
        </is>
      </c>
      <c r="G7" s="64" t="n">
        <v>0.04</v>
      </c>
      <c r="H7" s="55" t="inlineStr"/>
      <c r="I7" s="22" t="inlineStr">
        <is>
          <t>≤ التكلفة المستهدفة المعتمدة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/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مجموع لترات «تكلفة التشغيل لكل لتر مبيع» خلال الفترة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ht="24" customHeight="1">
      <c r="B8" s="75" t="inlineStr">
        <is>
          <t>جودة التشغيل</t>
        </is>
      </c>
      <c r="C8" s="76" t="inlineStr">
        <is>
          <t>📊 جودة التشغيل</t>
        </is>
      </c>
      <c r="D8" s="77" t="n"/>
      <c r="E8" s="77" t="n"/>
      <c r="F8" s="78" t="inlineStr">
        <is>
          <t>🔷 أساسي</t>
        </is>
      </c>
      <c r="G8" s="79" t="n">
        <v>0.3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جودة التشغيل</t>
        </is>
      </c>
      <c r="C9" s="21" t="inlineStr">
        <is>
          <t>مؤشر جودة التشغيل بالمحطات</t>
        </is>
      </c>
      <c r="D9" s="55" t="inlineStr">
        <is>
          <t>درجة من 100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0.15</v>
      </c>
      <c r="H9" s="67" t="n">
        <v>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75.09999999999999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متوسط تقييم «مؤشر جودة التشغيل بالمحطات» على مقياسه المعتمد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نسبة الالتزام بإجراءات التشغيل القياسية SOPs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0.1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«الالتزام بإجراءات التشغيل القياسية SOPs»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إغلاق الملاحظات التشغيلية ضمن SLA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0.746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«إغلاق الملاحظات التشغيلية ضمن SLA»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ht="24" customHeight="1">
      <c r="B12" s="75" t="inlineStr">
        <is>
          <t>السلامة والتراخيص والامتثال</t>
        </is>
      </c>
      <c r="C12" s="76" t="inlineStr">
        <is>
          <t>📊 السلامة والتراخيص والامتثال</t>
        </is>
      </c>
      <c r="D12" s="77" t="n"/>
      <c r="E12" s="77" t="n"/>
      <c r="F12" s="78" t="inlineStr">
        <is>
          <t>🔷 أساسي</t>
        </is>
      </c>
      <c r="G12" s="79" t="n">
        <v>0.22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السلامة والتراخيص والامتثال</t>
        </is>
      </c>
      <c r="C13" s="21" t="inlineStr">
        <is>
          <t>مؤشر الالتزام بمتطلبات السلامة</t>
        </is>
      </c>
      <c r="D13" s="55" t="inlineStr">
        <is>
          <t>درجة من 100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</v>
      </c>
      <c r="H13" s="67" t="n">
        <v>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8" t="n">
        <v>86.09999999999999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محقق",IF($N13&gt;=0.97,"🟡 قريب","🔴 تحت الهدف")))</f>
        <v/>
      </c>
      <c r="P13" s="83" t="inlineStr">
        <is>
          <t>متوسط تقييم «مؤشر الالتزام بمتطلبات السلامة» على مقياسه المعتمد</t>
        </is>
      </c>
      <c r="Q13" s="83" t="inlineStr">
        <is>
          <t>نظام إدارة الجودة (QMS)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نسبة المحطات ذات التراخيص والتصاريح السارية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1</v>
      </c>
      <c r="I14" s="22" t="inlineStr">
        <is>
          <t>100%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0.849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«المحطات ذات التراخيص والتصاريح السارية» ÷ الإجمالي المستهدف لنفس البند × 100٪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معدل الحوادث والمخالفات التشغيلية الجسيمة</t>
        </is>
      </c>
      <c r="D15" s="55" t="inlineStr">
        <is>
          <t>عدد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0.05</v>
      </c>
      <c r="H15" s="60" t="n">
        <v>0</v>
      </c>
      <c r="I15" s="22" t="inlineStr">
        <is>
          <t>0 حالات جسيمة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«الحوادث والمخالفات التشغيلية الجسيمة» خلال الفترة ÷ إجمالي الحالات القابلة للقياس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ht="24" customHeight="1">
      <c r="B16" s="75" t="inlineStr">
        <is>
          <t>النظافة والبيئة والهوية البصرية</t>
        </is>
      </c>
      <c r="C16" s="76" t="inlineStr">
        <is>
          <t>📊 النظافة والبيئة والهوية البصرية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النظافة والبيئة والهوية البصرية</t>
        </is>
      </c>
      <c r="C17" s="21" t="inlineStr">
        <is>
          <t>مؤشر النظافة والبيئة بالمحطات</t>
        </is>
      </c>
      <c r="D17" s="55" t="inlineStr">
        <is>
          <t>درجة من 100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0.08</v>
      </c>
      <c r="H17" s="67" t="n">
        <v>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73.2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متوسط تقييم «مؤشر النظافة والبيئة بالمحطات» على مقياسه المعتمد</t>
        </is>
      </c>
      <c r="Q17" s="83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الالتزام بالهوية البصرية والمظهر العام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8" t="n">
        <v>85.59999999999999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الالتزام بالهوية البصرية والمظهر العام» على مقياسه المعتمد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نسبة الالتزام بمظهر وانضباط العاملين بالمحطات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0.761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بمظهر وانضباط العاملين بالمحطات» ÷ الإجمالي المستهدف لنفس البند × 100٪</t>
        </is>
      </c>
      <c r="Q19" s="83" t="inlineStr">
        <is>
          <t>نظام تشغيل المحطات</t>
        </is>
      </c>
      <c r="R19" s="15" t="inlineStr">
        <is>
          <t>شهري</t>
        </is>
      </c>
    </row>
    <row r="20" ht="24" customHeight="1">
      <c r="B20" s="75" t="inlineStr">
        <is>
          <t>تجربة العميل والرضا</t>
        </is>
      </c>
      <c r="C20" s="76" t="inlineStr">
        <is>
          <t>📊 تجربة العميل والرضا</t>
        </is>
      </c>
      <c r="D20" s="77" t="n"/>
      <c r="E20" s="77" t="n"/>
      <c r="F20" s="78" t="inlineStr">
        <is>
          <t>🔷 أساسي</t>
        </is>
      </c>
      <c r="G20" s="79" t="n">
        <v>0.15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تجربة العميل والرضا</t>
        </is>
      </c>
      <c r="C21" s="21" t="inlineStr">
        <is>
          <t>انخفاض معدل الشكاوى التشغيلية</t>
        </is>
      </c>
      <c r="D21" s="55" t="inlineStr">
        <is>
          <t>% انخفاض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0.2</v>
      </c>
      <c r="I21" s="22" t="inlineStr">
        <is>
          <t>≥ 20% انخفاض سنوي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0.187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«انخفاض معدل الشكاوى التشغيلية» ÷ المستهدف × 100٪</t>
        </is>
      </c>
      <c r="Q21" s="83" t="inlineStr">
        <is>
          <t>استبيان دوري</t>
        </is>
      </c>
      <c r="R21" s="15" t="inlineStr">
        <is>
          <t>ربعي</t>
        </is>
      </c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نسبة حل الشكاوى التشغيلية خلال المدة المحددة SLA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0.95</v>
      </c>
      <c r="I22" s="22" t="inlineStr">
        <is>
          <t>≥ 95%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0.751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قيمة/عدد المتحقّق من «حل الشكاوى التشغيلية خلال المدة المحددة SLA» ÷ الإجمالي المستهدف لنفس البند × 100٪</t>
        </is>
      </c>
      <c r="Q22" s="83" t="inlineStr">
        <is>
          <t>استبيان دوري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متوسط تقييم المحطات على خرائط Google</t>
        </is>
      </c>
      <c r="D23" s="55" t="inlineStr">
        <is>
          <t>درجة من 5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0.04</v>
      </c>
      <c r="H23" s="67" t="n">
        <v>4.2</v>
      </c>
      <c r="I23" s="22" t="inlineStr">
        <is>
          <t>≥ 4.2 / 5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8" t="n">
        <v>3.362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قيم «تقييم المحطات على خرائط Google» ÷ عدد المفردات المقيسة</t>
        </is>
      </c>
      <c r="Q23" s="83" t="inlineStr">
        <is>
          <t>تقييمات خرائط قوقل</t>
        </is>
      </c>
      <c r="R23" s="15" t="inlineStr">
        <is>
          <t>شهري</t>
        </is>
      </c>
    </row>
  </sheetData>
  <autoFilter ref="A3:R23"/>
  <mergeCells count="2">
    <mergeCell ref="A2:R2"/>
    <mergeCell ref="A1:R1"/>
  </mergeCells>
  <dataValidations count="1">
    <dataValidation sqref="M5 M6 M7 M9 M10 M11 M13 M14 M15 M17 M18 M19 M21 M22 M2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نمو الإيراد الإيجاري لكل م² (ARPU)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0.08</v>
      </c>
      <c r="I9" s="22" t="inlineStr">
        <is>
          <t>≥ 8% سنوياً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مالي</t>
        </is>
      </c>
      <c r="M9" s="65" t="n">
        <v>0.067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«نمو الإيراد الإيجاري لكل م²» ÷ المستهدف × 100٪</t>
        </is>
      </c>
      <c r="Q9" s="83" t="inlineStr">
        <is>
          <t>نظام المحاسبة / ERP (D365)</t>
        </is>
      </c>
      <c r="R9" s="15" t="inlineStr">
        <is>
          <t>ربعي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 (Time-to-Lease)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 (CRM)</t>
        </is>
      </c>
      <c r="R10" s="15" t="inlineStr">
        <is>
          <t>شهري</t>
        </is>
      </c>
    </row>
    <row r="11" ht="24" customHeight="1">
      <c r="B11" s="75" t="inlineStr">
        <is>
          <t>كفاءة التحصيل</t>
        </is>
      </c>
      <c r="C11" s="76" t="inlineStr">
        <is>
          <t>📊 كفاءة التحصيل</t>
        </is>
      </c>
      <c r="D11" s="77" t="n"/>
      <c r="E11" s="77" t="n"/>
      <c r="F11" s="78" t="inlineStr">
        <is>
          <t>🔷 أساسي</t>
        </is>
      </c>
      <c r="G11" s="79" t="n">
        <v>0.14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تحصيل الإيجارات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0.805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«تحصيل الإيجارات»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كفاءة التحصيل</t>
        </is>
      </c>
      <c r="C13" s="21" t="inlineStr">
        <is>
          <t>نسبة المتأخرات في السداد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0.06</v>
      </c>
      <c r="H13" s="64" t="n">
        <v>0.05</v>
      </c>
      <c r="I13" s="22" t="inlineStr">
        <is>
          <t>≤ 5%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مالي</t>
        </is>
      </c>
      <c r="M13" s="65" t="n">
        <v>0.055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«المتأخرات في السداد» ÷ الإجمالي المستهدف لنفس البند × 100٪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ht="24" customHeight="1">
      <c r="B14" s="75" t="inlineStr">
        <is>
          <t>تشغيل وخدمة الوحدات</t>
        </is>
      </c>
      <c r="C14" s="76" t="inlineStr">
        <is>
          <t>📊 تشغيل وخدمة الوحدات</t>
        </is>
      </c>
      <c r="D14" s="77" t="n"/>
      <c r="E14" s="77" t="n"/>
      <c r="F14" s="78" t="inlineStr">
        <is>
          <t>🔷 أساسي</t>
        </is>
      </c>
      <c r="G14" s="79" t="n">
        <v>0.12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متوسط زمن تسليم الوحدة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0.06</v>
      </c>
      <c r="H15" s="67" t="n">
        <v>7</v>
      </c>
      <c r="I15" s="22" t="inlineStr">
        <is>
          <t>≤ 7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8" t="n">
        <v>7.983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مجموع أيام «زمن تسليم الوحدة» ÷ عدد الحالات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تشغيل وخدمة الوحدات</t>
        </is>
      </c>
      <c r="C16" s="21" t="inlineStr">
        <is>
          <t>نسبة إغلاق طلبات الخدمة خلال المدة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0.846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«إغلاق طلبات الخدمة خلال المدة»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رضا واستبقاء المستأجرين</t>
        </is>
      </c>
      <c r="C17" s="76" t="inlineStr">
        <is>
          <t>📊 رضا واستبقاء المستأجرين</t>
        </is>
      </c>
      <c r="D17" s="77" t="n"/>
      <c r="E17" s="77" t="n"/>
      <c r="F17" s="78" t="inlineStr">
        <is>
          <t>🔷 أساسي</t>
        </is>
      </c>
      <c r="G17" s="79" t="n">
        <v>0.16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رضا المستأجرين (استبيان ربعي)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5" t="n">
        <v>0.894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هدف",IF($N18&gt;=0.9,"✅ محقق",IF($N18&gt;=0.75,"🟡 قريب","🔴 تحت الهدف")))</f>
        <v/>
      </c>
      <c r="P18" s="83" t="inlineStr">
        <is>
          <t>عدد حالات «رضا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ربعي</t>
        </is>
      </c>
    </row>
    <row r="19" outlineLevel="1" ht="26" customHeight="1">
      <c r="A19" s="20" t="n">
        <v>12</v>
      </c>
      <c r="B19" s="21" t="inlineStr">
        <is>
          <t>رضا واستبقاء المستأجرين</t>
        </is>
      </c>
      <c r="C19" s="21" t="inlineStr">
        <is>
          <t>معدل استبقاء المستأجرين (تجديد وبلا إنهاء مبكر)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التعلّم والنمو</t>
        </is>
      </c>
      <c r="M19" s="65" t="n">
        <v>0.752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«استبقاء المستأجرين» خلال الفترة ÷ إجمالي الحالات القابلة للقياس × 100٪</t>
        </is>
      </c>
      <c r="Q19" s="83" t="inlineStr">
        <is>
          <t>استبيان دوري</t>
        </is>
      </c>
      <c r="R19" s="15" t="inlineStr">
        <is>
          <t>شهري</t>
        </is>
      </c>
    </row>
    <row r="20" ht="24" customHeight="1">
      <c r="B20" s="75" t="inlineStr">
        <is>
          <t>ساحات درب</t>
        </is>
      </c>
      <c r="C20" s="76" t="inlineStr">
        <is>
          <t>📊 ساحات درب</t>
        </is>
      </c>
      <c r="D20" s="77" t="n"/>
      <c r="E20" s="77" t="n"/>
      <c r="F20" s="78" t="inlineStr">
        <is>
          <t>🔷 أساسي</t>
        </is>
      </c>
      <c r="G20" s="79" t="n">
        <v>0.12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نسبة تأجير ساحة درب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0.8</v>
      </c>
      <c r="I21" s="22" t="inlineStr">
        <is>
          <t>≥ 80%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5" t="n">
        <v>0.671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«تأجير ساحة درب» ÷ الإجمالي المستهدف لنفس البند × 100٪</t>
        </is>
      </c>
      <c r="Q21" s="83" t="inlineStr">
        <is>
          <t>نظام إدارة العقود (CRM)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ساحات درب</t>
        </is>
      </c>
      <c r="C22" s="21" t="inlineStr">
        <is>
          <t>عدد العلامات التجارية الجديدة بالساحة</t>
        </is>
      </c>
      <c r="D22" s="55" t="inlineStr">
        <is>
          <t>علامة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0" t="n">
        <v>6</v>
      </c>
      <c r="I22" s="22" t="inlineStr">
        <is>
          <t>6 علامات</t>
        </is>
      </c>
      <c r="J22" s="82" t="inlineStr">
        <is>
          <t>الابتكار</t>
        </is>
      </c>
      <c r="K22" s="11" t="inlineStr">
        <is>
          <t>ساحات درب</t>
        </is>
      </c>
      <c r="L22" s="15" t="inlineStr">
        <is>
          <t>العمليات الداخلية</t>
        </is>
      </c>
      <c r="M22" s="61" t="n">
        <v>5.235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«العلامات التجارية الجديدة بالساحة»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9 M10 M12 M13 M15 M16 M18 M19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 SLA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ERP (D365)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 (CAC)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العائد على الإنفاق التسويقي (ROMI)</t>
        </is>
      </c>
      <c r="D7" s="55" t="inlineStr">
        <is>
          <t>ضعف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7" t="n">
        <v>3</v>
      </c>
      <c r="I7" s="22" t="inlineStr">
        <is>
          <t>≥ 3×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3.043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قياس «العائد على الإنفاق التسويقي» مقابل مستهدفه المعتمد خلال الفترة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الاكتساب والعائد</t>
        </is>
      </c>
      <c r="C8" s="21" t="inlineStr">
        <is>
          <t>تحويل الفرص التسويقية إلى عقود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4" t="n">
        <v>0.25</v>
      </c>
      <c r="I8" s="22" t="inlineStr">
        <is>
          <t>≥ 25%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5" t="n">
        <v>0.204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«تحويل الفرص التسويقية إلى عقود»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ht="24" customHeight="1">
      <c r="B9" s="75" t="inlineStr">
        <is>
          <t>الوعي والوصول</t>
        </is>
      </c>
      <c r="C9" s="76" t="inlineStr">
        <is>
          <t>📊 الوعي والوصول</t>
        </is>
      </c>
      <c r="D9" s="77" t="n"/>
      <c r="E9" s="77" t="n"/>
      <c r="F9" s="78" t="inlineStr">
        <is>
          <t>🔷 أساسي</t>
        </is>
      </c>
      <c r="G9" s="79" t="n">
        <v>0.13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نمو الوصول المؤهل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0.2</v>
      </c>
      <c r="I10" s="22" t="inlineStr">
        <is>
          <t>≥ 20% سنوياً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5" t="n">
        <v>0.163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83" t="inlineStr">
        <is>
          <t>القيمة المتحقّقة من «نمو الوصول المؤهل» ÷ المستهدف × 100٪</t>
        </is>
      </c>
      <c r="Q10" s="83" t="inlineStr">
        <is>
          <t>أنظمة التسويق الرقمي / تانكي</t>
        </is>
      </c>
      <c r="R10" s="15" t="inlineStr">
        <is>
          <t>ربعي</t>
        </is>
      </c>
    </row>
    <row r="11" outlineLevel="1" ht="26" customHeight="1">
      <c r="A11" s="20" t="n">
        <v>6</v>
      </c>
      <c r="B11" s="21" t="inlineStr">
        <is>
          <t>الوعي والوصول</t>
        </is>
      </c>
      <c r="C11" s="21" t="inlineStr">
        <is>
          <t>وصول العلاقات العامة (PR)</t>
        </is>
      </c>
      <c r="D11" s="55" t="inlineStr">
        <is>
          <t>وصول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7000000</v>
      </c>
      <c r="I11" s="22" t="inlineStr">
        <is>
          <t>7م وصول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1500000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«وصول العلاقات العامة»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ht="24" customHeight="1">
      <c r="B12" s="75" t="inlineStr">
        <is>
          <t>التفاعل والمجتمع</t>
        </is>
      </c>
      <c r="C12" s="76" t="inlineStr">
        <is>
          <t>📊 التفاعل والمجتمع</t>
        </is>
      </c>
      <c r="D12" s="77" t="n"/>
      <c r="E12" s="77" t="n"/>
      <c r="F12" s="78" t="inlineStr">
        <is>
          <t>🔷 أساسي</t>
        </is>
      </c>
      <c r="G12" s="79" t="n">
        <v>0.14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معدل التفاعل (Engagement)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0.5</v>
      </c>
      <c r="I13" s="22" t="inlineStr">
        <is>
          <t>≥ 50%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عدد حالات «التفاعل» خلال الفترة ÷ إجمالي الحالات القابلة للقياس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التفاعل والمجتمع</t>
        </is>
      </c>
      <c r="C14" s="21" t="inlineStr">
        <is>
          <t>نمو المتابعين النشطين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0.06</v>
      </c>
      <c r="H14" s="64" t="n">
        <v>0.2</v>
      </c>
      <c r="I14" s="22" t="inlineStr">
        <is>
          <t>≥ 20% سنوياً</t>
        </is>
      </c>
      <c r="J14" s="82" t="inlineStr">
        <is>
          <t>النمو</t>
        </is>
      </c>
      <c r="K14" s="11" t="inlineStr">
        <is>
          <t>زيادة وصول العملاء</t>
        </is>
      </c>
      <c r="L14" s="15" t="inlineStr">
        <is>
          <t>العملاء</t>
        </is>
      </c>
      <c r="M14" s="65" t="n">
        <v>0.174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«نمو المتابعين النشطين» ÷ المستهدف × 100٪</t>
        </is>
      </c>
      <c r="Q14" s="83" t="inlineStr">
        <is>
          <t>أنظمة التسويق الرقمي / تانكي</t>
        </is>
      </c>
      <c r="R14" s="15" t="inlineStr">
        <is>
          <t>ربعي</t>
        </is>
      </c>
    </row>
    <row r="15" ht="24" customHeight="1">
      <c r="B15" s="75" t="inlineStr">
        <is>
          <t>السمعة وتجربة العلامة</t>
        </is>
      </c>
      <c r="C15" s="76" t="inlineStr">
        <is>
          <t>📊 السمعة وتجربة العلامة</t>
        </is>
      </c>
      <c r="D15" s="77" t="n"/>
      <c r="E15" s="77" t="n"/>
      <c r="F15" s="78" t="inlineStr">
        <is>
          <t>🔷 أساسي</t>
        </is>
      </c>
      <c r="G15" s="79" t="n">
        <v>0.13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الالتزام بالهوية البصرية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82" t="inlineStr">
        <is>
          <t>الابتكار</t>
        </is>
      </c>
      <c r="K16" s="11" t="inlineStr">
        <is>
          <t>تطوير التصاميم والهوية</t>
        </is>
      </c>
      <c r="L16" s="15" t="inlineStr">
        <is>
          <t>التعلّم والنمو</t>
        </is>
      </c>
      <c r="M16" s="65" t="n">
        <v>0.902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«الالتزام بالهوية البصرية»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السمعة وتجربة العلامة</t>
        </is>
      </c>
      <c r="C17" s="21" t="inlineStr">
        <is>
          <t>نسبة المشاعر الإيجابية للعلامة (Sentiment)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5" t="n">
        <v>0.795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«المشاعر الإيجابية للعلامة» ÷ الإجمالي المستهدف لنفس البند × 100٪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ht="24" customHeight="1">
      <c r="B18" s="75" t="inlineStr">
        <is>
          <t>نمو تطبيق تانكي</t>
        </is>
      </c>
      <c r="C18" s="76" t="inlineStr">
        <is>
          <t>📊 نمو تطبيق تانكي</t>
        </is>
      </c>
      <c r="D18" s="77" t="n"/>
      <c r="E18" s="77" t="n"/>
      <c r="F18" s="78" t="inlineStr">
        <is>
          <t>🔷 أساسي</t>
        </is>
      </c>
      <c r="G18" s="79" t="n">
        <v>0.18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المؤشرات'!$B:$B,"التسويق",'قاعدة المؤشرات'!$L:$L,"نمو تطبيق تانكي")/SUMIFS('قاعدة المؤشرات'!$K:$K,'قاعدة المؤشرات'!$B:$B,"التسويق",'قاعدة المؤشرات'!$L:$L,"نمو تطبيق تانكي"),"")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نمو تطبيق تانكي</t>
        </is>
      </c>
      <c r="C19" s="21" t="inlineStr">
        <is>
          <t>المستخدمون النشطون شهرياً (MAU)</t>
        </is>
      </c>
      <c r="D19" s="55" t="inlineStr">
        <is>
          <t>مستخدم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0.1</v>
      </c>
      <c r="H19" s="60" t="n">
        <v>100000</v>
      </c>
      <c r="I19" s="22" t="inlineStr">
        <is>
          <t>100ك مستخدم</t>
        </is>
      </c>
      <c r="J19" s="82" t="inlineStr">
        <is>
          <t>الابتكار</t>
        </is>
      </c>
      <c r="K19" s="11" t="inlineStr">
        <is>
          <t>تطبيق «تانكي»</t>
        </is>
      </c>
      <c r="L19" s="15" t="inlineStr">
        <is>
          <t>التعلّم والنمو</t>
        </is>
      </c>
      <c r="M19" s="61" t="n">
        <v>88203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إجمالي عدد «المستخدمون النشطون شهرياً» المُسجّل خلال الفترة</t>
        </is>
      </c>
      <c r="Q19" s="83" t="inlineStr">
        <is>
          <t>أنظمة التسويق الرقمي / تانكي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نمو تطبيق تانكي</t>
        </is>
      </c>
      <c r="C20" s="21" t="inlineStr">
        <is>
          <t>معدل احتفاظ مستخدمي تانكي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0.08</v>
      </c>
      <c r="H20" s="64" t="n">
        <v>0.4</v>
      </c>
      <c r="I20" s="22" t="inlineStr">
        <is>
          <t>≥ 40%</t>
        </is>
      </c>
      <c r="J20" s="82" t="inlineStr">
        <is>
          <t>الابتكار</t>
        </is>
      </c>
      <c r="K20" s="11" t="inlineStr">
        <is>
          <t>تطبيق «تانكي»</t>
        </is>
      </c>
      <c r="L20" s="15" t="inlineStr">
        <is>
          <t>التعلّم والنمو</t>
        </is>
      </c>
      <c r="M20" s="65" t="n">
        <v>0.372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عدد حالات «احتفاظ مستخدمي تانكي» خلال الفترة ÷ إجمالي الحالات القابلة للقياس × 100٪</t>
        </is>
      </c>
      <c r="Q20" s="83" t="inlineStr">
        <is>
          <t>أنظمة التسويق الرقمي / تانكي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8 M10 M11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(QMS)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SLA» ÷ الإجمالي المستهدف لنفس البند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تانكي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تانكي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ERP (D365)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ERP (D365)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ERP (D365)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(PMO)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ISO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ISO 9001 / 14001 / 45001» ÷ الإجمالي المستهدف لنفس البند × 100٪</t>
        </is>
      </c>
      <c r="Q38" s="83" t="inlineStr">
        <is>
          <t>نظام إدارة الجودة (QMS)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(QMS)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ERP (D365)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ERP (D365)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ERP (D365)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والمحطات'!C9</f>
        <v/>
      </c>
      <c r="D41" s="15">
        <f>'التشغيل والمحطات'!J9</f>
        <v/>
      </c>
      <c r="E41" s="13">
        <f>'التشغيل والمحطات'!K9</f>
        <v/>
      </c>
      <c r="F41" s="15">
        <f>'التشغيل والمحطات'!L9</f>
        <v/>
      </c>
      <c r="G41" s="56">
        <f>'التشغيل والمحطات'!N9</f>
        <v/>
      </c>
      <c r="H41" s="15">
        <f>'التشغيل والمحطات'!O9</f>
        <v/>
      </c>
      <c r="I41" s="24">
        <f>'التشغيل والمحطات'!G9</f>
        <v/>
      </c>
      <c r="J41" s="15">
        <f>IF($G41="",0,$G41*$I41)</f>
        <v/>
      </c>
      <c r="K41" s="15">
        <f>IF($G41="",0,$I41)</f>
        <v/>
      </c>
      <c r="L41" s="13">
        <f>'التشغيل والمحطات'!B9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والمحطات'!C13</f>
        <v/>
      </c>
      <c r="D44" s="15">
        <f>'التشغيل والمحطات'!J13</f>
        <v/>
      </c>
      <c r="E44" s="13">
        <f>'التشغيل والمحطات'!K13</f>
        <v/>
      </c>
      <c r="F44" s="15">
        <f>'التشغيل والمحطات'!L13</f>
        <v/>
      </c>
      <c r="G44" s="56">
        <f>'التشغيل والمحطات'!N13</f>
        <v/>
      </c>
      <c r="H44" s="15">
        <f>'التشغيل والمحطات'!O13</f>
        <v/>
      </c>
      <c r="I44" s="24">
        <f>'التشغيل والمحطات'!G13</f>
        <v/>
      </c>
      <c r="J44" s="15">
        <f>IF($G44="",0,$G44*$I44)</f>
        <v/>
      </c>
      <c r="K44" s="15">
        <f>IF($G44="",0,$I44)</f>
        <v/>
      </c>
      <c r="L44" s="13">
        <f>'التشغيل والمحطات'!B13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والمحطات'!C17</f>
        <v/>
      </c>
      <c r="D47" s="15">
        <f>'التشغيل والمحطات'!J17</f>
        <v/>
      </c>
      <c r="E47" s="13">
        <f>'التشغيل والمحطات'!K17</f>
        <v/>
      </c>
      <c r="F47" s="15">
        <f>'التشغيل والمحطات'!L17</f>
        <v/>
      </c>
      <c r="G47" s="56">
        <f>'التشغيل والمحطات'!N17</f>
        <v/>
      </c>
      <c r="H47" s="15">
        <f>'التشغيل والمحطات'!O17</f>
        <v/>
      </c>
      <c r="I47" s="24">
        <f>'التشغيل والمحطات'!G17</f>
        <v/>
      </c>
      <c r="J47" s="15">
        <f>IF($G47="",0,$G47*$I47)</f>
        <v/>
      </c>
      <c r="K47" s="15">
        <f>IF($G47="",0,$I47)</f>
        <v/>
      </c>
      <c r="L47" s="13">
        <f>'التشغيل والمحطات'!B17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والمحطات'!C21</f>
        <v/>
      </c>
      <c r="D50" s="15">
        <f>'التشغيل والمحطات'!J21</f>
        <v/>
      </c>
      <c r="E50" s="13">
        <f>'التشغيل والمحطات'!K21</f>
        <v/>
      </c>
      <c r="F50" s="15">
        <f>'التشغيل والمحطات'!L21</f>
        <v/>
      </c>
      <c r="G50" s="56">
        <f>'التشغيل والمحطات'!N21</f>
        <v/>
      </c>
      <c r="H50" s="15">
        <f>'التشغيل والمحطات'!O21</f>
        <v/>
      </c>
      <c r="I50" s="24">
        <f>'التشغيل والمحطات'!G21</f>
        <v/>
      </c>
      <c r="J50" s="15">
        <f>IF($G50="",0,$G50*$I50)</f>
        <v/>
      </c>
      <c r="K50" s="15">
        <f>IF($G50="",0,$I50)</f>
        <v/>
      </c>
      <c r="L50" s="13">
        <f>'التشغيل والمحطات'!B21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الاستثمار</t>
        </is>
      </c>
      <c r="C53" s="13">
        <f>'الاستثمار'!C5</f>
        <v/>
      </c>
      <c r="D53" s="15">
        <f>'الاستثمار'!J5</f>
        <v/>
      </c>
      <c r="E53" s="13">
        <f>'الاستثمار'!K5</f>
        <v/>
      </c>
      <c r="F53" s="15">
        <f>'الاستثمار'!L5</f>
        <v/>
      </c>
      <c r="G53" s="56">
        <f>'الاستثمار'!N5</f>
        <v/>
      </c>
      <c r="H53" s="15">
        <f>'الاستثمار'!O5</f>
        <v/>
      </c>
      <c r="I53" s="24">
        <f>'الاستثمار'!G5</f>
        <v/>
      </c>
      <c r="J53" s="15">
        <f>IF($G53="",0,$G53*$I53)</f>
        <v/>
      </c>
      <c r="K53" s="15">
        <f>IF($G53="",0,$I53)</f>
        <v/>
      </c>
      <c r="L53" s="13">
        <f>'الاستثمار'!B5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'الاستثمار'!C6</f>
        <v/>
      </c>
      <c r="D54" s="15">
        <f>'الاستثمار'!J6</f>
        <v/>
      </c>
      <c r="E54" s="13">
        <f>'الاستثمار'!K6</f>
        <v/>
      </c>
      <c r="F54" s="15">
        <f>'الاستثمار'!L6</f>
        <v/>
      </c>
      <c r="G54" s="56">
        <f>'الاستثمار'!N6</f>
        <v/>
      </c>
      <c r="H54" s="15">
        <f>'الاستثمار'!O6</f>
        <v/>
      </c>
      <c r="I54" s="24">
        <f>'الاستثمار'!G6</f>
        <v/>
      </c>
      <c r="J54" s="15">
        <f>IF($G54="",0,$G54*$I54)</f>
        <v/>
      </c>
      <c r="K54" s="15">
        <f>IF($G54="",0,$I54)</f>
        <v/>
      </c>
      <c r="L54" s="13">
        <f>'الاستثمار'!B6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'الاستثمار'!C7</f>
        <v/>
      </c>
      <c r="D55" s="15">
        <f>'الاستثمار'!J7</f>
        <v/>
      </c>
      <c r="E55" s="13">
        <f>'الاستثمار'!K7</f>
        <v/>
      </c>
      <c r="F55" s="15">
        <f>'الاستثمار'!L7</f>
        <v/>
      </c>
      <c r="G55" s="56">
        <f>'الاستثمار'!N7</f>
        <v/>
      </c>
      <c r="H55" s="15">
        <f>'الاستثمار'!O7</f>
        <v/>
      </c>
      <c r="I55" s="24">
        <f>'الاستثمار'!G7</f>
        <v/>
      </c>
      <c r="J55" s="15">
        <f>IF($G55="",0,$G55*$I55)</f>
        <v/>
      </c>
      <c r="K55" s="15">
        <f>IF($G55="",0,$I55)</f>
        <v/>
      </c>
      <c r="L55" s="13">
        <f>'الاستثمار'!B7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'الاستثمار'!C8</f>
        <v/>
      </c>
      <c r="D56" s="15">
        <f>'الاستثمار'!J8</f>
        <v/>
      </c>
      <c r="E56" s="13">
        <f>'الاستثمار'!K8</f>
        <v/>
      </c>
      <c r="F56" s="15">
        <f>'الاستثمار'!L8</f>
        <v/>
      </c>
      <c r="G56" s="56">
        <f>'الاستثمار'!N8</f>
        <v/>
      </c>
      <c r="H56" s="15">
        <f>'الاستثمار'!O8</f>
        <v/>
      </c>
      <c r="I56" s="24">
        <f>'الاستثمار'!G8</f>
        <v/>
      </c>
      <c r="J56" s="15">
        <f>IF($G56="",0,$G56*$I56)</f>
        <v/>
      </c>
      <c r="K56" s="15">
        <f>IF($G56="",0,$I56)</f>
        <v/>
      </c>
      <c r="L56" s="13">
        <f>'الاستثمار'!B8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'الاستثمار'!C10</f>
        <v/>
      </c>
      <c r="D57" s="15">
        <f>'الاستثمار'!J10</f>
        <v/>
      </c>
      <c r="E57" s="13">
        <f>'الاستثمار'!K10</f>
        <v/>
      </c>
      <c r="F57" s="15">
        <f>'الاستثمار'!L10</f>
        <v/>
      </c>
      <c r="G57" s="56">
        <f>'الاستثمار'!N10</f>
        <v/>
      </c>
      <c r="H57" s="15">
        <f>'الاستثمار'!O10</f>
        <v/>
      </c>
      <c r="I57" s="24">
        <f>'الاستثمار'!G10</f>
        <v/>
      </c>
      <c r="J57" s="15">
        <f>IF($G57="",0,$G57*$I57)</f>
        <v/>
      </c>
      <c r="K57" s="15">
        <f>IF($G57="",0,$I57)</f>
        <v/>
      </c>
      <c r="L57" s="13">
        <f>'الاستثمار'!B10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'الاستثمار'!C11</f>
        <v/>
      </c>
      <c r="D58" s="15">
        <f>'الاستثمار'!J11</f>
        <v/>
      </c>
      <c r="E58" s="13">
        <f>'الاستثمار'!K11</f>
        <v/>
      </c>
      <c r="F58" s="15">
        <f>'الاستثمار'!L11</f>
        <v/>
      </c>
      <c r="G58" s="56">
        <f>'الاستثمار'!N11</f>
        <v/>
      </c>
      <c r="H58" s="15">
        <f>'الاستثمار'!O11</f>
        <v/>
      </c>
      <c r="I58" s="24">
        <f>'الاستثمار'!G11</f>
        <v/>
      </c>
      <c r="J58" s="15">
        <f>IF($G58="",0,$G58*$I58)</f>
        <v/>
      </c>
      <c r="K58" s="15">
        <f>IF($G58="",0,$I58)</f>
        <v/>
      </c>
      <c r="L58" s="13">
        <f>'الاستثمار'!B11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'الاستثمار'!C13</f>
        <v/>
      </c>
      <c r="D59" s="15">
        <f>'الاستثمار'!J13</f>
        <v/>
      </c>
      <c r="E59" s="13">
        <f>'الاستثمار'!K13</f>
        <v/>
      </c>
      <c r="F59" s="15">
        <f>'الاستثمار'!L13</f>
        <v/>
      </c>
      <c r="G59" s="56">
        <f>'الاستثمار'!N13</f>
        <v/>
      </c>
      <c r="H59" s="15">
        <f>'الاستثمار'!O13</f>
        <v/>
      </c>
      <c r="I59" s="24">
        <f>'الاستثمار'!G13</f>
        <v/>
      </c>
      <c r="J59" s="15">
        <f>IF($G59="",0,$G59*$I59)</f>
        <v/>
      </c>
      <c r="K59" s="15">
        <f>IF($G59="",0,$I59)</f>
        <v/>
      </c>
      <c r="L59" s="13">
        <f>'الاستثمار'!B13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'الاستثمار'!C14</f>
        <v/>
      </c>
      <c r="D60" s="15">
        <f>'الاستثمار'!J14</f>
        <v/>
      </c>
      <c r="E60" s="13">
        <f>'الاستثمار'!K14</f>
        <v/>
      </c>
      <c r="F60" s="15">
        <f>'الاستثمار'!L14</f>
        <v/>
      </c>
      <c r="G60" s="56">
        <f>'الاستثمار'!N14</f>
        <v/>
      </c>
      <c r="H60" s="15">
        <f>'الاستثمار'!O14</f>
        <v/>
      </c>
      <c r="I60" s="24">
        <f>'الاستثمار'!G14</f>
        <v/>
      </c>
      <c r="J60" s="15">
        <f>IF($G60="",0,$G60*$I60)</f>
        <v/>
      </c>
      <c r="K60" s="15">
        <f>IF($G60="",0,$I60)</f>
        <v/>
      </c>
      <c r="L60" s="13">
        <f>'الاستثمار'!B14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'الاستثمار'!C15</f>
        <v/>
      </c>
      <c r="D61" s="15">
        <f>'الاستثمار'!J15</f>
        <v/>
      </c>
      <c r="E61" s="13">
        <f>'الاستثمار'!K15</f>
        <v/>
      </c>
      <c r="F61" s="15">
        <f>'الاستثمار'!L15</f>
        <v/>
      </c>
      <c r="G61" s="56">
        <f>'الاستثمار'!N15</f>
        <v/>
      </c>
      <c r="H61" s="15">
        <f>'الاستثمار'!O15</f>
        <v/>
      </c>
      <c r="I61" s="24">
        <f>'الاستثمار'!G15</f>
        <v/>
      </c>
      <c r="J61" s="15">
        <f>IF($G61="",0,$G61*$I61)</f>
        <v/>
      </c>
      <c r="K61" s="15">
        <f>IF($G61="",0,$I61)</f>
        <v/>
      </c>
      <c r="L61" s="13">
        <f>'الاستثمار'!B15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'الاستثمار'!C17</f>
        <v/>
      </c>
      <c r="D62" s="15">
        <f>'الاستثمار'!J17</f>
        <v/>
      </c>
      <c r="E62" s="13">
        <f>'الاستثمار'!K17</f>
        <v/>
      </c>
      <c r="F62" s="15">
        <f>'الاستثمار'!L17</f>
        <v/>
      </c>
      <c r="G62" s="56">
        <f>'الاستثمار'!N17</f>
        <v/>
      </c>
      <c r="H62" s="15">
        <f>'الاستثمار'!O17</f>
        <v/>
      </c>
      <c r="I62" s="24">
        <f>'الاستثمار'!G17</f>
        <v/>
      </c>
      <c r="J62" s="15">
        <f>IF($G62="",0,$G62*$I62)</f>
        <v/>
      </c>
      <c r="K62" s="15">
        <f>IF($G62="",0,$I62)</f>
        <v/>
      </c>
      <c r="L62" s="13">
        <f>'الاستثمار'!B17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'الاستثمار'!C18</f>
        <v/>
      </c>
      <c r="D63" s="15">
        <f>'الاستثمار'!J18</f>
        <v/>
      </c>
      <c r="E63" s="13">
        <f>'الاستثمار'!K18</f>
        <v/>
      </c>
      <c r="F63" s="15">
        <f>'الاستثمار'!L18</f>
        <v/>
      </c>
      <c r="G63" s="56">
        <f>'الاستثمار'!N18</f>
        <v/>
      </c>
      <c r="H63" s="15">
        <f>'الاستثمار'!O18</f>
        <v/>
      </c>
      <c r="I63" s="24">
        <f>'الاستثمار'!G18</f>
        <v/>
      </c>
      <c r="J63" s="15">
        <f>IF($G63="",0,$G63*$I63)</f>
        <v/>
      </c>
      <c r="K63" s="15">
        <f>IF($G63="",0,$I63)</f>
        <v/>
      </c>
      <c r="L63" s="13">
        <f>'الاستثمار'!B18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'الاستثمار'!C19</f>
        <v/>
      </c>
      <c r="D64" s="15">
        <f>'الاستثمار'!J19</f>
        <v/>
      </c>
      <c r="E64" s="13">
        <f>'الاستثمار'!K19</f>
        <v/>
      </c>
      <c r="F64" s="15">
        <f>'الاستثمار'!L19</f>
        <v/>
      </c>
      <c r="G64" s="56">
        <f>'الاستثمار'!N19</f>
        <v/>
      </c>
      <c r="H64" s="15">
        <f>'الاستثمار'!O19</f>
        <v/>
      </c>
      <c r="I64" s="24">
        <f>'الاستثمار'!G19</f>
        <v/>
      </c>
      <c r="J64" s="15">
        <f>IF($G64="",0,$G64*$I64)</f>
        <v/>
      </c>
      <c r="K64" s="15">
        <f>IF($G64="",0,$I64)</f>
        <v/>
      </c>
      <c r="L64" s="13">
        <f>'الاستثمار'!B19</f>
        <v/>
      </c>
    </row>
    <row r="65">
      <c r="A65" s="15" t="n">
        <v>64</v>
      </c>
      <c r="B65" s="13" t="inlineStr">
        <is>
          <t>العقار</t>
        </is>
      </c>
      <c r="C65" s="13">
        <f>'العقار'!C5</f>
        <v/>
      </c>
      <c r="D65" s="15">
        <f>'العقار'!J5</f>
        <v/>
      </c>
      <c r="E65" s="13">
        <f>'العقار'!K5</f>
        <v/>
      </c>
      <c r="F65" s="15">
        <f>'العقار'!L5</f>
        <v/>
      </c>
      <c r="G65" s="56">
        <f>'العقار'!N5</f>
        <v/>
      </c>
      <c r="H65" s="15">
        <f>'العقار'!O5</f>
        <v/>
      </c>
      <c r="I65" s="24">
        <f>'العقار'!G5</f>
        <v/>
      </c>
      <c r="J65" s="15">
        <f>IF($G65="",0,$G65*$I65)</f>
        <v/>
      </c>
      <c r="K65" s="15">
        <f>IF($G65="",0,$I65)</f>
        <v/>
      </c>
      <c r="L65" s="13">
        <f>'العقار'!B5</f>
        <v/>
      </c>
    </row>
    <row r="66">
      <c r="A66" s="15" t="n">
        <v>65</v>
      </c>
      <c r="B66" s="13" t="inlineStr">
        <is>
          <t>العقار</t>
        </is>
      </c>
      <c r="C66" s="13">
        <f>'العقار'!C6</f>
        <v/>
      </c>
      <c r="D66" s="15">
        <f>'العقار'!J6</f>
        <v/>
      </c>
      <c r="E66" s="13">
        <f>'العقار'!K6</f>
        <v/>
      </c>
      <c r="F66" s="15">
        <f>'العقار'!L6</f>
        <v/>
      </c>
      <c r="G66" s="56">
        <f>'العقار'!N6</f>
        <v/>
      </c>
      <c r="H66" s="15">
        <f>'العقار'!O6</f>
        <v/>
      </c>
      <c r="I66" s="24">
        <f>'العقار'!G6</f>
        <v/>
      </c>
      <c r="J66" s="15">
        <f>IF($G66="",0,$G66*$I66)</f>
        <v/>
      </c>
      <c r="K66" s="15">
        <f>IF($G66="",0,$I66)</f>
        <v/>
      </c>
      <c r="L66" s="13">
        <f>'العقار'!B6</f>
        <v/>
      </c>
    </row>
    <row r="67">
      <c r="A67" s="15" t="n">
        <v>66</v>
      </c>
      <c r="B67" s="13" t="inlineStr">
        <is>
          <t>العقار</t>
        </is>
      </c>
      <c r="C67" s="13">
        <f>'العقار'!C7</f>
        <v/>
      </c>
      <c r="D67" s="15">
        <f>'العقار'!J7</f>
        <v/>
      </c>
      <c r="E67" s="13">
        <f>'العقار'!K7</f>
        <v/>
      </c>
      <c r="F67" s="15">
        <f>'العقار'!L7</f>
        <v/>
      </c>
      <c r="G67" s="56">
        <f>'العقار'!N7</f>
        <v/>
      </c>
      <c r="H67" s="15">
        <f>'العقار'!O7</f>
        <v/>
      </c>
      <c r="I67" s="24">
        <f>'العقار'!G7</f>
        <v/>
      </c>
      <c r="J67" s="15">
        <f>IF($G67="",0,$G67*$I67)</f>
        <v/>
      </c>
      <c r="K67" s="15">
        <f>IF($G67="",0,$I67)</f>
        <v/>
      </c>
      <c r="L67" s="13">
        <f>'العقار'!B7</f>
        <v/>
      </c>
    </row>
    <row r="68">
      <c r="A68" s="15" t="n">
        <v>67</v>
      </c>
      <c r="B68" s="13" t="inlineStr">
        <is>
          <t>العقار</t>
        </is>
      </c>
      <c r="C68" s="13">
        <f>'العقار'!C8</f>
        <v/>
      </c>
      <c r="D68" s="15">
        <f>'العقار'!J8</f>
        <v/>
      </c>
      <c r="E68" s="13">
        <f>'العقار'!K8</f>
        <v/>
      </c>
      <c r="F68" s="15">
        <f>'العقار'!L8</f>
        <v/>
      </c>
      <c r="G68" s="56">
        <f>'العقار'!N8</f>
        <v/>
      </c>
      <c r="H68" s="15">
        <f>'العقار'!O8</f>
        <v/>
      </c>
      <c r="I68" s="24">
        <f>'العقار'!G8</f>
        <v/>
      </c>
      <c r="J68" s="15">
        <f>IF($G68="",0,$G68*$I68)</f>
        <v/>
      </c>
      <c r="K68" s="15">
        <f>IF($G68="",0,$I68)</f>
        <v/>
      </c>
      <c r="L68" s="13">
        <f>'العقار'!B8</f>
        <v/>
      </c>
    </row>
    <row r="69">
      <c r="A69" s="15" t="n">
        <v>68</v>
      </c>
      <c r="B69" s="13" t="inlineStr">
        <is>
          <t>العقار</t>
        </is>
      </c>
      <c r="C69" s="13">
        <f>'العقار'!C9</f>
        <v/>
      </c>
      <c r="D69" s="15">
        <f>'العقار'!J9</f>
        <v/>
      </c>
      <c r="E69" s="13">
        <f>'العقار'!K9</f>
        <v/>
      </c>
      <c r="F69" s="15">
        <f>'العقار'!L9</f>
        <v/>
      </c>
      <c r="G69" s="56">
        <f>'العقار'!N9</f>
        <v/>
      </c>
      <c r="H69" s="15">
        <f>'العقار'!O9</f>
        <v/>
      </c>
      <c r="I69" s="24">
        <f>'العقار'!G9</f>
        <v/>
      </c>
      <c r="J69" s="15">
        <f>IF($G69="",0,$G69*$I69)</f>
        <v/>
      </c>
      <c r="K69" s="15">
        <f>IF($G69="",0,$I69)</f>
        <v/>
      </c>
      <c r="L69" s="13">
        <f>'العقار'!B9</f>
        <v/>
      </c>
    </row>
    <row r="70">
      <c r="A70" s="15" t="n">
        <v>69</v>
      </c>
      <c r="B70" s="13" t="inlineStr">
        <is>
          <t>العقار</t>
        </is>
      </c>
      <c r="C70" s="13">
        <f>'العقار'!C10</f>
        <v/>
      </c>
      <c r="D70" s="15">
        <f>'العقار'!J10</f>
        <v/>
      </c>
      <c r="E70" s="13">
        <f>'العقار'!K10</f>
        <v/>
      </c>
      <c r="F70" s="15">
        <f>'العقار'!L10</f>
        <v/>
      </c>
      <c r="G70" s="56">
        <f>'العقار'!N10</f>
        <v/>
      </c>
      <c r="H70" s="15">
        <f>'العقار'!O10</f>
        <v/>
      </c>
      <c r="I70" s="24">
        <f>'العقار'!G10</f>
        <v/>
      </c>
      <c r="J70" s="15">
        <f>IF($G70="",0,$G70*$I70)</f>
        <v/>
      </c>
      <c r="K70" s="15">
        <f>IF($G70="",0,$I70)</f>
        <v/>
      </c>
      <c r="L70" s="13">
        <f>'العقار'!B10</f>
        <v/>
      </c>
    </row>
    <row r="71">
      <c r="A71" s="15" t="n">
        <v>70</v>
      </c>
      <c r="B71" s="13" t="inlineStr">
        <is>
          <t>العقار</t>
        </is>
      </c>
      <c r="C71" s="13">
        <f>'العقار'!C12</f>
        <v/>
      </c>
      <c r="D71" s="15">
        <f>'العقار'!J12</f>
        <v/>
      </c>
      <c r="E71" s="13">
        <f>'العقار'!K12</f>
        <v/>
      </c>
      <c r="F71" s="15">
        <f>'العقار'!L12</f>
        <v/>
      </c>
      <c r="G71" s="56">
        <f>'العقار'!N12</f>
        <v/>
      </c>
      <c r="H71" s="15">
        <f>'العقار'!O12</f>
        <v/>
      </c>
      <c r="I71" s="24">
        <f>'العقار'!G12</f>
        <v/>
      </c>
      <c r="J71" s="15">
        <f>IF($G71="",0,$G71*$I71)</f>
        <v/>
      </c>
      <c r="K71" s="15">
        <f>IF($G71="",0,$I71)</f>
        <v/>
      </c>
      <c r="L71" s="13">
        <f>'العقار'!B12</f>
        <v/>
      </c>
    </row>
    <row r="72">
      <c r="A72" s="15" t="n">
        <v>71</v>
      </c>
      <c r="B72" s="13" t="inlineStr">
        <is>
          <t>العقار</t>
        </is>
      </c>
      <c r="C72" s="13">
        <f>'العقار'!C13</f>
        <v/>
      </c>
      <c r="D72" s="15">
        <f>'العقار'!J13</f>
        <v/>
      </c>
      <c r="E72" s="13">
        <f>'العقار'!K13</f>
        <v/>
      </c>
      <c r="F72" s="15">
        <f>'العقار'!L13</f>
        <v/>
      </c>
      <c r="G72" s="56">
        <f>'العقار'!N13</f>
        <v/>
      </c>
      <c r="H72" s="15">
        <f>'العقار'!O13</f>
        <v/>
      </c>
      <c r="I72" s="24">
        <f>'العقار'!G13</f>
        <v/>
      </c>
      <c r="J72" s="15">
        <f>IF($G72="",0,$G72*$I72)</f>
        <v/>
      </c>
      <c r="K72" s="15">
        <f>IF($G72="",0,$I72)</f>
        <v/>
      </c>
      <c r="L72" s="13">
        <f>'العقار'!B13</f>
        <v/>
      </c>
    </row>
    <row r="73">
      <c r="A73" s="15" t="n">
        <v>72</v>
      </c>
      <c r="B73" s="13" t="inlineStr">
        <is>
          <t>العقار</t>
        </is>
      </c>
      <c r="C73" s="13">
        <f>'العقار'!C15</f>
        <v/>
      </c>
      <c r="D73" s="15">
        <f>'العقار'!J15</f>
        <v/>
      </c>
      <c r="E73" s="13">
        <f>'العقار'!K15</f>
        <v/>
      </c>
      <c r="F73" s="15">
        <f>'العقار'!L15</f>
        <v/>
      </c>
      <c r="G73" s="56">
        <f>'العقار'!N15</f>
        <v/>
      </c>
      <c r="H73" s="15">
        <f>'العقار'!O15</f>
        <v/>
      </c>
      <c r="I73" s="24">
        <f>'العقار'!G15</f>
        <v/>
      </c>
      <c r="J73" s="15">
        <f>IF($G73="",0,$G73*$I73)</f>
        <v/>
      </c>
      <c r="K73" s="15">
        <f>IF($G73="",0,$I73)</f>
        <v/>
      </c>
      <c r="L73" s="13">
        <f>'العقار'!B15</f>
        <v/>
      </c>
    </row>
    <row r="74">
      <c r="A74" s="15" t="n">
        <v>73</v>
      </c>
      <c r="B74" s="13" t="inlineStr">
        <is>
          <t>العقار</t>
        </is>
      </c>
      <c r="C74" s="13">
        <f>'العقار'!C16</f>
        <v/>
      </c>
      <c r="D74" s="15">
        <f>'العقار'!J16</f>
        <v/>
      </c>
      <c r="E74" s="13">
        <f>'العقار'!K16</f>
        <v/>
      </c>
      <c r="F74" s="15">
        <f>'العقار'!L16</f>
        <v/>
      </c>
      <c r="G74" s="56">
        <f>'العقار'!N16</f>
        <v/>
      </c>
      <c r="H74" s="15">
        <f>'العقار'!O16</f>
        <v/>
      </c>
      <c r="I74" s="24">
        <f>'العقار'!G16</f>
        <v/>
      </c>
      <c r="J74" s="15">
        <f>IF($G74="",0,$G74*$I74)</f>
        <v/>
      </c>
      <c r="K74" s="15">
        <f>IF($G74="",0,$I74)</f>
        <v/>
      </c>
      <c r="L74" s="13">
        <f>'العقار'!B16</f>
        <v/>
      </c>
    </row>
    <row r="75">
      <c r="A75" s="15" t="n">
        <v>74</v>
      </c>
      <c r="B75" s="13" t="inlineStr">
        <is>
          <t>العقار</t>
        </is>
      </c>
      <c r="C75" s="13">
        <f>'العقار'!C18</f>
        <v/>
      </c>
      <c r="D75" s="15">
        <f>'العقار'!J18</f>
        <v/>
      </c>
      <c r="E75" s="13">
        <f>'العقار'!K18</f>
        <v/>
      </c>
      <c r="F75" s="15">
        <f>'العقار'!L18</f>
        <v/>
      </c>
      <c r="G75" s="56">
        <f>'العقار'!N18</f>
        <v/>
      </c>
      <c r="H75" s="15">
        <f>'العقار'!O18</f>
        <v/>
      </c>
      <c r="I75" s="24">
        <f>'العقار'!G18</f>
        <v/>
      </c>
      <c r="J75" s="15">
        <f>IF($G75="",0,$G75*$I75)</f>
        <v/>
      </c>
      <c r="K75" s="15">
        <f>IF($G75="",0,$I75)</f>
        <v/>
      </c>
      <c r="L75" s="13">
        <f>'العقار'!B18</f>
        <v/>
      </c>
    </row>
    <row r="76">
      <c r="A76" s="15" t="n">
        <v>75</v>
      </c>
      <c r="B76" s="13" t="inlineStr">
        <is>
          <t>العقار</t>
        </is>
      </c>
      <c r="C76" s="13">
        <f>'العقار'!C19</f>
        <v/>
      </c>
      <c r="D76" s="15">
        <f>'العقار'!J19</f>
        <v/>
      </c>
      <c r="E76" s="13">
        <f>'العقار'!K19</f>
        <v/>
      </c>
      <c r="F76" s="15">
        <f>'العقار'!L19</f>
        <v/>
      </c>
      <c r="G76" s="56">
        <f>'العقار'!N19</f>
        <v/>
      </c>
      <c r="H76" s="15">
        <f>'العقار'!O19</f>
        <v/>
      </c>
      <c r="I76" s="24">
        <f>'العقار'!G19</f>
        <v/>
      </c>
      <c r="J76" s="15">
        <f>IF($G76="",0,$G76*$I76)</f>
        <v/>
      </c>
      <c r="K76" s="15">
        <f>IF($G76="",0,$I76)</f>
        <v/>
      </c>
      <c r="L76" s="13">
        <f>'العقار'!B19</f>
        <v/>
      </c>
    </row>
    <row r="77">
      <c r="A77" s="15" t="n">
        <v>76</v>
      </c>
      <c r="B77" s="13" t="inlineStr">
        <is>
          <t>العقار</t>
        </is>
      </c>
      <c r="C77" s="13">
        <f>'العقار'!C21</f>
        <v/>
      </c>
      <c r="D77" s="15">
        <f>'العقار'!J21</f>
        <v/>
      </c>
      <c r="E77" s="13">
        <f>'العقار'!K21</f>
        <v/>
      </c>
      <c r="F77" s="15">
        <f>'العقار'!L21</f>
        <v/>
      </c>
      <c r="G77" s="56">
        <f>'العقار'!N21</f>
        <v/>
      </c>
      <c r="H77" s="15">
        <f>'العقار'!O21</f>
        <v/>
      </c>
      <c r="I77" s="24">
        <f>'العقار'!G21</f>
        <v/>
      </c>
      <c r="J77" s="15">
        <f>IF($G77="",0,$G77*$I77)</f>
        <v/>
      </c>
      <c r="K77" s="15">
        <f>IF($G77="",0,$I77)</f>
        <v/>
      </c>
      <c r="L77" s="13">
        <f>'العقار'!B21</f>
        <v/>
      </c>
    </row>
    <row r="78">
      <c r="A78" s="15" t="n">
        <v>77</v>
      </c>
      <c r="B78" s="13" t="inlineStr">
        <is>
          <t>العقار</t>
        </is>
      </c>
      <c r="C78" s="13">
        <f>'العقار'!C22</f>
        <v/>
      </c>
      <c r="D78" s="15">
        <f>'العقار'!J22</f>
        <v/>
      </c>
      <c r="E78" s="13">
        <f>'العقار'!K22</f>
        <v/>
      </c>
      <c r="F78" s="15">
        <f>'العقار'!L22</f>
        <v/>
      </c>
      <c r="G78" s="56">
        <f>'العقار'!N22</f>
        <v/>
      </c>
      <c r="H78" s="15">
        <f>'العقار'!O22</f>
        <v/>
      </c>
      <c r="I78" s="24">
        <f>'العقار'!G22</f>
        <v/>
      </c>
      <c r="J78" s="15">
        <f>IF($G78="",0,$G78*$I78)</f>
        <v/>
      </c>
      <c r="K78" s="15">
        <f>IF($G78="",0,$I78)</f>
        <v/>
      </c>
      <c r="L78" s="13">
        <f>'العقار'!B22</f>
        <v/>
      </c>
    </row>
    <row r="79">
      <c r="A79" s="15" t="n">
        <v>78</v>
      </c>
      <c r="B79" s="13" t="inlineStr">
        <is>
          <t>إدارة المشاريع</t>
        </is>
      </c>
      <c r="C79" s="13">
        <f>'إدارة المشاريع'!C5</f>
        <v/>
      </c>
      <c r="D79" s="15">
        <f>'إدارة المشاريع'!J5</f>
        <v/>
      </c>
      <c r="E79" s="13">
        <f>'إدارة المشاريع'!K5</f>
        <v/>
      </c>
      <c r="F79" s="15">
        <f>'إدارة المشاريع'!L5</f>
        <v/>
      </c>
      <c r="G79" s="56">
        <f>'إدارة المشاريع'!N5</f>
        <v/>
      </c>
      <c r="H79" s="15">
        <f>'إدارة المشاريع'!O5</f>
        <v/>
      </c>
      <c r="I79" s="24">
        <f>'إدارة المشاريع'!G5</f>
        <v/>
      </c>
      <c r="J79" s="15">
        <f>IF($G79="",0,$G79*$I79)</f>
        <v/>
      </c>
      <c r="K79" s="15">
        <f>IF($G79="",0,$I79)</f>
        <v/>
      </c>
      <c r="L79" s="13">
        <f>'إدارة المشاريع'!B5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المشاريع'!C6</f>
        <v/>
      </c>
      <c r="D80" s="15">
        <f>'إدارة المشاريع'!J6</f>
        <v/>
      </c>
      <c r="E80" s="13">
        <f>'إدارة المشاريع'!K6</f>
        <v/>
      </c>
      <c r="F80" s="15">
        <f>'إدارة المشاريع'!L6</f>
        <v/>
      </c>
      <c r="G80" s="56">
        <f>'إدارة المشاريع'!N6</f>
        <v/>
      </c>
      <c r="H80" s="15">
        <f>'إدارة المشاريع'!O6</f>
        <v/>
      </c>
      <c r="I80" s="24">
        <f>'إدارة المشاريع'!G6</f>
        <v/>
      </c>
      <c r="J80" s="15">
        <f>IF($G80="",0,$G80*$I80)</f>
        <v/>
      </c>
      <c r="K80" s="15">
        <f>IF($G80="",0,$I80)</f>
        <v/>
      </c>
      <c r="L80" s="13">
        <f>'إدارة المشاريع'!B6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المشاريع'!C7</f>
        <v/>
      </c>
      <c r="D81" s="15">
        <f>'إدارة المشاريع'!J7</f>
        <v/>
      </c>
      <c r="E81" s="13">
        <f>'إدارة المشاريع'!K7</f>
        <v/>
      </c>
      <c r="F81" s="15">
        <f>'إدارة المشاريع'!L7</f>
        <v/>
      </c>
      <c r="G81" s="56">
        <f>'إدارة المشاريع'!N7</f>
        <v/>
      </c>
      <c r="H81" s="15">
        <f>'إدارة المشاريع'!O7</f>
        <v/>
      </c>
      <c r="I81" s="24">
        <f>'إدارة المشاريع'!G7</f>
        <v/>
      </c>
      <c r="J81" s="15">
        <f>IF($G81="",0,$G81*$I81)</f>
        <v/>
      </c>
      <c r="K81" s="15">
        <f>IF($G81="",0,$I81)</f>
        <v/>
      </c>
      <c r="L81" s="13">
        <f>'إدارة المشاريع'!B7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المشاريع'!C8</f>
        <v/>
      </c>
      <c r="D82" s="15">
        <f>'إدارة المشاريع'!J8</f>
        <v/>
      </c>
      <c r="E82" s="13">
        <f>'إدارة المشاريع'!K8</f>
        <v/>
      </c>
      <c r="F82" s="15">
        <f>'إدارة المشاريع'!L8</f>
        <v/>
      </c>
      <c r="G82" s="56">
        <f>'إدارة المشاريع'!N8</f>
        <v/>
      </c>
      <c r="H82" s="15">
        <f>'إدارة المشاريع'!O8</f>
        <v/>
      </c>
      <c r="I82" s="24">
        <f>'إدارة المشاريع'!G8</f>
        <v/>
      </c>
      <c r="J82" s="15">
        <f>IF($G82="",0,$G82*$I82)</f>
        <v/>
      </c>
      <c r="K82" s="15">
        <f>IF($G82="",0,$I82)</f>
        <v/>
      </c>
      <c r="L82" s="13">
        <f>'إدارة المشاريع'!B8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المشاريع'!C10</f>
        <v/>
      </c>
      <c r="D83" s="15">
        <f>'إدارة المشاريع'!J10</f>
        <v/>
      </c>
      <c r="E83" s="13">
        <f>'إدارة المشاريع'!K10</f>
        <v/>
      </c>
      <c r="F83" s="15">
        <f>'إدارة المشاريع'!L10</f>
        <v/>
      </c>
      <c r="G83" s="56">
        <f>'إدارة المشاريع'!N10</f>
        <v/>
      </c>
      <c r="H83" s="15">
        <f>'إدارة المشاريع'!O10</f>
        <v/>
      </c>
      <c r="I83" s="24">
        <f>'إدارة المشاريع'!G10</f>
        <v/>
      </c>
      <c r="J83" s="15">
        <f>IF($G83="",0,$G83*$I83)</f>
        <v/>
      </c>
      <c r="K83" s="15">
        <f>IF($G83="",0,$I83)</f>
        <v/>
      </c>
      <c r="L83" s="13">
        <f>'إدارة المشاريع'!B10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المشاريع'!C11</f>
        <v/>
      </c>
      <c r="D84" s="15">
        <f>'إدارة المشاريع'!J11</f>
        <v/>
      </c>
      <c r="E84" s="13">
        <f>'إدارة المشاريع'!K11</f>
        <v/>
      </c>
      <c r="F84" s="15">
        <f>'إدارة المشاريع'!L11</f>
        <v/>
      </c>
      <c r="G84" s="56">
        <f>'إدارة المشاريع'!N11</f>
        <v/>
      </c>
      <c r="H84" s="15">
        <f>'إدارة المشاريع'!O11</f>
        <v/>
      </c>
      <c r="I84" s="24">
        <f>'إدارة المشاريع'!G11</f>
        <v/>
      </c>
      <c r="J84" s="15">
        <f>IF($G84="",0,$G84*$I84)</f>
        <v/>
      </c>
      <c r="K84" s="15">
        <f>IF($G84="",0,$I84)</f>
        <v/>
      </c>
      <c r="L84" s="13">
        <f>'إدارة المشاريع'!B11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المشاريع'!C12</f>
        <v/>
      </c>
      <c r="D85" s="15">
        <f>'إدارة المشاريع'!J12</f>
        <v/>
      </c>
      <c r="E85" s="13">
        <f>'إدارة المشاريع'!K12</f>
        <v/>
      </c>
      <c r="F85" s="15">
        <f>'إدارة المشاريع'!L12</f>
        <v/>
      </c>
      <c r="G85" s="56">
        <f>'إدارة المشاريع'!N12</f>
        <v/>
      </c>
      <c r="H85" s="15">
        <f>'إدارة المشاريع'!O12</f>
        <v/>
      </c>
      <c r="I85" s="24">
        <f>'إدارة المشاريع'!G12</f>
        <v/>
      </c>
      <c r="J85" s="15">
        <f>IF($G85="",0,$G85*$I85)</f>
        <v/>
      </c>
      <c r="K85" s="15">
        <f>IF($G85="",0,$I85)</f>
        <v/>
      </c>
      <c r="L85" s="13">
        <f>'إدارة المشاريع'!B12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المشاريع'!C13</f>
        <v/>
      </c>
      <c r="D86" s="15">
        <f>'إدارة المشاريع'!J13</f>
        <v/>
      </c>
      <c r="E86" s="13">
        <f>'إدارة المشاريع'!K13</f>
        <v/>
      </c>
      <c r="F86" s="15">
        <f>'إدارة المشاريع'!L13</f>
        <v/>
      </c>
      <c r="G86" s="56">
        <f>'إدارة المشاريع'!N13</f>
        <v/>
      </c>
      <c r="H86" s="15">
        <f>'إدارة المشاريع'!O13</f>
        <v/>
      </c>
      <c r="I86" s="24">
        <f>'إدارة المشاريع'!G13</f>
        <v/>
      </c>
      <c r="J86" s="15">
        <f>IF($G86="",0,$G86*$I86)</f>
        <v/>
      </c>
      <c r="K86" s="15">
        <f>IF($G86="",0,$I86)</f>
        <v/>
      </c>
      <c r="L86" s="13">
        <f>'إدارة المشاريع'!B13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المشاريع'!C15</f>
        <v/>
      </c>
      <c r="D87" s="15">
        <f>'إدارة المشاريع'!J15</f>
        <v/>
      </c>
      <c r="E87" s="13">
        <f>'إدارة المشاريع'!K15</f>
        <v/>
      </c>
      <c r="F87" s="15">
        <f>'إدارة المشاريع'!L15</f>
        <v/>
      </c>
      <c r="G87" s="56">
        <f>'إدارة المشاريع'!N15</f>
        <v/>
      </c>
      <c r="H87" s="15">
        <f>'إدارة المشاريع'!O15</f>
        <v/>
      </c>
      <c r="I87" s="24">
        <f>'إدارة المشاريع'!G15</f>
        <v/>
      </c>
      <c r="J87" s="15">
        <f>IF($G87="",0,$G87*$I87)</f>
        <v/>
      </c>
      <c r="K87" s="15">
        <f>IF($G87="",0,$I87)</f>
        <v/>
      </c>
      <c r="L87" s="13">
        <f>'إدارة المشاريع'!B15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المشاريع'!C16</f>
        <v/>
      </c>
      <c r="D88" s="15">
        <f>'إدارة المشاريع'!J16</f>
        <v/>
      </c>
      <c r="E88" s="13">
        <f>'إدارة المشاريع'!K16</f>
        <v/>
      </c>
      <c r="F88" s="15">
        <f>'إدارة المشاريع'!L16</f>
        <v/>
      </c>
      <c r="G88" s="56">
        <f>'إدارة المشاريع'!N16</f>
        <v/>
      </c>
      <c r="H88" s="15">
        <f>'إدارة المشاريع'!O16</f>
        <v/>
      </c>
      <c r="I88" s="24">
        <f>'إدارة المشاريع'!G16</f>
        <v/>
      </c>
      <c r="J88" s="15">
        <f>IF($G88="",0,$G88*$I88)</f>
        <v/>
      </c>
      <c r="K88" s="15">
        <f>IF($G88="",0,$I88)</f>
        <v/>
      </c>
      <c r="L88" s="13">
        <f>'إدارة المشاريع'!B16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المشاريع'!C17</f>
        <v/>
      </c>
      <c r="D89" s="15">
        <f>'إدارة المشاريع'!J17</f>
        <v/>
      </c>
      <c r="E89" s="13">
        <f>'إدارة المشاريع'!K17</f>
        <v/>
      </c>
      <c r="F89" s="15">
        <f>'إدارة المشاريع'!L17</f>
        <v/>
      </c>
      <c r="G89" s="56">
        <f>'إدارة المشاريع'!N17</f>
        <v/>
      </c>
      <c r="H89" s="15">
        <f>'إدارة المشاريع'!O17</f>
        <v/>
      </c>
      <c r="I89" s="24">
        <f>'إدارة المشاريع'!G17</f>
        <v/>
      </c>
      <c r="J89" s="15">
        <f>IF($G89="",0,$G89*$I89)</f>
        <v/>
      </c>
      <c r="K89" s="15">
        <f>IF($G89="",0,$I89)</f>
        <v/>
      </c>
      <c r="L89" s="13">
        <f>'إدارة المشاريع'!B17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المشاريع'!C19</f>
        <v/>
      </c>
      <c r="D90" s="15">
        <f>'إدارة المشاريع'!J19</f>
        <v/>
      </c>
      <c r="E90" s="13">
        <f>'إدارة المشاريع'!K19</f>
        <v/>
      </c>
      <c r="F90" s="15">
        <f>'إدارة المشاريع'!L19</f>
        <v/>
      </c>
      <c r="G90" s="56">
        <f>'إدارة المشاريع'!N19</f>
        <v/>
      </c>
      <c r="H90" s="15">
        <f>'إدارة المشاريع'!O19</f>
        <v/>
      </c>
      <c r="I90" s="24">
        <f>'إدارة المشاريع'!G19</f>
        <v/>
      </c>
      <c r="J90" s="15">
        <f>IF($G90="",0,$G90*$I90)</f>
        <v/>
      </c>
      <c r="K90" s="15">
        <f>IF($G90="",0,$I90)</f>
        <v/>
      </c>
      <c r="L90" s="13">
        <f>'إدارة المشاريع'!B19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المشاريع'!C20</f>
        <v/>
      </c>
      <c r="D91" s="15">
        <f>'إدارة المشاريع'!J20</f>
        <v/>
      </c>
      <c r="E91" s="13">
        <f>'إدارة المشاريع'!K20</f>
        <v/>
      </c>
      <c r="F91" s="15">
        <f>'إدارة المشاريع'!L20</f>
        <v/>
      </c>
      <c r="G91" s="56">
        <f>'إدارة المشاريع'!N20</f>
        <v/>
      </c>
      <c r="H91" s="15">
        <f>'إدارة المشاريع'!O20</f>
        <v/>
      </c>
      <c r="I91" s="24">
        <f>'إدارة المشاريع'!G20</f>
        <v/>
      </c>
      <c r="J91" s="15">
        <f>IF($G91="",0,$G91*$I91)</f>
        <v/>
      </c>
      <c r="K91" s="15">
        <f>IF($G91="",0,$I91)</f>
        <v/>
      </c>
      <c r="L91" s="13">
        <f>'إدارة المشاريع'!B20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المشاريع'!C21</f>
        <v/>
      </c>
      <c r="D92" s="15">
        <f>'إدارة المشاريع'!J21</f>
        <v/>
      </c>
      <c r="E92" s="13">
        <f>'إدارة المشاريع'!K21</f>
        <v/>
      </c>
      <c r="F92" s="15">
        <f>'إدارة المشاريع'!L21</f>
        <v/>
      </c>
      <c r="G92" s="56">
        <f>'إدارة المشاريع'!N21</f>
        <v/>
      </c>
      <c r="H92" s="15">
        <f>'إدارة المشاريع'!O21</f>
        <v/>
      </c>
      <c r="I92" s="24">
        <f>'إدارة المشاريع'!G21</f>
        <v/>
      </c>
      <c r="J92" s="15">
        <f>IF($G92="",0,$G92*$I92)</f>
        <v/>
      </c>
      <c r="K92" s="15">
        <f>IF($G92="",0,$I92)</f>
        <v/>
      </c>
      <c r="L92" s="13">
        <f>'إدارة المشاريع'!B21</f>
        <v/>
      </c>
    </row>
    <row r="93">
      <c r="A93" s="15" t="n">
        <v>92</v>
      </c>
      <c r="B93" s="13" t="inlineStr">
        <is>
          <t>سلاسل الإمداد</t>
        </is>
      </c>
      <c r="C93" s="13">
        <f>'سلاسل الإمداد'!C5</f>
        <v/>
      </c>
      <c r="D93" s="15">
        <f>'سلاسل الإمداد'!J5</f>
        <v/>
      </c>
      <c r="E93" s="13">
        <f>'سلاسل الإمداد'!K5</f>
        <v/>
      </c>
      <c r="F93" s="15">
        <f>'سلاسل الإمداد'!L5</f>
        <v/>
      </c>
      <c r="G93" s="56">
        <f>'سلاسل الإمداد'!N5</f>
        <v/>
      </c>
      <c r="H93" s="15">
        <f>'سلاسل الإمداد'!O5</f>
        <v/>
      </c>
      <c r="I93" s="24">
        <f>'سلاسل الإمداد'!G5</f>
        <v/>
      </c>
      <c r="J93" s="15">
        <f>IF($G93="",0,$G93*$I93)</f>
        <v/>
      </c>
      <c r="K93" s="15">
        <f>IF($G93="",0,$I93)</f>
        <v/>
      </c>
      <c r="L93" s="13">
        <f>'سلاسل الإمداد'!B5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الإمداد'!C6</f>
        <v/>
      </c>
      <c r="D94" s="15">
        <f>'سلاسل الإمداد'!J6</f>
        <v/>
      </c>
      <c r="E94" s="13">
        <f>'سلاسل الإمداد'!K6</f>
        <v/>
      </c>
      <c r="F94" s="15">
        <f>'سلاسل الإمداد'!L6</f>
        <v/>
      </c>
      <c r="G94" s="56">
        <f>'سلاسل الإمداد'!N6</f>
        <v/>
      </c>
      <c r="H94" s="15">
        <f>'سلاسل الإمداد'!O6</f>
        <v/>
      </c>
      <c r="I94" s="24">
        <f>'سلاسل الإمداد'!G6</f>
        <v/>
      </c>
      <c r="J94" s="15">
        <f>IF($G94="",0,$G94*$I94)</f>
        <v/>
      </c>
      <c r="K94" s="15">
        <f>IF($G94="",0,$I94)</f>
        <v/>
      </c>
      <c r="L94" s="13">
        <f>'سلاسل الإمداد'!B6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الإمداد'!C8</f>
        <v/>
      </c>
      <c r="D95" s="15">
        <f>'سلاسل الإمداد'!J8</f>
        <v/>
      </c>
      <c r="E95" s="13">
        <f>'سلاسل الإمداد'!K8</f>
        <v/>
      </c>
      <c r="F95" s="15">
        <f>'سلاسل الإمداد'!L8</f>
        <v/>
      </c>
      <c r="G95" s="56">
        <f>'سلاسل الإمداد'!N8</f>
        <v/>
      </c>
      <c r="H95" s="15">
        <f>'سلاسل الإمداد'!O8</f>
        <v/>
      </c>
      <c r="I95" s="24">
        <f>'سلاسل الإمداد'!G8</f>
        <v/>
      </c>
      <c r="J95" s="15">
        <f>IF($G95="",0,$G95*$I95)</f>
        <v/>
      </c>
      <c r="K95" s="15">
        <f>IF($G95="",0,$I95)</f>
        <v/>
      </c>
      <c r="L95" s="13">
        <f>'سلاسل الإمداد'!B8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الإمداد'!C9</f>
        <v/>
      </c>
      <c r="D96" s="15">
        <f>'سلاسل الإمداد'!J9</f>
        <v/>
      </c>
      <c r="E96" s="13">
        <f>'سلاسل الإمداد'!K9</f>
        <v/>
      </c>
      <c r="F96" s="15">
        <f>'سلاسل الإمداد'!L9</f>
        <v/>
      </c>
      <c r="G96" s="56">
        <f>'سلاسل الإمداد'!N9</f>
        <v/>
      </c>
      <c r="H96" s="15">
        <f>'سلاسل الإمداد'!O9</f>
        <v/>
      </c>
      <c r="I96" s="24">
        <f>'سلاسل الإمداد'!G9</f>
        <v/>
      </c>
      <c r="J96" s="15">
        <f>IF($G96="",0,$G96*$I96)</f>
        <v/>
      </c>
      <c r="K96" s="15">
        <f>IF($G96="",0,$I96)</f>
        <v/>
      </c>
      <c r="L96" s="13">
        <f>'سلاسل الإمداد'!B9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الإمداد'!C10</f>
        <v/>
      </c>
      <c r="D97" s="15">
        <f>'سلاسل الإمداد'!J10</f>
        <v/>
      </c>
      <c r="E97" s="13">
        <f>'سلاسل الإمداد'!K10</f>
        <v/>
      </c>
      <c r="F97" s="15">
        <f>'سلاسل الإمداد'!L10</f>
        <v/>
      </c>
      <c r="G97" s="56">
        <f>'سلاسل الإمداد'!N10</f>
        <v/>
      </c>
      <c r="H97" s="15">
        <f>'سلاسل الإمداد'!O10</f>
        <v/>
      </c>
      <c r="I97" s="24">
        <f>'سلاسل الإمداد'!G10</f>
        <v/>
      </c>
      <c r="J97" s="15">
        <f>IF($G97="",0,$G97*$I97)</f>
        <v/>
      </c>
      <c r="K97" s="15">
        <f>IF($G97="",0,$I97)</f>
        <v/>
      </c>
      <c r="L97" s="13">
        <f>'سلاسل الإمداد'!B10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الإمداد'!C12</f>
        <v/>
      </c>
      <c r="D98" s="15">
        <f>'سلاسل الإمداد'!J12</f>
        <v/>
      </c>
      <c r="E98" s="13">
        <f>'سلاسل الإمداد'!K12</f>
        <v/>
      </c>
      <c r="F98" s="15">
        <f>'سلاسل الإمداد'!L12</f>
        <v/>
      </c>
      <c r="G98" s="56">
        <f>'سلاسل الإمداد'!N12</f>
        <v/>
      </c>
      <c r="H98" s="15">
        <f>'سلاسل الإمداد'!O12</f>
        <v/>
      </c>
      <c r="I98" s="24">
        <f>'سلاسل الإمداد'!G12</f>
        <v/>
      </c>
      <c r="J98" s="15">
        <f>IF($G98="",0,$G98*$I98)</f>
        <v/>
      </c>
      <c r="K98" s="15">
        <f>IF($G98="",0,$I98)</f>
        <v/>
      </c>
      <c r="L98" s="13">
        <f>'سلاسل الإمداد'!B12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الإمداد'!C13</f>
        <v/>
      </c>
      <c r="D99" s="15">
        <f>'سلاسل الإمداد'!J13</f>
        <v/>
      </c>
      <c r="E99" s="13">
        <f>'سلاسل الإمداد'!K13</f>
        <v/>
      </c>
      <c r="F99" s="15">
        <f>'سلاسل الإمداد'!L13</f>
        <v/>
      </c>
      <c r="G99" s="56">
        <f>'سلاسل الإمداد'!N13</f>
        <v/>
      </c>
      <c r="H99" s="15">
        <f>'سلاسل الإمداد'!O13</f>
        <v/>
      </c>
      <c r="I99" s="24">
        <f>'سلاسل الإمداد'!G13</f>
        <v/>
      </c>
      <c r="J99" s="15">
        <f>IF($G99="",0,$G99*$I99)</f>
        <v/>
      </c>
      <c r="K99" s="15">
        <f>IF($G99="",0,$I99)</f>
        <v/>
      </c>
      <c r="L99" s="13">
        <f>'سلاسل الإمداد'!B13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الإمداد'!C15</f>
        <v/>
      </c>
      <c r="D100" s="15">
        <f>'سلاسل الإمداد'!J15</f>
        <v/>
      </c>
      <c r="E100" s="13">
        <f>'سلاسل الإمداد'!K15</f>
        <v/>
      </c>
      <c r="F100" s="15">
        <f>'سلاسل الإمداد'!L15</f>
        <v/>
      </c>
      <c r="G100" s="56">
        <f>'سلاسل الإمداد'!N15</f>
        <v/>
      </c>
      <c r="H100" s="15">
        <f>'سلاسل الإمداد'!O15</f>
        <v/>
      </c>
      <c r="I100" s="24">
        <f>'سلاسل الإمداد'!G15</f>
        <v/>
      </c>
      <c r="J100" s="15">
        <f>IF($G100="",0,$G100*$I100)</f>
        <v/>
      </c>
      <c r="K100" s="15">
        <f>IF($G100="",0,$I100)</f>
        <v/>
      </c>
      <c r="L100" s="13">
        <f>'سلاسل الإمداد'!B15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الإمداد'!C16</f>
        <v/>
      </c>
      <c r="D101" s="15">
        <f>'سلاسل الإمداد'!J16</f>
        <v/>
      </c>
      <c r="E101" s="13">
        <f>'سلاسل الإمداد'!K16</f>
        <v/>
      </c>
      <c r="F101" s="15">
        <f>'سلاسل الإمداد'!L16</f>
        <v/>
      </c>
      <c r="G101" s="56">
        <f>'سلاسل الإمداد'!N16</f>
        <v/>
      </c>
      <c r="H101" s="15">
        <f>'سلاسل الإمداد'!O16</f>
        <v/>
      </c>
      <c r="I101" s="24">
        <f>'سلاسل الإمداد'!G16</f>
        <v/>
      </c>
      <c r="J101" s="15">
        <f>IF($G101="",0,$G101*$I101)</f>
        <v/>
      </c>
      <c r="K101" s="15">
        <f>IF($G101="",0,$I101)</f>
        <v/>
      </c>
      <c r="L101" s="13">
        <f>'سلاسل الإمداد'!B16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الإمداد'!C17</f>
        <v/>
      </c>
      <c r="D102" s="15">
        <f>'سلاسل الإمداد'!J17</f>
        <v/>
      </c>
      <c r="E102" s="13">
        <f>'سلاسل الإمداد'!K17</f>
        <v/>
      </c>
      <c r="F102" s="15">
        <f>'سلاسل الإمداد'!L17</f>
        <v/>
      </c>
      <c r="G102" s="56">
        <f>'سلاسل الإمداد'!N17</f>
        <v/>
      </c>
      <c r="H102" s="15">
        <f>'سلاسل الإمداد'!O17</f>
        <v/>
      </c>
      <c r="I102" s="24">
        <f>'سلاسل الإمداد'!G17</f>
        <v/>
      </c>
      <c r="J102" s="15">
        <f>IF($G102="",0,$G102*$I102)</f>
        <v/>
      </c>
      <c r="K102" s="15">
        <f>IF($G102="",0,$I102)</f>
        <v/>
      </c>
      <c r="L102" s="13">
        <f>'سلاسل الإمداد'!B17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الإمداد'!C19</f>
        <v/>
      </c>
      <c r="D103" s="15">
        <f>'سلاسل الإمداد'!J19</f>
        <v/>
      </c>
      <c r="E103" s="13">
        <f>'سلاسل الإمداد'!K19</f>
        <v/>
      </c>
      <c r="F103" s="15">
        <f>'سلاسل الإمداد'!L19</f>
        <v/>
      </c>
      <c r="G103" s="56">
        <f>'سلاسل الإمداد'!N19</f>
        <v/>
      </c>
      <c r="H103" s="15">
        <f>'سلاسل الإمداد'!O19</f>
        <v/>
      </c>
      <c r="I103" s="24">
        <f>'سلاسل الإمداد'!G19</f>
        <v/>
      </c>
      <c r="J103" s="15">
        <f>IF($G103="",0,$G103*$I103)</f>
        <v/>
      </c>
      <c r="K103" s="15">
        <f>IF($G103="",0,$I103)</f>
        <v/>
      </c>
      <c r="L103" s="13">
        <f>'سلاسل الإمداد'!B19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الإمداد'!C20</f>
        <v/>
      </c>
      <c r="D104" s="15">
        <f>'سلاسل الإمداد'!J20</f>
        <v/>
      </c>
      <c r="E104" s="13">
        <f>'سلاسل الإمداد'!K20</f>
        <v/>
      </c>
      <c r="F104" s="15">
        <f>'سلاسل الإمداد'!L20</f>
        <v/>
      </c>
      <c r="G104" s="56">
        <f>'سلاسل الإمداد'!N20</f>
        <v/>
      </c>
      <c r="H104" s="15">
        <f>'سلاسل الإمداد'!O20</f>
        <v/>
      </c>
      <c r="I104" s="24">
        <f>'سلاسل الإمداد'!G20</f>
        <v/>
      </c>
      <c r="J104" s="15">
        <f>IF($G104="",0,$G104*$I104)</f>
        <v/>
      </c>
      <c r="K104" s="15">
        <f>IF($G104="",0,$I104)</f>
        <v/>
      </c>
      <c r="L104" s="13">
        <f>'سلاسل الإمداد'!B20</f>
        <v/>
      </c>
    </row>
    <row r="105">
      <c r="A105" s="15" t="n">
        <v>104</v>
      </c>
      <c r="B105" s="13" t="inlineStr">
        <is>
          <t>الصيانة والأتمتة</t>
        </is>
      </c>
      <c r="C105" s="13">
        <f>'الصيانة والأتمتة'!C5</f>
        <v/>
      </c>
      <c r="D105" s="15">
        <f>'الصيانة والأتمتة'!J5</f>
        <v/>
      </c>
      <c r="E105" s="13">
        <f>'الصيانة والأتمتة'!K5</f>
        <v/>
      </c>
      <c r="F105" s="15">
        <f>'الصيانة والأتمتة'!L5</f>
        <v/>
      </c>
      <c r="G105" s="56">
        <f>'الصيانة والأتمتة'!N5</f>
        <v/>
      </c>
      <c r="H105" s="15">
        <f>'الصيانة والأتمتة'!O5</f>
        <v/>
      </c>
      <c r="I105" s="24">
        <f>'الصيانة والأتمتة'!G5</f>
        <v/>
      </c>
      <c r="J105" s="15">
        <f>IF($G105="",0,$G105*$I105)</f>
        <v/>
      </c>
      <c r="K105" s="15">
        <f>IF($G105="",0,$I105)</f>
        <v/>
      </c>
      <c r="L105" s="13">
        <f>'الصيانة والأتمتة'!B5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والأتمتة'!C6</f>
        <v/>
      </c>
      <c r="D106" s="15">
        <f>'الصيانة والأتمتة'!J6</f>
        <v/>
      </c>
      <c r="E106" s="13">
        <f>'الصيانة والأتمتة'!K6</f>
        <v/>
      </c>
      <c r="F106" s="15">
        <f>'الصيانة والأتمتة'!L6</f>
        <v/>
      </c>
      <c r="G106" s="56">
        <f>'الصيانة والأتمتة'!N6</f>
        <v/>
      </c>
      <c r="H106" s="15">
        <f>'الصيانة والأتمتة'!O6</f>
        <v/>
      </c>
      <c r="I106" s="24">
        <f>'الصيانة والأتمتة'!G6</f>
        <v/>
      </c>
      <c r="J106" s="15">
        <f>IF($G106="",0,$G106*$I106)</f>
        <v/>
      </c>
      <c r="K106" s="15">
        <f>IF($G106="",0,$I106)</f>
        <v/>
      </c>
      <c r="L106" s="13">
        <f>'الصيانة والأتمتة'!B6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والأتمتة'!C8</f>
        <v/>
      </c>
      <c r="D107" s="15">
        <f>'الصيانة والأتمتة'!J8</f>
        <v/>
      </c>
      <c r="E107" s="13">
        <f>'الصيانة والأتمتة'!K8</f>
        <v/>
      </c>
      <c r="F107" s="15">
        <f>'الصيانة والأتمتة'!L8</f>
        <v/>
      </c>
      <c r="G107" s="56">
        <f>'الصيانة والأتمتة'!N8</f>
        <v/>
      </c>
      <c r="H107" s="15">
        <f>'الصيانة والأتمتة'!O8</f>
        <v/>
      </c>
      <c r="I107" s="24">
        <f>'الصيانة والأتمتة'!G8</f>
        <v/>
      </c>
      <c r="J107" s="15">
        <f>IF($G107="",0,$G107*$I107)</f>
        <v/>
      </c>
      <c r="K107" s="15">
        <f>IF($G107="",0,$I107)</f>
        <v/>
      </c>
      <c r="L107" s="13">
        <f>'الصيانة والأتمتة'!B8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والأتمتة'!C9</f>
        <v/>
      </c>
      <c r="D108" s="15">
        <f>'الصيانة والأتمتة'!J9</f>
        <v/>
      </c>
      <c r="E108" s="13">
        <f>'الصيانة والأتمتة'!K9</f>
        <v/>
      </c>
      <c r="F108" s="15">
        <f>'الصيانة والأتمتة'!L9</f>
        <v/>
      </c>
      <c r="G108" s="56">
        <f>'الصيانة والأتمتة'!N9</f>
        <v/>
      </c>
      <c r="H108" s="15">
        <f>'الصيانة والأتمتة'!O9</f>
        <v/>
      </c>
      <c r="I108" s="24">
        <f>'الصيانة والأتمتة'!G9</f>
        <v/>
      </c>
      <c r="J108" s="15">
        <f>IF($G108="",0,$G108*$I108)</f>
        <v/>
      </c>
      <c r="K108" s="15">
        <f>IF($G108="",0,$I108)</f>
        <v/>
      </c>
      <c r="L108" s="13">
        <f>'الصيانة والأتمتة'!B9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والأتمتة'!C10</f>
        <v/>
      </c>
      <c r="D109" s="15">
        <f>'الصيانة والأتمتة'!J10</f>
        <v/>
      </c>
      <c r="E109" s="13">
        <f>'الصيانة والأتمتة'!K10</f>
        <v/>
      </c>
      <c r="F109" s="15">
        <f>'الصيانة والأتمتة'!L10</f>
        <v/>
      </c>
      <c r="G109" s="56">
        <f>'الصيانة والأتمتة'!N10</f>
        <v/>
      </c>
      <c r="H109" s="15">
        <f>'الصيانة والأتمتة'!O10</f>
        <v/>
      </c>
      <c r="I109" s="24">
        <f>'الصيانة والأتمتة'!G10</f>
        <v/>
      </c>
      <c r="J109" s="15">
        <f>IF($G109="",0,$G109*$I109)</f>
        <v/>
      </c>
      <c r="K109" s="15">
        <f>IF($G109="",0,$I109)</f>
        <v/>
      </c>
      <c r="L109" s="13">
        <f>'الصيانة والأتمتة'!B10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والأتمتة'!C11</f>
        <v/>
      </c>
      <c r="D110" s="15">
        <f>'الصيانة والأتمتة'!J11</f>
        <v/>
      </c>
      <c r="E110" s="13">
        <f>'الصيانة والأتمتة'!K11</f>
        <v/>
      </c>
      <c r="F110" s="15">
        <f>'الصيانة والأتمتة'!L11</f>
        <v/>
      </c>
      <c r="G110" s="56">
        <f>'الصيانة والأتمتة'!N11</f>
        <v/>
      </c>
      <c r="H110" s="15">
        <f>'الصيانة والأتمتة'!O11</f>
        <v/>
      </c>
      <c r="I110" s="24">
        <f>'الصيانة والأتمتة'!G11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والأتمتة'!B11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والأتمتة'!C12</f>
        <v/>
      </c>
      <c r="D111" s="15">
        <f>'الصيانة والأتمتة'!J12</f>
        <v/>
      </c>
      <c r="E111" s="13">
        <f>'الصيانة والأتمتة'!K12</f>
        <v/>
      </c>
      <c r="F111" s="15">
        <f>'الصيانة والأتمتة'!L12</f>
        <v/>
      </c>
      <c r="G111" s="56">
        <f>'الصيانة والأتمتة'!N12</f>
        <v/>
      </c>
      <c r="H111" s="15">
        <f>'الصيانة والأتمتة'!O12</f>
        <v/>
      </c>
      <c r="I111" s="24">
        <f>'الصيانة والأتمتة'!G12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والأتمتة'!B12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والأتمتة'!C14</f>
        <v/>
      </c>
      <c r="D112" s="15">
        <f>'الصيانة والأتمتة'!J14</f>
        <v/>
      </c>
      <c r="E112" s="13">
        <f>'الصيانة والأتمتة'!K14</f>
        <v/>
      </c>
      <c r="F112" s="15">
        <f>'الصيانة والأتمتة'!L14</f>
        <v/>
      </c>
      <c r="G112" s="56">
        <f>'الصيانة والأتمتة'!N14</f>
        <v/>
      </c>
      <c r="H112" s="15">
        <f>'الصيانة والأتمتة'!O14</f>
        <v/>
      </c>
      <c r="I112" s="24">
        <f>'الصيانة والأتمتة'!G14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والأتمتة'!B14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والأتمتة'!C15</f>
        <v/>
      </c>
      <c r="D113" s="15">
        <f>'الصيانة والأتمتة'!J15</f>
        <v/>
      </c>
      <c r="E113" s="13">
        <f>'الصيانة والأتمتة'!K15</f>
        <v/>
      </c>
      <c r="F113" s="15">
        <f>'الصيانة والأتمتة'!L15</f>
        <v/>
      </c>
      <c r="G113" s="56">
        <f>'الصيانة والأتمتة'!N15</f>
        <v/>
      </c>
      <c r="H113" s="15">
        <f>'الصيانة والأتمتة'!O15</f>
        <v/>
      </c>
      <c r="I113" s="24">
        <f>'الصيانة والأتمتة'!G15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والأتمتة'!B15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والأتمتة'!C16</f>
        <v/>
      </c>
      <c r="D114" s="15">
        <f>'الصيانة والأتمتة'!J16</f>
        <v/>
      </c>
      <c r="E114" s="13">
        <f>'الصيانة والأتمتة'!K16</f>
        <v/>
      </c>
      <c r="F114" s="15">
        <f>'الصيانة والأتمتة'!L16</f>
        <v/>
      </c>
      <c r="G114" s="56">
        <f>'الصيانة والأتمتة'!N16</f>
        <v/>
      </c>
      <c r="H114" s="15">
        <f>'الصيانة والأتمتة'!O16</f>
        <v/>
      </c>
      <c r="I114" s="24">
        <f>'الصيانة والأتمتة'!G16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والأتمتة'!B16</f>
        <v/>
      </c>
    </row>
    <row r="115">
      <c r="A115" s="15" t="n">
        <v>114</v>
      </c>
      <c r="B115" s="13" t="inlineStr">
        <is>
          <t>التقنية الرقمية</t>
        </is>
      </c>
      <c r="C115" s="13">
        <f>'التقنية الرقمية'!C5</f>
        <v/>
      </c>
      <c r="D115" s="15">
        <f>'التقنية الرقمية'!J5</f>
        <v/>
      </c>
      <c r="E115" s="13">
        <f>'التقنية الرقمية'!K5</f>
        <v/>
      </c>
      <c r="F115" s="15">
        <f>'التقنية الرقمية'!L5</f>
        <v/>
      </c>
      <c r="G115" s="56">
        <f>'التقنية الرقمية'!N5</f>
        <v/>
      </c>
      <c r="H115" s="15">
        <f>'التقنية الرقمية'!O5</f>
        <v/>
      </c>
      <c r="I115" s="24">
        <f>'التقنية الرقمية'!G5</f>
        <v/>
      </c>
      <c r="J115" s="15">
        <f>IF($G115="",0,$G115*$I115)</f>
        <v/>
      </c>
      <c r="K115" s="15">
        <f>IF($G115="",0,$I115)</f>
        <v/>
      </c>
      <c r="L115" s="13">
        <f>'التقنية الرقمية'!B5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الرقمية'!C6</f>
        <v/>
      </c>
      <c r="D116" s="15">
        <f>'التقنية الرقمية'!J6</f>
        <v/>
      </c>
      <c r="E116" s="13">
        <f>'التقنية الرقمية'!K6</f>
        <v/>
      </c>
      <c r="F116" s="15">
        <f>'التقنية الرقمية'!L6</f>
        <v/>
      </c>
      <c r="G116" s="56">
        <f>'التقنية الرقمية'!N6</f>
        <v/>
      </c>
      <c r="H116" s="15">
        <f>'التقنية الرقمية'!O6</f>
        <v/>
      </c>
      <c r="I116" s="24">
        <f>'التقنية الرقمية'!G6</f>
        <v/>
      </c>
      <c r="J116" s="15">
        <f>IF($G116="",0,$G116*$I116)</f>
        <v/>
      </c>
      <c r="K116" s="15">
        <f>IF($G116="",0,$I116)</f>
        <v/>
      </c>
      <c r="L116" s="13">
        <f>'التقنية الرقمية'!B6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الرقمية'!C7</f>
        <v/>
      </c>
      <c r="D117" s="15">
        <f>'التقنية الرقمية'!J7</f>
        <v/>
      </c>
      <c r="E117" s="13">
        <f>'التقنية الرقمية'!K7</f>
        <v/>
      </c>
      <c r="F117" s="15">
        <f>'التقنية الرقمية'!L7</f>
        <v/>
      </c>
      <c r="G117" s="56">
        <f>'التقنية الرقمية'!N7</f>
        <v/>
      </c>
      <c r="H117" s="15">
        <f>'التقنية الرقمية'!O7</f>
        <v/>
      </c>
      <c r="I117" s="24">
        <f>'التقنية الرقمية'!G7</f>
        <v/>
      </c>
      <c r="J117" s="15">
        <f>IF($G117="",0,$G117*$I117)</f>
        <v/>
      </c>
      <c r="K117" s="15">
        <f>IF($G117="",0,$I117)</f>
        <v/>
      </c>
      <c r="L117" s="13">
        <f>'التقنية الرقمية'!B7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الرقمية'!C9</f>
        <v/>
      </c>
      <c r="D118" s="15">
        <f>'التقنية الرقمية'!J9</f>
        <v/>
      </c>
      <c r="E118" s="13">
        <f>'التقنية الرقمية'!K9</f>
        <v/>
      </c>
      <c r="F118" s="15">
        <f>'التقنية الرقمية'!L9</f>
        <v/>
      </c>
      <c r="G118" s="56">
        <f>'التقنية الرقمية'!N9</f>
        <v/>
      </c>
      <c r="H118" s="15">
        <f>'التقنية الرقمية'!O9</f>
        <v/>
      </c>
      <c r="I118" s="24">
        <f>'التقنية الرقمية'!G9</f>
        <v/>
      </c>
      <c r="J118" s="15">
        <f>IF($G118="",0,$G118*$I118)</f>
        <v/>
      </c>
      <c r="K118" s="15">
        <f>IF($G118="",0,$I118)</f>
        <v/>
      </c>
      <c r="L118" s="13">
        <f>'التقنية الرقمية'!B9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الرقمية'!C10</f>
        <v/>
      </c>
      <c r="D119" s="15">
        <f>'التقنية الرقمية'!J10</f>
        <v/>
      </c>
      <c r="E119" s="13">
        <f>'التقنية الرقمية'!K10</f>
        <v/>
      </c>
      <c r="F119" s="15">
        <f>'التقنية الرقمية'!L10</f>
        <v/>
      </c>
      <c r="G119" s="56">
        <f>'التقنية الرقمية'!N10</f>
        <v/>
      </c>
      <c r="H119" s="15">
        <f>'التقنية الرقمية'!O10</f>
        <v/>
      </c>
      <c r="I119" s="24">
        <f>'التقنية الرقمية'!G10</f>
        <v/>
      </c>
      <c r="J119" s="15">
        <f>IF($G119="",0,$G119*$I119)</f>
        <v/>
      </c>
      <c r="K119" s="15">
        <f>IF($G119="",0,$I119)</f>
        <v/>
      </c>
      <c r="L119" s="13">
        <f>'التقنية الرقمية'!B10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الرقمية'!C12</f>
        <v/>
      </c>
      <c r="D120" s="15">
        <f>'التقنية الرقمية'!J12</f>
        <v/>
      </c>
      <c r="E120" s="13">
        <f>'التقنية الرقمية'!K12</f>
        <v/>
      </c>
      <c r="F120" s="15">
        <f>'التقنية الرقمية'!L12</f>
        <v/>
      </c>
      <c r="G120" s="56">
        <f>'التقنية الرقمية'!N12</f>
        <v/>
      </c>
      <c r="H120" s="15">
        <f>'التقنية الرقمية'!O12</f>
        <v/>
      </c>
      <c r="I120" s="24">
        <f>'التقنية الرقمية'!G12</f>
        <v/>
      </c>
      <c r="J120" s="15">
        <f>IF($G120="",0,$G120*$I120)</f>
        <v/>
      </c>
      <c r="K120" s="15">
        <f>IF($G120="",0,$I120)</f>
        <v/>
      </c>
      <c r="L120" s="13">
        <f>'التقنية الرقمية'!B12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الرقمية'!C13</f>
        <v/>
      </c>
      <c r="D121" s="15">
        <f>'التقنية الرقمية'!J13</f>
        <v/>
      </c>
      <c r="E121" s="13">
        <f>'التقنية الرقمية'!K13</f>
        <v/>
      </c>
      <c r="F121" s="15">
        <f>'التقنية الرقمية'!L13</f>
        <v/>
      </c>
      <c r="G121" s="56">
        <f>'التقنية الرقمية'!N13</f>
        <v/>
      </c>
      <c r="H121" s="15">
        <f>'التقنية الرقمية'!O13</f>
        <v/>
      </c>
      <c r="I121" s="24">
        <f>'التقنية الرقمية'!G13</f>
        <v/>
      </c>
      <c r="J121" s="15">
        <f>IF($G121="",0,$G121*$I121)</f>
        <v/>
      </c>
      <c r="K121" s="15">
        <f>IF($G121="",0,$I121)</f>
        <v/>
      </c>
      <c r="L121" s="13">
        <f>'التقنية الرقمية'!B13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الرقمية'!C14</f>
        <v/>
      </c>
      <c r="D122" s="15">
        <f>'التقنية الرقمية'!J14</f>
        <v/>
      </c>
      <c r="E122" s="13">
        <f>'التقنية الرقمية'!K14</f>
        <v/>
      </c>
      <c r="F122" s="15">
        <f>'التقنية الرقمية'!L14</f>
        <v/>
      </c>
      <c r="G122" s="56">
        <f>'التقنية الرقمية'!N14</f>
        <v/>
      </c>
      <c r="H122" s="15">
        <f>'التقنية الرقمية'!O14</f>
        <v/>
      </c>
      <c r="I122" s="24">
        <f>'التقنية الرقمية'!G14</f>
        <v/>
      </c>
      <c r="J122" s="15">
        <f>IF($G122="",0,$G122*$I122)</f>
        <v/>
      </c>
      <c r="K122" s="15">
        <f>IF($G122="",0,$I122)</f>
        <v/>
      </c>
      <c r="L122" s="13">
        <f>'التقنية الرقمية'!B14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الرقمية'!C16</f>
        <v/>
      </c>
      <c r="D123" s="15">
        <f>'التقنية الرقمية'!J16</f>
        <v/>
      </c>
      <c r="E123" s="13">
        <f>'التقنية الرقمية'!K16</f>
        <v/>
      </c>
      <c r="F123" s="15">
        <f>'التقنية الرقمية'!L16</f>
        <v/>
      </c>
      <c r="G123" s="56">
        <f>'التقنية الرقمية'!N16</f>
        <v/>
      </c>
      <c r="H123" s="15">
        <f>'التقنية الرقمية'!O16</f>
        <v/>
      </c>
      <c r="I123" s="24">
        <f>'التقنية الرقمية'!G16</f>
        <v/>
      </c>
      <c r="J123" s="15">
        <f>IF($G123="",0,$G123*$I123)</f>
        <v/>
      </c>
      <c r="K123" s="15">
        <f>IF($G123="",0,$I123)</f>
        <v/>
      </c>
      <c r="L123" s="13">
        <f>'التقنية الرقمية'!B16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الرقمية'!C17</f>
        <v/>
      </c>
      <c r="D124" s="15">
        <f>'التقنية الرقمية'!J17</f>
        <v/>
      </c>
      <c r="E124" s="13">
        <f>'التقنية الرقمية'!K17</f>
        <v/>
      </c>
      <c r="F124" s="15">
        <f>'التقنية الرقمية'!L17</f>
        <v/>
      </c>
      <c r="G124" s="56">
        <f>'التقنية الرقمية'!N17</f>
        <v/>
      </c>
      <c r="H124" s="15">
        <f>'التقنية الرقمية'!O17</f>
        <v/>
      </c>
      <c r="I124" s="24">
        <f>'التقنية الرقمية'!G17</f>
        <v/>
      </c>
      <c r="J124" s="15">
        <f>IF($G124="",0,$G124*$I124)</f>
        <v/>
      </c>
      <c r="K124" s="15">
        <f>IF($G124="",0,$I124)</f>
        <v/>
      </c>
      <c r="L124" s="13">
        <f>'التقنية الرقمية'!B17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الرقمية'!C19</f>
        <v/>
      </c>
      <c r="D125" s="15">
        <f>'التقنية الرقمية'!J19</f>
        <v/>
      </c>
      <c r="E125" s="13">
        <f>'التقنية الرقمية'!K19</f>
        <v/>
      </c>
      <c r="F125" s="15">
        <f>'التقنية الرقمية'!L19</f>
        <v/>
      </c>
      <c r="G125" s="56">
        <f>'التقنية الرقمية'!N19</f>
        <v/>
      </c>
      <c r="H125" s="15">
        <f>'التقنية الرقمية'!O19</f>
        <v/>
      </c>
      <c r="I125" s="24">
        <f>'التقنية الرقمية'!G19</f>
        <v/>
      </c>
      <c r="J125" s="15">
        <f>IF($G125="",0,$G125*$I125)</f>
        <v/>
      </c>
      <c r="K125" s="15">
        <f>IF($G125="",0,$I125)</f>
        <v/>
      </c>
      <c r="L125" s="13">
        <f>'التقنية الرقمية'!B19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الرقمية'!C20</f>
        <v/>
      </c>
      <c r="D126" s="15">
        <f>'التقنية الرقمية'!J20</f>
        <v/>
      </c>
      <c r="E126" s="13">
        <f>'التقنية الرقمية'!K20</f>
        <v/>
      </c>
      <c r="F126" s="15">
        <f>'التقنية الرقمية'!L20</f>
        <v/>
      </c>
      <c r="G126" s="56">
        <f>'التقنية الرقمية'!N20</f>
        <v/>
      </c>
      <c r="H126" s="15">
        <f>'التقنية الرقمية'!O20</f>
        <v/>
      </c>
      <c r="I126" s="24">
        <f>'التقنية الرقمية'!G20</f>
        <v/>
      </c>
      <c r="J126" s="15">
        <f>IF($G126="",0,$G126*$I126)</f>
        <v/>
      </c>
      <c r="K126" s="15">
        <f>IF($G126="",0,$I126)</f>
        <v/>
      </c>
      <c r="L126" s="13">
        <f>'التقنية الرقمية'!B20</f>
        <v/>
      </c>
    </row>
    <row r="127">
      <c r="A127" s="15" t="n">
        <v>126</v>
      </c>
      <c r="B127" s="13" t="inlineStr">
        <is>
          <t>الموارد البشرية</t>
        </is>
      </c>
      <c r="C127" s="13">
        <f>'الموارد البشرية'!C5</f>
        <v/>
      </c>
      <c r="D127" s="15">
        <f>'الموارد البشرية'!J5</f>
        <v/>
      </c>
      <c r="E127" s="13">
        <f>'الموارد البشرية'!K5</f>
        <v/>
      </c>
      <c r="F127" s="15">
        <f>'الموارد البشرية'!L5</f>
        <v/>
      </c>
      <c r="G127" s="56">
        <f>'الموارد البشرية'!N5</f>
        <v/>
      </c>
      <c r="H127" s="15">
        <f>'الموارد البشرية'!O5</f>
        <v/>
      </c>
      <c r="I127" s="24">
        <f>'الموارد البشرية'!G5</f>
        <v/>
      </c>
      <c r="J127" s="15">
        <f>IF($G127="",0,$G127*$I127)</f>
        <v/>
      </c>
      <c r="K127" s="15">
        <f>IF($G127="",0,$I127)</f>
        <v/>
      </c>
      <c r="L127" s="13">
        <f>'الموارد البشرية'!B5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البشرية'!C6</f>
        <v/>
      </c>
      <c r="D128" s="15">
        <f>'الموارد البشرية'!J6</f>
        <v/>
      </c>
      <c r="E128" s="13">
        <f>'الموارد البشرية'!K6</f>
        <v/>
      </c>
      <c r="F128" s="15">
        <f>'الموارد البشرية'!L6</f>
        <v/>
      </c>
      <c r="G128" s="56">
        <f>'الموارد البشرية'!N6</f>
        <v/>
      </c>
      <c r="H128" s="15">
        <f>'الموارد البشرية'!O6</f>
        <v/>
      </c>
      <c r="I128" s="24">
        <f>'الموارد البشرية'!G6</f>
        <v/>
      </c>
      <c r="J128" s="15">
        <f>IF($G128="",0,$G128*$I128)</f>
        <v/>
      </c>
      <c r="K128" s="15">
        <f>IF($G128="",0,$I128)</f>
        <v/>
      </c>
      <c r="L128" s="13">
        <f>'الموارد البشرية'!B6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البشرية'!C7</f>
        <v/>
      </c>
      <c r="D129" s="15">
        <f>'الموارد البشرية'!J7</f>
        <v/>
      </c>
      <c r="E129" s="13">
        <f>'الموارد البشرية'!K7</f>
        <v/>
      </c>
      <c r="F129" s="15">
        <f>'الموارد البشرية'!L7</f>
        <v/>
      </c>
      <c r="G129" s="56">
        <f>'الموارد البشرية'!N7</f>
        <v/>
      </c>
      <c r="H129" s="15">
        <f>'الموارد البشرية'!O7</f>
        <v/>
      </c>
      <c r="I129" s="24">
        <f>'الموارد البشرية'!G7</f>
        <v/>
      </c>
      <c r="J129" s="15">
        <f>IF($G129="",0,$G129*$I129)</f>
        <v/>
      </c>
      <c r="K129" s="15">
        <f>IF($G129="",0,$I129)</f>
        <v/>
      </c>
      <c r="L129" s="13">
        <f>'الموارد البشرية'!B7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البشرية'!C8</f>
        <v/>
      </c>
      <c r="D130" s="15">
        <f>'الموارد البشرية'!J8</f>
        <v/>
      </c>
      <c r="E130" s="13">
        <f>'الموارد البشرية'!K8</f>
        <v/>
      </c>
      <c r="F130" s="15">
        <f>'الموارد البشرية'!L8</f>
        <v/>
      </c>
      <c r="G130" s="56">
        <f>'الموارد البشرية'!N8</f>
        <v/>
      </c>
      <c r="H130" s="15">
        <f>'الموارد البشرية'!O8</f>
        <v/>
      </c>
      <c r="I130" s="24">
        <f>'الموارد البشرية'!G8</f>
        <v/>
      </c>
      <c r="J130" s="15">
        <f>IF($G130="",0,$G130*$I130)</f>
        <v/>
      </c>
      <c r="K130" s="15">
        <f>IF($G130="",0,$I130)</f>
        <v/>
      </c>
      <c r="L130" s="13">
        <f>'الموارد البشرية'!B8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البشرية'!C9</f>
        <v/>
      </c>
      <c r="D131" s="15">
        <f>'الموارد البشرية'!J9</f>
        <v/>
      </c>
      <c r="E131" s="13">
        <f>'الموارد البشرية'!K9</f>
        <v/>
      </c>
      <c r="F131" s="15">
        <f>'الموارد البشرية'!L9</f>
        <v/>
      </c>
      <c r="G131" s="56">
        <f>'الموارد البشرية'!N9</f>
        <v/>
      </c>
      <c r="H131" s="15">
        <f>'الموارد البشرية'!O9</f>
        <v/>
      </c>
      <c r="I131" s="24">
        <f>'الموارد البشرية'!G9</f>
        <v/>
      </c>
      <c r="J131" s="15">
        <f>IF($G131="",0,$G131*$I131)</f>
        <v/>
      </c>
      <c r="K131" s="15">
        <f>IF($G131="",0,$I131)</f>
        <v/>
      </c>
      <c r="L131" s="13">
        <f>'الموارد البشرية'!B9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البشرية'!C11</f>
        <v/>
      </c>
      <c r="D132" s="15">
        <f>'الموارد البشرية'!J11</f>
        <v/>
      </c>
      <c r="E132" s="13">
        <f>'الموارد البشرية'!K11</f>
        <v/>
      </c>
      <c r="F132" s="15">
        <f>'الموارد البشرية'!L11</f>
        <v/>
      </c>
      <c r="G132" s="56">
        <f>'الموارد البشرية'!N11</f>
        <v/>
      </c>
      <c r="H132" s="15">
        <f>'الموارد البشرية'!O11</f>
        <v/>
      </c>
      <c r="I132" s="24">
        <f>'الموارد البشرية'!G11</f>
        <v/>
      </c>
      <c r="J132" s="15">
        <f>IF($G132="",0,$G132*$I132)</f>
        <v/>
      </c>
      <c r="K132" s="15">
        <f>IF($G132="",0,$I132)</f>
        <v/>
      </c>
      <c r="L132" s="13">
        <f>'الموارد البشرية'!B11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البشرية'!C12</f>
        <v/>
      </c>
      <c r="D133" s="15">
        <f>'الموارد البشرية'!J12</f>
        <v/>
      </c>
      <c r="E133" s="13">
        <f>'الموارد البشرية'!K12</f>
        <v/>
      </c>
      <c r="F133" s="15">
        <f>'الموارد البشرية'!L12</f>
        <v/>
      </c>
      <c r="G133" s="56">
        <f>'الموارد البشرية'!N12</f>
        <v/>
      </c>
      <c r="H133" s="15">
        <f>'الموارد البشرية'!O12</f>
        <v/>
      </c>
      <c r="I133" s="24">
        <f>'الموارد البشرية'!G12</f>
        <v/>
      </c>
      <c r="J133" s="15">
        <f>IF($G133="",0,$G133*$I133)</f>
        <v/>
      </c>
      <c r="K133" s="15">
        <f>IF($G133="",0,$I133)</f>
        <v/>
      </c>
      <c r="L133" s="13">
        <f>'الموارد البشرية'!B12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البشرية'!C14</f>
        <v/>
      </c>
      <c r="D134" s="15">
        <f>'الموارد البشرية'!J14</f>
        <v/>
      </c>
      <c r="E134" s="13">
        <f>'الموارد البشرية'!K14</f>
        <v/>
      </c>
      <c r="F134" s="15">
        <f>'الموارد البشرية'!L14</f>
        <v/>
      </c>
      <c r="G134" s="56">
        <f>'الموارد البشرية'!N14</f>
        <v/>
      </c>
      <c r="H134" s="15">
        <f>'الموارد البشرية'!O14</f>
        <v/>
      </c>
      <c r="I134" s="24">
        <f>'الموارد البشرية'!G14</f>
        <v/>
      </c>
      <c r="J134" s="15">
        <f>IF($G134="",0,$G134*$I134)</f>
        <v/>
      </c>
      <c r="K134" s="15">
        <f>IF($G134="",0,$I134)</f>
        <v/>
      </c>
      <c r="L134" s="13">
        <f>'الموارد البشرية'!B14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البشرية'!C15</f>
        <v/>
      </c>
      <c r="D135" s="15">
        <f>'الموارد البشرية'!J15</f>
        <v/>
      </c>
      <c r="E135" s="13">
        <f>'الموارد البشرية'!K15</f>
        <v/>
      </c>
      <c r="F135" s="15">
        <f>'الموارد البشرية'!L15</f>
        <v/>
      </c>
      <c r="G135" s="56">
        <f>'الموارد البشرية'!N15</f>
        <v/>
      </c>
      <c r="H135" s="15">
        <f>'الموارد البشرية'!O15</f>
        <v/>
      </c>
      <c r="I135" s="24">
        <f>'الموارد البشرية'!G15</f>
        <v/>
      </c>
      <c r="J135" s="15">
        <f>IF($G135="",0,$G135*$I135)</f>
        <v/>
      </c>
      <c r="K135" s="15">
        <f>IF($G135="",0,$I135)</f>
        <v/>
      </c>
      <c r="L135" s="13">
        <f>'الموارد البشرية'!B15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البشرية'!C17</f>
        <v/>
      </c>
      <c r="D136" s="15">
        <f>'الموارد البشرية'!J17</f>
        <v/>
      </c>
      <c r="E136" s="13">
        <f>'الموارد البشرية'!K17</f>
        <v/>
      </c>
      <c r="F136" s="15">
        <f>'الموارد البشرية'!L17</f>
        <v/>
      </c>
      <c r="G136" s="56">
        <f>'الموارد البشرية'!N17</f>
        <v/>
      </c>
      <c r="H136" s="15">
        <f>'الموارد البشرية'!O17</f>
        <v/>
      </c>
      <c r="I136" s="24">
        <f>'الموارد البشرية'!G17</f>
        <v/>
      </c>
      <c r="J136" s="15">
        <f>IF($G136="",0,$G136*$I136)</f>
        <v/>
      </c>
      <c r="K136" s="15">
        <f>IF($G136="",0,$I136)</f>
        <v/>
      </c>
      <c r="L136" s="13">
        <f>'الموارد البشرية'!B17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البشرية'!C18</f>
        <v/>
      </c>
      <c r="D137" s="15">
        <f>'الموارد البشرية'!J18</f>
        <v/>
      </c>
      <c r="E137" s="13">
        <f>'الموارد البشرية'!K18</f>
        <v/>
      </c>
      <c r="F137" s="15">
        <f>'الموارد البشرية'!L18</f>
        <v/>
      </c>
      <c r="G137" s="56">
        <f>'الموارد البشرية'!N18</f>
        <v/>
      </c>
      <c r="H137" s="15">
        <f>'الموارد البشرية'!O18</f>
        <v/>
      </c>
      <c r="I137" s="24">
        <f>'الموارد البشرية'!G18</f>
        <v/>
      </c>
      <c r="J137" s="15">
        <f>IF($G137="",0,$G137*$I137)</f>
        <v/>
      </c>
      <c r="K137" s="15">
        <f>IF($G137="",0,$I137)</f>
        <v/>
      </c>
      <c r="L137" s="13">
        <f>'الموارد البشرية'!B18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البشرية'!C19</f>
        <v/>
      </c>
      <c r="D138" s="15">
        <f>'الموارد البشرية'!J19</f>
        <v/>
      </c>
      <c r="E138" s="13">
        <f>'الموارد البشرية'!K19</f>
        <v/>
      </c>
      <c r="F138" s="15">
        <f>'الموارد البشرية'!L19</f>
        <v/>
      </c>
      <c r="G138" s="56">
        <f>'الموارد البشرية'!N19</f>
        <v/>
      </c>
      <c r="H138" s="15">
        <f>'الموارد البشرية'!O19</f>
        <v/>
      </c>
      <c r="I138" s="24">
        <f>'الموارد البشرية'!G19</f>
        <v/>
      </c>
      <c r="J138" s="15">
        <f>IF($G138="",0,$G138*$I138)</f>
        <v/>
      </c>
      <c r="K138" s="15">
        <f>IF($G138="",0,$I138)</f>
        <v/>
      </c>
      <c r="L138" s="13">
        <f>'الموارد البشرية'!B19</f>
        <v/>
      </c>
    </row>
    <row r="139">
      <c r="A139" s="15" t="n">
        <v>138</v>
      </c>
      <c r="B139" s="13" t="inlineStr">
        <is>
          <t>التسويق</t>
        </is>
      </c>
      <c r="C139" s="13">
        <f>'التسويق'!C5</f>
        <v/>
      </c>
      <c r="D139" s="15">
        <f>'التسويق'!J5</f>
        <v/>
      </c>
      <c r="E139" s="13">
        <f>'التسويق'!K5</f>
        <v/>
      </c>
      <c r="F139" s="15">
        <f>'التسويق'!L5</f>
        <v/>
      </c>
      <c r="G139" s="56">
        <f>'التسويق'!N5</f>
        <v/>
      </c>
      <c r="H139" s="15">
        <f>'التسويق'!O5</f>
        <v/>
      </c>
      <c r="I139" s="24">
        <f>'التسويق'!G5</f>
        <v/>
      </c>
      <c r="J139" s="15">
        <f>IF($G139="",0,$G139*$I139)</f>
        <v/>
      </c>
      <c r="K139" s="15">
        <f>IF($G139="",0,$I139)</f>
        <v/>
      </c>
      <c r="L139" s="13">
        <f>'التسويق'!B5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'التسويق'!C6</f>
        <v/>
      </c>
      <c r="D140" s="15">
        <f>'التسويق'!J6</f>
        <v/>
      </c>
      <c r="E140" s="13">
        <f>'التسويق'!K6</f>
        <v/>
      </c>
      <c r="F140" s="15">
        <f>'التسويق'!L6</f>
        <v/>
      </c>
      <c r="G140" s="56">
        <f>'التسويق'!N6</f>
        <v/>
      </c>
      <c r="H140" s="15">
        <f>'التسويق'!O6</f>
        <v/>
      </c>
      <c r="I140" s="24">
        <f>'التسويق'!G6</f>
        <v/>
      </c>
      <c r="J140" s="15">
        <f>IF($G140="",0,$G140*$I140)</f>
        <v/>
      </c>
      <c r="K140" s="15">
        <f>IF($G140="",0,$I140)</f>
        <v/>
      </c>
      <c r="L140" s="13">
        <f>'التسويق'!B6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'التسويق'!C7</f>
        <v/>
      </c>
      <c r="D141" s="15">
        <f>'التسويق'!J7</f>
        <v/>
      </c>
      <c r="E141" s="13">
        <f>'التسويق'!K7</f>
        <v/>
      </c>
      <c r="F141" s="15">
        <f>'التسويق'!L7</f>
        <v/>
      </c>
      <c r="G141" s="56">
        <f>'التسويق'!N7</f>
        <v/>
      </c>
      <c r="H141" s="15">
        <f>'التسويق'!O7</f>
        <v/>
      </c>
      <c r="I141" s="24">
        <f>'التسويق'!G7</f>
        <v/>
      </c>
      <c r="J141" s="15">
        <f>IF($G141="",0,$G141*$I141)</f>
        <v/>
      </c>
      <c r="K141" s="15">
        <f>IF($G141="",0,$I141)</f>
        <v/>
      </c>
      <c r="L141" s="13">
        <f>'التسويق'!B7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'التسويق'!C8</f>
        <v/>
      </c>
      <c r="D142" s="15">
        <f>'التسويق'!J8</f>
        <v/>
      </c>
      <c r="E142" s="13">
        <f>'التسويق'!K8</f>
        <v/>
      </c>
      <c r="F142" s="15">
        <f>'التسويق'!L8</f>
        <v/>
      </c>
      <c r="G142" s="56">
        <f>'التسويق'!N8</f>
        <v/>
      </c>
      <c r="H142" s="15">
        <f>'التسويق'!O8</f>
        <v/>
      </c>
      <c r="I142" s="24">
        <f>'التسويق'!G8</f>
        <v/>
      </c>
      <c r="J142" s="15">
        <f>IF($G142="",0,$G142*$I142)</f>
        <v/>
      </c>
      <c r="K142" s="15">
        <f>IF($G142="",0,$I142)</f>
        <v/>
      </c>
      <c r="L142" s="13">
        <f>'التسويق'!B8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'التسويق'!C10</f>
        <v/>
      </c>
      <c r="D143" s="15">
        <f>'التسويق'!J10</f>
        <v/>
      </c>
      <c r="E143" s="13">
        <f>'التسويق'!K10</f>
        <v/>
      </c>
      <c r="F143" s="15">
        <f>'التسويق'!L10</f>
        <v/>
      </c>
      <c r="G143" s="56">
        <f>'التسويق'!N10</f>
        <v/>
      </c>
      <c r="H143" s="15">
        <f>'التسويق'!O10</f>
        <v/>
      </c>
      <c r="I143" s="24">
        <f>'التسويق'!G10</f>
        <v/>
      </c>
      <c r="J143" s="15">
        <f>IF($G143="",0,$G143*$I143)</f>
        <v/>
      </c>
      <c r="K143" s="15">
        <f>IF($G143="",0,$I143)</f>
        <v/>
      </c>
      <c r="L143" s="13">
        <f>'التسويق'!B10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'التسويق'!C11</f>
        <v/>
      </c>
      <c r="D144" s="15">
        <f>'التسويق'!J11</f>
        <v/>
      </c>
      <c r="E144" s="13">
        <f>'التسويق'!K11</f>
        <v/>
      </c>
      <c r="F144" s="15">
        <f>'التسويق'!L11</f>
        <v/>
      </c>
      <c r="G144" s="56">
        <f>'التسويق'!N11</f>
        <v/>
      </c>
      <c r="H144" s="15">
        <f>'التسويق'!O11</f>
        <v/>
      </c>
      <c r="I144" s="24">
        <f>'التسويق'!G11</f>
        <v/>
      </c>
      <c r="J144" s="15">
        <f>IF($G144="",0,$G144*$I144)</f>
        <v/>
      </c>
      <c r="K144" s="15">
        <f>IF($G144="",0,$I144)</f>
        <v/>
      </c>
      <c r="L144" s="13">
        <f>'التسويق'!B11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'التسويق'!C13</f>
        <v/>
      </c>
      <c r="D145" s="15">
        <f>'التسويق'!J13</f>
        <v/>
      </c>
      <c r="E145" s="13">
        <f>'التسويق'!K13</f>
        <v/>
      </c>
      <c r="F145" s="15">
        <f>'التسويق'!L13</f>
        <v/>
      </c>
      <c r="G145" s="56">
        <f>'التسويق'!N13</f>
        <v/>
      </c>
      <c r="H145" s="15">
        <f>'التسويق'!O13</f>
        <v/>
      </c>
      <c r="I145" s="24">
        <f>'التسويق'!G13</f>
        <v/>
      </c>
      <c r="J145" s="15">
        <f>IF($G145="",0,$G145*$I145)</f>
        <v/>
      </c>
      <c r="K145" s="15">
        <f>IF($G145="",0,$I145)</f>
        <v/>
      </c>
      <c r="L145" s="13">
        <f>'التسويق'!B13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'التسويق'!C14</f>
        <v/>
      </c>
      <c r="D146" s="15">
        <f>'التسويق'!J14</f>
        <v/>
      </c>
      <c r="E146" s="13">
        <f>'التسويق'!K14</f>
        <v/>
      </c>
      <c r="F146" s="15">
        <f>'التسويق'!L14</f>
        <v/>
      </c>
      <c r="G146" s="56">
        <f>'التسويق'!N14</f>
        <v/>
      </c>
      <c r="H146" s="15">
        <f>'التسويق'!O14</f>
        <v/>
      </c>
      <c r="I146" s="24">
        <f>'التسويق'!G14</f>
        <v/>
      </c>
      <c r="J146" s="15">
        <f>IF($G146="",0,$G146*$I146)</f>
        <v/>
      </c>
      <c r="K146" s="15">
        <f>IF($G146="",0,$I146)</f>
        <v/>
      </c>
      <c r="L146" s="13">
        <f>'التسويق'!B14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'التسويق'!C16</f>
        <v/>
      </c>
      <c r="D147" s="15">
        <f>'التسويق'!J16</f>
        <v/>
      </c>
      <c r="E147" s="13">
        <f>'التسويق'!K16</f>
        <v/>
      </c>
      <c r="F147" s="15">
        <f>'التسويق'!L16</f>
        <v/>
      </c>
      <c r="G147" s="56">
        <f>'التسويق'!N16</f>
        <v/>
      </c>
      <c r="H147" s="15">
        <f>'التسويق'!O16</f>
        <v/>
      </c>
      <c r="I147" s="24">
        <f>'التسويق'!G16</f>
        <v/>
      </c>
      <c r="J147" s="15">
        <f>IF($G147="",0,$G147*$I147)</f>
        <v/>
      </c>
      <c r="K147" s="15">
        <f>IF($G147="",0,$I147)</f>
        <v/>
      </c>
      <c r="L147" s="13">
        <f>'التسويق'!B16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'التسويق'!C17</f>
        <v/>
      </c>
      <c r="D148" s="15">
        <f>'التسويق'!J17</f>
        <v/>
      </c>
      <c r="E148" s="13">
        <f>'التسويق'!K17</f>
        <v/>
      </c>
      <c r="F148" s="15">
        <f>'التسويق'!L17</f>
        <v/>
      </c>
      <c r="G148" s="56">
        <f>'التسويق'!N17</f>
        <v/>
      </c>
      <c r="H148" s="15">
        <f>'التسويق'!O17</f>
        <v/>
      </c>
      <c r="I148" s="24">
        <f>'التسويق'!G17</f>
        <v/>
      </c>
      <c r="J148" s="15">
        <f>IF($G148="",0,$G148*$I148)</f>
        <v/>
      </c>
      <c r="K148" s="15">
        <f>IF($G148="",0,$I148)</f>
        <v/>
      </c>
      <c r="L148" s="13">
        <f>'التسويق'!B17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'التسويق'!C19</f>
        <v/>
      </c>
      <c r="D149" s="15">
        <f>'التسويق'!J19</f>
        <v/>
      </c>
      <c r="E149" s="13">
        <f>'التسويق'!K19</f>
        <v/>
      </c>
      <c r="F149" s="15">
        <f>'التسويق'!L19</f>
        <v/>
      </c>
      <c r="G149" s="56">
        <f>'التسويق'!N19</f>
        <v/>
      </c>
      <c r="H149" s="15">
        <f>'التسويق'!O19</f>
        <v/>
      </c>
      <c r="I149" s="24">
        <f>'التسويق'!G19</f>
        <v/>
      </c>
      <c r="J149" s="15">
        <f>IF($G149="",0,$G149*$I149)</f>
        <v/>
      </c>
      <c r="K149" s="15">
        <f>IF($G149="",0,$I149)</f>
        <v/>
      </c>
      <c r="L149" s="13">
        <f>'التسويق'!B19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'التسويق'!C20</f>
        <v/>
      </c>
      <c r="D150" s="15">
        <f>'التسويق'!J20</f>
        <v/>
      </c>
      <c r="E150" s="13">
        <f>'التسويق'!K20</f>
        <v/>
      </c>
      <c r="F150" s="15">
        <f>'التسويق'!L20</f>
        <v/>
      </c>
      <c r="G150" s="56">
        <f>'التسويق'!N20</f>
        <v/>
      </c>
      <c r="H150" s="15">
        <f>'التسويق'!O20</f>
        <v/>
      </c>
      <c r="I150" s="24">
        <f>'التسويق'!G20</f>
        <v/>
      </c>
      <c r="J150" s="15">
        <f>IF($G150="",0,$G150*$I150)</f>
        <v/>
      </c>
      <c r="K150" s="15">
        <f>IF($G150="",0,$I150)</f>
        <v/>
      </c>
      <c r="L150" s="13">
        <f>'التسويق'!B20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'الجودة'!C5</f>
        <v/>
      </c>
      <c r="D151" s="15">
        <f>'الجودة'!J5</f>
        <v/>
      </c>
      <c r="E151" s="13">
        <f>'الجودة'!K5</f>
        <v/>
      </c>
      <c r="F151" s="15">
        <f>'الجودة'!L5</f>
        <v/>
      </c>
      <c r="G151" s="56">
        <f>'الجودة'!N5</f>
        <v/>
      </c>
      <c r="H151" s="15">
        <f>'الجودة'!O5</f>
        <v/>
      </c>
      <c r="I151" s="24">
        <f>'الجودة'!G5</f>
        <v/>
      </c>
      <c r="J151" s="15">
        <f>IF($G151="",0,$G151*$I151)</f>
        <v/>
      </c>
      <c r="K151" s="15">
        <f>IF($G151="",0,$I151)</f>
        <v/>
      </c>
      <c r="L151" s="13">
        <f>'الجودة'!B5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'الجودة'!C6</f>
        <v/>
      </c>
      <c r="D152" s="15">
        <f>'الجودة'!J6</f>
        <v/>
      </c>
      <c r="E152" s="13">
        <f>'الجودة'!K6</f>
        <v/>
      </c>
      <c r="F152" s="15">
        <f>'الجودة'!L6</f>
        <v/>
      </c>
      <c r="G152" s="56">
        <f>'الجودة'!N6</f>
        <v/>
      </c>
      <c r="H152" s="15">
        <f>'الجودة'!O6</f>
        <v/>
      </c>
      <c r="I152" s="24">
        <f>'الجودة'!G6</f>
        <v/>
      </c>
      <c r="J152" s="15">
        <f>IF($G152="",0,$G152*$I152)</f>
        <v/>
      </c>
      <c r="K152" s="15">
        <f>IF($G152="",0,$I152)</f>
        <v/>
      </c>
      <c r="L152" s="13">
        <f>'الجودة'!B6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'الجودة'!C7</f>
        <v/>
      </c>
      <c r="D153" s="15">
        <f>'الجودة'!J7</f>
        <v/>
      </c>
      <c r="E153" s="13">
        <f>'الجودة'!K7</f>
        <v/>
      </c>
      <c r="F153" s="15">
        <f>'الجودة'!L7</f>
        <v/>
      </c>
      <c r="G153" s="56">
        <f>'الجودة'!N7</f>
        <v/>
      </c>
      <c r="H153" s="15">
        <f>'الجودة'!O7</f>
        <v/>
      </c>
      <c r="I153" s="24">
        <f>'الجودة'!G7</f>
        <v/>
      </c>
      <c r="J153" s="15">
        <f>IF($G153="",0,$G153*$I153)</f>
        <v/>
      </c>
      <c r="K153" s="15">
        <f>IF($G153="",0,$I153)</f>
        <v/>
      </c>
      <c r="L153" s="13">
        <f>'الجودة'!B7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'الجودة'!C8</f>
        <v/>
      </c>
      <c r="D154" s="15">
        <f>'الجودة'!J8</f>
        <v/>
      </c>
      <c r="E154" s="13">
        <f>'الجودة'!K8</f>
        <v/>
      </c>
      <c r="F154" s="15">
        <f>'الجودة'!L8</f>
        <v/>
      </c>
      <c r="G154" s="56">
        <f>'الجودة'!N8</f>
        <v/>
      </c>
      <c r="H154" s="15">
        <f>'الجودة'!O8</f>
        <v/>
      </c>
      <c r="I154" s="24">
        <f>'الجودة'!G8</f>
        <v/>
      </c>
      <c r="J154" s="15">
        <f>IF($G154="",0,$G154*$I154)</f>
        <v/>
      </c>
      <c r="K154" s="15">
        <f>IF($G154="",0,$I154)</f>
        <v/>
      </c>
      <c r="L154" s="13">
        <f>'الجودة'!B8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'الجودة'!C9</f>
        <v/>
      </c>
      <c r="D155" s="15">
        <f>'الجودة'!J9</f>
        <v/>
      </c>
      <c r="E155" s="13">
        <f>'الجودة'!K9</f>
        <v/>
      </c>
      <c r="F155" s="15">
        <f>'الجودة'!L9</f>
        <v/>
      </c>
      <c r="G155" s="56">
        <f>'الجودة'!N9</f>
        <v/>
      </c>
      <c r="H155" s="15">
        <f>'الجودة'!O9</f>
        <v/>
      </c>
      <c r="I155" s="24">
        <f>'الجودة'!G9</f>
        <v/>
      </c>
      <c r="J155" s="15">
        <f>IF($G155="",0,$G155*$I155)</f>
        <v/>
      </c>
      <c r="K155" s="15">
        <f>IF($G155="",0,$I155)</f>
        <v/>
      </c>
      <c r="L155" s="13">
        <f>'الجودة'!B9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'الجودة'!C10</f>
        <v/>
      </c>
      <c r="D156" s="15">
        <f>'الجودة'!J10</f>
        <v/>
      </c>
      <c r="E156" s="13">
        <f>'الجودة'!K10</f>
        <v/>
      </c>
      <c r="F156" s="15">
        <f>'الجودة'!L10</f>
        <v/>
      </c>
      <c r="G156" s="56">
        <f>'الجودة'!N10</f>
        <v/>
      </c>
      <c r="H156" s="15">
        <f>'الجودة'!O10</f>
        <v/>
      </c>
      <c r="I156" s="24">
        <f>'الجودة'!G10</f>
        <v/>
      </c>
      <c r="J156" s="15">
        <f>IF($G156="",0,$G156*$I156)</f>
        <v/>
      </c>
      <c r="K156" s="15">
        <f>IF($G156="",0,$I156)</f>
        <v/>
      </c>
      <c r="L156" s="13">
        <f>'الجودة'!B10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'الجودة'!C12</f>
        <v/>
      </c>
      <c r="D157" s="15">
        <f>'الجودة'!J12</f>
        <v/>
      </c>
      <c r="E157" s="13">
        <f>'الجودة'!K12</f>
        <v/>
      </c>
      <c r="F157" s="15">
        <f>'الجودة'!L12</f>
        <v/>
      </c>
      <c r="G157" s="56">
        <f>'الجودة'!N12</f>
        <v/>
      </c>
      <c r="H157" s="15">
        <f>'الجودة'!O12</f>
        <v/>
      </c>
      <c r="I157" s="24">
        <f>'الجودة'!G12</f>
        <v/>
      </c>
      <c r="J157" s="15">
        <f>IF($G157="",0,$G157*$I157)</f>
        <v/>
      </c>
      <c r="K157" s="15">
        <f>IF($G157="",0,$I157)</f>
        <v/>
      </c>
      <c r="L157" s="13">
        <f>'الجودة'!B12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'الجودة'!C13</f>
        <v/>
      </c>
      <c r="D158" s="15">
        <f>'الجودة'!J13</f>
        <v/>
      </c>
      <c r="E158" s="13">
        <f>'الجودة'!K13</f>
        <v/>
      </c>
      <c r="F158" s="15">
        <f>'الجودة'!L13</f>
        <v/>
      </c>
      <c r="G158" s="56">
        <f>'الجودة'!N13</f>
        <v/>
      </c>
      <c r="H158" s="15">
        <f>'الجودة'!O13</f>
        <v/>
      </c>
      <c r="I158" s="24">
        <f>'الجودة'!G13</f>
        <v/>
      </c>
      <c r="J158" s="15">
        <f>IF($G158="",0,$G158*$I158)</f>
        <v/>
      </c>
      <c r="K158" s="15">
        <f>IF($G158="",0,$I158)</f>
        <v/>
      </c>
      <c r="L158" s="13">
        <f>'الجودة'!B13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'الجودة'!C14</f>
        <v/>
      </c>
      <c r="D159" s="15">
        <f>'الجودة'!J14</f>
        <v/>
      </c>
      <c r="E159" s="13">
        <f>'الجودة'!K14</f>
        <v/>
      </c>
      <c r="F159" s="15">
        <f>'الجودة'!L14</f>
        <v/>
      </c>
      <c r="G159" s="56">
        <f>'الجودة'!N14</f>
        <v/>
      </c>
      <c r="H159" s="15">
        <f>'الجودة'!O14</f>
        <v/>
      </c>
      <c r="I159" s="24">
        <f>'الجودة'!G14</f>
        <v/>
      </c>
      <c r="J159" s="15">
        <f>IF($G159="",0,$G159*$I159)</f>
        <v/>
      </c>
      <c r="K159" s="15">
        <f>IF($G159="",0,$I159)</f>
        <v/>
      </c>
      <c r="L159" s="13">
        <f>'الجودة'!B14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'الجودة'!C15</f>
        <v/>
      </c>
      <c r="D160" s="15">
        <f>'الجودة'!J15</f>
        <v/>
      </c>
      <c r="E160" s="13">
        <f>'الجودة'!K15</f>
        <v/>
      </c>
      <c r="F160" s="15">
        <f>'الجودة'!L15</f>
        <v/>
      </c>
      <c r="G160" s="56">
        <f>'الجودة'!N15</f>
        <v/>
      </c>
      <c r="H160" s="15">
        <f>'الجودة'!O15</f>
        <v/>
      </c>
      <c r="I160" s="24">
        <f>'الجودة'!G15</f>
        <v/>
      </c>
      <c r="J160" s="15">
        <f>IF($G160="",0,$G160*$I160)</f>
        <v/>
      </c>
      <c r="K160" s="15">
        <f>IF($G160="",0,$I160)</f>
        <v/>
      </c>
      <c r="L160" s="13">
        <f>'الجودة'!B15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'الجودة'!C16</f>
        <v/>
      </c>
      <c r="D161" s="15">
        <f>'الجودة'!J16</f>
        <v/>
      </c>
      <c r="E161" s="13">
        <f>'الجودة'!K16</f>
        <v/>
      </c>
      <c r="F161" s="15">
        <f>'الجودة'!L16</f>
        <v/>
      </c>
      <c r="G161" s="56">
        <f>'الجودة'!N16</f>
        <v/>
      </c>
      <c r="H161" s="15">
        <f>'الجودة'!O16</f>
        <v/>
      </c>
      <c r="I161" s="24">
        <f>'الجودة'!G16</f>
        <v/>
      </c>
      <c r="J161" s="15">
        <f>IF($G161="",0,$G161*$I161)</f>
        <v/>
      </c>
      <c r="K161" s="15">
        <f>IF($G161="",0,$I161)</f>
        <v/>
      </c>
      <c r="L161" s="13">
        <f>'الجودة'!B16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'الجودة'!C18</f>
        <v/>
      </c>
      <c r="D162" s="15">
        <f>'الجودة'!J18</f>
        <v/>
      </c>
      <c r="E162" s="13">
        <f>'الجودة'!K18</f>
        <v/>
      </c>
      <c r="F162" s="15">
        <f>'الجودة'!L18</f>
        <v/>
      </c>
      <c r="G162" s="56">
        <f>'الجودة'!N18</f>
        <v/>
      </c>
      <c r="H162" s="15">
        <f>'الجودة'!O18</f>
        <v/>
      </c>
      <c r="I162" s="24">
        <f>'الجودة'!G18</f>
        <v/>
      </c>
      <c r="J162" s="15">
        <f>IF($G162="",0,$G162*$I162)</f>
        <v/>
      </c>
      <c r="K162" s="15">
        <f>IF($G162="",0,$I162)</f>
        <v/>
      </c>
      <c r="L162" s="13">
        <f>'الجودة'!B18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'الجودة'!C19</f>
        <v/>
      </c>
      <c r="D163" s="15">
        <f>'الجودة'!J19</f>
        <v/>
      </c>
      <c r="E163" s="13">
        <f>'الجودة'!K19</f>
        <v/>
      </c>
      <c r="F163" s="15">
        <f>'الجودة'!L19</f>
        <v/>
      </c>
      <c r="G163" s="56">
        <f>'الجودة'!N19</f>
        <v/>
      </c>
      <c r="H163" s="15">
        <f>'الجودة'!O19</f>
        <v/>
      </c>
      <c r="I163" s="24">
        <f>'الجودة'!G19</f>
        <v/>
      </c>
      <c r="J163" s="15">
        <f>IF($G163="",0,$G163*$I163)</f>
        <v/>
      </c>
      <c r="K163" s="15">
        <f>IF($G163="",0,$I163)</f>
        <v/>
      </c>
      <c r="L163" s="13">
        <f>'الجودة'!B19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'الجودة'!C20</f>
        <v/>
      </c>
      <c r="D164" s="15">
        <f>'الجودة'!J20</f>
        <v/>
      </c>
      <c r="E164" s="13">
        <f>'الجودة'!K20</f>
        <v/>
      </c>
      <c r="F164" s="15">
        <f>'الجودة'!L20</f>
        <v/>
      </c>
      <c r="G164" s="56">
        <f>'الجودة'!N20</f>
        <v/>
      </c>
      <c r="H164" s="15">
        <f>'الجودة'!O20</f>
        <v/>
      </c>
      <c r="I164" s="24">
        <f>'الجودة'!G20</f>
        <v/>
      </c>
      <c r="J164" s="15">
        <f>IF($G164="",0,$G164*$I164)</f>
        <v/>
      </c>
      <c r="K164" s="15">
        <f>IF($G164="",0,$I164)</f>
        <v/>
      </c>
      <c r="L164" s="13">
        <f>'الجودة'!B20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'الجودة'!C21</f>
        <v/>
      </c>
      <c r="D165" s="15">
        <f>'الجودة'!J21</f>
        <v/>
      </c>
      <c r="E165" s="13">
        <f>'الجودة'!K21</f>
        <v/>
      </c>
      <c r="F165" s="15">
        <f>'الجودة'!L21</f>
        <v/>
      </c>
      <c r="G165" s="56">
        <f>'الجودة'!N21</f>
        <v/>
      </c>
      <c r="H165" s="15">
        <f>'الجودة'!O21</f>
        <v/>
      </c>
      <c r="I165" s="24">
        <f>'الجودة'!G21</f>
        <v/>
      </c>
      <c r="J165" s="15">
        <f>IF($G165="",0,$G165*$I165)</f>
        <v/>
      </c>
      <c r="K165" s="15">
        <f>IF($G165="",0,$I165)</f>
        <v/>
      </c>
      <c r="L165" s="13">
        <f>'الجودة'!B21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'الجودة'!C22</f>
        <v/>
      </c>
      <c r="D166" s="15">
        <f>'الجودة'!J22</f>
        <v/>
      </c>
      <c r="E166" s="13">
        <f>'الجودة'!K22</f>
        <v/>
      </c>
      <c r="F166" s="15">
        <f>'الجودة'!L22</f>
        <v/>
      </c>
      <c r="G166" s="56">
        <f>'الجودة'!N22</f>
        <v/>
      </c>
      <c r="H166" s="15">
        <f>'الجودة'!O22</f>
        <v/>
      </c>
      <c r="I166" s="24">
        <f>'الجودة'!G22</f>
        <v/>
      </c>
      <c r="J166" s="15">
        <f>IF($G166="",0,$G166*$I166)</f>
        <v/>
      </c>
      <c r="K166" s="15">
        <f>IF($G166="",0,$I166)</f>
        <v/>
      </c>
      <c r="L166" s="13">
        <f>'الجودة'!B22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'الجودة'!C24</f>
        <v/>
      </c>
      <c r="D167" s="15">
        <f>'الجودة'!J24</f>
        <v/>
      </c>
      <c r="E167" s="13">
        <f>'الجودة'!K24</f>
        <v/>
      </c>
      <c r="F167" s="15">
        <f>'الجودة'!L24</f>
        <v/>
      </c>
      <c r="G167" s="56">
        <f>'الجودة'!N24</f>
        <v/>
      </c>
      <c r="H167" s="15">
        <f>'الجودة'!O24</f>
        <v/>
      </c>
      <c r="I167" s="24">
        <f>'الجودة'!G24</f>
        <v/>
      </c>
      <c r="J167" s="15">
        <f>IF($G167="",0,$G167*$I167)</f>
        <v/>
      </c>
      <c r="K167" s="15">
        <f>IF($G167="",0,$I167)</f>
        <v/>
      </c>
      <c r="L167" s="13">
        <f>'الجودة'!B24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'الجودة'!C25</f>
        <v/>
      </c>
      <c r="D168" s="15">
        <f>'الجودة'!J25</f>
        <v/>
      </c>
      <c r="E168" s="13">
        <f>'الجودة'!K25</f>
        <v/>
      </c>
      <c r="F168" s="15">
        <f>'الجودة'!L25</f>
        <v/>
      </c>
      <c r="G168" s="56">
        <f>'الجودة'!N25</f>
        <v/>
      </c>
      <c r="H168" s="15">
        <f>'الجودة'!O25</f>
        <v/>
      </c>
      <c r="I168" s="24">
        <f>'الجودة'!G25</f>
        <v/>
      </c>
      <c r="J168" s="15">
        <f>IF($G168="",0,$G168*$I168)</f>
        <v/>
      </c>
      <c r="K168" s="15">
        <f>IF($G168="",0,$I168)</f>
        <v/>
      </c>
      <c r="L168" s="13">
        <f>'الجودة'!B25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'الجودة'!C26</f>
        <v/>
      </c>
      <c r="D169" s="15">
        <f>'الجودة'!J26</f>
        <v/>
      </c>
      <c r="E169" s="13">
        <f>'الجودة'!K26</f>
        <v/>
      </c>
      <c r="F169" s="15">
        <f>'الجودة'!L26</f>
        <v/>
      </c>
      <c r="G169" s="56">
        <f>'الجودة'!N26</f>
        <v/>
      </c>
      <c r="H169" s="15">
        <f>'الجودة'!O26</f>
        <v/>
      </c>
      <c r="I169" s="24">
        <f>'الجودة'!G26</f>
        <v/>
      </c>
      <c r="J169" s="15">
        <f>IF($G169="",0,$G169*$I169)</f>
        <v/>
      </c>
      <c r="K169" s="15">
        <f>IF($G169="",0,$I169)</f>
        <v/>
      </c>
      <c r="L169" s="13">
        <f>'الجودة'!B26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'الجودة'!C27</f>
        <v/>
      </c>
      <c r="D170" s="15">
        <f>'الجودة'!J27</f>
        <v/>
      </c>
      <c r="E170" s="13">
        <f>'الجودة'!K27</f>
        <v/>
      </c>
      <c r="F170" s="15">
        <f>'الجودة'!L27</f>
        <v/>
      </c>
      <c r="G170" s="56">
        <f>'الجودة'!N27</f>
        <v/>
      </c>
      <c r="H170" s="15">
        <f>'الجودة'!O27</f>
        <v/>
      </c>
      <c r="I170" s="24">
        <f>'الجودة'!G27</f>
        <v/>
      </c>
      <c r="J170" s="15">
        <f>IF($G170="",0,$G170*$I170)</f>
        <v/>
      </c>
      <c r="K170" s="15">
        <f>IF($G170="",0,$I170)</f>
        <v/>
      </c>
      <c r="L170" s="13">
        <f>'الجودة'!B27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'الجودة'!C28</f>
        <v/>
      </c>
      <c r="D171" s="15">
        <f>'الجودة'!J28</f>
        <v/>
      </c>
      <c r="E171" s="13">
        <f>'الجودة'!K28</f>
        <v/>
      </c>
      <c r="F171" s="15">
        <f>'الجودة'!L28</f>
        <v/>
      </c>
      <c r="G171" s="56">
        <f>'الجودة'!N28</f>
        <v/>
      </c>
      <c r="H171" s="15">
        <f>'الجودة'!O28</f>
        <v/>
      </c>
      <c r="I171" s="24">
        <f>'الجودة'!G28</f>
        <v/>
      </c>
      <c r="J171" s="15">
        <f>IF($G171="",0,$G171*$I171)</f>
        <v/>
      </c>
      <c r="K171" s="15">
        <f>IF($G171="",0,$I171)</f>
        <v/>
      </c>
      <c r="L171" s="13">
        <f>'الجودة'!B28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'الجودة'!C30</f>
        <v/>
      </c>
      <c r="D172" s="15">
        <f>'الجودة'!J30</f>
        <v/>
      </c>
      <c r="E172" s="13">
        <f>'الجودة'!K30</f>
        <v/>
      </c>
      <c r="F172" s="15">
        <f>'الجودة'!L30</f>
        <v/>
      </c>
      <c r="G172" s="56">
        <f>'الجودة'!N30</f>
        <v/>
      </c>
      <c r="H172" s="15">
        <f>'الجودة'!O30</f>
        <v/>
      </c>
      <c r="I172" s="24">
        <f>'الجودة'!G30</f>
        <v/>
      </c>
      <c r="J172" s="15">
        <f>IF($G172="",0,$G172*$I172)</f>
        <v/>
      </c>
      <c r="K172" s="15">
        <f>IF($G172="",0,$I172)</f>
        <v/>
      </c>
      <c r="L172" s="13">
        <f>'الجودة'!B30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'الجودة'!C31</f>
        <v/>
      </c>
      <c r="D173" s="15">
        <f>'الجودة'!J31</f>
        <v/>
      </c>
      <c r="E173" s="13">
        <f>'الجودة'!K31</f>
        <v/>
      </c>
      <c r="F173" s="15">
        <f>'الجودة'!L31</f>
        <v/>
      </c>
      <c r="G173" s="56">
        <f>'الجودة'!N31</f>
        <v/>
      </c>
      <c r="H173" s="15">
        <f>'الجودة'!O31</f>
        <v/>
      </c>
      <c r="I173" s="24">
        <f>'الجودة'!G31</f>
        <v/>
      </c>
      <c r="J173" s="15">
        <f>IF($G173="",0,$G173*$I173)</f>
        <v/>
      </c>
      <c r="K173" s="15">
        <f>IF($G173="",0,$I173)</f>
        <v/>
      </c>
      <c r="L173" s="13">
        <f>'الجودة'!B31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'الجودة'!C32</f>
        <v/>
      </c>
      <c r="D174" s="15">
        <f>'الجودة'!J32</f>
        <v/>
      </c>
      <c r="E174" s="13">
        <f>'الجودة'!K32</f>
        <v/>
      </c>
      <c r="F174" s="15">
        <f>'الجودة'!L32</f>
        <v/>
      </c>
      <c r="G174" s="56">
        <f>'الجودة'!N32</f>
        <v/>
      </c>
      <c r="H174" s="15">
        <f>'الجودة'!O32</f>
        <v/>
      </c>
      <c r="I174" s="24">
        <f>'الجودة'!G32</f>
        <v/>
      </c>
      <c r="J174" s="15">
        <f>IF($G174="",0,$G174*$I174)</f>
        <v/>
      </c>
      <c r="K174" s="15">
        <f>IF($G174="",0,$I174)</f>
        <v/>
      </c>
      <c r="L174" s="13">
        <f>'الجودة'!B32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'الجودة'!C33</f>
        <v/>
      </c>
      <c r="D175" s="15">
        <f>'الجودة'!J33</f>
        <v/>
      </c>
      <c r="E175" s="13">
        <f>'الجودة'!K33</f>
        <v/>
      </c>
      <c r="F175" s="15">
        <f>'الجودة'!L33</f>
        <v/>
      </c>
      <c r="G175" s="56">
        <f>'الجودة'!N33</f>
        <v/>
      </c>
      <c r="H175" s="15">
        <f>'الجودة'!O33</f>
        <v/>
      </c>
      <c r="I175" s="24">
        <f>'الجودة'!G33</f>
        <v/>
      </c>
      <c r="J175" s="15">
        <f>IF($G175="",0,$G175*$I175)</f>
        <v/>
      </c>
      <c r="K175" s="15">
        <f>IF($G175="",0,$I175)</f>
        <v/>
      </c>
      <c r="L175" s="13">
        <f>'الجودة'!B33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'الجودة'!C34</f>
        <v/>
      </c>
      <c r="D176" s="15">
        <f>'الجودة'!J34</f>
        <v/>
      </c>
      <c r="E176" s="13">
        <f>'الجودة'!K34</f>
        <v/>
      </c>
      <c r="F176" s="15">
        <f>'الجودة'!L34</f>
        <v/>
      </c>
      <c r="G176" s="56">
        <f>'الجودة'!N34</f>
        <v/>
      </c>
      <c r="H176" s="15">
        <f>'الجودة'!O34</f>
        <v/>
      </c>
      <c r="I176" s="24">
        <f>'الجودة'!G34</f>
        <v/>
      </c>
      <c r="J176" s="15">
        <f>IF($G176="",0,$G176*$I176)</f>
        <v/>
      </c>
      <c r="K176" s="15">
        <f>IF($G176="",0,$I176)</f>
        <v/>
      </c>
      <c r="L176" s="13">
        <f>'الجودة'!B34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'الجودة'!C36</f>
        <v/>
      </c>
      <c r="D177" s="15">
        <f>'الجودة'!J36</f>
        <v/>
      </c>
      <c r="E177" s="13">
        <f>'الجودة'!K36</f>
        <v/>
      </c>
      <c r="F177" s="15">
        <f>'الجودة'!L36</f>
        <v/>
      </c>
      <c r="G177" s="56">
        <f>'الجودة'!N36</f>
        <v/>
      </c>
      <c r="H177" s="15">
        <f>'الجودة'!O36</f>
        <v/>
      </c>
      <c r="I177" s="24">
        <f>'الجودة'!G36</f>
        <v/>
      </c>
      <c r="J177" s="15">
        <f>IF($G177="",0,$G177*$I177)</f>
        <v/>
      </c>
      <c r="K177" s="15">
        <f>IF($G177="",0,$I177)</f>
        <v/>
      </c>
      <c r="L177" s="13">
        <f>'الجودة'!B36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'الجودة'!C37</f>
        <v/>
      </c>
      <c r="D178" s="15">
        <f>'الجودة'!J37</f>
        <v/>
      </c>
      <c r="E178" s="13">
        <f>'الجودة'!K37</f>
        <v/>
      </c>
      <c r="F178" s="15">
        <f>'الجودة'!L37</f>
        <v/>
      </c>
      <c r="G178" s="56">
        <f>'الجودة'!N37</f>
        <v/>
      </c>
      <c r="H178" s="15">
        <f>'الجودة'!O37</f>
        <v/>
      </c>
      <c r="I178" s="24">
        <f>'الجودة'!G37</f>
        <v/>
      </c>
      <c r="J178" s="15">
        <f>IF($G178="",0,$G178*$I178)</f>
        <v/>
      </c>
      <c r="K178" s="15">
        <f>IF($G178="",0,$I178)</f>
        <v/>
      </c>
      <c r="L178" s="13">
        <f>'الجودة'!B37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'الجودة'!C38</f>
        <v/>
      </c>
      <c r="D179" s="15">
        <f>'الجودة'!J38</f>
        <v/>
      </c>
      <c r="E179" s="13">
        <f>'الجودة'!K38</f>
        <v/>
      </c>
      <c r="F179" s="15">
        <f>'الجودة'!L38</f>
        <v/>
      </c>
      <c r="G179" s="56">
        <f>'الجودة'!N38</f>
        <v/>
      </c>
      <c r="H179" s="15">
        <f>'الجودة'!O38</f>
        <v/>
      </c>
      <c r="I179" s="24">
        <f>'الجودة'!G38</f>
        <v/>
      </c>
      <c r="J179" s="15">
        <f>IF($G179="",0,$G179*$I179)</f>
        <v/>
      </c>
      <c r="K179" s="15">
        <f>IF($G179="",0,$I179)</f>
        <v/>
      </c>
      <c r="L179" s="13">
        <f>'الجودة'!B38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'الجودة'!C39</f>
        <v/>
      </c>
      <c r="D180" s="15">
        <f>'الجودة'!J39</f>
        <v/>
      </c>
      <c r="E180" s="13">
        <f>'الجودة'!K39</f>
        <v/>
      </c>
      <c r="F180" s="15">
        <f>'الجودة'!L39</f>
        <v/>
      </c>
      <c r="G180" s="56">
        <f>'الجودة'!N39</f>
        <v/>
      </c>
      <c r="H180" s="15">
        <f>'الجودة'!O39</f>
        <v/>
      </c>
      <c r="I180" s="24">
        <f>'الجودة'!G39</f>
        <v/>
      </c>
      <c r="J180" s="15">
        <f>IF($G180="",0,$G180*$I180)</f>
        <v/>
      </c>
      <c r="K180" s="15">
        <f>IF($G180="",0,$I180)</f>
        <v/>
      </c>
      <c r="L180" s="13">
        <f>'الجودة'!B39</f>
        <v/>
      </c>
    </row>
    <row r="181">
      <c r="A181" s="15" t="n">
        <v>180</v>
      </c>
      <c r="B181" s="13" t="inlineStr">
        <is>
          <t>الإدارة القانونية</t>
        </is>
      </c>
      <c r="C181" s="13">
        <f>'الإدارة القانونية'!C5</f>
        <v/>
      </c>
      <c r="D181" s="15">
        <f>'الإدارة القانونية'!J5</f>
        <v/>
      </c>
      <c r="E181" s="13">
        <f>'الإدارة القانونية'!K5</f>
        <v/>
      </c>
      <c r="F181" s="15">
        <f>'الإدارة القانونية'!L5</f>
        <v/>
      </c>
      <c r="G181" s="56">
        <f>'الإدارة القانونية'!N5</f>
        <v/>
      </c>
      <c r="H181" s="15">
        <f>'الإدارة القانونية'!O5</f>
        <v/>
      </c>
      <c r="I181" s="24">
        <f>'الإدارة القانونية'!G5</f>
        <v/>
      </c>
      <c r="J181" s="15">
        <f>IF($G181="",0,$G181*$I181)</f>
        <v/>
      </c>
      <c r="K181" s="15">
        <f>IF($G181="",0,$I181)</f>
        <v/>
      </c>
      <c r="L181" s="13">
        <f>'الإدارة القانونية'!B5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القانونية'!C6</f>
        <v/>
      </c>
      <c r="D182" s="15">
        <f>'الإدارة القانونية'!J6</f>
        <v/>
      </c>
      <c r="E182" s="13">
        <f>'الإدارة القانونية'!K6</f>
        <v/>
      </c>
      <c r="F182" s="15">
        <f>'الإدارة القانونية'!L6</f>
        <v/>
      </c>
      <c r="G182" s="56">
        <f>'الإدارة القانونية'!N6</f>
        <v/>
      </c>
      <c r="H182" s="15">
        <f>'الإدارة القانونية'!O6</f>
        <v/>
      </c>
      <c r="I182" s="24">
        <f>'الإدارة القانونية'!G6</f>
        <v/>
      </c>
      <c r="J182" s="15">
        <f>IF($G182="",0,$G182*$I182)</f>
        <v/>
      </c>
      <c r="K182" s="15">
        <f>IF($G182="",0,$I182)</f>
        <v/>
      </c>
      <c r="L182" s="13">
        <f>'الإدارة القانونية'!B6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القانونية'!C7</f>
        <v/>
      </c>
      <c r="D183" s="15">
        <f>'الإدارة القانونية'!J7</f>
        <v/>
      </c>
      <c r="E183" s="13">
        <f>'الإدارة القانونية'!K7</f>
        <v/>
      </c>
      <c r="F183" s="15">
        <f>'الإدارة القانونية'!L7</f>
        <v/>
      </c>
      <c r="G183" s="56">
        <f>'الإدارة القانونية'!N7</f>
        <v/>
      </c>
      <c r="H183" s="15">
        <f>'الإدارة القانونية'!O7</f>
        <v/>
      </c>
      <c r="I183" s="24">
        <f>'الإدارة القانونية'!G7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القانونية'!B7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القانونية'!C9</f>
        <v/>
      </c>
      <c r="D184" s="15">
        <f>'الإدارة القانونية'!J9</f>
        <v/>
      </c>
      <c r="E184" s="13">
        <f>'الإدارة القانونية'!K9</f>
        <v/>
      </c>
      <c r="F184" s="15">
        <f>'الإدارة القانونية'!L9</f>
        <v/>
      </c>
      <c r="G184" s="56">
        <f>'الإدارة القانونية'!N9</f>
        <v/>
      </c>
      <c r="H184" s="15">
        <f>'الإدارة القانونية'!O9</f>
        <v/>
      </c>
      <c r="I184" s="24">
        <f>'الإدارة القانونية'!G9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القانونية'!B9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القانونية'!C10</f>
        <v/>
      </c>
      <c r="D185" s="15">
        <f>'الإدارة القانونية'!J10</f>
        <v/>
      </c>
      <c r="E185" s="13">
        <f>'الإدارة القانونية'!K10</f>
        <v/>
      </c>
      <c r="F185" s="15">
        <f>'الإدارة القانونية'!L10</f>
        <v/>
      </c>
      <c r="G185" s="56">
        <f>'الإدارة القانونية'!N10</f>
        <v/>
      </c>
      <c r="H185" s="15">
        <f>'الإدارة القانونية'!O10</f>
        <v/>
      </c>
      <c r="I185" s="24">
        <f>'الإدارة القانونية'!G10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القانونية'!B10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القانونية'!C11</f>
        <v/>
      </c>
      <c r="D186" s="15">
        <f>'الإدارة القانونية'!J11</f>
        <v/>
      </c>
      <c r="E186" s="13">
        <f>'الإدارة القانونية'!K11</f>
        <v/>
      </c>
      <c r="F186" s="15">
        <f>'الإدارة القانونية'!L11</f>
        <v/>
      </c>
      <c r="G186" s="56">
        <f>'الإدارة القانونية'!N11</f>
        <v/>
      </c>
      <c r="H186" s="15">
        <f>'الإدارة القانونية'!O11</f>
        <v/>
      </c>
      <c r="I186" s="24">
        <f>'الإدارة القانونية'!G11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القانونية'!B11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القانونية'!C13</f>
        <v/>
      </c>
      <c r="D187" s="15">
        <f>'الإدارة القانونية'!J13</f>
        <v/>
      </c>
      <c r="E187" s="13">
        <f>'الإدارة القانونية'!K13</f>
        <v/>
      </c>
      <c r="F187" s="15">
        <f>'الإدارة القانونية'!L13</f>
        <v/>
      </c>
      <c r="G187" s="56">
        <f>'الإدارة القانونية'!N13</f>
        <v/>
      </c>
      <c r="H187" s="15">
        <f>'الإدارة القانونية'!O13</f>
        <v/>
      </c>
      <c r="I187" s="24">
        <f>'الإدارة القانونية'!G13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القانونية'!B13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القانونية'!C14</f>
        <v/>
      </c>
      <c r="D188" s="15">
        <f>'الإدارة القانونية'!J14</f>
        <v/>
      </c>
      <c r="E188" s="13">
        <f>'الإدارة القانونية'!K14</f>
        <v/>
      </c>
      <c r="F188" s="15">
        <f>'الإدارة القانونية'!L14</f>
        <v/>
      </c>
      <c r="G188" s="56">
        <f>'الإدارة القانونية'!N14</f>
        <v/>
      </c>
      <c r="H188" s="15">
        <f>'الإدارة القانونية'!O14</f>
        <v/>
      </c>
      <c r="I188" s="24">
        <f>'الإدارة القانونية'!G14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القانونية'!B14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القانونية'!C16</f>
        <v/>
      </c>
      <c r="D189" s="15">
        <f>'الإدارة القانونية'!J16</f>
        <v/>
      </c>
      <c r="E189" s="13">
        <f>'الإدارة القانونية'!K16</f>
        <v/>
      </c>
      <c r="F189" s="15">
        <f>'الإدارة القانونية'!L16</f>
        <v/>
      </c>
      <c r="G189" s="56">
        <f>'الإدارة القانونية'!N16</f>
        <v/>
      </c>
      <c r="H189" s="15">
        <f>'الإدارة القانونية'!O16</f>
        <v/>
      </c>
      <c r="I189" s="24">
        <f>'الإدارة القانونية'!G16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القانونية'!B16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القانونية'!C17</f>
        <v/>
      </c>
      <c r="D190" s="15">
        <f>'الإدارة القانونية'!J17</f>
        <v/>
      </c>
      <c r="E190" s="13">
        <f>'الإدارة القانونية'!K17</f>
        <v/>
      </c>
      <c r="F190" s="15">
        <f>'الإدارة القانونية'!L17</f>
        <v/>
      </c>
      <c r="G190" s="56">
        <f>'الإدارة القانونية'!N17</f>
        <v/>
      </c>
      <c r="H190" s="15">
        <f>'الإدارة القانونية'!O17</f>
        <v/>
      </c>
      <c r="I190" s="24">
        <f>'الإدارة القانونية'!G17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القانونية'!B17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القانونية'!C18</f>
        <v/>
      </c>
      <c r="D191" s="15">
        <f>'الإدارة القانونية'!J18</f>
        <v/>
      </c>
      <c r="E191" s="13">
        <f>'الإدارة القانونية'!K18</f>
        <v/>
      </c>
      <c r="F191" s="15">
        <f>'الإدارة القانونية'!L18</f>
        <v/>
      </c>
      <c r="G191" s="56">
        <f>'الإدارة القانونية'!N18</f>
        <v/>
      </c>
      <c r="H191" s="15">
        <f>'الإدارة القانونية'!O18</f>
        <v/>
      </c>
      <c r="I191" s="24">
        <f>'الإدارة القانونية'!G18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القانونية'!B18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القانونية'!C19</f>
        <v/>
      </c>
      <c r="D192" s="15">
        <f>'الإدارة القانونية'!J19</f>
        <v/>
      </c>
      <c r="E192" s="13">
        <f>'الإدارة القانونية'!K19</f>
        <v/>
      </c>
      <c r="F192" s="15">
        <f>'الإدارة القانونية'!L19</f>
        <v/>
      </c>
      <c r="G192" s="56">
        <f>'الإدارة القانونية'!N19</f>
        <v/>
      </c>
      <c r="H192" s="15">
        <f>'الإدارة القانونية'!O19</f>
        <v/>
      </c>
      <c r="I192" s="24">
        <f>'الإدارة القانونية'!G19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القانونية'!B19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القانونية'!C20</f>
        <v/>
      </c>
      <c r="D193" s="15">
        <f>'الإدارة القانونية'!J20</f>
        <v/>
      </c>
      <c r="E193" s="13">
        <f>'الإدارة القانونية'!K20</f>
        <v/>
      </c>
      <c r="F193" s="15">
        <f>'الإدارة القانونية'!L20</f>
        <v/>
      </c>
      <c r="G193" s="56">
        <f>'الإدارة القانونية'!N20</f>
        <v/>
      </c>
      <c r="H193" s="15">
        <f>'الإدارة القانونية'!O20</f>
        <v/>
      </c>
      <c r="I193" s="24">
        <f>'الإدارة القانونية'!G20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القانونية'!B20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المالية'!C5</f>
        <v/>
      </c>
      <c r="D194" s="15">
        <f>'الإدارة المالية'!J5</f>
        <v/>
      </c>
      <c r="E194" s="13">
        <f>'الإدارة المالية'!K5</f>
        <v/>
      </c>
      <c r="F194" s="15">
        <f>'الإدارة المالية'!L5</f>
        <v/>
      </c>
      <c r="G194" s="56">
        <f>'الإدارة المالية'!N5</f>
        <v/>
      </c>
      <c r="H194" s="15">
        <f>'الإدارة المالية'!O5</f>
        <v/>
      </c>
      <c r="I194" s="24">
        <f>'الإدارة المالية'!G5</f>
        <v/>
      </c>
      <c r="J194" s="15">
        <f>IF($G194="",0,$G194*$I194)</f>
        <v/>
      </c>
      <c r="K194" s="15">
        <f>IF($G194="",0,$I194)</f>
        <v/>
      </c>
      <c r="L194" s="13">
        <f>'الإدارة المالية'!B5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المالية'!C6</f>
        <v/>
      </c>
      <c r="D195" s="15">
        <f>'الإدارة المالية'!J6</f>
        <v/>
      </c>
      <c r="E195" s="13">
        <f>'الإدارة المالية'!K6</f>
        <v/>
      </c>
      <c r="F195" s="15">
        <f>'الإدارة المالية'!L6</f>
        <v/>
      </c>
      <c r="G195" s="56">
        <f>'الإدارة المالية'!N6</f>
        <v/>
      </c>
      <c r="H195" s="15">
        <f>'الإدارة المالية'!O6</f>
        <v/>
      </c>
      <c r="I195" s="24">
        <f>'الإدارة المالية'!G6</f>
        <v/>
      </c>
      <c r="J195" s="15">
        <f>IF($G195="",0,$G195*$I195)</f>
        <v/>
      </c>
      <c r="K195" s="15">
        <f>IF($G195="",0,$I195)</f>
        <v/>
      </c>
      <c r="L195" s="13">
        <f>'الإدارة المالية'!B6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المالية'!C7</f>
        <v/>
      </c>
      <c r="D196" s="15">
        <f>'الإدارة المالية'!J7</f>
        <v/>
      </c>
      <c r="E196" s="13">
        <f>'الإدارة المالية'!K7</f>
        <v/>
      </c>
      <c r="F196" s="15">
        <f>'الإدارة المالية'!L7</f>
        <v/>
      </c>
      <c r="G196" s="56">
        <f>'الإدارة المالية'!N7</f>
        <v/>
      </c>
      <c r="H196" s="15">
        <f>'الإدارة المالية'!O7</f>
        <v/>
      </c>
      <c r="I196" s="24">
        <f>'الإدارة المالية'!G7</f>
        <v/>
      </c>
      <c r="J196" s="15">
        <f>IF($G196="",0,$G196*$I196)</f>
        <v/>
      </c>
      <c r="K196" s="15">
        <f>IF($G196="",0,$I196)</f>
        <v/>
      </c>
      <c r="L196" s="13">
        <f>'الإدارة المالية'!B7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المالية'!C8</f>
        <v/>
      </c>
      <c r="D197" s="15">
        <f>'الإدارة المالية'!J8</f>
        <v/>
      </c>
      <c r="E197" s="13">
        <f>'الإدارة المالية'!K8</f>
        <v/>
      </c>
      <c r="F197" s="15">
        <f>'الإدارة المالية'!L8</f>
        <v/>
      </c>
      <c r="G197" s="56">
        <f>'الإدارة المالية'!N8</f>
        <v/>
      </c>
      <c r="H197" s="15">
        <f>'الإدارة المالية'!O8</f>
        <v/>
      </c>
      <c r="I197" s="24">
        <f>'الإدارة المالية'!G8</f>
        <v/>
      </c>
      <c r="J197" s="15">
        <f>IF($G197="",0,$G197*$I197)</f>
        <v/>
      </c>
      <c r="K197" s="15">
        <f>IF($G197="",0,$I197)</f>
        <v/>
      </c>
      <c r="L197" s="13">
        <f>'الإدارة المالية'!B8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المالية'!C9</f>
        <v/>
      </c>
      <c r="D198" s="15">
        <f>'الإدارة المالية'!J9</f>
        <v/>
      </c>
      <c r="E198" s="13">
        <f>'الإدارة المالية'!K9</f>
        <v/>
      </c>
      <c r="F198" s="15">
        <f>'الإدارة المالية'!L9</f>
        <v/>
      </c>
      <c r="G198" s="56">
        <f>'الإدارة المالية'!N9</f>
        <v/>
      </c>
      <c r="H198" s="15">
        <f>'الإدارة المالية'!O9</f>
        <v/>
      </c>
      <c r="I198" s="24">
        <f>'الإدارة المالية'!G9</f>
        <v/>
      </c>
      <c r="J198" s="15">
        <f>IF($G198="",0,$G198*$I198)</f>
        <v/>
      </c>
      <c r="K198" s="15">
        <f>IF($G198="",0,$I198)</f>
        <v/>
      </c>
      <c r="L198" s="13">
        <f>'الإدارة المالية'!B9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المالية'!C11</f>
        <v/>
      </c>
      <c r="D199" s="15">
        <f>'الإدارة المالية'!J11</f>
        <v/>
      </c>
      <c r="E199" s="13">
        <f>'الإدارة المالية'!K11</f>
        <v/>
      </c>
      <c r="F199" s="15">
        <f>'الإدارة المالية'!L11</f>
        <v/>
      </c>
      <c r="G199" s="56">
        <f>'الإدارة المالية'!N11</f>
        <v/>
      </c>
      <c r="H199" s="15">
        <f>'الإدارة المالية'!O11</f>
        <v/>
      </c>
      <c r="I199" s="24">
        <f>'الإدارة المالية'!G11</f>
        <v/>
      </c>
      <c r="J199" s="15">
        <f>IF($G199="",0,$G199*$I199)</f>
        <v/>
      </c>
      <c r="K199" s="15">
        <f>IF($G199="",0,$I199)</f>
        <v/>
      </c>
      <c r="L199" s="13">
        <f>'الإدارة المالية'!B11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المالية'!C12</f>
        <v/>
      </c>
      <c r="D200" s="15">
        <f>'الإدارة المالية'!J12</f>
        <v/>
      </c>
      <c r="E200" s="13">
        <f>'الإدارة المالية'!K12</f>
        <v/>
      </c>
      <c r="F200" s="15">
        <f>'الإدارة المالية'!L12</f>
        <v/>
      </c>
      <c r="G200" s="56">
        <f>'الإدارة المالية'!N12</f>
        <v/>
      </c>
      <c r="H200" s="15">
        <f>'الإدارة المالية'!O12</f>
        <v/>
      </c>
      <c r="I200" s="24">
        <f>'الإدارة المالية'!G12</f>
        <v/>
      </c>
      <c r="J200" s="15">
        <f>IF($G200="",0,$G200*$I200)</f>
        <v/>
      </c>
      <c r="K200" s="15">
        <f>IF($G200="",0,$I200)</f>
        <v/>
      </c>
      <c r="L200" s="13">
        <f>'الإدارة المالية'!B12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المالية'!C14</f>
        <v/>
      </c>
      <c r="D201" s="15">
        <f>'الإدارة المالية'!J14</f>
        <v/>
      </c>
      <c r="E201" s="13">
        <f>'الإدارة المالية'!K14</f>
        <v/>
      </c>
      <c r="F201" s="15">
        <f>'الإدارة المالية'!L14</f>
        <v/>
      </c>
      <c r="G201" s="56">
        <f>'الإدارة المالية'!N14</f>
        <v/>
      </c>
      <c r="H201" s="15">
        <f>'الإدارة المالية'!O14</f>
        <v/>
      </c>
      <c r="I201" s="24">
        <f>'الإدارة المالية'!G14</f>
        <v/>
      </c>
      <c r="J201" s="15">
        <f>IF($G201="",0,$G201*$I201)</f>
        <v/>
      </c>
      <c r="K201" s="15">
        <f>IF($G201="",0,$I201)</f>
        <v/>
      </c>
      <c r="L201" s="13">
        <f>'الإدارة المالية'!B14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المالية'!C15</f>
        <v/>
      </c>
      <c r="D202" s="15">
        <f>'الإدارة المالية'!J15</f>
        <v/>
      </c>
      <c r="E202" s="13">
        <f>'الإدارة المالية'!K15</f>
        <v/>
      </c>
      <c r="F202" s="15">
        <f>'الإدارة المالية'!L15</f>
        <v/>
      </c>
      <c r="G202" s="56">
        <f>'الإدارة المالية'!N15</f>
        <v/>
      </c>
      <c r="H202" s="15">
        <f>'الإدارة المالية'!O15</f>
        <v/>
      </c>
      <c r="I202" s="24">
        <f>'الإدارة المالية'!G15</f>
        <v/>
      </c>
      <c r="J202" s="15">
        <f>IF($G202="",0,$G202*$I202)</f>
        <v/>
      </c>
      <c r="K202" s="15">
        <f>IF($G202="",0,$I202)</f>
        <v/>
      </c>
      <c r="L202" s="13">
        <f>'الإدارة المالية'!B15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المالية'!C16</f>
        <v/>
      </c>
      <c r="D203" s="15">
        <f>'الإدارة المالية'!J16</f>
        <v/>
      </c>
      <c r="E203" s="13">
        <f>'الإدارة المالية'!K16</f>
        <v/>
      </c>
      <c r="F203" s="15">
        <f>'الإدارة المالية'!L16</f>
        <v/>
      </c>
      <c r="G203" s="56">
        <f>'الإدارة المالية'!N16</f>
        <v/>
      </c>
      <c r="H203" s="15">
        <f>'الإدارة المالية'!O16</f>
        <v/>
      </c>
      <c r="I203" s="24">
        <f>'الإدارة المالية'!G16</f>
        <v/>
      </c>
      <c r="J203" s="15">
        <f>IF($G203="",0,$G203*$I203)</f>
        <v/>
      </c>
      <c r="K203" s="15">
        <f>IF($G203="",0,$I203)</f>
        <v/>
      </c>
      <c r="L203" s="13">
        <f>'الإدارة المالية'!B16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المالية'!C18</f>
        <v/>
      </c>
      <c r="D204" s="15">
        <f>'الإدارة المالية'!J18</f>
        <v/>
      </c>
      <c r="E204" s="13">
        <f>'الإدارة المالية'!K18</f>
        <v/>
      </c>
      <c r="F204" s="15">
        <f>'الإدارة المالية'!L18</f>
        <v/>
      </c>
      <c r="G204" s="56">
        <f>'الإدارة المالية'!N18</f>
        <v/>
      </c>
      <c r="H204" s="15">
        <f>'الإدارة المالية'!O18</f>
        <v/>
      </c>
      <c r="I204" s="24">
        <f>'الإدارة المالية'!G18</f>
        <v/>
      </c>
      <c r="J204" s="15">
        <f>IF($G204="",0,$G204*$I204)</f>
        <v/>
      </c>
      <c r="K204" s="15">
        <f>IF($G204="",0,$I204)</f>
        <v/>
      </c>
      <c r="L204" s="13">
        <f>'الإدارة المالية'!B18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المالية'!C19</f>
        <v/>
      </c>
      <c r="D205" s="15">
        <f>'الإدارة المالية'!J19</f>
        <v/>
      </c>
      <c r="E205" s="13">
        <f>'الإدارة المالية'!K19</f>
        <v/>
      </c>
      <c r="F205" s="15">
        <f>'الإدارة المالية'!L19</f>
        <v/>
      </c>
      <c r="G205" s="56">
        <f>'الإدارة المالية'!N19</f>
        <v/>
      </c>
      <c r="H205" s="15">
        <f>'الإدارة المالية'!O19</f>
        <v/>
      </c>
      <c r="I205" s="24">
        <f>'الإدارة المالية'!G19</f>
        <v/>
      </c>
      <c r="J205" s="15">
        <f>IF($G205="",0,$G205*$I205)</f>
        <v/>
      </c>
      <c r="K205" s="15">
        <f>IF($G205="",0,$I205)</f>
        <v/>
      </c>
      <c r="L205" s="13">
        <f>'الإدارة المالية'!B19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المالية'!C20</f>
        <v/>
      </c>
      <c r="D206" s="15">
        <f>'الإدارة المالية'!J20</f>
        <v/>
      </c>
      <c r="E206" s="13">
        <f>'الإدارة المالية'!K20</f>
        <v/>
      </c>
      <c r="F206" s="15">
        <f>'الإدارة المالية'!L20</f>
        <v/>
      </c>
      <c r="G206" s="56">
        <f>'الإدارة المالية'!N20</f>
        <v/>
      </c>
      <c r="H206" s="15">
        <f>'الإدارة المالية'!O20</f>
        <v/>
      </c>
      <c r="I206" s="24">
        <f>'الإدارة المالية'!G20</f>
        <v/>
      </c>
      <c r="J206" s="15">
        <f>IF($G206="",0,$G206*$I206)</f>
        <v/>
      </c>
      <c r="K206" s="15">
        <f>IF($G206="",0,$I206)</f>
        <v/>
      </c>
      <c r="L206" s="13">
        <f>'الإدارة المالية'!B20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المالية'!C22</f>
        <v/>
      </c>
      <c r="D207" s="15">
        <f>'الإدارة المالية'!J22</f>
        <v/>
      </c>
      <c r="E207" s="13">
        <f>'الإدارة المالية'!K22</f>
        <v/>
      </c>
      <c r="F207" s="15">
        <f>'الإدارة المالية'!L22</f>
        <v/>
      </c>
      <c r="G207" s="56">
        <f>'الإدارة المالية'!N22</f>
        <v/>
      </c>
      <c r="H207" s="15">
        <f>'الإدارة المالية'!O22</f>
        <v/>
      </c>
      <c r="I207" s="24">
        <f>'الإدارة المالية'!G22</f>
        <v/>
      </c>
      <c r="J207" s="15">
        <f>IF($G207="",0,$G207*$I207)</f>
        <v/>
      </c>
      <c r="K207" s="15">
        <f>IF($G207="",0,$I207)</f>
        <v/>
      </c>
      <c r="L207" s="13">
        <f>'الإدارة المالية'!B22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المالية'!C23</f>
        <v/>
      </c>
      <c r="D208" s="15">
        <f>'الإدارة المالية'!J23</f>
        <v/>
      </c>
      <c r="E208" s="13">
        <f>'الإدارة المالية'!K23</f>
        <v/>
      </c>
      <c r="F208" s="15">
        <f>'الإدارة المالية'!L23</f>
        <v/>
      </c>
      <c r="G208" s="56">
        <f>'الإدارة المالية'!N23</f>
        <v/>
      </c>
      <c r="H208" s="15">
        <f>'الإدارة المالية'!O23</f>
        <v/>
      </c>
      <c r="I208" s="24">
        <f>'الإدارة المالية'!G23</f>
        <v/>
      </c>
      <c r="J208" s="15">
        <f>IF($G208="",0,$G208*$I208)</f>
        <v/>
      </c>
      <c r="K208" s="15">
        <f>IF($G208="",0,$I208)</f>
        <v/>
      </c>
      <c r="L208" s="13">
        <f>'الإدارة المالية'!B23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المالية'!C25</f>
        <v/>
      </c>
      <c r="D209" s="15">
        <f>'الإدارة المالية'!J25</f>
        <v/>
      </c>
      <c r="E209" s="13">
        <f>'الإدارة المالية'!K25</f>
        <v/>
      </c>
      <c r="F209" s="15">
        <f>'الإدارة المالية'!L25</f>
        <v/>
      </c>
      <c r="G209" s="56">
        <f>'الإدارة المالية'!N25</f>
        <v/>
      </c>
      <c r="H209" s="15">
        <f>'الإدارة المالية'!O25</f>
        <v/>
      </c>
      <c r="I209" s="24">
        <f>'الإدارة المالية'!G25</f>
        <v/>
      </c>
      <c r="J209" s="15">
        <f>IF($G209="",0,$G209*$I209)</f>
        <v/>
      </c>
      <c r="K209" s="15">
        <f>IF($G209="",0,$I209)</f>
        <v/>
      </c>
      <c r="L209" s="13">
        <f>'الإدارة المالية'!B25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المالية'!C26</f>
        <v/>
      </c>
      <c r="D210" s="15">
        <f>'الإدارة المالية'!J26</f>
        <v/>
      </c>
      <c r="E210" s="13">
        <f>'الإدارة المالية'!K26</f>
        <v/>
      </c>
      <c r="F210" s="15">
        <f>'الإدارة المالية'!L26</f>
        <v/>
      </c>
      <c r="G210" s="56">
        <f>'الإدارة المالية'!N26</f>
        <v/>
      </c>
      <c r="H210" s="15">
        <f>'الإدارة المالية'!O26</f>
        <v/>
      </c>
      <c r="I210" s="24">
        <f>'الإدارة المالية'!G26</f>
        <v/>
      </c>
      <c r="J210" s="15">
        <f>IF($G210="",0,$G210*$I210)</f>
        <v/>
      </c>
      <c r="K210" s="15">
        <f>IF($G210="",0,$I210)</f>
        <v/>
      </c>
      <c r="L210" s="13">
        <f>'الإدارة المالية'!B26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المالية'!C27</f>
        <v/>
      </c>
      <c r="D211" s="15">
        <f>'الإدارة المالية'!J27</f>
        <v/>
      </c>
      <c r="E211" s="13">
        <f>'الإدارة المالية'!K27</f>
        <v/>
      </c>
      <c r="F211" s="15">
        <f>'الإدارة المالية'!L27</f>
        <v/>
      </c>
      <c r="G211" s="56">
        <f>'الإدارة المالية'!N27</f>
        <v/>
      </c>
      <c r="H211" s="15">
        <f>'الإدارة المالية'!O27</f>
        <v/>
      </c>
      <c r="I211" s="24">
        <f>'الإدارة المالية'!G27</f>
        <v/>
      </c>
      <c r="J211" s="15">
        <f>IF($G211="",0,$G211*$I211)</f>
        <v/>
      </c>
      <c r="K211" s="15">
        <f>IF($G211="",0,$I211)</f>
        <v/>
      </c>
      <c r="L211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2026-08-13T05:46:06Z</dcterms:created>
  <dcterms:modified xmlns:dcterms="http://purl.org/dc/terms/" xmlns:xsi="http://www.w3.org/2001/XMLSchema-instance" xsi:type="dcterms:W3CDTF">2026-08-13T05:46:10Z</dcterms:modified>
</cp:coreProperties>
</file>