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الاستراتيجية والمستهدفات" sheetId="1" state="visible" r:id="rId1"/>
    <sheet xmlns:r="http://schemas.openxmlformats.org/officeDocument/2006/relationships" name="اللوحة الموجزة" sheetId="2" state="visible" r:id="rId2"/>
    <sheet xmlns:r="http://schemas.openxmlformats.org/officeDocument/2006/relationships" name="مراجعة وحوكمة المؤشرات" sheetId="3" state="visible" r:id="rId3"/>
    <sheet xmlns:r="http://schemas.openxmlformats.org/officeDocument/2006/relationships" name="بطاقة تعريف المؤشرات" sheetId="4" state="visible" r:id="rId4"/>
    <sheet xmlns:r="http://schemas.openxmlformats.org/officeDocument/2006/relationships" name="بيانات الباوربي" sheetId="5" state="visible" r:id="rId5"/>
    <sheet xmlns:r="http://schemas.openxmlformats.org/officeDocument/2006/relationships" name="الإدارة التنفيذية" sheetId="6" state="visible" r:id="rId6"/>
    <sheet xmlns:r="http://schemas.openxmlformats.org/officeDocument/2006/relationships" name="الامتياز التجاري" sheetId="7" state="visible" r:id="rId7"/>
    <sheet xmlns:r="http://schemas.openxmlformats.org/officeDocument/2006/relationships" name="التشغيل والمحطات" sheetId="8" state="visible" r:id="rId8"/>
    <sheet xmlns:r="http://schemas.openxmlformats.org/officeDocument/2006/relationships" name="الاستثمار" sheetId="9" state="visible" r:id="rId9"/>
    <sheet xmlns:r="http://schemas.openxmlformats.org/officeDocument/2006/relationships" name="العقار" sheetId="10" state="visible" r:id="rId10"/>
    <sheet xmlns:r="http://schemas.openxmlformats.org/officeDocument/2006/relationships" name="التقنية الرقمية" sheetId="11" state="visible" r:id="rId11"/>
    <sheet xmlns:r="http://schemas.openxmlformats.org/officeDocument/2006/relationships" name="الموارد البشرية" sheetId="12" state="visible" r:id="rId12"/>
    <sheet xmlns:r="http://schemas.openxmlformats.org/officeDocument/2006/relationships" name="التسويق" sheetId="13" state="visible" r:id="rId13"/>
    <sheet xmlns:r="http://schemas.openxmlformats.org/officeDocument/2006/relationships" name="الجودة" sheetId="14" state="visible" r:id="rId14"/>
    <sheet xmlns:r="http://schemas.openxmlformats.org/officeDocument/2006/relationships" name="الإدارة القانونية" sheetId="15" state="visible" r:id="rId15"/>
    <sheet xmlns:r="http://schemas.openxmlformats.org/officeDocument/2006/relationships" name="الإدارة المالية" sheetId="16" state="visible" r:id="rId16"/>
    <sheet xmlns:r="http://schemas.openxmlformats.org/officeDocument/2006/relationships" name="سجل المشاريع" sheetId="17" state="visible" r:id="rId17"/>
    <sheet xmlns:r="http://schemas.openxmlformats.org/officeDocument/2006/relationships" name="قاعدة المؤشرات" sheetId="18" state="hidden" r:id="rId18"/>
  </sheets>
  <definedNames>
    <definedName name="_xlnm._FilterDatabase" localSheetId="3" hidden="1">'بطاقة تعريف المؤشرات'!$A$2:$N$191</definedName>
    <definedName name="_xlnm._FilterDatabase" localSheetId="4" hidden="1">'بيانات الباوربي'!$A$1:$R$190</definedName>
    <definedName name="_xlnm._FilterDatabase" localSheetId="5" hidden="1">'الإدارة التنفيذية'!$A$3:$O$13</definedName>
    <definedName name="_xlnm._FilterDatabase" localSheetId="6" hidden="1">'الامتياز التجاري'!$A$3:$O$39</definedName>
    <definedName name="_xlnm._FilterDatabase" localSheetId="7" hidden="1">'التشغيل والمحطات'!$A$3:$O$19</definedName>
    <definedName name="_xlnm._FilterDatabase" localSheetId="8" hidden="1">'الاستثمار'!$A$3:$O$27</definedName>
    <definedName name="_xlnm._FilterDatabase" localSheetId="9" hidden="1">'العقار'!$A$3:$O$19</definedName>
    <definedName name="_xlnm._FilterDatabase" localSheetId="10" hidden="1">'التقنية الرقمية'!$A$3:$O$12</definedName>
    <definedName name="_xlnm._FilterDatabase" localSheetId="11" hidden="1">'الموارد البشرية'!$A$3:$O$20</definedName>
    <definedName name="_xlnm._FilterDatabase" localSheetId="12" hidden="1">'التسويق'!$A$3:$O$18</definedName>
    <definedName name="_xlnm._FilterDatabase" localSheetId="13" hidden="1">'الجودة'!$A$3:$O$17</definedName>
    <definedName name="_xlnm._FilterDatabase" localSheetId="14" hidden="1">'الإدارة القانونية'!$A$3:$O$11</definedName>
    <definedName name="_xlnm._FilterDatabase" localSheetId="15" hidden="1">'الإدارة المالية'!$A$3:$O$27</definedName>
  </definedNames>
  <calcPr calcId="124519" fullCalcOnLoad="1"/>
</workbook>
</file>

<file path=xl/styles.xml><?xml version="1.0" encoding="utf-8"?>
<styleSheet xmlns="http://schemas.openxmlformats.org/spreadsheetml/2006/main">
  <numFmts count="2">
    <numFmt numFmtId="164" formatCode="#,##0 &quot;ر.س&quot;"/>
    <numFmt numFmtId="165" formatCode="0.0"/>
  </numFmts>
  <fonts count="24">
    <font>
      <name val="Calibri"/>
      <family val="2"/>
      <color theme="1"/>
      <sz val="11"/>
      <scheme val="minor"/>
    </font>
    <font>
      <name val="Tajawal"/>
      <b val="1"/>
      <color rgb="00FFFFFF"/>
      <sz val="13"/>
    </font>
    <font>
      <name val="Tajawal"/>
      <color rgb="0058595B"/>
      <sz val="9"/>
    </font>
    <font>
      <name val="Tajawal"/>
      <b val="1"/>
      <color rgb="00FFFFFF"/>
      <sz val="9"/>
    </font>
    <font>
      <name val="Tajawal"/>
      <b val="1"/>
      <color rgb="00222222"/>
      <sz val="9"/>
    </font>
    <font>
      <name val="Tajawal"/>
      <color rgb="00222222"/>
      <sz val="9"/>
    </font>
    <font>
      <name val="Tajawal"/>
      <color rgb="00222222"/>
      <sz val="10"/>
    </font>
    <font>
      <name val="Tajawal"/>
      <color rgb="00222222"/>
      <sz val="8"/>
    </font>
    <font>
      <name val="Tajawal"/>
      <color rgb="00666666"/>
      <sz val="8"/>
    </font>
    <font>
      <name val="Tajawal"/>
      <color rgb="00F47A21"/>
      <sz val="9"/>
    </font>
    <font>
      <name val="Tajawal"/>
      <b val="1"/>
      <color rgb="0058595B"/>
      <sz val="9"/>
    </font>
    <font>
      <name val="Tajawal"/>
      <b val="1"/>
      <color rgb="0058595B"/>
      <sz val="8"/>
    </font>
    <font>
      <name val="Tajawal"/>
      <b val="1"/>
      <color rgb="00FFFFFF"/>
      <sz val="15"/>
    </font>
    <font>
      <name val="Tajawal"/>
      <b val="1"/>
      <color rgb="00FFFFFF"/>
      <sz val="10"/>
    </font>
    <font>
      <name val="Tajawal"/>
      <b val="1"/>
      <color rgb="00FFFFFF"/>
      <sz val="11"/>
    </font>
    <font>
      <name val="Tajawal"/>
      <color rgb="00FFFFFF"/>
      <sz val="9"/>
    </font>
    <font>
      <name val="Tajawal"/>
      <b val="1"/>
      <color rgb="0058595B"/>
      <sz val="11"/>
    </font>
    <font>
      <name val="Tajawal"/>
      <b val="1"/>
      <color rgb="00F47A21"/>
      <sz val="9"/>
    </font>
    <font>
      <name val="Tajawal"/>
      <b val="1"/>
      <color rgb="00FFFFFF"/>
      <sz val="12"/>
    </font>
    <font>
      <name val="Tajawal"/>
      <b val="1"/>
      <color rgb="00F47A21"/>
      <sz val="22"/>
    </font>
    <font>
      <name val="Tajawal"/>
      <b val="1"/>
      <color rgb="0058595B"/>
      <sz val="18"/>
    </font>
    <font>
      <name val="Tajawal"/>
      <b val="1"/>
      <color rgb="00FFFFFF"/>
      <sz val="14"/>
    </font>
    <font>
      <name val="Tajawal"/>
      <color rgb="00444444"/>
      <sz val="8"/>
    </font>
    <font>
      <name val="Tajawal"/>
      <b val="1"/>
      <color rgb="003FB27F"/>
      <sz val="8"/>
    </font>
  </fonts>
  <fills count="8">
    <fill>
      <patternFill/>
    </fill>
    <fill>
      <patternFill patternType="gray125"/>
    </fill>
    <fill>
      <patternFill patternType="solid">
        <fgColor rgb="0058595B"/>
      </patternFill>
    </fill>
    <fill>
      <patternFill patternType="solid">
        <fgColor rgb="00FDE3D1"/>
      </patternFill>
    </fill>
    <fill>
      <patternFill patternType="solid">
        <fgColor rgb="00808285"/>
      </patternFill>
    </fill>
    <fill>
      <patternFill patternType="solid">
        <fgColor rgb="00C6EFCE"/>
      </patternFill>
    </fill>
    <fill>
      <patternFill patternType="solid">
        <fgColor rgb="00F47A21"/>
      </patternFill>
    </fill>
    <fill>
      <patternFill patternType="solid">
        <fgColor rgb="00A7A9AC"/>
      </patternFill>
    </fill>
  </fills>
  <borders count="6">
    <border>
      <left/>
      <right/>
      <top/>
      <bottom/>
      <diagonal/>
    </border>
    <border>
      <left style="thin">
        <color rgb="00D9D9D9"/>
      </left>
      <right style="thin">
        <color rgb="00D9D9D9"/>
      </right>
      <top style="thin">
        <color rgb="00D9D9D9"/>
      </top>
      <bottom style="thin">
        <color rgb="00D9D9D9"/>
      </bottom>
    </border>
    <border>
      <left/>
      <right/>
      <top style="thin">
        <color rgb="00D9D9D9"/>
      </top>
      <bottom/>
      <diagonal/>
    </border>
    <border>
      <left/>
      <right style="thin">
        <color rgb="00D9D9D9"/>
      </right>
      <top style="thin">
        <color rgb="00D9D9D9"/>
      </top>
      <bottom/>
      <diagonal/>
    </border>
    <border>
      <left/>
      <right/>
      <top style="thin">
        <color rgb="00D9D9D9"/>
      </top>
      <bottom style="thin">
        <color rgb="00D9D9D9"/>
      </bottom>
      <diagonal/>
    </border>
    <border>
      <left/>
      <right style="thin">
        <color rgb="00D9D9D9"/>
      </right>
      <top style="thin">
        <color rgb="00D9D9D9"/>
      </top>
      <bottom style="thin">
        <color rgb="00D9D9D9"/>
      </bottom>
      <diagonal/>
    </border>
  </borders>
  <cellStyleXfs count="1">
    <xf numFmtId="0" fontId="0" fillId="0" borderId="0"/>
  </cellStyleXfs>
  <cellXfs count="51">
    <xf numFmtId="0" fontId="0" fillId="0" borderId="0" pivotButton="0" quotePrefix="0" xfId="0"/>
    <xf numFmtId="0" fontId="12" fillId="2" borderId="0" applyAlignment="1" pivotButton="0" quotePrefix="0" xfId="0">
      <alignment horizontal="center" vertical="center"/>
    </xf>
    <xf numFmtId="0" fontId="13" fillId="4" borderId="1" applyAlignment="1" pivotButton="0" quotePrefix="0" xfId="0">
      <alignment horizontal="center" vertical="center"/>
    </xf>
    <xf numFmtId="0" fontId="6" fillId="4" borderId="1" applyAlignment="1" pivotButton="0" quotePrefix="0" xfId="0">
      <alignment horizontal="right" vertical="center"/>
    </xf>
    <xf numFmtId="0" fontId="14" fillId="4" borderId="1" applyAlignment="1" pivotButton="0" quotePrefix="0" xfId="0">
      <alignment horizontal="right" vertical="center" wrapText="1"/>
    </xf>
    <xf numFmtId="0" fontId="15" fillId="4" borderId="1" applyAlignment="1" pivotButton="0" quotePrefix="0" xfId="0">
      <alignment horizontal="right" vertical="center" wrapText="1"/>
    </xf>
    <xf numFmtId="0" fontId="3" fillId="4" borderId="1" applyAlignment="1" pivotButton="0" quotePrefix="0" xfId="0">
      <alignment horizontal="right" vertical="center" wrapText="1"/>
    </xf>
    <xf numFmtId="0" fontId="6" fillId="0" borderId="1" applyAlignment="1" pivotButton="0" quotePrefix="0" xfId="0">
      <alignment horizontal="right" vertical="center"/>
    </xf>
    <xf numFmtId="0" fontId="16" fillId="0" borderId="1" applyAlignment="1" pivotButton="0" quotePrefix="0" xfId="0">
      <alignment horizontal="right" vertical="center" wrapText="1"/>
    </xf>
    <xf numFmtId="0" fontId="5" fillId="0" borderId="1" applyAlignment="1" pivotButton="0" quotePrefix="0" xfId="0">
      <alignment horizontal="right" vertical="center" wrapText="1"/>
    </xf>
    <xf numFmtId="0" fontId="17" fillId="0" borderId="1" applyAlignment="1" pivotButton="0" quotePrefix="0" xfId="0">
      <alignment horizontal="right" vertical="center" wrapText="1"/>
    </xf>
    <xf numFmtId="0" fontId="18" fillId="6" borderId="1" applyAlignment="1" pivotButton="0" quotePrefix="0" xfId="0">
      <alignment horizontal="center" vertical="center"/>
    </xf>
    <xf numFmtId="0" fontId="0" fillId="0" borderId="4" pivotButton="0" quotePrefix="0" xfId="0"/>
    <xf numFmtId="0" fontId="0" fillId="0" borderId="5" pivotButton="0" quotePrefix="0" xfId="0"/>
    <xf numFmtId="0" fontId="5" fillId="0" borderId="1" applyAlignment="1" pivotButton="0" quotePrefix="0" xfId="0">
      <alignment horizontal="center" vertical="center"/>
    </xf>
    <xf numFmtId="0" fontId="4" fillId="0" borderId="1" applyAlignment="1" pivotButton="0" quotePrefix="0" xfId="0">
      <alignment horizontal="center" vertical="center"/>
    </xf>
    <xf numFmtId="9" fontId="10" fillId="0" borderId="1" applyAlignment="1" pivotButton="0" quotePrefix="0" xfId="0">
      <alignment horizontal="center" vertical="center"/>
    </xf>
    <xf numFmtId="0" fontId="1" fillId="2" borderId="0" applyAlignment="1" pivotButton="0" quotePrefix="0" xfId="0">
      <alignment horizontal="center" vertical="center"/>
    </xf>
    <xf numFmtId="0" fontId="14" fillId="4" borderId="1" applyAlignment="1" pivotButton="0" quotePrefix="0" xfId="0">
      <alignment horizontal="center" vertical="center"/>
    </xf>
    <xf numFmtId="0" fontId="13" fillId="7" borderId="1" applyAlignment="1" pivotButton="0" quotePrefix="0" xfId="0">
      <alignment horizontal="center" vertical="center"/>
    </xf>
    <xf numFmtId="9" fontId="19" fillId="0" borderId="1" applyAlignment="1" pivotButton="0" quotePrefix="0" xfId="0">
      <alignment horizontal="center" vertical="center"/>
    </xf>
    <xf numFmtId="0" fontId="20" fillId="0" borderId="1" applyAlignment="1" pivotButton="0" quotePrefix="0" xfId="0">
      <alignment horizontal="center" vertical="center"/>
    </xf>
    <xf numFmtId="0" fontId="5" fillId="0" borderId="1" applyAlignment="1" pivotButton="0" quotePrefix="0" xfId="0">
      <alignment horizontal="right" vertical="center"/>
    </xf>
    <xf numFmtId="0" fontId="7" fillId="0" borderId="1" applyAlignment="1" pivotButton="0" quotePrefix="0" xfId="0">
      <alignment horizontal="center" vertical="center"/>
    </xf>
    <xf numFmtId="0" fontId="14" fillId="6" borderId="1" applyAlignment="1" pivotButton="0" quotePrefix="0" xfId="0">
      <alignment horizontal="center" vertical="center"/>
    </xf>
    <xf numFmtId="0" fontId="3" fillId="4" borderId="1" applyAlignment="1" pivotButton="0" quotePrefix="0" xfId="0">
      <alignment horizontal="center" vertical="center"/>
    </xf>
    <xf numFmtId="0" fontId="7" fillId="0" borderId="1" applyAlignment="1" pivotButton="0" quotePrefix="0" xfId="0">
      <alignment horizontal="right" vertical="center"/>
    </xf>
    <xf numFmtId="9" fontId="23" fillId="0" borderId="1" applyAlignment="1" pivotButton="0" quotePrefix="0" xfId="0">
      <alignment horizontal="center" vertical="center"/>
    </xf>
    <xf numFmtId="9" fontId="7" fillId="0" borderId="1" applyAlignment="1" pivotButton="0" quotePrefix="0" xfId="0">
      <alignment horizontal="center" vertical="center"/>
    </xf>
    <xf numFmtId="0" fontId="18" fillId="2" borderId="0" applyAlignment="1" pivotButton="0" quotePrefix="0" xfId="0">
      <alignment horizontal="center" vertical="center"/>
    </xf>
    <xf numFmtId="0" fontId="22" fillId="0" borderId="1" applyAlignment="1" pivotButton="0" quotePrefix="0" xfId="0">
      <alignment horizontal="right" vertical="center" wrapText="1"/>
    </xf>
    <xf numFmtId="0" fontId="7" fillId="0" borderId="1" applyAlignment="1" pivotButton="0" quotePrefix="0" xfId="0">
      <alignment horizontal="right" vertical="center" wrapText="1"/>
    </xf>
    <xf numFmtId="9" fontId="6" fillId="0" borderId="1" applyAlignment="1" pivotButton="0" quotePrefix="0" xfId="0">
      <alignment horizontal="center" vertical="center"/>
    </xf>
    <xf numFmtId="0" fontId="6" fillId="5" borderId="1" applyAlignment="1" applyProtection="1" pivotButton="0" quotePrefix="0" xfId="0">
      <alignment horizontal="center" vertical="center"/>
      <protection locked="0" hidden="0"/>
    </xf>
    <xf numFmtId="0" fontId="13" fillId="2" borderId="1" applyAlignment="1" pivotButton="0" quotePrefix="0" xfId="0">
      <alignment horizontal="center" vertical="center"/>
    </xf>
    <xf numFmtId="0" fontId="6" fillId="0" borderId="1" applyAlignment="1" pivotButton="0" quotePrefix="0" xfId="0">
      <alignment horizontal="center" vertical="center"/>
    </xf>
    <xf numFmtId="0" fontId="2" fillId="3" borderId="0" applyAlignment="1" pivotButton="0" quotePrefix="0" xfId="0">
      <alignment horizontal="center" vertical="center"/>
    </xf>
    <xf numFmtId="3" fontId="6" fillId="0" borderId="1" applyAlignment="1" pivotButton="0" quotePrefix="0" xfId="0">
      <alignment horizontal="center" vertical="center"/>
    </xf>
    <xf numFmtId="0" fontId="8" fillId="0" borderId="1" applyAlignment="1" pivotButton="0" quotePrefix="0" xfId="0">
      <alignment horizontal="center" vertical="center" wrapText="1"/>
    </xf>
    <xf numFmtId="0" fontId="9" fillId="0" borderId="1" applyAlignment="1" pivotButton="0" quotePrefix="0" xfId="0">
      <alignment horizontal="center" vertical="center"/>
    </xf>
    <xf numFmtId="3" fontId="6" fillId="5" borderId="1" applyAlignment="1" applyProtection="1" pivotButton="0" quotePrefix="0" xfId="0">
      <alignment horizontal="center" vertical="center"/>
      <protection locked="0" hidden="0"/>
    </xf>
    <xf numFmtId="164" fontId="6" fillId="5" borderId="1" applyAlignment="1" applyProtection="1" pivotButton="0" quotePrefix="0" xfId="0">
      <alignment horizontal="center" vertical="center"/>
      <protection locked="0" hidden="0"/>
    </xf>
    <xf numFmtId="9" fontId="6" fillId="5" borderId="1" applyAlignment="1" applyProtection="1" pivotButton="0" quotePrefix="0" xfId="0">
      <alignment horizontal="center" vertical="center"/>
      <protection locked="0" hidden="0"/>
    </xf>
    <xf numFmtId="165" fontId="6" fillId="0" borderId="1" applyAlignment="1" pivotButton="0" quotePrefix="0" xfId="0">
      <alignment horizontal="center" vertical="center"/>
    </xf>
    <xf numFmtId="165" fontId="6" fillId="5" borderId="1" applyAlignment="1" applyProtection="1" pivotButton="0" quotePrefix="0" xfId="0">
      <alignment horizontal="center" vertical="center"/>
      <protection locked="0" hidden="0"/>
    </xf>
    <xf numFmtId="0" fontId="21" fillId="2" borderId="0" applyAlignment="1" pivotButton="0" quotePrefix="0" xfId="0">
      <alignment horizontal="center" vertical="center"/>
    </xf>
    <xf numFmtId="0" fontId="13" fillId="6" borderId="1" applyAlignment="1" pivotButton="0" quotePrefix="0" xfId="0">
      <alignment horizontal="right" vertical="center"/>
    </xf>
    <xf numFmtId="0" fontId="8" fillId="0" borderId="1" applyAlignment="1" pivotButton="0" quotePrefix="0" xfId="0">
      <alignment horizontal="right" vertical="center" wrapText="1"/>
    </xf>
    <xf numFmtId="0" fontId="13" fillId="7" borderId="1" applyAlignment="1" pivotButton="0" quotePrefix="0" xfId="0">
      <alignment horizontal="right" vertical="center"/>
    </xf>
    <xf numFmtId="0" fontId="6" fillId="5" borderId="1" applyAlignment="1" applyProtection="1" pivotButton="0" quotePrefix="0" xfId="0">
      <alignment horizontal="right" vertical="center"/>
      <protection locked="0" hidden="0"/>
    </xf>
    <xf numFmtId="9" fontId="11"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1</col>
      <colOff>0</colOff>
      <row>0</row>
      <rowOff>0</rowOff>
    </from>
    <ext cx="1428750" cy="37147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2:E30"/>
  <sheetViews>
    <sheetView showGridLines="0" rightToLeft="1" workbookViewId="0">
      <selection activeCell="A1" sqref="A1"/>
    </sheetView>
  </sheetViews>
  <sheetFormatPr baseColWidth="8" defaultRowHeight="15"/>
  <cols>
    <col width="3" customWidth="1" min="1" max="1"/>
    <col width="26" customWidth="1" min="2" max="2"/>
    <col width="40" customWidth="1" min="3" max="3"/>
    <col width="30" customWidth="1" min="4" max="4"/>
    <col width="14" customWidth="1" min="5" max="5"/>
  </cols>
  <sheetData>
    <row r="1" ht="46" customHeight="1"/>
    <row r="2" ht="26" customHeight="1">
      <c r="B2" s="1" t="inlineStr">
        <is>
          <t>درب · الاستراتيجية ومستهدفات 2026 — قطاع المحطات والعقار</t>
        </is>
      </c>
    </row>
    <row r="4">
      <c r="A4" s="2" t="inlineStr"/>
      <c r="B4" s="2" t="inlineStr">
        <is>
          <t>الركيزة (5 سنوات) / الهدف</t>
        </is>
      </c>
      <c r="C4" s="2" t="inlineStr">
        <is>
          <t>الوصف</t>
        </is>
      </c>
      <c r="D4" s="2" t="inlineStr">
        <is>
          <t>مستهدف 2026</t>
        </is>
      </c>
    </row>
    <row r="5" ht="24" customHeight="1">
      <c r="A5" s="3" t="inlineStr"/>
      <c r="B5" s="4" t="inlineStr">
        <is>
          <t>النمو</t>
        </is>
      </c>
      <c r="C5" s="5" t="inlineStr">
        <is>
          <t>التوسع في المواقع وزيادة الوصول وتنمية الإيراد.</t>
        </is>
      </c>
      <c r="D5" s="6" t="inlineStr"/>
    </row>
    <row r="6" ht="24" customHeight="1">
      <c r="A6" s="7" t="inlineStr"/>
      <c r="B6" s="8" t="inlineStr">
        <is>
          <t>التوسع في المواقع</t>
        </is>
      </c>
      <c r="C6" s="9" t="inlineStr">
        <is>
          <t>افتتاح وتشغيل محطات جديدة.</t>
        </is>
      </c>
      <c r="D6" s="10" t="inlineStr">
        <is>
          <t>التشغيل 85 · الامتياز 150 محطة</t>
        </is>
      </c>
    </row>
    <row r="7" ht="24" customHeight="1">
      <c r="A7" s="7" t="inlineStr"/>
      <c r="B7" s="8" t="inlineStr">
        <is>
          <t>الامتياز والعقود</t>
        </is>
      </c>
      <c r="C7" s="9" t="inlineStr">
        <is>
          <t>تنمية الإيراد عبر الامتياز والاستثمار.</t>
        </is>
      </c>
      <c r="D7" s="10" t="inlineStr">
        <is>
          <t>الامتياز 167 · الاستثمار 190 عقد</t>
        </is>
      </c>
    </row>
    <row r="8" ht="24" customHeight="1">
      <c r="A8" s="7" t="inlineStr"/>
      <c r="B8" s="8" t="inlineStr">
        <is>
          <t>زيادة وصول العملاء</t>
        </is>
      </c>
      <c r="C8" s="9" t="inlineStr">
        <is>
          <t>رفع المبيعات والتغطية الجغرافية.</t>
        </is>
      </c>
      <c r="D8" s="10" t="inlineStr">
        <is>
          <t>718.8M لتر · 13 منطقة · 59 مدينة</t>
        </is>
      </c>
    </row>
    <row r="9" ht="24" customHeight="1">
      <c r="A9" s="3" t="inlineStr"/>
      <c r="B9" s="4" t="inlineStr">
        <is>
          <t>الابتكار</t>
        </is>
      </c>
      <c r="C9" s="5" t="inlineStr">
        <is>
          <t>مشاريع جديدة وتحول تقني وهوية وتانكي.</t>
        </is>
      </c>
      <c r="D9" s="6" t="inlineStr"/>
    </row>
    <row r="10" ht="24" customHeight="1">
      <c r="A10" s="7" t="inlineStr"/>
      <c r="B10" s="8" t="inlineStr">
        <is>
          <t>التحول التقني</t>
        </is>
      </c>
      <c r="C10" s="9" t="inlineStr">
        <is>
          <t>أتمتة 164 محطة · D365 · جاهزية الأنظمة.</t>
        </is>
      </c>
      <c r="D10" s="10" t="inlineStr">
        <is>
          <t>أتمتة 90% · جاهزية 99%</t>
        </is>
      </c>
    </row>
    <row r="11" ht="24" customHeight="1">
      <c r="A11" s="7" t="inlineStr"/>
      <c r="B11" s="8" t="inlineStr">
        <is>
          <t>ساحات درب وتانكي</t>
        </is>
      </c>
      <c r="C11" s="9" t="inlineStr">
        <is>
          <t>تشغيل ساحات درب ونمو تطبيق تانكي (التسويق).</t>
        </is>
      </c>
      <c r="D11" s="10" t="inlineStr">
        <is>
          <t>تأجير ساحة ≥80% · تانكي تصاعدي</t>
        </is>
      </c>
    </row>
    <row r="12" ht="24" customHeight="1">
      <c r="A12" s="3" t="inlineStr"/>
      <c r="B12" s="4" t="inlineStr">
        <is>
          <t>الاستدامة</t>
        </is>
      </c>
      <c r="C12" s="5" t="inlineStr">
        <is>
          <t>جودة التشغيل وتجربة العميل والموظفين.</t>
        </is>
      </c>
      <c r="D12" s="6" t="inlineStr"/>
    </row>
    <row r="13" ht="24" customHeight="1">
      <c r="A13" s="7" t="inlineStr"/>
      <c r="B13" s="8" t="inlineStr">
        <is>
          <t>تجربة العميل وجودة التشغيل</t>
        </is>
      </c>
      <c r="C13" s="9" t="inlineStr">
        <is>
          <t>رضا وأمن سيبراني وجاهزية.</t>
        </is>
      </c>
      <c r="D13" s="10" t="inlineStr">
        <is>
          <t>CSAT 90% · جاهزية 99%</t>
        </is>
      </c>
    </row>
    <row r="14" ht="24" customHeight="1">
      <c r="A14" s="7" t="inlineStr"/>
      <c r="B14" s="8" t="inlineStr">
        <is>
          <t>منظومة التأجير</t>
        </is>
      </c>
      <c r="C14" s="9" t="inlineStr">
        <is>
          <t>الإشغال والتحصيل واستدامة المستأجرين.</t>
        </is>
      </c>
      <c r="D14" s="10" t="inlineStr">
        <is>
          <t>إشغال ≥60% · 246 علامة</t>
        </is>
      </c>
    </row>
    <row r="15" ht="24" customHeight="1">
      <c r="A15" s="7" t="inlineStr"/>
      <c r="B15" s="8" t="inlineStr">
        <is>
          <t>الاستثمار في الموظفين</t>
        </is>
      </c>
      <c r="C15" s="9" t="inlineStr">
        <is>
          <t>التوطين والتدريب والاستبقاء.</t>
        </is>
      </c>
      <c r="D15" s="10" t="inlineStr">
        <is>
          <t>6 دورات · استبقاء 90% · سعودة</t>
        </is>
      </c>
    </row>
    <row r="17">
      <c r="B17" s="11" t="inlineStr">
        <is>
          <t>الخارطة التنفيذية — المشاريع (أداء حي)</t>
        </is>
      </c>
      <c r="C17" s="12" t="n"/>
      <c r="D17" s="12" t="n"/>
      <c r="E17" s="13" t="n"/>
    </row>
    <row r="18">
      <c r="B18" s="2" t="inlineStr">
        <is>
          <t>المشروع</t>
        </is>
      </c>
      <c r="C18" s="2" t="inlineStr">
        <is>
          <t>الركيزة</t>
        </is>
      </c>
      <c r="D18" s="2" t="inlineStr">
        <is>
          <t>عدد المؤشرات</t>
        </is>
      </c>
      <c r="E18" s="2" t="inlineStr">
        <is>
          <t>الأداء (حي)</t>
        </is>
      </c>
    </row>
    <row r="19">
      <c r="B19" s="9" t="inlineStr">
        <is>
          <t>التوسع في المواقع</t>
        </is>
      </c>
      <c r="C19" s="14" t="inlineStr">
        <is>
          <t>النمو</t>
        </is>
      </c>
      <c r="D19" s="15">
        <f>COUNTIF('قاعدة المؤشرات'!$E$2:$E$190,"التوسع في المواقع")</f>
        <v/>
      </c>
      <c r="E19" s="16">
        <f>IFERROR(AVERAGEIFS('قاعدة المؤشرات'!$G$2:$G$190,'قاعدة المؤشرات'!$E$2:$E$190,"التوسع في المواقع"),"—")</f>
        <v/>
      </c>
    </row>
    <row r="20">
      <c r="B20" s="9" t="inlineStr">
        <is>
          <t>الامتياز التجاري</t>
        </is>
      </c>
      <c r="C20" s="14" t="inlineStr">
        <is>
          <t>النمو</t>
        </is>
      </c>
      <c r="D20" s="15">
        <f>COUNTIF('قاعدة المؤشرات'!$E$2:$E$190,"الامتياز التجاري")</f>
        <v/>
      </c>
      <c r="E20" s="16">
        <f>IFERROR(AVERAGEIFS('قاعدة المؤشرات'!$G$2:$G$190,'قاعدة المؤشرات'!$E$2:$E$190,"الامتياز التجاري"),"—")</f>
        <v/>
      </c>
    </row>
    <row r="21">
      <c r="B21" s="9" t="inlineStr">
        <is>
          <t>زيادة وصول العملاء</t>
        </is>
      </c>
      <c r="C21" s="14" t="inlineStr">
        <is>
          <t>النمو</t>
        </is>
      </c>
      <c r="D21" s="15">
        <f>COUNTIF('قاعدة المؤشرات'!$E$2:$E$190,"زيادة وصول العملاء")</f>
        <v/>
      </c>
      <c r="E21" s="16">
        <f>IFERROR(AVERAGEIFS('قاعدة المؤشرات'!$G$2:$G$190,'قاعدة المؤشرات'!$E$2:$E$190,"زيادة وصول العملاء"),"—")</f>
        <v/>
      </c>
    </row>
    <row r="22">
      <c r="B22" s="9" t="inlineStr">
        <is>
          <t>إطلاق مشاريع جديدة</t>
        </is>
      </c>
      <c r="C22" s="14" t="inlineStr">
        <is>
          <t>الابتكار</t>
        </is>
      </c>
      <c r="D22" s="15">
        <f>COUNTIF('قاعدة المؤشرات'!$E$2:$E$190,"إطلاق مشاريع جديدة")</f>
        <v/>
      </c>
      <c r="E22" s="16">
        <f>IFERROR(AVERAGEIFS('قاعدة المؤشرات'!$G$2:$G$190,'قاعدة المؤشرات'!$E$2:$E$190,"إطلاق مشاريع جديدة"),"—")</f>
        <v/>
      </c>
    </row>
    <row r="23">
      <c r="B23" s="9" t="inlineStr">
        <is>
          <t>تطوير التصاميم والهوية</t>
        </is>
      </c>
      <c r="C23" s="14" t="inlineStr">
        <is>
          <t>الابتكار</t>
        </is>
      </c>
      <c r="D23" s="15">
        <f>COUNTIF('قاعدة المؤشرات'!$E$2:$E$190,"تطوير التصاميم والهوية")</f>
        <v/>
      </c>
      <c r="E23" s="16">
        <f>IFERROR(AVERAGEIFS('قاعدة المؤشرات'!$G$2:$G$190,'قاعدة المؤشرات'!$E$2:$E$190,"تطوير التصاميم والهوية"),"—")</f>
        <v/>
      </c>
    </row>
    <row r="24">
      <c r="B24" s="9" t="inlineStr">
        <is>
          <t>التحول التقني</t>
        </is>
      </c>
      <c r="C24" s="14" t="inlineStr">
        <is>
          <t>الابتكار</t>
        </is>
      </c>
      <c r="D24" s="15">
        <f>COUNTIF('قاعدة المؤشرات'!$E$2:$E$190,"التحول التقني")</f>
        <v/>
      </c>
      <c r="E24" s="16">
        <f>IFERROR(AVERAGEIFS('قاعدة المؤشرات'!$G$2:$G$190,'قاعدة المؤشرات'!$E$2:$E$190,"التحول التقني"),"—")</f>
        <v/>
      </c>
    </row>
    <row r="25">
      <c r="B25" s="9" t="inlineStr">
        <is>
          <t>ساحات درب</t>
        </is>
      </c>
      <c r="C25" s="14" t="inlineStr">
        <is>
          <t>الابتكار</t>
        </is>
      </c>
      <c r="D25" s="15">
        <f>COUNTIF('قاعدة المؤشرات'!$E$2:$E$190,"ساحات درب")</f>
        <v/>
      </c>
      <c r="E25" s="16">
        <f>IFERROR(AVERAGEIFS('قاعدة المؤشرات'!$G$2:$G$190,'قاعدة المؤشرات'!$E$2:$E$190,"ساحات درب"),"—")</f>
        <v/>
      </c>
    </row>
    <row r="26">
      <c r="B26" s="9" t="inlineStr">
        <is>
          <t>تطبيق «تانكي»</t>
        </is>
      </c>
      <c r="C26" s="14" t="inlineStr">
        <is>
          <t>الابتكار</t>
        </is>
      </c>
      <c r="D26" s="15">
        <f>COUNTIF('قاعدة المؤشرات'!$E$2:$E$190,"تطبيق «تانكي»")</f>
        <v/>
      </c>
      <c r="E26" s="16">
        <f>IFERROR(AVERAGEIFS('قاعدة المؤشرات'!$G$2:$G$190,'قاعدة المؤشرات'!$E$2:$E$190,"تطبيق «تانكي»"),"—")</f>
        <v/>
      </c>
    </row>
    <row r="27">
      <c r="B27" s="9" t="inlineStr">
        <is>
          <t>تعزيز تجربة العملاء</t>
        </is>
      </c>
      <c r="C27" s="14" t="inlineStr">
        <is>
          <t>الاستدامة</t>
        </is>
      </c>
      <c r="D27" s="15">
        <f>COUNTIF('قاعدة المؤشرات'!$E$2:$E$190,"تعزيز تجربة العملاء")</f>
        <v/>
      </c>
      <c r="E27" s="16">
        <f>IFERROR(AVERAGEIFS('قاعدة المؤشرات'!$G$2:$G$190,'قاعدة المؤشرات'!$E$2:$E$190,"تعزيز تجربة العملاء"),"—")</f>
        <v/>
      </c>
    </row>
    <row r="28">
      <c r="B28" s="9" t="inlineStr">
        <is>
          <t>جودة التشغيل</t>
        </is>
      </c>
      <c r="C28" s="14" t="inlineStr">
        <is>
          <t>الاستدامة</t>
        </is>
      </c>
      <c r="D28" s="15">
        <f>COUNTIF('قاعدة المؤشرات'!$E$2:$E$190,"جودة التشغيل")</f>
        <v/>
      </c>
      <c r="E28" s="16">
        <f>IFERROR(AVERAGEIFS('قاعدة المؤشرات'!$G$2:$G$190,'قاعدة المؤشرات'!$E$2:$E$190,"جودة التشغيل"),"—")</f>
        <v/>
      </c>
    </row>
    <row r="29">
      <c r="B29" s="9" t="inlineStr">
        <is>
          <t>منظومة التأجير</t>
        </is>
      </c>
      <c r="C29" s="14" t="inlineStr">
        <is>
          <t>الاستدامة</t>
        </is>
      </c>
      <c r="D29" s="15">
        <f>COUNTIF('قاعدة المؤشرات'!$E$2:$E$190,"منظومة التأجير")</f>
        <v/>
      </c>
      <c r="E29" s="16">
        <f>IFERROR(AVERAGEIFS('قاعدة المؤشرات'!$G$2:$G$190,'قاعدة المؤشرات'!$E$2:$E$190,"منظومة التأجير"),"—")</f>
        <v/>
      </c>
    </row>
    <row r="30">
      <c r="B30" s="9" t="inlineStr">
        <is>
          <t>الاستثمار في الموظفين</t>
        </is>
      </c>
      <c r="C30" s="14" t="inlineStr">
        <is>
          <t>الاستدامة</t>
        </is>
      </c>
      <c r="D30" s="15">
        <f>COUNTIF('قاعدة المؤشرات'!$E$2:$E$190,"الاستثمار في الموظفين")</f>
        <v/>
      </c>
      <c r="E30" s="16">
        <f>IFERROR(AVERAGEIFS('قاعدة المؤشرات'!$G$2:$G$190,'قاعدة المؤشرات'!$E$2:$E$190,"الاستثمار في الموظفين"),"—")</f>
        <v/>
      </c>
    </row>
  </sheetData>
  <mergeCells count="2">
    <mergeCell ref="B17:E17"/>
    <mergeCell ref="B2:E2"/>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B2:J19"/>
  <sheetViews>
    <sheetView showGridLines="0" rightToLeft="1" workbookViewId="0">
      <selection activeCell="A1" sqref="A1"/>
    </sheetView>
  </sheetViews>
  <sheetFormatPr baseColWidth="8" defaultRowHeight="15"/>
  <cols>
    <col width="3" customWidth="1" min="1" max="1"/>
    <col width="28" customWidth="1" min="2" max="2"/>
    <col width="14" customWidth="1" min="3" max="3"/>
    <col width="16" customWidth="1" min="4" max="4"/>
    <col width="16" customWidth="1" min="5" max="5"/>
    <col hidden="1" width="13" customWidth="1" min="8" max="8"/>
    <col hidden="1" width="13" customWidth="1" min="9" max="9"/>
    <col hidden="1" width="13" customWidth="1" min="10" max="10"/>
  </cols>
  <sheetData>
    <row r="2" ht="26" customHeight="1">
      <c r="B2" s="17" t="inlineStr">
        <is>
          <t>اللوحة الموجزة — إنجاز موزون (وزن المؤشر × وزن الإدارة) · سقف 100%</t>
        </is>
      </c>
    </row>
    <row r="4">
      <c r="B4" s="18" t="inlineStr">
        <is>
          <t>الإنجاز العام (موزون)</t>
        </is>
      </c>
      <c r="C4" s="19" t="inlineStr">
        <is>
          <t>✅ محقق</t>
        </is>
      </c>
      <c r="D4" s="19" t="inlineStr">
        <is>
          <t>🟡 قريب</t>
        </is>
      </c>
      <c r="E4" s="19" t="inlineStr">
        <is>
          <t>🔴 تحت الهدف</t>
        </is>
      </c>
    </row>
    <row r="5">
      <c r="B5" s="20">
        <f>IFERROR(SUMPRODUCT(I9:I19,H9:H19)/SUMPRODUCT(I9:I19,J9:J19),0)</f>
        <v/>
      </c>
      <c r="C5" s="21">
        <f>COUNTIFS('قاعدة المؤشرات'!$H$2:$H$190,"✅ محقق",'قاعدة المؤشرات'!$B$2:$B$190,"&lt;&gt;الإدارة التنفيذية")</f>
        <v/>
      </c>
      <c r="D5" s="21">
        <f>COUNTIFS('قاعدة المؤشرات'!$H$2:$H$190,"🟡 قريب",'قاعدة المؤشرات'!$B$2:$B$190,"&lt;&gt;الإدارة التنفيذية")</f>
        <v/>
      </c>
      <c r="E5" s="21">
        <f>COUNTIFS('قاعدة المؤشرات'!$H$2:$H$190,"🔴 تحت الهدف",'قاعدة المؤشرات'!$B$2:$B$190,"&lt;&gt;الإدارة التنفيذية")</f>
        <v/>
      </c>
    </row>
    <row r="7">
      <c r="B7" s="11" t="inlineStr">
        <is>
          <t>الأداء حسب الإدارة (موزون)</t>
        </is>
      </c>
      <c r="C7" s="13" t="n"/>
      <c r="D7" s="11" t="inlineStr">
        <is>
          <t>حسب الركيزة</t>
        </is>
      </c>
      <c r="E7" s="13" t="n"/>
    </row>
    <row r="8">
      <c r="B8" s="19" t="inlineStr">
        <is>
          <t>الإدارة</t>
        </is>
      </c>
      <c r="C8" s="19" t="inlineStr">
        <is>
          <t>الأداء</t>
        </is>
      </c>
      <c r="D8" s="19" t="inlineStr">
        <is>
          <t>الركيزة</t>
        </is>
      </c>
      <c r="E8" s="19" t="inlineStr">
        <is>
          <t>الأداء</t>
        </is>
      </c>
    </row>
    <row r="9">
      <c r="B9" s="22" t="inlineStr">
        <is>
          <t>الإدارة التنفيذية</t>
        </is>
      </c>
      <c r="C9" s="16">
        <f>IFERROR(SUMIF('قاعدة المؤشرات'!$B$2:$B$190,"الإدارة التنفيذية",'قاعدة المؤشرات'!$J$2:$J$190)/SUMIF('قاعدة المؤشرات'!$B$2:$B$190,"الإدارة التنفيذية",'قاعدة المؤشرات'!$K$2:$K$190),"—")</f>
        <v/>
      </c>
      <c r="D9" s="22" t="inlineStr">
        <is>
          <t>النمو</t>
        </is>
      </c>
      <c r="E9" s="16">
        <f>IFERROR(AVERAGEIFS('قاعدة المؤشرات'!$G$2:$G$190,'قاعدة المؤشرات'!$D$2:$D$190,"النمو"),"—")</f>
        <v/>
      </c>
      <c r="H9" s="23">
        <f>IFERROR(SUMIF('قاعدة المؤشرات'!$B$2:$B$190,"الإدارة التنفيذية",'قاعدة المؤشرات'!$J$2:$J$190)/SUMIF('قاعدة المؤشرات'!$B$2:$B$190,"الإدارة التنفيذية",'قاعدة المؤشرات'!$K$2:$K$190),0)</f>
        <v/>
      </c>
      <c r="I9" s="23" t="n">
        <v>0</v>
      </c>
      <c r="J9" s="23">
        <f>IF(SUMIF('قاعدة المؤشرات'!$B$2:$B$190,"الإدارة التنفيذية",'قاعدة المؤشرات'!$K$2:$K$190)=0,0,1)</f>
        <v/>
      </c>
    </row>
    <row r="10">
      <c r="B10" s="22" t="inlineStr">
        <is>
          <t>الامتياز التجاري</t>
        </is>
      </c>
      <c r="C10" s="16">
        <f>IFERROR(SUMIF('قاعدة المؤشرات'!$B$2:$B$190,"الامتياز التجاري",'قاعدة المؤشرات'!$J$2:$J$190)/SUMIF('قاعدة المؤشرات'!$B$2:$B$190,"الامتياز التجاري",'قاعدة المؤشرات'!$K$2:$K$190),"—")</f>
        <v/>
      </c>
      <c r="D10" s="22" t="inlineStr">
        <is>
          <t>الابتكار</t>
        </is>
      </c>
      <c r="E10" s="16">
        <f>IFERROR(AVERAGEIFS('قاعدة المؤشرات'!$G$2:$G$190,'قاعدة المؤشرات'!$D$2:$D$190,"الابتكار"),"—")</f>
        <v/>
      </c>
      <c r="H10" s="23">
        <f>IFERROR(SUMIF('قاعدة المؤشرات'!$B$2:$B$190,"الامتياز التجاري",'قاعدة المؤشرات'!$J$2:$J$190)/SUMIF('قاعدة المؤشرات'!$B$2:$B$190,"الامتياز التجاري",'قاعدة المؤشرات'!$K$2:$K$190),0)</f>
        <v/>
      </c>
      <c r="I10" s="23" t="n">
        <v>0.17</v>
      </c>
      <c r="J10" s="23">
        <f>IF(SUMIF('قاعدة المؤشرات'!$B$2:$B$190,"الامتياز التجاري",'قاعدة المؤشرات'!$K$2:$K$190)=0,0,1)</f>
        <v/>
      </c>
    </row>
    <row r="11">
      <c r="B11" s="22" t="inlineStr">
        <is>
          <t>التشغيل والمحطات</t>
        </is>
      </c>
      <c r="C11" s="16">
        <f>IFERROR(SUMIF('قاعدة المؤشرات'!$B$2:$B$190,"التشغيل والمحطات",'قاعدة المؤشرات'!$J$2:$J$190)/SUMIF('قاعدة المؤشرات'!$B$2:$B$190,"التشغيل والمحطات",'قاعدة المؤشرات'!$K$2:$K$190),"—")</f>
        <v/>
      </c>
      <c r="D11" s="22" t="inlineStr">
        <is>
          <t>الاستدامة</t>
        </is>
      </c>
      <c r="E11" s="16">
        <f>IFERROR(AVERAGEIFS('قاعدة المؤشرات'!$G$2:$G$190,'قاعدة المؤشرات'!$D$2:$D$190,"الاستدامة"),"—")</f>
        <v/>
      </c>
      <c r="H11" s="23">
        <f>IFERROR(SUMIF('قاعدة المؤشرات'!$B$2:$B$190,"التشغيل والمحطات",'قاعدة المؤشرات'!$J$2:$J$190)/SUMIF('قاعدة المؤشرات'!$B$2:$B$190,"التشغيل والمحطات",'قاعدة المؤشرات'!$K$2:$K$190),0)</f>
        <v/>
      </c>
      <c r="I11" s="23" t="n">
        <v>0.15</v>
      </c>
      <c r="J11" s="23">
        <f>IF(SUMIF('قاعدة المؤشرات'!$B$2:$B$190,"التشغيل والمحطات",'قاعدة المؤشرات'!$K$2:$K$190)=0,0,1)</f>
        <v/>
      </c>
    </row>
    <row r="12">
      <c r="B12" s="22" t="inlineStr">
        <is>
          <t>الاستثمار</t>
        </is>
      </c>
      <c r="C12" s="16">
        <f>IFERROR(SUMIF('قاعدة المؤشرات'!$B$2:$B$190,"الاستثمار",'قاعدة المؤشرات'!$J$2:$J$190)/SUMIF('قاعدة المؤشرات'!$B$2:$B$190,"الاستثمار",'قاعدة المؤشرات'!$K$2:$K$190),"—")</f>
        <v/>
      </c>
      <c r="H12" s="23">
        <f>IFERROR(SUMIF('قاعدة المؤشرات'!$B$2:$B$190,"الاستثمار",'قاعدة المؤشرات'!$J$2:$J$190)/SUMIF('قاعدة المؤشرات'!$B$2:$B$190,"الاستثمار",'قاعدة المؤشرات'!$K$2:$K$190),0)</f>
        <v/>
      </c>
      <c r="I12" s="23" t="n">
        <v>0.14</v>
      </c>
      <c r="J12" s="23">
        <f>IF(SUMIF('قاعدة المؤشرات'!$B$2:$B$190,"الاستثمار",'قاعدة المؤشرات'!$K$2:$K$190)=0,0,1)</f>
        <v/>
      </c>
    </row>
    <row r="13">
      <c r="B13" s="22" t="inlineStr">
        <is>
          <t>العقار</t>
        </is>
      </c>
      <c r="C13" s="16">
        <f>IFERROR(SUMIF('قاعدة المؤشرات'!$B$2:$B$190,"العقار",'قاعدة المؤشرات'!$J$2:$J$190)/SUMIF('قاعدة المؤشرات'!$B$2:$B$190,"العقار",'قاعدة المؤشرات'!$K$2:$K$190),"—")</f>
        <v/>
      </c>
      <c r="D13" s="18" t="inlineStr">
        <is>
          <t>حسب منظور BSC</t>
        </is>
      </c>
      <c r="E13" s="13" t="n"/>
      <c r="H13" s="23">
        <f>IFERROR(SUMIF('قاعدة المؤشرات'!$B$2:$B$190,"العقار",'قاعدة المؤشرات'!$J$2:$J$190)/SUMIF('قاعدة المؤشرات'!$B$2:$B$190,"العقار",'قاعدة المؤشرات'!$K$2:$K$190),0)</f>
        <v/>
      </c>
      <c r="I13" s="23" t="n">
        <v>0.12</v>
      </c>
      <c r="J13" s="23">
        <f>IF(SUMIF('قاعدة المؤشرات'!$B$2:$B$190,"العقار",'قاعدة المؤشرات'!$K$2:$K$190)=0,0,1)</f>
        <v/>
      </c>
    </row>
    <row r="14">
      <c r="B14" s="22" t="inlineStr">
        <is>
          <t>التقنية الرقمية</t>
        </is>
      </c>
      <c r="C14" s="16">
        <f>IFERROR(SUMIF('قاعدة المؤشرات'!$B$2:$B$190,"التقنية الرقمية",'قاعدة المؤشرات'!$J$2:$J$190)/SUMIF('قاعدة المؤشرات'!$B$2:$B$190,"التقنية الرقمية",'قاعدة المؤشرات'!$K$2:$K$190),"—")</f>
        <v/>
      </c>
      <c r="D14" s="22" t="inlineStr">
        <is>
          <t>مالي</t>
        </is>
      </c>
      <c r="E14" s="16">
        <f>IFERROR(AVERAGEIFS('قاعدة المؤشرات'!$G$2:$G$190,'قاعدة المؤشرات'!$F$2:$F$190,"مالي"),"—")</f>
        <v/>
      </c>
      <c r="H14" s="23">
        <f>IFERROR(SUMIF('قاعدة المؤشرات'!$B$2:$B$190,"التقنية الرقمية",'قاعدة المؤشرات'!$J$2:$J$190)/SUMIF('قاعدة المؤشرات'!$B$2:$B$190,"التقنية الرقمية",'قاعدة المؤشرات'!$K$2:$K$190),0)</f>
        <v/>
      </c>
      <c r="I14" s="23" t="n">
        <v>0.06</v>
      </c>
      <c r="J14" s="23">
        <f>IF(SUMIF('قاعدة المؤشرات'!$B$2:$B$190,"التقنية الرقمية",'قاعدة المؤشرات'!$K$2:$K$190)=0,0,1)</f>
        <v/>
      </c>
    </row>
    <row r="15">
      <c r="B15" s="22" t="inlineStr">
        <is>
          <t>الموارد البشرية</t>
        </is>
      </c>
      <c r="C15" s="16">
        <f>IFERROR(SUMIF('قاعدة المؤشرات'!$B$2:$B$190,"الموارد البشرية",'قاعدة المؤشرات'!$J$2:$J$190)/SUMIF('قاعدة المؤشرات'!$B$2:$B$190,"الموارد البشرية",'قاعدة المؤشرات'!$K$2:$K$190),"—")</f>
        <v/>
      </c>
      <c r="D15" s="22" t="inlineStr">
        <is>
          <t>العملاء</t>
        </is>
      </c>
      <c r="E15" s="16">
        <f>IFERROR(AVERAGEIFS('قاعدة المؤشرات'!$G$2:$G$190,'قاعدة المؤشرات'!$F$2:$F$190,"العملاء"),"—")</f>
        <v/>
      </c>
      <c r="H15" s="23">
        <f>IFERROR(SUMIF('قاعدة المؤشرات'!$B$2:$B$190,"الموارد البشرية",'قاعدة المؤشرات'!$J$2:$J$190)/SUMIF('قاعدة المؤشرات'!$B$2:$B$190,"الموارد البشرية",'قاعدة المؤشرات'!$K$2:$K$190),0)</f>
        <v/>
      </c>
      <c r="I15" s="23" t="n">
        <v>0.06</v>
      </c>
      <c r="J15" s="23">
        <f>IF(SUMIF('قاعدة المؤشرات'!$B$2:$B$190,"الموارد البشرية",'قاعدة المؤشرات'!$K$2:$K$190)=0,0,1)</f>
        <v/>
      </c>
    </row>
    <row r="16">
      <c r="B16" s="22" t="inlineStr">
        <is>
          <t>التسويق</t>
        </is>
      </c>
      <c r="C16" s="16">
        <f>IFERROR(SUMIF('قاعدة المؤشرات'!$B$2:$B$190,"التسويق",'قاعدة المؤشرات'!$J$2:$J$190)/SUMIF('قاعدة المؤشرات'!$B$2:$B$190,"التسويق",'قاعدة المؤشرات'!$K$2:$K$190),"—")</f>
        <v/>
      </c>
      <c r="D16" s="22" t="inlineStr">
        <is>
          <t>العمليات الداخلية</t>
        </is>
      </c>
      <c r="E16" s="16">
        <f>IFERROR(AVERAGEIFS('قاعدة المؤشرات'!$G$2:$G$190,'قاعدة المؤشرات'!$F$2:$F$190,"العمليات الداخلية"),"—")</f>
        <v/>
      </c>
      <c r="H16" s="23">
        <f>IFERROR(SUMIF('قاعدة المؤشرات'!$B$2:$B$190,"التسويق",'قاعدة المؤشرات'!$J$2:$J$190)/SUMIF('قاعدة المؤشرات'!$B$2:$B$190,"التسويق",'قاعدة المؤشرات'!$K$2:$K$190),0)</f>
        <v/>
      </c>
      <c r="I16" s="23" t="n">
        <v>0.08</v>
      </c>
      <c r="J16" s="23">
        <f>IF(SUMIF('قاعدة المؤشرات'!$B$2:$B$190,"التسويق",'قاعدة المؤشرات'!$K$2:$K$190)=0,0,1)</f>
        <v/>
      </c>
    </row>
    <row r="17">
      <c r="B17" s="22" t="inlineStr">
        <is>
          <t>الجودة</t>
        </is>
      </c>
      <c r="C17" s="16">
        <f>IFERROR(SUMIF('قاعدة المؤشرات'!$B$2:$B$190,"الجودة",'قاعدة المؤشرات'!$J$2:$J$190)/SUMIF('قاعدة المؤشرات'!$B$2:$B$190,"الجودة",'قاعدة المؤشرات'!$K$2:$K$190),"—")</f>
        <v/>
      </c>
      <c r="D17" s="22" t="inlineStr">
        <is>
          <t>التعلّم والنمو</t>
        </is>
      </c>
      <c r="E17" s="16">
        <f>IFERROR(AVERAGEIFS('قاعدة المؤشرات'!$G$2:$G$190,'قاعدة المؤشرات'!$F$2:$F$190,"التعلّم والنمو"),"—")</f>
        <v/>
      </c>
      <c r="H17" s="23">
        <f>IFERROR(SUMIF('قاعدة المؤشرات'!$B$2:$B$190,"الجودة",'قاعدة المؤشرات'!$J$2:$J$190)/SUMIF('قاعدة المؤشرات'!$B$2:$B$190,"الجودة",'قاعدة المؤشرات'!$K$2:$K$190),0)</f>
        <v/>
      </c>
      <c r="I17" s="23" t="n">
        <v>0.07000000000000001</v>
      </c>
      <c r="J17" s="23">
        <f>IF(SUMIF('قاعدة المؤشرات'!$B$2:$B$190,"الجودة",'قاعدة المؤشرات'!$K$2:$K$190)=0,0,1)</f>
        <v/>
      </c>
    </row>
    <row r="18">
      <c r="B18" s="22" t="inlineStr">
        <is>
          <t>الإدارة القانونية</t>
        </is>
      </c>
      <c r="C18" s="16">
        <f>IFERROR(SUMIF('قاعدة المؤشرات'!$B$2:$B$190,"الإدارة القانونية",'قاعدة المؤشرات'!$J$2:$J$190)/SUMIF('قاعدة المؤشرات'!$B$2:$B$190,"الإدارة القانونية",'قاعدة المؤشرات'!$K$2:$K$190),"—")</f>
        <v/>
      </c>
      <c r="H18" s="23">
        <f>IFERROR(SUMIF('قاعدة المؤشرات'!$B$2:$B$190,"الإدارة القانونية",'قاعدة المؤشرات'!$J$2:$J$190)/SUMIF('قاعدة المؤشرات'!$B$2:$B$190,"الإدارة القانونية",'قاعدة المؤشرات'!$K$2:$K$190),0)</f>
        <v/>
      </c>
      <c r="I18" s="23" t="n">
        <v>0.05</v>
      </c>
      <c r="J18" s="23">
        <f>IF(SUMIF('قاعدة المؤشرات'!$B$2:$B$190,"الإدارة القانونية",'قاعدة المؤشرات'!$K$2:$K$190)=0,0,1)</f>
        <v/>
      </c>
    </row>
    <row r="19">
      <c r="B19" s="22" t="inlineStr">
        <is>
          <t>الإدارة المالية</t>
        </is>
      </c>
      <c r="C19" s="16">
        <f>IFERROR(SUMIF('قاعدة المؤشرات'!$B$2:$B$190,"الإدارة المالية",'قاعدة المؤشرات'!$J$2:$J$190)/SUMIF('قاعدة المؤشرات'!$B$2:$B$190,"الإدارة المالية",'قاعدة المؤشرات'!$K$2:$K$190),"—")</f>
        <v/>
      </c>
      <c r="H19" s="23">
        <f>IFERROR(SUMIF('قاعدة المؤشرات'!$B$2:$B$190,"الإدارة المالية",'قاعدة المؤشرات'!$J$2:$J$190)/SUMIF('قاعدة المؤشرات'!$B$2:$B$190,"الإدارة المالية",'قاعدة المؤشرات'!$K$2:$K$190),0)</f>
        <v/>
      </c>
      <c r="I19" s="23" t="n">
        <v>0.1</v>
      </c>
      <c r="J19" s="23">
        <f>IF(SUMIF('قاعدة المؤشرات'!$B$2:$B$190,"الإدارة المالية",'قاعدة المؤشرات'!$K$2:$K$190)=0,0,1)</f>
        <v/>
      </c>
    </row>
  </sheetData>
  <mergeCells count="4">
    <mergeCell ref="D7:E7"/>
    <mergeCell ref="D13:E13"/>
    <mergeCell ref="B2:E2"/>
    <mergeCell ref="B7:C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7"/>
  <sheetViews>
    <sheetView showGridLines="0" rightToLeft="1" workbookViewId="0">
      <pane ySplit="1" topLeftCell="A2" activePane="bottomLeft" state="frozen"/>
      <selection pane="bottomLeft" activeCell="A1" sqref="A1"/>
    </sheetView>
  </sheetViews>
  <sheetFormatPr baseColWidth="8" defaultRowHeight="15"/>
  <cols>
    <col width="4" customWidth="1" min="1" max="1"/>
    <col width="24" customWidth="1" min="2" max="2"/>
    <col width="14" customWidth="1" min="3" max="3"/>
    <col width="14" customWidth="1" min="4" max="4"/>
    <col width="14" customWidth="1" min="5" max="5"/>
    <col width="14" customWidth="1" min="6" max="6"/>
    <col width="16" customWidth="1" min="7" max="7"/>
  </cols>
  <sheetData>
    <row r="1" ht="24" customHeight="1">
      <c r="A1" s="17" t="inlineStr">
        <is>
          <t>مراجعة وحوكمة المؤشرات — التوازن · النوع · الأوزان · تغطية الأهداف</t>
        </is>
      </c>
    </row>
    <row r="3">
      <c r="A3" s="24" t="inlineStr">
        <is>
          <t>أ) لكل إدارة: العدد · مجموع الأوزان · النوع</t>
        </is>
      </c>
      <c r="B3" s="12" t="n"/>
      <c r="C3" s="12" t="n"/>
      <c r="D3" s="12" t="n"/>
      <c r="E3" s="12" t="n"/>
      <c r="F3" s="12" t="n"/>
      <c r="G3" s="13" t="n"/>
    </row>
    <row r="4">
      <c r="A4" s="25" t="inlineStr">
        <is>
          <t>#</t>
        </is>
      </c>
      <c r="B4" s="25" t="inlineStr">
        <is>
          <t>الإدارة</t>
        </is>
      </c>
      <c r="C4" s="25" t="inlineStr">
        <is>
          <t>عدد المؤشرات</t>
        </is>
      </c>
      <c r="D4" s="25" t="inlineStr">
        <is>
          <t>مجموع الأوزان</t>
        </is>
      </c>
      <c r="E4" s="25" t="inlineStr">
        <is>
          <t>🎯 نتيجة</t>
        </is>
      </c>
      <c r="F4" s="25" t="inlineStr">
        <is>
          <t>⚙️ نشاط</t>
        </is>
      </c>
      <c r="G4" s="25" t="inlineStr">
        <is>
          <t>🔧 تشغيلي</t>
        </is>
      </c>
    </row>
    <row r="5">
      <c r="A5" s="23" t="n">
        <v>1</v>
      </c>
      <c r="B5" s="26" t="inlineStr">
        <is>
          <t>الإدارة التنفيذية</t>
        </is>
      </c>
      <c r="C5" s="23" t="n">
        <v>10</v>
      </c>
      <c r="D5" s="27" t="n">
        <v>1</v>
      </c>
      <c r="E5" s="23" t="n">
        <v>4</v>
      </c>
      <c r="F5" s="23" t="n">
        <v>1</v>
      </c>
      <c r="G5" s="23" t="n">
        <v>5</v>
      </c>
    </row>
    <row r="6">
      <c r="A6" s="23" t="n">
        <v>2</v>
      </c>
      <c r="B6" s="26" t="inlineStr">
        <is>
          <t>الامتياز التجاري</t>
        </is>
      </c>
      <c r="C6" s="23" t="n">
        <v>36</v>
      </c>
      <c r="D6" s="27" t="n">
        <v>1</v>
      </c>
      <c r="E6" s="23" t="n">
        <v>12</v>
      </c>
      <c r="F6" s="23" t="n">
        <v>7</v>
      </c>
      <c r="G6" s="23" t="n">
        <v>17</v>
      </c>
    </row>
    <row r="7">
      <c r="A7" s="23" t="n">
        <v>3</v>
      </c>
      <c r="B7" s="26" t="inlineStr">
        <is>
          <t>التشغيل والمحطات</t>
        </is>
      </c>
      <c r="C7" s="23" t="n">
        <v>16</v>
      </c>
      <c r="D7" s="27" t="n">
        <v>1</v>
      </c>
      <c r="E7" s="23" t="n">
        <v>6</v>
      </c>
      <c r="F7" s="23" t="n">
        <v>1</v>
      </c>
      <c r="G7" s="23" t="n">
        <v>9</v>
      </c>
    </row>
    <row r="8">
      <c r="A8" s="23" t="n">
        <v>4</v>
      </c>
      <c r="B8" s="26" t="inlineStr">
        <is>
          <t>الاستثمار</t>
        </is>
      </c>
      <c r="C8" s="23" t="n">
        <v>24</v>
      </c>
      <c r="D8" s="27" t="n">
        <v>1</v>
      </c>
      <c r="E8" s="23" t="n">
        <v>3</v>
      </c>
      <c r="F8" s="23" t="n">
        <v>3</v>
      </c>
      <c r="G8" s="23" t="n">
        <v>18</v>
      </c>
    </row>
    <row r="9">
      <c r="A9" s="23" t="n">
        <v>5</v>
      </c>
      <c r="B9" s="26" t="inlineStr">
        <is>
          <t>العقار</t>
        </is>
      </c>
      <c r="C9" s="23" t="n">
        <v>16</v>
      </c>
      <c r="D9" s="27" t="n">
        <v>1</v>
      </c>
      <c r="E9" s="23" t="n">
        <v>4</v>
      </c>
      <c r="F9" s="23" t="n">
        <v>1</v>
      </c>
      <c r="G9" s="23" t="n">
        <v>11</v>
      </c>
    </row>
    <row r="10">
      <c r="A10" s="23" t="n">
        <v>6</v>
      </c>
      <c r="B10" s="26" t="inlineStr">
        <is>
          <t>التقنية الرقمية</t>
        </is>
      </c>
      <c r="C10" s="23" t="n">
        <v>9</v>
      </c>
      <c r="D10" s="27" t="n">
        <v>1</v>
      </c>
      <c r="E10" s="23" t="n">
        <v>0</v>
      </c>
      <c r="F10" s="23" t="n">
        <v>0</v>
      </c>
      <c r="G10" s="23" t="n">
        <v>9</v>
      </c>
    </row>
    <row r="11">
      <c r="A11" s="23" t="n">
        <v>7</v>
      </c>
      <c r="B11" s="26" t="inlineStr">
        <is>
          <t>الموارد البشرية</t>
        </is>
      </c>
      <c r="C11" s="23" t="n">
        <v>17</v>
      </c>
      <c r="D11" s="27" t="n">
        <v>1</v>
      </c>
      <c r="E11" s="23" t="n">
        <v>4</v>
      </c>
      <c r="F11" s="23" t="n">
        <v>3</v>
      </c>
      <c r="G11" s="23" t="n">
        <v>10</v>
      </c>
    </row>
    <row r="12">
      <c r="A12" s="23" t="n">
        <v>8</v>
      </c>
      <c r="B12" s="26" t="inlineStr">
        <is>
          <t>التسويق</t>
        </is>
      </c>
      <c r="C12" s="23" t="n">
        <v>15</v>
      </c>
      <c r="D12" s="27" t="n">
        <v>1</v>
      </c>
      <c r="E12" s="23" t="n">
        <v>4</v>
      </c>
      <c r="F12" s="23" t="n">
        <v>2</v>
      </c>
      <c r="G12" s="23" t="n">
        <v>9</v>
      </c>
    </row>
    <row r="13">
      <c r="A13" s="23" t="n">
        <v>9</v>
      </c>
      <c r="B13" s="26" t="inlineStr">
        <is>
          <t>الجودة</t>
        </is>
      </c>
      <c r="C13" s="23" t="n">
        <v>14</v>
      </c>
      <c r="D13" s="27" t="n">
        <v>1</v>
      </c>
      <c r="E13" s="23" t="n">
        <v>1</v>
      </c>
      <c r="F13" s="23" t="n">
        <v>5</v>
      </c>
      <c r="G13" s="23" t="n">
        <v>8</v>
      </c>
    </row>
    <row r="14">
      <c r="A14" s="23" t="n">
        <v>10</v>
      </c>
      <c r="B14" s="26" t="inlineStr">
        <is>
          <t>الإدارة القانونية</t>
        </is>
      </c>
      <c r="C14" s="23" t="n">
        <v>8</v>
      </c>
      <c r="D14" s="27" t="n">
        <v>1</v>
      </c>
      <c r="E14" s="23" t="n">
        <v>1</v>
      </c>
      <c r="F14" s="23" t="n">
        <v>1</v>
      </c>
      <c r="G14" s="23" t="n">
        <v>6</v>
      </c>
    </row>
    <row r="15">
      <c r="A15" s="23" t="n">
        <v>11</v>
      </c>
      <c r="B15" s="26" t="inlineStr">
        <is>
          <t>الإدارة المالية</t>
        </is>
      </c>
      <c r="C15" s="23" t="n">
        <v>24</v>
      </c>
      <c r="D15" s="27" t="n">
        <v>1</v>
      </c>
      <c r="E15" s="23" t="n">
        <v>9</v>
      </c>
      <c r="F15" s="23" t="n">
        <v>1</v>
      </c>
      <c r="G15" s="23" t="n">
        <v>14</v>
      </c>
    </row>
    <row r="17">
      <c r="A17" s="24" t="inlineStr">
        <is>
          <t>ب) توزيع منظورات Balanced Scorecard</t>
        </is>
      </c>
      <c r="B17" s="12" t="n"/>
      <c r="C17" s="12" t="n"/>
      <c r="D17" s="12" t="n"/>
      <c r="E17" s="12" t="n"/>
      <c r="F17" s="12" t="n"/>
      <c r="G17" s="13" t="n"/>
    </row>
    <row r="18">
      <c r="A18" s="25" t="inlineStr">
        <is>
          <t>#</t>
        </is>
      </c>
      <c r="B18" s="25" t="inlineStr">
        <is>
          <t>المنظور</t>
        </is>
      </c>
      <c r="C18" s="25" t="inlineStr">
        <is>
          <t>عدد المؤشرات</t>
        </is>
      </c>
      <c r="D18" s="25" t="inlineStr">
        <is>
          <t>النسبة</t>
        </is>
      </c>
    </row>
    <row r="19">
      <c r="A19" s="23" t="n">
        <v>1</v>
      </c>
      <c r="B19" s="26" t="inlineStr">
        <is>
          <t>مالي</t>
        </is>
      </c>
      <c r="C19" s="23" t="n">
        <v>33</v>
      </c>
      <c r="D19" s="28" t="n">
        <v>0.175</v>
      </c>
    </row>
    <row r="20">
      <c r="A20" s="23" t="n">
        <v>2</v>
      </c>
      <c r="B20" s="26" t="inlineStr">
        <is>
          <t>العملاء</t>
        </is>
      </c>
      <c r="C20" s="23" t="n">
        <v>20</v>
      </c>
      <c r="D20" s="28" t="n">
        <v>0.106</v>
      </c>
    </row>
    <row r="21">
      <c r="A21" s="23" t="n">
        <v>3</v>
      </c>
      <c r="B21" s="26" t="inlineStr">
        <is>
          <t>العمليات الداخلية</t>
        </is>
      </c>
      <c r="C21" s="23" t="n">
        <v>121</v>
      </c>
      <c r="D21" s="28" t="n">
        <v>0.64</v>
      </c>
    </row>
    <row r="22">
      <c r="A22" s="23" t="n">
        <v>4</v>
      </c>
      <c r="B22" s="26" t="inlineStr">
        <is>
          <t>التعلّم والنمو</t>
        </is>
      </c>
      <c r="C22" s="23" t="n">
        <v>15</v>
      </c>
      <c r="D22" s="28" t="n">
        <v>0.079</v>
      </c>
    </row>
    <row r="24">
      <c r="A24" s="24" t="inlineStr">
        <is>
          <t>ج) تغطية الأهداف الاستراتيجية (عدد المؤشرات لكل مشروع)</t>
        </is>
      </c>
      <c r="B24" s="12" t="n"/>
      <c r="C24" s="12" t="n"/>
      <c r="D24" s="12" t="n"/>
      <c r="E24" s="12" t="n"/>
      <c r="F24" s="12" t="n"/>
      <c r="G24" s="13" t="n"/>
    </row>
    <row r="25">
      <c r="A25" s="25" t="inlineStr">
        <is>
          <t>#</t>
        </is>
      </c>
      <c r="B25" s="25" t="inlineStr">
        <is>
          <t>المشروع/الهدف</t>
        </is>
      </c>
      <c r="C25" s="25" t="inlineStr">
        <is>
          <t>الركيزة</t>
        </is>
      </c>
      <c r="D25" s="25" t="inlineStr">
        <is>
          <t>عدد المؤشرات</t>
        </is>
      </c>
      <c r="E25" s="25" t="inlineStr">
        <is>
          <t>التغطية</t>
        </is>
      </c>
    </row>
    <row r="26">
      <c r="A26" s="23" t="n">
        <v>1</v>
      </c>
      <c r="B26" s="26" t="inlineStr">
        <is>
          <t>التوسع في المواقع</t>
        </is>
      </c>
      <c r="C26" s="23" t="inlineStr">
        <is>
          <t>النمو</t>
        </is>
      </c>
      <c r="D26" s="23" t="n">
        <v>24</v>
      </c>
      <c r="E26" s="23" t="inlineStr">
        <is>
          <t>🟢 كافية</t>
        </is>
      </c>
    </row>
    <row r="27">
      <c r="A27" s="23" t="n">
        <v>2</v>
      </c>
      <c r="B27" s="26" t="inlineStr">
        <is>
          <t>الامتياز التجاري</t>
        </is>
      </c>
      <c r="C27" s="23" t="inlineStr">
        <is>
          <t>النمو</t>
        </is>
      </c>
      <c r="D27" s="23" t="n">
        <v>7</v>
      </c>
      <c r="E27" s="23" t="inlineStr">
        <is>
          <t>🟢 كافية</t>
        </is>
      </c>
    </row>
    <row r="28">
      <c r="A28" s="23" t="n">
        <v>3</v>
      </c>
      <c r="B28" s="26" t="inlineStr">
        <is>
          <t>زيادة وصول العملاء</t>
        </is>
      </c>
      <c r="C28" s="23" t="inlineStr">
        <is>
          <t>النمو</t>
        </is>
      </c>
      <c r="D28" s="23" t="n">
        <v>23</v>
      </c>
      <c r="E28" s="23" t="inlineStr">
        <is>
          <t>🟢 كافية</t>
        </is>
      </c>
    </row>
    <row r="29">
      <c r="A29" s="23" t="n">
        <v>4</v>
      </c>
      <c r="B29" s="26" t="inlineStr">
        <is>
          <t>إطلاق مشاريع جديدة</t>
        </is>
      </c>
      <c r="C29" s="23" t="inlineStr">
        <is>
          <t>الابتكار</t>
        </is>
      </c>
      <c r="D29" s="23" t="n">
        <v>4</v>
      </c>
      <c r="E29" s="23" t="inlineStr">
        <is>
          <t>🟢 كافية</t>
        </is>
      </c>
    </row>
    <row r="30">
      <c r="A30" s="23" t="n">
        <v>5</v>
      </c>
      <c r="B30" s="26" t="inlineStr">
        <is>
          <t>تطوير التصاميم والهوية</t>
        </is>
      </c>
      <c r="C30" s="23" t="inlineStr">
        <is>
          <t>الابتكار</t>
        </is>
      </c>
      <c r="D30" s="23" t="n">
        <v>2</v>
      </c>
      <c r="E30" s="23" t="inlineStr">
        <is>
          <t>🟡 ضعيفة</t>
        </is>
      </c>
    </row>
    <row r="31">
      <c r="A31" s="23" t="n">
        <v>6</v>
      </c>
      <c r="B31" s="26" t="inlineStr">
        <is>
          <t>التحول التقني</t>
        </is>
      </c>
      <c r="C31" s="23" t="inlineStr">
        <is>
          <t>الابتكار</t>
        </is>
      </c>
      <c r="D31" s="23" t="n">
        <v>10</v>
      </c>
      <c r="E31" s="23" t="inlineStr">
        <is>
          <t>🟢 كافية</t>
        </is>
      </c>
    </row>
    <row r="32">
      <c r="A32" s="23" t="n">
        <v>7</v>
      </c>
      <c r="B32" s="26" t="inlineStr">
        <is>
          <t>ساحات درب</t>
        </is>
      </c>
      <c r="C32" s="23" t="inlineStr">
        <is>
          <t>الابتكار</t>
        </is>
      </c>
      <c r="D32" s="23" t="n">
        <v>2</v>
      </c>
      <c r="E32" s="23" t="inlineStr">
        <is>
          <t>🟡 ضعيفة</t>
        </is>
      </c>
    </row>
    <row r="33">
      <c r="A33" s="23" t="n">
        <v>8</v>
      </c>
      <c r="B33" s="26" t="inlineStr">
        <is>
          <t>تطبيق «تانكي»</t>
        </is>
      </c>
      <c r="C33" s="23" t="inlineStr">
        <is>
          <t>الابتكار</t>
        </is>
      </c>
      <c r="D33" s="23" t="n">
        <v>2</v>
      </c>
      <c r="E33" s="23" t="inlineStr">
        <is>
          <t>🟡 ضعيفة</t>
        </is>
      </c>
    </row>
    <row r="34">
      <c r="A34" s="23" t="n">
        <v>9</v>
      </c>
      <c r="B34" s="26" t="inlineStr">
        <is>
          <t>تعزيز تجربة العملاء</t>
        </is>
      </c>
      <c r="C34" s="23" t="inlineStr">
        <is>
          <t>الاستدامة</t>
        </is>
      </c>
      <c r="D34" s="23" t="n">
        <v>16</v>
      </c>
      <c r="E34" s="23" t="inlineStr">
        <is>
          <t>🟢 كافية</t>
        </is>
      </c>
    </row>
    <row r="35">
      <c r="A35" s="23" t="n">
        <v>10</v>
      </c>
      <c r="B35" s="26" t="inlineStr">
        <is>
          <t>جودة التشغيل</t>
        </is>
      </c>
      <c r="C35" s="23" t="inlineStr">
        <is>
          <t>الاستدامة</t>
        </is>
      </c>
      <c r="D35" s="23" t="n">
        <v>76</v>
      </c>
      <c r="E35" s="23" t="inlineStr">
        <is>
          <t>🟢 كافية</t>
        </is>
      </c>
    </row>
    <row r="36">
      <c r="A36" s="23" t="n">
        <v>11</v>
      </c>
      <c r="B36" s="26" t="inlineStr">
        <is>
          <t>منظومة التأجير</t>
        </is>
      </c>
      <c r="C36" s="23" t="inlineStr">
        <is>
          <t>الاستدامة</t>
        </is>
      </c>
      <c r="D36" s="23" t="n">
        <v>10</v>
      </c>
      <c r="E36" s="23" t="inlineStr">
        <is>
          <t>🟢 كافية</t>
        </is>
      </c>
    </row>
    <row r="37">
      <c r="A37" s="23" t="n">
        <v>12</v>
      </c>
      <c r="B37" s="26" t="inlineStr">
        <is>
          <t>الاستثمار في الموظفين</t>
        </is>
      </c>
      <c r="C37" s="23" t="inlineStr">
        <is>
          <t>الاستدامة</t>
        </is>
      </c>
      <c r="D37" s="23" t="n">
        <v>13</v>
      </c>
      <c r="E37" s="23" t="inlineStr">
        <is>
          <t>🟢 كافية</t>
        </is>
      </c>
    </row>
  </sheetData>
  <mergeCells count="4">
    <mergeCell ref="A3:G3"/>
    <mergeCell ref="A24:G24"/>
    <mergeCell ref="A1:G1"/>
    <mergeCell ref="A17:G1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191"/>
  <sheetViews>
    <sheetView showGridLines="0" rightToLeft="1" workbookViewId="0">
      <pane xSplit="2" ySplit="2" topLeftCell="C3" activePane="bottomRight" state="frozen"/>
      <selection pane="topRight"/>
      <selection pane="bottomLeft"/>
      <selection pane="bottomRight" activeCell="A1" sqref="A1"/>
    </sheetView>
  </sheetViews>
  <sheetFormatPr baseColWidth="8" defaultRowHeight="15"/>
  <cols>
    <col width="4" customWidth="1" min="1" max="1"/>
    <col width="16" customWidth="1" min="2" max="2"/>
    <col width="38" customWidth="1" min="3" max="3"/>
    <col width="46" customWidth="1" min="4" max="4"/>
    <col width="30" customWidth="1" min="5" max="5"/>
    <col width="11" customWidth="1" min="6" max="6"/>
    <col width="30" customWidth="1" min="7" max="7"/>
    <col width="16" customWidth="1" min="8" max="8"/>
    <col width="8" customWidth="1" min="9" max="9"/>
    <col width="16" customWidth="1" min="10" max="10"/>
    <col width="24" customWidth="1" min="11" max="11"/>
    <col width="9" customWidth="1" min="12" max="12"/>
    <col width="18" customWidth="1" min="13" max="13"/>
    <col width="16" customWidth="1" min="14" max="14"/>
  </cols>
  <sheetData>
    <row r="1" ht="24" customHeight="1">
      <c r="A1" s="29" t="inlineStr">
        <is>
          <t>بطاقة تعريف المؤشرات — قاموس البيانات والحوكمة (مالك · مصدر · دورية · تعريف · احتساب · اعتماد)</t>
        </is>
      </c>
    </row>
    <row r="2" ht="26" customHeight="1">
      <c r="A2" s="25" t="inlineStr">
        <is>
          <t>#</t>
        </is>
      </c>
      <c r="B2" s="25" t="inlineStr">
        <is>
          <t>الإدارة</t>
        </is>
      </c>
      <c r="C2" s="25" t="inlineStr">
        <is>
          <t>المؤشر</t>
        </is>
      </c>
      <c r="D2" s="25" t="inlineStr">
        <is>
          <t>التعريف</t>
        </is>
      </c>
      <c r="E2" s="25" t="inlineStr">
        <is>
          <t>طريقة الاحتساب</t>
        </is>
      </c>
      <c r="F2" s="25" t="inlineStr">
        <is>
          <t>النوع</t>
        </is>
      </c>
      <c r="G2" s="25" t="inlineStr">
        <is>
          <t>الهدف الاستراتيجي (ركيزة · مشروع)</t>
        </is>
      </c>
      <c r="H2" s="25" t="inlineStr">
        <is>
          <t>منظور BSC</t>
        </is>
      </c>
      <c r="I2" s="25" t="inlineStr">
        <is>
          <t>الوزن</t>
        </is>
      </c>
      <c r="J2" s="25" t="inlineStr">
        <is>
          <t>المالك</t>
        </is>
      </c>
      <c r="K2" s="25" t="inlineStr">
        <is>
          <t>مصدر البيانات</t>
        </is>
      </c>
      <c r="L2" s="25" t="inlineStr">
        <is>
          <t>الدورية</t>
        </is>
      </c>
      <c r="M2" s="25" t="inlineStr">
        <is>
          <t>جهة اعتماد البيانات</t>
        </is>
      </c>
      <c r="N2" s="25" t="inlineStr">
        <is>
          <t>آخر تحديث للبيانات</t>
        </is>
      </c>
    </row>
    <row r="3" ht="30" customHeight="1">
      <c r="A3" s="23" t="n">
        <v>1</v>
      </c>
      <c r="B3" s="26" t="inlineStr">
        <is>
          <t>الإدارة التنفيذية</t>
        </is>
      </c>
      <c r="C3" s="9" t="inlineStr">
        <is>
          <t>إجمالي المحطات المشغّلة — الشركة (تراكمي)</t>
        </is>
      </c>
      <c r="D3" s="30" t="inlineStr">
        <is>
          <t>يقيس إجمالي المحطات المشغّلة — الشركة (تراكمي) ضمن محور «النمو»، ويعكس مساهمة الإدارة في ركيزة النمو.</t>
        </is>
      </c>
      <c r="E3" s="31" t="inlineStr">
        <is>
          <t>إجمالي العدد خلال الفترة</t>
        </is>
      </c>
      <c r="F3" s="23" t="inlineStr">
        <is>
          <t>🔧 تشغيلي</t>
        </is>
      </c>
      <c r="G3" s="31" t="inlineStr">
        <is>
          <t>النمو · التوسع في المواقع</t>
        </is>
      </c>
      <c r="H3" s="23" t="inlineStr">
        <is>
          <t>العمليات الداخلية</t>
        </is>
      </c>
      <c r="I3" s="32" t="n">
        <v>0.12</v>
      </c>
      <c r="J3" s="23" t="inlineStr">
        <is>
          <t>الرئيس التنفيذي</t>
        </is>
      </c>
      <c r="K3" s="31" t="inlineStr">
        <is>
          <t>نظام تشغيل المحطات</t>
        </is>
      </c>
      <c r="L3" s="23" t="inlineStr">
        <is>
          <t>شهري</t>
        </is>
      </c>
      <c r="M3" s="23" t="inlineStr">
        <is>
          <t>اللجنة التنفيذية</t>
        </is>
      </c>
      <c r="N3" s="33" t="n"/>
    </row>
    <row r="4" ht="30" customHeight="1">
      <c r="A4" s="23" t="n">
        <v>2</v>
      </c>
      <c r="B4" s="26" t="inlineStr">
        <is>
          <t>الإدارة التنفيذية</t>
        </is>
      </c>
      <c r="C4" s="9" t="inlineStr">
        <is>
          <t>إجمالي العقود الجديدة — الشركة</t>
        </is>
      </c>
      <c r="D4" s="30" t="inlineStr">
        <is>
          <t>يقيس إجمالي العقود الجديدة — الشركة ضمن محور «النمو»، ويعكس مساهمة الإدارة في ركيزة النمو.</t>
        </is>
      </c>
      <c r="E4" s="31" t="inlineStr">
        <is>
          <t>إجمالي العدد خلال الفترة</t>
        </is>
      </c>
      <c r="F4" s="23" t="inlineStr">
        <is>
          <t>🔧 تشغيلي</t>
        </is>
      </c>
      <c r="G4" s="31" t="inlineStr">
        <is>
          <t>النمو · الامتياز التجاري</t>
        </is>
      </c>
      <c r="H4" s="23" t="inlineStr">
        <is>
          <t>العمليات الداخلية</t>
        </is>
      </c>
      <c r="I4" s="32" t="n">
        <v>0.12</v>
      </c>
      <c r="J4" s="23" t="inlineStr">
        <is>
          <t>الرئيس التنفيذي</t>
        </is>
      </c>
      <c r="K4" s="31" t="inlineStr">
        <is>
          <t>نظام إدارة العقود (CRM)</t>
        </is>
      </c>
      <c r="L4" s="23" t="inlineStr">
        <is>
          <t>شهري</t>
        </is>
      </c>
      <c r="M4" s="23" t="inlineStr">
        <is>
          <t>اللجنة التنفيذية</t>
        </is>
      </c>
      <c r="N4" s="33" t="n"/>
    </row>
    <row r="5" ht="30" customHeight="1">
      <c r="A5" s="23" t="n">
        <v>3</v>
      </c>
      <c r="B5" s="26" t="inlineStr">
        <is>
          <t>الإدارة التنفيذية</t>
        </is>
      </c>
      <c r="C5" s="9" t="inlineStr">
        <is>
          <t>إجمالي إيرادات الشركة السنوية</t>
        </is>
      </c>
      <c r="D5" s="30" t="inlineStr">
        <is>
          <t>يقيس إجمالي إيرادات الشركة السنوية ضمن محور «النمو»، ويعكس مساهمة الإدارة في ركيزة النمو.</t>
        </is>
      </c>
      <c r="E5" s="31" t="inlineStr">
        <is>
          <t>إجمالي القيمة (ر.س) خلال الفترة</t>
        </is>
      </c>
      <c r="F5" s="23" t="inlineStr">
        <is>
          <t>🎯 نتيجة</t>
        </is>
      </c>
      <c r="G5" s="31" t="inlineStr">
        <is>
          <t>النمو · زيادة وصول العملاء</t>
        </is>
      </c>
      <c r="H5" s="23" t="inlineStr">
        <is>
          <t>مالي</t>
        </is>
      </c>
      <c r="I5" s="32" t="n">
        <v>0.11</v>
      </c>
      <c r="J5" s="23" t="inlineStr">
        <is>
          <t>الرئيس التنفيذي</t>
        </is>
      </c>
      <c r="K5" s="31" t="inlineStr">
        <is>
          <t>نظام المحاسبة / ERP (D365)</t>
        </is>
      </c>
      <c r="L5" s="23" t="inlineStr">
        <is>
          <t>شهري</t>
        </is>
      </c>
      <c r="M5" s="23" t="inlineStr">
        <is>
          <t>اللجنة التنفيذية</t>
        </is>
      </c>
      <c r="N5" s="33" t="n"/>
    </row>
    <row r="6" ht="30" customHeight="1">
      <c r="A6" s="23" t="n">
        <v>4</v>
      </c>
      <c r="B6" s="26" t="inlineStr">
        <is>
          <t>الإدارة التنفيذية</t>
        </is>
      </c>
      <c r="C6" s="9" t="inlineStr">
        <is>
          <t>نسبة نمو إيرادات الشركة (سنوي)</t>
        </is>
      </c>
      <c r="D6" s="30" t="inlineStr">
        <is>
          <t>يقيس نسبة نمو إيرادات الشركة (سنوي) ضمن محور «النمو»، ويعكس مساهمة الإدارة في ركيزة النمو.</t>
        </is>
      </c>
      <c r="E6" s="31" t="inlineStr">
        <is>
          <t>(المتحقّق ÷ الإجمالي) × 100٪</t>
        </is>
      </c>
      <c r="F6" s="23" t="inlineStr">
        <is>
          <t>🎯 نتيجة</t>
        </is>
      </c>
      <c r="G6" s="31" t="inlineStr">
        <is>
          <t>النمو · زيادة وصول العملاء</t>
        </is>
      </c>
      <c r="H6" s="23" t="inlineStr">
        <is>
          <t>مالي</t>
        </is>
      </c>
      <c r="I6" s="32" t="n">
        <v>0.11</v>
      </c>
      <c r="J6" s="23" t="inlineStr">
        <is>
          <t>الرئيس التنفيذي</t>
        </is>
      </c>
      <c r="K6" s="31" t="inlineStr">
        <is>
          <t>نظام المحاسبة / ERP (D365)</t>
        </is>
      </c>
      <c r="L6" s="23" t="inlineStr">
        <is>
          <t>شهري</t>
        </is>
      </c>
      <c r="M6" s="23" t="inlineStr">
        <is>
          <t>اللجنة التنفيذية</t>
        </is>
      </c>
      <c r="N6" s="33" t="n"/>
    </row>
    <row r="7" ht="30" customHeight="1">
      <c r="A7" s="23" t="n">
        <v>5</v>
      </c>
      <c r="B7" s="26" t="inlineStr">
        <is>
          <t>الإدارة التنفيذية</t>
        </is>
      </c>
      <c r="C7" s="9" t="inlineStr">
        <is>
          <t>نسبة إنجاز مشاريع الخارطة التنفيذية</t>
        </is>
      </c>
      <c r="D7" s="30" t="inlineStr">
        <is>
          <t>يقيس نسبة إنجاز مشاريع الخارطة التنفيذية ضمن محور «الابتكار»، ويعكس مساهمة الإدارة في ركيزة الابتكار.</t>
        </is>
      </c>
      <c r="E7" s="31" t="inlineStr">
        <is>
          <t>(المتحقّق ÷ الإجمالي) × 100٪</t>
        </is>
      </c>
      <c r="F7" s="23" t="inlineStr">
        <is>
          <t>⚙️ نشاط</t>
        </is>
      </c>
      <c r="G7" s="31" t="inlineStr">
        <is>
          <t>الابتكار · إطلاق مشاريع جديدة</t>
        </is>
      </c>
      <c r="H7" s="23" t="inlineStr">
        <is>
          <t>العمليات الداخلية</t>
        </is>
      </c>
      <c r="I7" s="32" t="n">
        <v>0.08</v>
      </c>
      <c r="J7" s="23" t="inlineStr">
        <is>
          <t>الرئيس التنفيذي</t>
        </is>
      </c>
      <c r="K7" s="31" t="inlineStr">
        <is>
          <t>سجلات الإدارة</t>
        </is>
      </c>
      <c r="L7" s="23" t="inlineStr">
        <is>
          <t>شهري</t>
        </is>
      </c>
      <c r="M7" s="23" t="inlineStr">
        <is>
          <t>اللجنة التنفيذية</t>
        </is>
      </c>
      <c r="N7" s="33" t="n"/>
    </row>
    <row r="8" ht="30" customHeight="1">
      <c r="A8" s="23" t="n">
        <v>6</v>
      </c>
      <c r="B8" s="26" t="inlineStr">
        <is>
          <t>الإدارة التنفيذية</t>
        </is>
      </c>
      <c r="C8" s="9" t="inlineStr">
        <is>
          <t>نسبة التحول الرقمي على مستوى الشركة</t>
        </is>
      </c>
      <c r="D8" s="30" t="inlineStr">
        <is>
          <t>يقيس نسبة التحول الرقمي على مستوى الشركة ضمن محور «الابتكار»، ويعكس مساهمة الإدارة في ركيزة الابتكار.</t>
        </is>
      </c>
      <c r="E8" s="31" t="inlineStr">
        <is>
          <t>(المتحقّق ÷ الإجمالي) × 100٪</t>
        </is>
      </c>
      <c r="F8" s="23" t="inlineStr">
        <is>
          <t>🔧 تشغيلي</t>
        </is>
      </c>
      <c r="G8" s="31" t="inlineStr">
        <is>
          <t>الابتكار · التحول التقني</t>
        </is>
      </c>
      <c r="H8" s="23" t="inlineStr">
        <is>
          <t>التعلّم والنمو</t>
        </is>
      </c>
      <c r="I8" s="32" t="n">
        <v>0.08</v>
      </c>
      <c r="J8" s="23" t="inlineStr">
        <is>
          <t>الرئيس التنفيذي</t>
        </is>
      </c>
      <c r="K8" s="31" t="inlineStr">
        <is>
          <t>سجلات الإدارة</t>
        </is>
      </c>
      <c r="L8" s="23" t="inlineStr">
        <is>
          <t>شهري</t>
        </is>
      </c>
      <c r="M8" s="23" t="inlineStr">
        <is>
          <t>اللجنة التنفيذية</t>
        </is>
      </c>
      <c r="N8" s="33" t="n"/>
    </row>
    <row r="9" ht="30" customHeight="1">
      <c r="A9" s="23" t="n">
        <v>7</v>
      </c>
      <c r="B9" s="26" t="inlineStr">
        <is>
          <t>الإدارة التنفيذية</t>
        </is>
      </c>
      <c r="C9" s="9" t="inlineStr">
        <is>
          <t>مؤشر رضا العملاء العام (الشركة)</t>
        </is>
      </c>
      <c r="D9" s="30" t="inlineStr">
        <is>
          <t>يقيس مؤشر رضا العملاء العام (الشركة) ضمن محور «الاستدامة»، ويعكس مساهمة الإدارة في ركيزة الاستدامة.</t>
        </is>
      </c>
      <c r="E9" s="31" t="inlineStr">
        <is>
          <t>(المتحقّق ÷ الإجمالي) × 100٪</t>
        </is>
      </c>
      <c r="F9" s="23" t="inlineStr">
        <is>
          <t>🎯 نتيجة</t>
        </is>
      </c>
      <c r="G9" s="31" t="inlineStr">
        <is>
          <t>الاستدامة · تعزيز تجربة العملاء</t>
        </is>
      </c>
      <c r="H9" s="23" t="inlineStr">
        <is>
          <t>العملاء</t>
        </is>
      </c>
      <c r="I9" s="32" t="n">
        <v>0.11</v>
      </c>
      <c r="J9" s="23" t="inlineStr">
        <is>
          <t>الرئيس التنفيذي</t>
        </is>
      </c>
      <c r="K9" s="31" t="inlineStr">
        <is>
          <t>استبيان دوري</t>
        </is>
      </c>
      <c r="L9" s="23" t="inlineStr">
        <is>
          <t>ربعي</t>
        </is>
      </c>
      <c r="M9" s="23" t="inlineStr">
        <is>
          <t>اللجنة التنفيذية</t>
        </is>
      </c>
      <c r="N9" s="33" t="n"/>
    </row>
    <row r="10" ht="30" customHeight="1">
      <c r="A10" s="23" t="n">
        <v>8</v>
      </c>
      <c r="B10" s="26" t="inlineStr">
        <is>
          <t>الإدارة التنفيذية</t>
        </is>
      </c>
      <c r="C10" s="9" t="inlineStr">
        <is>
          <t>مؤشر رضا الموظفين العام (eNPS)</t>
        </is>
      </c>
      <c r="D10" s="30" t="inlineStr">
        <is>
          <t>يقيس مؤشر رضا الموظفين العام (eNPS) ضمن محور «الاستدامة»، ويعكس مساهمة الإدارة في ركيزة الاستدامة.</t>
        </is>
      </c>
      <c r="E10" s="31" t="inlineStr">
        <is>
          <t>٪ المروّجين − ٪ المنتقدين</t>
        </is>
      </c>
      <c r="F10" s="23" t="inlineStr">
        <is>
          <t>🎯 نتيجة</t>
        </is>
      </c>
      <c r="G10" s="31" t="inlineStr">
        <is>
          <t>الاستدامة · الاستثمار في الموظفين</t>
        </is>
      </c>
      <c r="H10" s="23" t="inlineStr">
        <is>
          <t>التعلّم والنمو</t>
        </is>
      </c>
      <c r="I10" s="32" t="n">
        <v>0.11</v>
      </c>
      <c r="J10" s="23" t="inlineStr">
        <is>
          <t>الرئيس التنفيذي</t>
        </is>
      </c>
      <c r="K10" s="31" t="inlineStr">
        <is>
          <t>استبيان دوري</t>
        </is>
      </c>
      <c r="L10" s="23" t="inlineStr">
        <is>
          <t>ربعي</t>
        </is>
      </c>
      <c r="M10" s="23" t="inlineStr">
        <is>
          <t>اللجنة التنفيذية</t>
        </is>
      </c>
      <c r="N10" s="33" t="n"/>
    </row>
    <row r="11" ht="30" customHeight="1">
      <c r="A11" s="23" t="n">
        <v>9</v>
      </c>
      <c r="B11" s="26" t="inlineStr">
        <is>
          <t>الإدارة التنفيذية</t>
        </is>
      </c>
      <c r="C11" s="9" t="inlineStr">
        <is>
          <t>نسبة تحقيق المستهدفات الاستراتيجية العامة</t>
        </is>
      </c>
      <c r="D11" s="30" t="inlineStr">
        <is>
          <t>يقيس نسبة تحقيق المستهدفات الاستراتيجية العامة ضمن محور «الاستدامة»، ويعكس مساهمة الإدارة في ركيزة الاستدامة.</t>
        </is>
      </c>
      <c r="E11" s="31" t="inlineStr">
        <is>
          <t>(المتحقّق ÷ الإجمالي) × 100٪</t>
        </is>
      </c>
      <c r="F11" s="23" t="inlineStr">
        <is>
          <t>🔧 تشغيلي</t>
        </is>
      </c>
      <c r="G11" s="31" t="inlineStr">
        <is>
          <t>الاستدامة · جودة التشغيل</t>
        </is>
      </c>
      <c r="H11" s="23" t="inlineStr">
        <is>
          <t>العمليات الداخلية</t>
        </is>
      </c>
      <c r="I11" s="32" t="n">
        <v>0.08</v>
      </c>
      <c r="J11" s="23" t="inlineStr">
        <is>
          <t>الرئيس التنفيذي</t>
        </is>
      </c>
      <c r="K11" s="31" t="inlineStr">
        <is>
          <t>سجلات الإدارة</t>
        </is>
      </c>
      <c r="L11" s="23" t="inlineStr">
        <is>
          <t>شهري</t>
        </is>
      </c>
      <c r="M11" s="23" t="inlineStr">
        <is>
          <t>اللجنة التنفيذية</t>
        </is>
      </c>
      <c r="N11" s="33" t="n"/>
    </row>
    <row r="12" ht="30" customHeight="1">
      <c r="A12" s="23" t="n">
        <v>10</v>
      </c>
      <c r="B12" s="26" t="inlineStr">
        <is>
          <t>الإدارة التنفيذية</t>
        </is>
      </c>
      <c r="C12" s="9" t="inlineStr">
        <is>
          <t>الالتزام بمعايير وزارة الطاقة (تغطية 13 منطقة)</t>
        </is>
      </c>
      <c r="D12" s="30" t="inlineStr">
        <is>
          <t>يقيس الالتزام بمعايير وزارة الطاقة (تغطية 13 منطقة) ضمن محور «النمو»، ويعكس مساهمة الإدارة في ركيزة النمو.</t>
        </is>
      </c>
      <c r="E12" s="31" t="inlineStr">
        <is>
          <t>(المتحقّق ÷ الإجمالي) × 100٪</t>
        </is>
      </c>
      <c r="F12" s="23" t="inlineStr">
        <is>
          <t>🔧 تشغيلي</t>
        </is>
      </c>
      <c r="G12" s="31" t="inlineStr">
        <is>
          <t>النمو · التوسع في المواقع</t>
        </is>
      </c>
      <c r="H12" s="23" t="inlineStr">
        <is>
          <t>العمليات الداخلية</t>
        </is>
      </c>
      <c r="I12" s="32" t="n">
        <v>0.08</v>
      </c>
      <c r="J12" s="23" t="inlineStr">
        <is>
          <t>الرئيس التنفيذي</t>
        </is>
      </c>
      <c r="K12" s="31" t="inlineStr">
        <is>
          <t>سجلات الإدارة</t>
        </is>
      </c>
      <c r="L12" s="23" t="inlineStr">
        <is>
          <t>شهري</t>
        </is>
      </c>
      <c r="M12" s="23" t="inlineStr">
        <is>
          <t>اللجنة التنفيذية</t>
        </is>
      </c>
      <c r="N12" s="33" t="n"/>
    </row>
    <row r="13" ht="30" customHeight="1">
      <c r="A13" s="23" t="n">
        <v>11</v>
      </c>
      <c r="B13" s="26" t="inlineStr">
        <is>
          <t>الامتياز التجاري</t>
        </is>
      </c>
      <c r="C13" s="9" t="inlineStr">
        <is>
          <t>عدد محطات الامتياز المشغّلة (تراكمي)</t>
        </is>
      </c>
      <c r="D13" s="30" t="inlineStr">
        <is>
          <t>يقيس عدد محطات الامتياز المشغّلة (تراكمي) ضمن محور «النمو والتوسع»، ويعكس مساهمة الإدارة في ركيزة النمو.</t>
        </is>
      </c>
      <c r="E13" s="31" t="inlineStr">
        <is>
          <t>إجمالي العدد خلال الفترة</t>
        </is>
      </c>
      <c r="F13" s="23" t="inlineStr">
        <is>
          <t>⚙️ نشاط</t>
        </is>
      </c>
      <c r="G13" s="31" t="inlineStr">
        <is>
          <t>النمو · التوسع في المواقع</t>
        </is>
      </c>
      <c r="H13" s="23" t="inlineStr">
        <is>
          <t>العمليات الداخلية</t>
        </is>
      </c>
      <c r="I13" s="32" t="n">
        <v>0.04</v>
      </c>
      <c r="J13" s="23" t="inlineStr">
        <is>
          <t>مدير الامتياز</t>
        </is>
      </c>
      <c r="K13" s="31" t="inlineStr">
        <is>
          <t>نظام إدارة العقود (CRM)</t>
        </is>
      </c>
      <c r="L13" s="23" t="inlineStr">
        <is>
          <t>شهري</t>
        </is>
      </c>
      <c r="M13" s="23" t="inlineStr">
        <is>
          <t>مدير الامتياز</t>
        </is>
      </c>
      <c r="N13" s="33" t="n"/>
    </row>
    <row r="14" ht="30" customHeight="1">
      <c r="A14" s="23" t="n">
        <v>12</v>
      </c>
      <c r="B14" s="26" t="inlineStr">
        <is>
          <t>الامتياز التجاري</t>
        </is>
      </c>
      <c r="C14" s="9" t="inlineStr">
        <is>
          <t>عدد عقود الامتياز الجديدة الموقّعة</t>
        </is>
      </c>
      <c r="D14" s="30" t="inlineStr">
        <is>
          <t>يقيس عدد عقود الامتياز الجديدة الموقّعة ضمن محور «النمو والتوسع»، ويعكس مساهمة الإدارة في ركيزة النمو.</t>
        </is>
      </c>
      <c r="E14" s="31" t="inlineStr">
        <is>
          <t>إجمالي العدد خلال الفترة</t>
        </is>
      </c>
      <c r="F14" s="23" t="inlineStr">
        <is>
          <t>⚙️ نشاط</t>
        </is>
      </c>
      <c r="G14" s="31" t="inlineStr">
        <is>
          <t>النمو · الامتياز التجاري</t>
        </is>
      </c>
      <c r="H14" s="23" t="inlineStr">
        <is>
          <t>العمليات الداخلية</t>
        </is>
      </c>
      <c r="I14" s="32" t="n">
        <v>0.04</v>
      </c>
      <c r="J14" s="23" t="inlineStr">
        <is>
          <t>مدير الامتياز</t>
        </is>
      </c>
      <c r="K14" s="31" t="inlineStr">
        <is>
          <t>نظام إدارة العقود (CRM)</t>
        </is>
      </c>
      <c r="L14" s="23" t="inlineStr">
        <is>
          <t>شهري</t>
        </is>
      </c>
      <c r="M14" s="23" t="inlineStr">
        <is>
          <t>مدير الامتياز</t>
        </is>
      </c>
      <c r="N14" s="33" t="n"/>
    </row>
    <row r="15" ht="30" customHeight="1">
      <c r="A15" s="23" t="n">
        <v>13</v>
      </c>
      <c r="B15" s="26" t="inlineStr">
        <is>
          <t>الامتياز التجاري</t>
        </is>
      </c>
      <c r="C15" s="9" t="inlineStr">
        <is>
          <t>إجمالي مبيعات وقود محطات الامتياز</t>
        </is>
      </c>
      <c r="D15" s="30" t="inlineStr">
        <is>
          <t>يقيس إجمالي مبيعات وقود محطات الامتياز ضمن محور «المبيعات والأداء التجاري»، ويعكس مساهمة الإدارة في ركيزة النمو.</t>
        </is>
      </c>
      <c r="E15" s="31" t="inlineStr">
        <is>
          <t>إجمالي العدد خلال الفترة</t>
        </is>
      </c>
      <c r="F15" s="23" t="inlineStr">
        <is>
          <t>🎯 نتيجة</t>
        </is>
      </c>
      <c r="G15" s="31" t="inlineStr">
        <is>
          <t>النمو · زيادة وصول العملاء</t>
        </is>
      </c>
      <c r="H15" s="23" t="inlineStr">
        <is>
          <t>مالي</t>
        </is>
      </c>
      <c r="I15" s="32" t="n">
        <v>0.04</v>
      </c>
      <c r="J15" s="23" t="inlineStr">
        <is>
          <t>مدير الامتياز</t>
        </is>
      </c>
      <c r="K15" s="31" t="inlineStr">
        <is>
          <t>نظام إدارة العقود (CRM)</t>
        </is>
      </c>
      <c r="L15" s="23" t="inlineStr">
        <is>
          <t>شهري</t>
        </is>
      </c>
      <c r="M15" s="23" t="inlineStr">
        <is>
          <t>مدير الامتياز</t>
        </is>
      </c>
      <c r="N15" s="33" t="n"/>
    </row>
    <row r="16" ht="30" customHeight="1">
      <c r="A16" s="23" t="n">
        <v>14</v>
      </c>
      <c r="B16" s="26" t="inlineStr">
        <is>
          <t>الامتياز التجاري</t>
        </is>
      </c>
      <c r="C16" s="9" t="inlineStr">
        <is>
          <t>نسبة المحطات التي حققت مستهدف المبيعات</t>
        </is>
      </c>
      <c r="D16" s="30" t="inlineStr">
        <is>
          <t>يقيس نسبة المحطات التي حققت مستهدف المبيعات ضمن محور «المبيعات والأداء التجاري»، ويعكس مساهمة الإدارة في ركيزة النمو.</t>
        </is>
      </c>
      <c r="E16" s="31" t="inlineStr">
        <is>
          <t>(المتحقّق ÷ الإجمالي) × 100٪</t>
        </is>
      </c>
      <c r="F16" s="23" t="inlineStr">
        <is>
          <t>🎯 نتيجة</t>
        </is>
      </c>
      <c r="G16" s="31" t="inlineStr">
        <is>
          <t>النمو · زيادة وصول العملاء</t>
        </is>
      </c>
      <c r="H16" s="23" t="inlineStr">
        <is>
          <t>مالي</t>
        </is>
      </c>
      <c r="I16" s="32" t="n">
        <v>0.04</v>
      </c>
      <c r="J16" s="23" t="inlineStr">
        <is>
          <t>مدير الامتياز</t>
        </is>
      </c>
      <c r="K16" s="31" t="inlineStr">
        <is>
          <t>نظام تشغيل المحطات</t>
        </is>
      </c>
      <c r="L16" s="23" t="inlineStr">
        <is>
          <t>شهري</t>
        </is>
      </c>
      <c r="M16" s="23" t="inlineStr">
        <is>
          <t>مدير الامتياز</t>
        </is>
      </c>
      <c r="N16" s="33" t="n"/>
    </row>
    <row r="17" ht="30" customHeight="1">
      <c r="A17" s="23" t="n">
        <v>15</v>
      </c>
      <c r="B17" s="26" t="inlineStr">
        <is>
          <t>الامتياز التجاري</t>
        </is>
      </c>
      <c r="C17" s="9" t="inlineStr">
        <is>
          <t>متوسط مبيعات المحطة الواحدة شهرياً</t>
        </is>
      </c>
      <c r="D17" s="30" t="inlineStr">
        <is>
          <t>يقيس متوسط مبيعات المحطة الواحدة شهرياً ضمن محور «المبيعات والأداء التجاري»، ويعكس مساهمة الإدارة في ركيزة النمو.</t>
        </is>
      </c>
      <c r="E17" s="31" t="inlineStr">
        <is>
          <t>إجمالي العدد خلال الفترة</t>
        </is>
      </c>
      <c r="F17" s="23" t="inlineStr">
        <is>
          <t>🎯 نتيجة</t>
        </is>
      </c>
      <c r="G17" s="31" t="inlineStr">
        <is>
          <t>النمو · زيادة وصول العملاء</t>
        </is>
      </c>
      <c r="H17" s="23" t="inlineStr">
        <is>
          <t>مالي</t>
        </is>
      </c>
      <c r="I17" s="32" t="n">
        <v>0.04</v>
      </c>
      <c r="J17" s="23" t="inlineStr">
        <is>
          <t>مدير الامتياز</t>
        </is>
      </c>
      <c r="K17" s="31" t="inlineStr">
        <is>
          <t>نظام تشغيل المحطات</t>
        </is>
      </c>
      <c r="L17" s="23" t="inlineStr">
        <is>
          <t>شهري</t>
        </is>
      </c>
      <c r="M17" s="23" t="inlineStr">
        <is>
          <t>مدير الامتياز</t>
        </is>
      </c>
      <c r="N17" s="33" t="n"/>
    </row>
    <row r="18" ht="30" customHeight="1">
      <c r="A18" s="23" t="n">
        <v>16</v>
      </c>
      <c r="B18" s="26" t="inlineStr">
        <is>
          <t>الامتياز التجاري</t>
        </is>
      </c>
      <c r="C18" s="9" t="inlineStr">
        <is>
          <t>نسبة تأجير وحدات الامتياز</t>
        </is>
      </c>
      <c r="D18" s="30" t="inlineStr">
        <is>
          <t>يقيس نسبة تأجير وحدات الامتياز ضمن محور «المبيعات والأداء التجاري»، ويعكس مساهمة الإدارة في ركيزة الاستدامة.</t>
        </is>
      </c>
      <c r="E18" s="31" t="inlineStr">
        <is>
          <t>(المتحقّق ÷ الإجمالي) × 100٪</t>
        </is>
      </c>
      <c r="F18" s="23" t="inlineStr">
        <is>
          <t>🔧 تشغيلي</t>
        </is>
      </c>
      <c r="G18" s="31" t="inlineStr">
        <is>
          <t>الاستدامة · منظومة التأجير</t>
        </is>
      </c>
      <c r="H18" s="23" t="inlineStr">
        <is>
          <t>العمليات الداخلية</t>
        </is>
      </c>
      <c r="I18" s="32" t="n">
        <v>0.02</v>
      </c>
      <c r="J18" s="23" t="inlineStr">
        <is>
          <t>مدير الامتياز</t>
        </is>
      </c>
      <c r="K18" s="31" t="inlineStr">
        <is>
          <t>نظام إدارة العقود (CRM)</t>
        </is>
      </c>
      <c r="L18" s="23" t="inlineStr">
        <is>
          <t>شهري</t>
        </is>
      </c>
      <c r="M18" s="23" t="inlineStr">
        <is>
          <t>مدير الامتياز</t>
        </is>
      </c>
      <c r="N18" s="33" t="n"/>
    </row>
    <row r="19" ht="30" customHeight="1">
      <c r="A19" s="23" t="n">
        <v>17</v>
      </c>
      <c r="B19" s="26" t="inlineStr">
        <is>
          <t>الامتياز التجاري</t>
        </is>
      </c>
      <c r="C19" s="9" t="inlineStr">
        <is>
          <t>إجمالي إيرادات إدارة الامتياز</t>
        </is>
      </c>
      <c r="D19" s="30" t="inlineStr">
        <is>
          <t>يقيس إجمالي إيرادات إدارة الامتياز ضمن محور «الأداء المالي»، ويعكس مساهمة الإدارة في ركيزة النمو.</t>
        </is>
      </c>
      <c r="E19" s="31" t="inlineStr">
        <is>
          <t>إجمالي القيمة (ر.س) خلال الفترة</t>
        </is>
      </c>
      <c r="F19" s="23" t="inlineStr">
        <is>
          <t>🎯 نتيجة</t>
        </is>
      </c>
      <c r="G19" s="31" t="inlineStr">
        <is>
          <t>النمو · الامتياز التجاري</t>
        </is>
      </c>
      <c r="H19" s="23" t="inlineStr">
        <is>
          <t>مالي</t>
        </is>
      </c>
      <c r="I19" s="32" t="n">
        <v>0.04</v>
      </c>
      <c r="J19" s="23" t="inlineStr">
        <is>
          <t>مدير الامتياز</t>
        </is>
      </c>
      <c r="K19" s="31" t="inlineStr">
        <is>
          <t>نظام المحاسبة / ERP (D365)</t>
        </is>
      </c>
      <c r="L19" s="23" t="inlineStr">
        <is>
          <t>شهري</t>
        </is>
      </c>
      <c r="M19" s="23" t="inlineStr">
        <is>
          <t>الإدارة المالية</t>
        </is>
      </c>
      <c r="N19" s="33" t="n"/>
    </row>
    <row r="20" ht="30" customHeight="1">
      <c r="A20" s="23" t="n">
        <v>18</v>
      </c>
      <c r="B20" s="26" t="inlineStr">
        <is>
          <t>الامتياز التجاري</t>
        </is>
      </c>
      <c r="C20" s="9" t="inlineStr">
        <is>
          <t>رفع هامش الربحية للامتياز</t>
        </is>
      </c>
      <c r="D20" s="30" t="inlineStr">
        <is>
          <t>يقيس رفع هامش الربحية للامتياز ضمن محور «الأداء المالي»، ويعكس مساهمة الإدارة في ركيزة النمو.</t>
        </is>
      </c>
      <c r="E20" s="31" t="inlineStr">
        <is>
          <t>إجمالي العدد خلال الفترة</t>
        </is>
      </c>
      <c r="F20" s="23" t="inlineStr">
        <is>
          <t>🎯 نتيجة</t>
        </is>
      </c>
      <c r="G20" s="31" t="inlineStr">
        <is>
          <t>النمو · الامتياز التجاري</t>
        </is>
      </c>
      <c r="H20" s="23" t="inlineStr">
        <is>
          <t>مالي</t>
        </is>
      </c>
      <c r="I20" s="32" t="n">
        <v>0.02</v>
      </c>
      <c r="J20" s="23" t="inlineStr">
        <is>
          <t>مدير الامتياز</t>
        </is>
      </c>
      <c r="K20" s="31" t="inlineStr">
        <is>
          <t>نظام المحاسبة / ERP (D365)</t>
        </is>
      </c>
      <c r="L20" s="23" t="inlineStr">
        <is>
          <t>شهري</t>
        </is>
      </c>
      <c r="M20" s="23" t="inlineStr">
        <is>
          <t>الإدارة المالية</t>
        </is>
      </c>
      <c r="N20" s="33" t="n"/>
    </row>
    <row r="21" ht="30" customHeight="1">
      <c r="A21" s="23" t="n">
        <v>19</v>
      </c>
      <c r="B21" s="26" t="inlineStr">
        <is>
          <t>الامتياز التجاري</t>
        </is>
      </c>
      <c r="C21" s="9" t="inlineStr">
        <is>
          <t>نسبة التحصيل المالي من شركاء الامتياز</t>
        </is>
      </c>
      <c r="D21" s="30" t="inlineStr">
        <is>
          <t>يقيس نسبة التحصيل المالي من شركاء الامتياز ضمن محور «الأداء المالي»، ويعكس مساهمة الإدارة في ركيزة الاستدامة.</t>
        </is>
      </c>
      <c r="E21" s="31" t="inlineStr">
        <is>
          <t>(المتحقّق ÷ الإجمالي) × 100٪</t>
        </is>
      </c>
      <c r="F21" s="23" t="inlineStr">
        <is>
          <t>🎯 نتيجة</t>
        </is>
      </c>
      <c r="G21" s="31" t="inlineStr">
        <is>
          <t>الاستدامة · جودة التشغيل</t>
        </is>
      </c>
      <c r="H21" s="23" t="inlineStr">
        <is>
          <t>مالي</t>
        </is>
      </c>
      <c r="I21" s="32" t="n">
        <v>0.04</v>
      </c>
      <c r="J21" s="23" t="inlineStr">
        <is>
          <t>مدير الامتياز</t>
        </is>
      </c>
      <c r="K21" s="31" t="inlineStr">
        <is>
          <t>نظام المحاسبة / ERP (D365)</t>
        </is>
      </c>
      <c r="L21" s="23" t="inlineStr">
        <is>
          <t>شهري</t>
        </is>
      </c>
      <c r="M21" s="23" t="inlineStr">
        <is>
          <t>الإدارة المالية</t>
        </is>
      </c>
      <c r="N21" s="33" t="n"/>
    </row>
    <row r="22" ht="30" customHeight="1">
      <c r="A22" s="23" t="n">
        <v>20</v>
      </c>
      <c r="B22" s="26" t="inlineStr">
        <is>
          <t>الامتياز التجاري</t>
        </is>
      </c>
      <c r="C22" s="9" t="inlineStr">
        <is>
          <t>متوسط أيام التحصيل (DSO)</t>
        </is>
      </c>
      <c r="D22" s="30" t="inlineStr">
        <is>
          <t>يقيس متوسط أيام التحصيل (DSO) ضمن محور «الأداء المالي»، ويعكس مساهمة الإدارة في ركيزة الاستدامة.</t>
        </is>
      </c>
      <c r="E22" s="31" t="inlineStr">
        <is>
          <t>متوسط يوم خلال الفترة</t>
        </is>
      </c>
      <c r="F22" s="23" t="inlineStr">
        <is>
          <t>🎯 نتيجة</t>
        </is>
      </c>
      <c r="G22" s="31" t="inlineStr">
        <is>
          <t>الاستدامة · جودة التشغيل</t>
        </is>
      </c>
      <c r="H22" s="23" t="inlineStr">
        <is>
          <t>مالي</t>
        </is>
      </c>
      <c r="I22" s="32" t="n">
        <v>0.04</v>
      </c>
      <c r="J22" s="23" t="inlineStr">
        <is>
          <t>مدير الامتياز</t>
        </is>
      </c>
      <c r="K22" s="31" t="inlineStr">
        <is>
          <t>نظام المحاسبة / ERP (D365)</t>
        </is>
      </c>
      <c r="L22" s="23" t="inlineStr">
        <is>
          <t>شهري</t>
        </is>
      </c>
      <c r="M22" s="23" t="inlineStr">
        <is>
          <t>الإدارة المالية</t>
        </is>
      </c>
      <c r="N22" s="33" t="n"/>
    </row>
    <row r="23" ht="30" customHeight="1">
      <c r="A23" s="23" t="n">
        <v>21</v>
      </c>
      <c r="B23" s="26" t="inlineStr">
        <is>
          <t>الامتياز التجاري</t>
        </is>
      </c>
      <c r="C23" s="9" t="inlineStr">
        <is>
          <t>إجمالي المستحقات المتأخرة (+30 يوم)</t>
        </is>
      </c>
      <c r="D23" s="30" t="inlineStr">
        <is>
          <t>يقيس إجمالي المستحقات المتأخرة (+30 يوم) ضمن محور «الأداء المالي»، ويعكس مساهمة الإدارة في ركيزة الاستدامة.</t>
        </is>
      </c>
      <c r="E23" s="31" t="inlineStr">
        <is>
          <t>إجمالي القيمة (ر.س) خلال الفترة</t>
        </is>
      </c>
      <c r="F23" s="23" t="inlineStr">
        <is>
          <t>🔧 تشغيلي</t>
        </is>
      </c>
      <c r="G23" s="31" t="inlineStr">
        <is>
          <t>الاستدامة · جودة التشغيل</t>
        </is>
      </c>
      <c r="H23" s="23" t="inlineStr">
        <is>
          <t>مالي</t>
        </is>
      </c>
      <c r="I23" s="32" t="n">
        <v>0.02</v>
      </c>
      <c r="J23" s="23" t="inlineStr">
        <is>
          <t>مدير الامتياز</t>
        </is>
      </c>
      <c r="K23" s="31" t="inlineStr">
        <is>
          <t>نظام المحاسبة / ERP (D365)</t>
        </is>
      </c>
      <c r="L23" s="23" t="inlineStr">
        <is>
          <t>شهري</t>
        </is>
      </c>
      <c r="M23" s="23" t="inlineStr">
        <is>
          <t>الإدارة المالية</t>
        </is>
      </c>
      <c r="N23" s="33" t="n"/>
    </row>
    <row r="24" ht="30" customHeight="1">
      <c r="A24" s="23" t="n">
        <v>22</v>
      </c>
      <c r="B24" s="26" t="inlineStr">
        <is>
          <t>الامتياز التجاري</t>
        </is>
      </c>
      <c r="C24" s="9" t="inlineStr">
        <is>
          <t>نسبة الشركاء الملتزمين بمواعيد السداد</t>
        </is>
      </c>
      <c r="D24" s="30" t="inlineStr">
        <is>
          <t>يقيس نسبة الشركاء الملتزمين بمواعيد السداد ضمن محور «الأداء المالي»، ويعكس مساهمة الإدارة في ركيزة الاستدامة.</t>
        </is>
      </c>
      <c r="E24" s="31" t="inlineStr">
        <is>
          <t>(المتحقّق ÷ الإجمالي) × 100٪</t>
        </is>
      </c>
      <c r="F24" s="23" t="inlineStr">
        <is>
          <t>🔧 تشغيلي</t>
        </is>
      </c>
      <c r="G24" s="31" t="inlineStr">
        <is>
          <t>الاستدامة · جودة التشغيل</t>
        </is>
      </c>
      <c r="H24" s="23" t="inlineStr">
        <is>
          <t>مالي</t>
        </is>
      </c>
      <c r="I24" s="32" t="n">
        <v>0.02</v>
      </c>
      <c r="J24" s="23" t="inlineStr">
        <is>
          <t>مدير الامتياز</t>
        </is>
      </c>
      <c r="K24" s="31" t="inlineStr">
        <is>
          <t>نظام المحاسبة / ERP (D365)</t>
        </is>
      </c>
      <c r="L24" s="23" t="inlineStr">
        <is>
          <t>شهري</t>
        </is>
      </c>
      <c r="M24" s="23" t="inlineStr">
        <is>
          <t>الإدارة المالية</t>
        </is>
      </c>
      <c r="N24" s="33" t="n"/>
    </row>
    <row r="25" ht="30" customHeight="1">
      <c r="A25" s="23" t="n">
        <v>23</v>
      </c>
      <c r="B25" s="26" t="inlineStr">
        <is>
          <t>الامتياز التجاري</t>
        </is>
      </c>
      <c r="C25" s="9" t="inlineStr">
        <is>
          <t>معدل دوران رأس المال (أيام الدورة)</t>
        </is>
      </c>
      <c r="D25" s="30" t="inlineStr">
        <is>
          <t>يقيس معدل دوران رأس المال (أيام الدورة) ضمن محور «الأداء المالي»، ويعكس مساهمة الإدارة في ركيزة الاستدامة.</t>
        </is>
      </c>
      <c r="E25" s="31" t="inlineStr">
        <is>
          <t>متوسط يوم خلال الفترة</t>
        </is>
      </c>
      <c r="F25" s="23" t="inlineStr">
        <is>
          <t>🔧 تشغيلي</t>
        </is>
      </c>
      <c r="G25" s="31" t="inlineStr">
        <is>
          <t>الاستدامة · جودة التشغيل</t>
        </is>
      </c>
      <c r="H25" s="23" t="inlineStr">
        <is>
          <t>مالي</t>
        </is>
      </c>
      <c r="I25" s="32" t="n">
        <v>0.02</v>
      </c>
      <c r="J25" s="23" t="inlineStr">
        <is>
          <t>مدير الامتياز</t>
        </is>
      </c>
      <c r="K25" s="31" t="inlineStr">
        <is>
          <t>نظام الموارد البشرية (HRMS)</t>
        </is>
      </c>
      <c r="L25" s="23" t="inlineStr">
        <is>
          <t>شهري</t>
        </is>
      </c>
      <c r="M25" s="23" t="inlineStr">
        <is>
          <t>مدير الامتياز</t>
        </is>
      </c>
      <c r="N25" s="33" t="n"/>
    </row>
    <row r="26" ht="30" customHeight="1">
      <c r="A26" s="23" t="n">
        <v>24</v>
      </c>
      <c r="B26" s="26" t="inlineStr">
        <is>
          <t>الامتياز التجاري</t>
        </is>
      </c>
      <c r="C26" s="9" t="inlineStr">
        <is>
          <t>نسبة جاهزية محطات الامتياز (صفر انقطاع)</t>
        </is>
      </c>
      <c r="D26" s="30" t="inlineStr">
        <is>
          <t>يقيس نسبة جاهزية محطات الامتياز (صفر انقطاع) ضمن محور «التشغيل والجودة»، ويعكس مساهمة الإدارة في ركيزة الاستدامة.</t>
        </is>
      </c>
      <c r="E26" s="31" t="inlineStr">
        <is>
          <t>(المتحقّق ÷ الإجمالي) × 100٪</t>
        </is>
      </c>
      <c r="F26" s="23" t="inlineStr">
        <is>
          <t>🔧 تشغيلي</t>
        </is>
      </c>
      <c r="G26" s="31" t="inlineStr">
        <is>
          <t>الاستدامة · جودة التشغيل</t>
        </is>
      </c>
      <c r="H26" s="23" t="inlineStr">
        <is>
          <t>العمليات الداخلية</t>
        </is>
      </c>
      <c r="I26" s="32" t="n">
        <v>0.04</v>
      </c>
      <c r="J26" s="23" t="inlineStr">
        <is>
          <t>مدير الامتياز</t>
        </is>
      </c>
      <c r="K26" s="31" t="inlineStr">
        <is>
          <t>نظام إدارة الجودة (QMS)</t>
        </is>
      </c>
      <c r="L26" s="23" t="inlineStr">
        <is>
          <t>شهري</t>
        </is>
      </c>
      <c r="M26" s="23" t="inlineStr">
        <is>
          <t>مدير الامتياز</t>
        </is>
      </c>
      <c r="N26" s="33" t="n"/>
    </row>
    <row r="27" ht="30" customHeight="1">
      <c r="A27" s="23" t="n">
        <v>25</v>
      </c>
      <c r="B27" s="26" t="inlineStr">
        <is>
          <t>الامتياز التجاري</t>
        </is>
      </c>
      <c r="C27" s="9" t="inlineStr">
        <is>
          <t>عدد حالات انقطاع الوقود الموثّقة</t>
        </is>
      </c>
      <c r="D27" s="30" t="inlineStr">
        <is>
          <t>يقيس عدد حالات انقطاع الوقود الموثّقة ضمن محور «التشغيل والجودة»، ويعكس مساهمة الإدارة في ركيزة الاستدامة.</t>
        </is>
      </c>
      <c r="E27" s="31" t="inlineStr">
        <is>
          <t>إجمالي العدد خلال الفترة</t>
        </is>
      </c>
      <c r="F27" s="23" t="inlineStr">
        <is>
          <t>⚙️ نشاط</t>
        </is>
      </c>
      <c r="G27" s="31" t="inlineStr">
        <is>
          <t>الاستدامة · جودة التشغيل</t>
        </is>
      </c>
      <c r="H27" s="23" t="inlineStr">
        <is>
          <t>العمليات الداخلية</t>
        </is>
      </c>
      <c r="I27" s="32" t="n">
        <v>0.02</v>
      </c>
      <c r="J27" s="23" t="inlineStr">
        <is>
          <t>مدير الامتياز</t>
        </is>
      </c>
      <c r="K27" s="31" t="inlineStr">
        <is>
          <t>نظام إدارة الجودة (QMS)</t>
        </is>
      </c>
      <c r="L27" s="23" t="inlineStr">
        <is>
          <t>شهري</t>
        </is>
      </c>
      <c r="M27" s="23" t="inlineStr">
        <is>
          <t>مدير الامتياز</t>
        </is>
      </c>
      <c r="N27" s="33" t="n"/>
    </row>
    <row r="28" ht="30" customHeight="1">
      <c r="A28" s="23" t="n">
        <v>26</v>
      </c>
      <c r="B28" s="26" t="inlineStr">
        <is>
          <t>الامتياز التجاري</t>
        </is>
      </c>
      <c r="C28" s="9" t="inlineStr">
        <is>
          <t>نسبة إغلاق ملاحظات الجودة الميدانية</t>
        </is>
      </c>
      <c r="D28" s="30" t="inlineStr">
        <is>
          <t>يقيس نسبة إغلاق ملاحظات الجودة الميدانية ضمن محور «التشغيل والجودة»، ويعكس مساهمة الإدارة في ركيزة الاستدامة.</t>
        </is>
      </c>
      <c r="E28" s="31" t="inlineStr">
        <is>
          <t>(المتحقّق ÷ الإجمالي) × 100٪</t>
        </is>
      </c>
      <c r="F28" s="23" t="inlineStr">
        <is>
          <t>🔧 تشغيلي</t>
        </is>
      </c>
      <c r="G28" s="31" t="inlineStr">
        <is>
          <t>الاستدامة · جودة التشغيل</t>
        </is>
      </c>
      <c r="H28" s="23" t="inlineStr">
        <is>
          <t>العمليات الداخلية</t>
        </is>
      </c>
      <c r="I28" s="32" t="n">
        <v>0.02</v>
      </c>
      <c r="J28" s="23" t="inlineStr">
        <is>
          <t>مدير الامتياز</t>
        </is>
      </c>
      <c r="K28" s="31" t="inlineStr">
        <is>
          <t>نظام إدارة الجودة (QMS)</t>
        </is>
      </c>
      <c r="L28" s="23" t="inlineStr">
        <is>
          <t>شهري</t>
        </is>
      </c>
      <c r="M28" s="23" t="inlineStr">
        <is>
          <t>مدير الامتياز</t>
        </is>
      </c>
      <c r="N28" s="33" t="n"/>
    </row>
    <row r="29" ht="30" customHeight="1">
      <c r="A29" s="23" t="n">
        <v>27</v>
      </c>
      <c r="B29" s="26" t="inlineStr">
        <is>
          <t>الامتياز التجاري</t>
        </is>
      </c>
      <c r="C29" s="9" t="inlineStr">
        <is>
          <t>متوسط درجة تقييم جودة المحطة (قائمة التحقق)</t>
        </is>
      </c>
      <c r="D29" s="30" t="inlineStr">
        <is>
          <t>يقيس متوسط درجة تقييم جودة المحطة (قائمة التحقق) ضمن محور «التشغيل والجودة»، ويعكس مساهمة الإدارة في ركيزة الاستدامة.</t>
        </is>
      </c>
      <c r="E29" s="31" t="inlineStr">
        <is>
          <t>إجمالي العدد خلال الفترة</t>
        </is>
      </c>
      <c r="F29" s="23" t="inlineStr">
        <is>
          <t>🎯 نتيجة</t>
        </is>
      </c>
      <c r="G29" s="31" t="inlineStr">
        <is>
          <t>الاستدامة · جودة التشغيل</t>
        </is>
      </c>
      <c r="H29" s="23" t="inlineStr">
        <is>
          <t>العمليات الداخلية</t>
        </is>
      </c>
      <c r="I29" s="32" t="n">
        <v>0.04</v>
      </c>
      <c r="J29" s="23" t="inlineStr">
        <is>
          <t>مدير الامتياز</t>
        </is>
      </c>
      <c r="K29" s="31" t="inlineStr">
        <is>
          <t>نظام إدارة الجودة (QMS)</t>
        </is>
      </c>
      <c r="L29" s="23" t="inlineStr">
        <is>
          <t>شهري</t>
        </is>
      </c>
      <c r="M29" s="23" t="inlineStr">
        <is>
          <t>مدير الامتياز</t>
        </is>
      </c>
      <c r="N29" s="33" t="n"/>
    </row>
    <row r="30" ht="30" customHeight="1">
      <c r="A30" s="23" t="n">
        <v>28</v>
      </c>
      <c r="B30" s="26" t="inlineStr">
        <is>
          <t>الامتياز التجاري</t>
        </is>
      </c>
      <c r="C30" s="9" t="inlineStr">
        <is>
          <t>نسبة تنفيذ الزيارات الميدانية المجدولة</t>
        </is>
      </c>
      <c r="D30" s="30" t="inlineStr">
        <is>
          <t>يقيس نسبة تنفيذ الزيارات الميدانية المجدولة ضمن محور «التشغيل والجودة»، ويعكس مساهمة الإدارة في ركيزة الاستدامة.</t>
        </is>
      </c>
      <c r="E30" s="31" t="inlineStr">
        <is>
          <t>(المتحقّق ÷ الإجمالي) × 100٪</t>
        </is>
      </c>
      <c r="F30" s="23" t="inlineStr">
        <is>
          <t>⚙️ نشاط</t>
        </is>
      </c>
      <c r="G30" s="31" t="inlineStr">
        <is>
          <t>الاستدامة · جودة التشغيل</t>
        </is>
      </c>
      <c r="H30" s="23" t="inlineStr">
        <is>
          <t>العمليات الداخلية</t>
        </is>
      </c>
      <c r="I30" s="32" t="n">
        <v>0.02</v>
      </c>
      <c r="J30" s="23" t="inlineStr">
        <is>
          <t>مدير الامتياز</t>
        </is>
      </c>
      <c r="K30" s="31" t="inlineStr">
        <is>
          <t>نظام إدارة الجودة (QMS)</t>
        </is>
      </c>
      <c r="L30" s="23" t="inlineStr">
        <is>
          <t>شهري</t>
        </is>
      </c>
      <c r="M30" s="23" t="inlineStr">
        <is>
          <t>مدير الامتياز</t>
        </is>
      </c>
      <c r="N30" s="33" t="n"/>
    </row>
    <row r="31" ht="30" customHeight="1">
      <c r="A31" s="23" t="n">
        <v>29</v>
      </c>
      <c r="B31" s="26" t="inlineStr">
        <is>
          <t>الامتياز التجاري</t>
        </is>
      </c>
      <c r="C31" s="9" t="inlineStr">
        <is>
          <t>نسبة المحطات المستوفية لمعايير السلامة</t>
        </is>
      </c>
      <c r="D31" s="30" t="inlineStr">
        <is>
          <t>يقيس نسبة المحطات المستوفية لمعايير السلامة ضمن محور «التشغيل والجودة»، ويعكس مساهمة الإدارة في ركيزة الاستدامة.</t>
        </is>
      </c>
      <c r="E31" s="31" t="inlineStr">
        <is>
          <t>(المتحقّق ÷ الإجمالي) × 100٪</t>
        </is>
      </c>
      <c r="F31" s="23" t="inlineStr">
        <is>
          <t>🔧 تشغيلي</t>
        </is>
      </c>
      <c r="G31" s="31" t="inlineStr">
        <is>
          <t>الاستدامة · جودة التشغيل</t>
        </is>
      </c>
      <c r="H31" s="23" t="inlineStr">
        <is>
          <t>العمليات الداخلية</t>
        </is>
      </c>
      <c r="I31" s="32" t="n">
        <v>0.04</v>
      </c>
      <c r="J31" s="23" t="inlineStr">
        <is>
          <t>مدير الامتياز</t>
        </is>
      </c>
      <c r="K31" s="31" t="inlineStr">
        <is>
          <t>نظام إدارة الجودة (QMS)</t>
        </is>
      </c>
      <c r="L31" s="23" t="inlineStr">
        <is>
          <t>شهري</t>
        </is>
      </c>
      <c r="M31" s="23" t="inlineStr">
        <is>
          <t>مدير الامتياز</t>
        </is>
      </c>
      <c r="N31" s="33" t="n"/>
    </row>
    <row r="32" ht="30" customHeight="1">
      <c r="A32" s="23" t="n">
        <v>30</v>
      </c>
      <c r="B32" s="26" t="inlineStr">
        <is>
          <t>الامتياز التجاري</t>
        </is>
      </c>
      <c r="C32" s="9" t="inlineStr">
        <is>
          <t>متوسط وقت معالجة البلاغات التشغيلية</t>
        </is>
      </c>
      <c r="D32" s="30" t="inlineStr">
        <is>
          <t>يقيس متوسط وقت معالجة البلاغات التشغيلية ضمن محور «التشغيل والجودة»، ويعكس مساهمة الإدارة في ركيزة الاستدامة.</t>
        </is>
      </c>
      <c r="E32" s="31" t="inlineStr">
        <is>
          <t>متوسط ساعة خلال الفترة</t>
        </is>
      </c>
      <c r="F32" s="23" t="inlineStr">
        <is>
          <t>🔧 تشغيلي</t>
        </is>
      </c>
      <c r="G32" s="31" t="inlineStr">
        <is>
          <t>الاستدامة · جودة التشغيل</t>
        </is>
      </c>
      <c r="H32" s="23" t="inlineStr">
        <is>
          <t>العمليات الداخلية</t>
        </is>
      </c>
      <c r="I32" s="32" t="n">
        <v>0.02</v>
      </c>
      <c r="J32" s="23" t="inlineStr">
        <is>
          <t>مدير الامتياز</t>
        </is>
      </c>
      <c r="K32" s="31" t="inlineStr">
        <is>
          <t>نظام إدارة الجودة (QMS)</t>
        </is>
      </c>
      <c r="L32" s="23" t="inlineStr">
        <is>
          <t>شهري</t>
        </is>
      </c>
      <c r="M32" s="23" t="inlineStr">
        <is>
          <t>مدير الامتياز</t>
        </is>
      </c>
      <c r="N32" s="33" t="n"/>
    </row>
    <row r="33" ht="30" customHeight="1">
      <c r="A33" s="23" t="n">
        <v>31</v>
      </c>
      <c r="B33" s="26" t="inlineStr">
        <is>
          <t>الامتياز التجاري</t>
        </is>
      </c>
      <c r="C33" s="9" t="inlineStr">
        <is>
          <t>نسبة أتمتة محطات الامتياز</t>
        </is>
      </c>
      <c r="D33" s="30" t="inlineStr">
        <is>
          <t>يقيس نسبة أتمتة محطات الامتياز ضمن محور «التشغيل والجودة»، ويعكس مساهمة الإدارة في ركيزة الابتكار.</t>
        </is>
      </c>
      <c r="E33" s="31" t="inlineStr">
        <is>
          <t>(المتحقّق ÷ الإجمالي) × 100٪</t>
        </is>
      </c>
      <c r="F33" s="23" t="inlineStr">
        <is>
          <t>🔧 تشغيلي</t>
        </is>
      </c>
      <c r="G33" s="31" t="inlineStr">
        <is>
          <t>الابتكار · التحول التقني</t>
        </is>
      </c>
      <c r="H33" s="23" t="inlineStr">
        <is>
          <t>التعلّم والنمو</t>
        </is>
      </c>
      <c r="I33" s="32" t="n">
        <v>0.03</v>
      </c>
      <c r="J33" s="23" t="inlineStr">
        <is>
          <t>مدير الامتياز</t>
        </is>
      </c>
      <c r="K33" s="31" t="inlineStr">
        <is>
          <t>مكتب إدارة المشاريع (PMO)</t>
        </is>
      </c>
      <c r="L33" s="23" t="inlineStr">
        <is>
          <t>شهري</t>
        </is>
      </c>
      <c r="M33" s="23" t="inlineStr">
        <is>
          <t>مدير الامتياز</t>
        </is>
      </c>
      <c r="N33" s="33" t="n"/>
    </row>
    <row r="34" ht="30" customHeight="1">
      <c r="A34" s="23" t="n">
        <v>32</v>
      </c>
      <c r="B34" s="26" t="inlineStr">
        <is>
          <t>الامتياز التجاري</t>
        </is>
      </c>
      <c r="C34" s="9" t="inlineStr">
        <is>
          <t>نسبة تطبيق المعيار الشامل داخل المحطات</t>
        </is>
      </c>
      <c r="D34" s="30" t="inlineStr">
        <is>
          <t>يقيس نسبة تطبيق المعيار الشامل داخل المحطات ضمن محور «التشغيل والجودة»، ويعكس مساهمة الإدارة في ركيزة الابتكار.</t>
        </is>
      </c>
      <c r="E34" s="31" t="inlineStr">
        <is>
          <t>(المتحقّق ÷ الإجمالي) × 100٪</t>
        </is>
      </c>
      <c r="F34" s="23" t="inlineStr">
        <is>
          <t>🔧 تشغيلي</t>
        </is>
      </c>
      <c r="G34" s="31" t="inlineStr">
        <is>
          <t>الابتكار · التحول التقني</t>
        </is>
      </c>
      <c r="H34" s="23" t="inlineStr">
        <is>
          <t>العمليات الداخلية</t>
        </is>
      </c>
      <c r="I34" s="32" t="n">
        <v>0.01</v>
      </c>
      <c r="J34" s="23" t="inlineStr">
        <is>
          <t>مدير الامتياز</t>
        </is>
      </c>
      <c r="K34" s="31" t="inlineStr">
        <is>
          <t>نظام إدارة الجودة (QMS)</t>
        </is>
      </c>
      <c r="L34" s="23" t="inlineStr">
        <is>
          <t>شهري</t>
        </is>
      </c>
      <c r="M34" s="23" t="inlineStr">
        <is>
          <t>مدير الامتياز</t>
        </is>
      </c>
      <c r="N34" s="33" t="n"/>
    </row>
    <row r="35" ht="30" customHeight="1">
      <c r="A35" s="23" t="n">
        <v>33</v>
      </c>
      <c r="B35" s="26" t="inlineStr">
        <is>
          <t>الامتياز التجاري</t>
        </is>
      </c>
      <c r="C35" s="9" t="inlineStr">
        <is>
          <t>نسبة التزام المحطات بالهوية المؤسسية</t>
        </is>
      </c>
      <c r="D35" s="30" t="inlineStr">
        <is>
          <t>يقيس نسبة التزام المحطات بالهوية المؤسسية ضمن محور «الهوية والتسويق»، ويعكس مساهمة الإدارة في ركيزة الابتكار.</t>
        </is>
      </c>
      <c r="E35" s="31" t="inlineStr">
        <is>
          <t>(المتحقّق ÷ الإجمالي) × 100٪</t>
        </is>
      </c>
      <c r="F35" s="23" t="inlineStr">
        <is>
          <t>🔧 تشغيلي</t>
        </is>
      </c>
      <c r="G35" s="31" t="inlineStr">
        <is>
          <t>الابتكار · تطوير التصاميم والهوية</t>
        </is>
      </c>
      <c r="H35" s="23" t="inlineStr">
        <is>
          <t>التعلّم والنمو</t>
        </is>
      </c>
      <c r="I35" s="32" t="n">
        <v>0.03</v>
      </c>
      <c r="J35" s="23" t="inlineStr">
        <is>
          <t>مدير الامتياز</t>
        </is>
      </c>
      <c r="K35" s="31" t="inlineStr">
        <is>
          <t>نظام تشغيل المحطات</t>
        </is>
      </c>
      <c r="L35" s="23" t="inlineStr">
        <is>
          <t>شهري</t>
        </is>
      </c>
      <c r="M35" s="23" t="inlineStr">
        <is>
          <t>مدير الامتياز</t>
        </is>
      </c>
      <c r="N35" s="33" t="n"/>
    </row>
    <row r="36" ht="30" customHeight="1">
      <c r="A36" s="23" t="n">
        <v>34</v>
      </c>
      <c r="B36" s="26" t="inlineStr">
        <is>
          <t>الامتياز التجاري</t>
        </is>
      </c>
      <c r="C36" s="9" t="inlineStr">
        <is>
          <t>نسبة العقود التي تغطي المناطق الـ13</t>
        </is>
      </c>
      <c r="D36" s="30" t="inlineStr">
        <is>
          <t>يقيس نسبة العقود التي تغطي المناطق الـ13 ضمن محور «التوسع الإقليمي»، ويعكس مساهمة الإدارة في ركيزة النمو.</t>
        </is>
      </c>
      <c r="E36" s="31" t="inlineStr">
        <is>
          <t>(المتحقّق ÷ الإجمالي) × 100٪</t>
        </is>
      </c>
      <c r="F36" s="23" t="inlineStr">
        <is>
          <t>🔧 تشغيلي</t>
        </is>
      </c>
      <c r="G36" s="31" t="inlineStr">
        <is>
          <t>النمو · التوسع في المواقع</t>
        </is>
      </c>
      <c r="H36" s="23" t="inlineStr">
        <is>
          <t>العمليات الداخلية</t>
        </is>
      </c>
      <c r="I36" s="32" t="n">
        <v>0.03</v>
      </c>
      <c r="J36" s="23" t="inlineStr">
        <is>
          <t>مدير الامتياز</t>
        </is>
      </c>
      <c r="K36" s="31" t="inlineStr">
        <is>
          <t>نظام إدارة العقود (CRM)</t>
        </is>
      </c>
      <c r="L36" s="23" t="inlineStr">
        <is>
          <t>شهري</t>
        </is>
      </c>
      <c r="M36" s="23" t="inlineStr">
        <is>
          <t>مدير الامتياز</t>
        </is>
      </c>
      <c r="N36" s="33" t="n"/>
    </row>
    <row r="37" ht="30" customHeight="1">
      <c r="A37" s="23" t="n">
        <v>35</v>
      </c>
      <c r="B37" s="26" t="inlineStr">
        <is>
          <t>الامتياز التجاري</t>
        </is>
      </c>
      <c r="C37" s="9" t="inlineStr">
        <is>
          <t>نسبة العقود في الـ12 مدينة الرئيسية</t>
        </is>
      </c>
      <c r="D37" s="30" t="inlineStr">
        <is>
          <t>يقيس نسبة العقود في الـ12 مدينة الرئيسية ضمن محور «التوسع الإقليمي»، ويعكس مساهمة الإدارة في ركيزة النمو.</t>
        </is>
      </c>
      <c r="E37" s="31" t="inlineStr">
        <is>
          <t>(المتحقّق ÷ الإجمالي) × 100٪</t>
        </is>
      </c>
      <c r="F37" s="23" t="inlineStr">
        <is>
          <t>🔧 تشغيلي</t>
        </is>
      </c>
      <c r="G37" s="31" t="inlineStr">
        <is>
          <t>النمو · التوسع في المواقع</t>
        </is>
      </c>
      <c r="H37" s="23" t="inlineStr">
        <is>
          <t>العمليات الداخلية</t>
        </is>
      </c>
      <c r="I37" s="32" t="n">
        <v>0.03</v>
      </c>
      <c r="J37" s="23" t="inlineStr">
        <is>
          <t>مدير الامتياز</t>
        </is>
      </c>
      <c r="K37" s="31" t="inlineStr">
        <is>
          <t>نظام المحاسبة / ERP (D365)</t>
        </is>
      </c>
      <c r="L37" s="23" t="inlineStr">
        <is>
          <t>شهري</t>
        </is>
      </c>
      <c r="M37" s="23" t="inlineStr">
        <is>
          <t>الإدارة المالية</t>
        </is>
      </c>
      <c r="N37" s="33" t="n"/>
    </row>
    <row r="38" ht="30" customHeight="1">
      <c r="A38" s="23" t="n">
        <v>36</v>
      </c>
      <c r="B38" s="26" t="inlineStr">
        <is>
          <t>الامتياز التجاري</t>
        </is>
      </c>
      <c r="C38" s="9" t="inlineStr">
        <is>
          <t>نسبة العقود خارج المدن الرئيسية</t>
        </is>
      </c>
      <c r="D38" s="30" t="inlineStr">
        <is>
          <t>يقيس نسبة العقود خارج المدن الرئيسية ضمن محور «التوسع الإقليمي»، ويعكس مساهمة الإدارة في ركيزة النمو.</t>
        </is>
      </c>
      <c r="E38" s="31" t="inlineStr">
        <is>
          <t>(المتحقّق ÷ الإجمالي) × 100٪</t>
        </is>
      </c>
      <c r="F38" s="23" t="inlineStr">
        <is>
          <t>🔧 تشغيلي</t>
        </is>
      </c>
      <c r="G38" s="31" t="inlineStr">
        <is>
          <t>النمو · التوسع في المواقع</t>
        </is>
      </c>
      <c r="H38" s="23" t="inlineStr">
        <is>
          <t>العمليات الداخلية</t>
        </is>
      </c>
      <c r="I38" s="32" t="n">
        <v>0.03</v>
      </c>
      <c r="J38" s="23" t="inlineStr">
        <is>
          <t>مدير الامتياز</t>
        </is>
      </c>
      <c r="K38" s="31" t="inlineStr">
        <is>
          <t>نظام إدارة العقود (CRM)</t>
        </is>
      </c>
      <c r="L38" s="23" t="inlineStr">
        <is>
          <t>شهري</t>
        </is>
      </c>
      <c r="M38" s="23" t="inlineStr">
        <is>
          <t>مدير الامتياز</t>
        </is>
      </c>
      <c r="N38" s="33" t="n"/>
    </row>
    <row r="39" ht="30" customHeight="1">
      <c r="A39" s="23" t="n">
        <v>37</v>
      </c>
      <c r="B39" s="26" t="inlineStr">
        <is>
          <t>الامتياز التجاري</t>
        </is>
      </c>
      <c r="C39" s="9" t="inlineStr">
        <is>
          <t>نسبة العقود على الطرق الإقليمية</t>
        </is>
      </c>
      <c r="D39" s="30" t="inlineStr">
        <is>
          <t>يقيس نسبة العقود على الطرق الإقليمية ضمن محور «التوسع الإقليمي»، ويعكس مساهمة الإدارة في ركيزة النمو.</t>
        </is>
      </c>
      <c r="E39" s="31" t="inlineStr">
        <is>
          <t>(المتحقّق ÷ الإجمالي) × 100٪</t>
        </is>
      </c>
      <c r="F39" s="23" t="inlineStr">
        <is>
          <t>🔧 تشغيلي</t>
        </is>
      </c>
      <c r="G39" s="31" t="inlineStr">
        <is>
          <t>النمو · التوسع في المواقع</t>
        </is>
      </c>
      <c r="H39" s="23" t="inlineStr">
        <is>
          <t>العمليات الداخلية</t>
        </is>
      </c>
      <c r="I39" s="32" t="n">
        <v>0.03</v>
      </c>
      <c r="J39" s="23" t="inlineStr">
        <is>
          <t>مدير الامتياز</t>
        </is>
      </c>
      <c r="K39" s="31" t="inlineStr">
        <is>
          <t>نظام إدارة العقود (CRM)</t>
        </is>
      </c>
      <c r="L39" s="23" t="inlineStr">
        <is>
          <t>شهري</t>
        </is>
      </c>
      <c r="M39" s="23" t="inlineStr">
        <is>
          <t>مدير الامتياز</t>
        </is>
      </c>
      <c r="N39" s="33" t="n"/>
    </row>
    <row r="40" ht="30" customHeight="1">
      <c r="A40" s="23" t="n">
        <v>38</v>
      </c>
      <c r="B40" s="26" t="inlineStr">
        <is>
          <t>الامتياز التجاري</t>
        </is>
      </c>
      <c r="C40" s="9" t="inlineStr">
        <is>
          <t>متوسط تقييم المحطات على خرائط قوقل</t>
        </is>
      </c>
      <c r="D40" s="30" t="inlineStr">
        <is>
          <t>يقيس متوسط تقييم المحطات على خرائط قوقل ضمن محور «تجربة العملاء والشركاء»، ويعكس مساهمة الإدارة في ركيزة الاستدامة.</t>
        </is>
      </c>
      <c r="E40" s="31" t="inlineStr">
        <is>
          <t>متوسط التقييم (من 5)</t>
        </is>
      </c>
      <c r="F40" s="23" t="inlineStr">
        <is>
          <t>🎯 نتيجة</t>
        </is>
      </c>
      <c r="G40" s="31" t="inlineStr">
        <is>
          <t>الاستدامة · تعزيز تجربة العملاء</t>
        </is>
      </c>
      <c r="H40" s="23" t="inlineStr">
        <is>
          <t>العملاء</t>
        </is>
      </c>
      <c r="I40" s="32" t="n">
        <v>0.03</v>
      </c>
      <c r="J40" s="23" t="inlineStr">
        <is>
          <t>مدير الامتياز</t>
        </is>
      </c>
      <c r="K40" s="31" t="inlineStr">
        <is>
          <t>تقييمات خرائط قوقل</t>
        </is>
      </c>
      <c r="L40" s="23" t="inlineStr">
        <is>
          <t>شهري</t>
        </is>
      </c>
      <c r="M40" s="23" t="inlineStr">
        <is>
          <t>مدير الامتياز</t>
        </is>
      </c>
      <c r="N40" s="33" t="n"/>
    </row>
    <row r="41" ht="30" customHeight="1">
      <c r="A41" s="23" t="n">
        <v>39</v>
      </c>
      <c r="B41" s="26" t="inlineStr">
        <is>
          <t>الامتياز التجاري</t>
        </is>
      </c>
      <c r="C41" s="9" t="inlineStr">
        <is>
          <t>معدل رضا شركاء الامتياز (CSAT)</t>
        </is>
      </c>
      <c r="D41" s="30" t="inlineStr">
        <is>
          <t>يقيس معدل رضا شركاء الامتياز (CSAT) ضمن محور «تجربة العملاء والشركاء»، ويعكس مساهمة الإدارة في ركيزة الاستدامة.</t>
        </is>
      </c>
      <c r="E41" s="31" t="inlineStr">
        <is>
          <t>(المتحقّق ÷ الإجمالي) × 100٪</t>
        </is>
      </c>
      <c r="F41" s="23" t="inlineStr">
        <is>
          <t>🎯 نتيجة</t>
        </is>
      </c>
      <c r="G41" s="31" t="inlineStr">
        <is>
          <t>الاستدامة · تعزيز تجربة العملاء</t>
        </is>
      </c>
      <c r="H41" s="23" t="inlineStr">
        <is>
          <t>العملاء</t>
        </is>
      </c>
      <c r="I41" s="32" t="n">
        <v>0.03</v>
      </c>
      <c r="J41" s="23" t="inlineStr">
        <is>
          <t>مدير الامتياز</t>
        </is>
      </c>
      <c r="K41" s="31" t="inlineStr">
        <is>
          <t>استبيان دوري</t>
        </is>
      </c>
      <c r="L41" s="23" t="inlineStr">
        <is>
          <t>ربعي</t>
        </is>
      </c>
      <c r="M41" s="23" t="inlineStr">
        <is>
          <t>مدير الامتياز</t>
        </is>
      </c>
      <c r="N41" s="33" t="n"/>
    </row>
    <row r="42" ht="30" customHeight="1">
      <c r="A42" s="23" t="n">
        <v>40</v>
      </c>
      <c r="B42" s="26" t="inlineStr">
        <is>
          <t>الامتياز التجاري</t>
        </is>
      </c>
      <c r="C42" s="9" t="inlineStr">
        <is>
          <t>نسبة حل الشكاوى خلال المدة المحددة</t>
        </is>
      </c>
      <c r="D42" s="30" t="inlineStr">
        <is>
          <t>يقيس نسبة حل الشكاوى خلال المدة المحددة ضمن محور «تجربة العملاء والشركاء»، ويعكس مساهمة الإدارة في ركيزة الاستدامة.</t>
        </is>
      </c>
      <c r="E42" s="31" t="inlineStr">
        <is>
          <t>(المتحقّق ÷ الإجمالي) × 100٪</t>
        </is>
      </c>
      <c r="F42" s="23" t="inlineStr">
        <is>
          <t>🎯 نتيجة</t>
        </is>
      </c>
      <c r="G42" s="31" t="inlineStr">
        <is>
          <t>الاستدامة · تعزيز تجربة العملاء</t>
        </is>
      </c>
      <c r="H42" s="23" t="inlineStr">
        <is>
          <t>العملاء</t>
        </is>
      </c>
      <c r="I42" s="32" t="n">
        <v>0.02</v>
      </c>
      <c r="J42" s="23" t="inlineStr">
        <is>
          <t>مدير الامتياز</t>
        </is>
      </c>
      <c r="K42" s="31" t="inlineStr">
        <is>
          <t>سجلات الإدارة</t>
        </is>
      </c>
      <c r="L42" s="23" t="inlineStr">
        <is>
          <t>شهري</t>
        </is>
      </c>
      <c r="M42" s="23" t="inlineStr">
        <is>
          <t>مدير الامتياز</t>
        </is>
      </c>
      <c r="N42" s="33" t="n"/>
    </row>
    <row r="43" ht="30" customHeight="1">
      <c r="A43" s="23" t="n">
        <v>41</v>
      </c>
      <c r="B43" s="26" t="inlineStr">
        <is>
          <t>الامتياز التجاري</t>
        </is>
      </c>
      <c r="C43" s="9" t="inlineStr">
        <is>
          <t>نسبة انخفاض الشكاوى التشغيلية والإدارية</t>
        </is>
      </c>
      <c r="D43" s="30" t="inlineStr">
        <is>
          <t>يقيس نسبة انخفاض الشكاوى التشغيلية والإدارية ضمن محور «تجربة العملاء والشركاء»، ويعكس مساهمة الإدارة في ركيزة الاستدامة.</t>
        </is>
      </c>
      <c r="E43" s="31" t="inlineStr">
        <is>
          <t>(المتحقّق ÷ الإجمالي) × 100٪</t>
        </is>
      </c>
      <c r="F43" s="23" t="inlineStr">
        <is>
          <t>🎯 نتيجة</t>
        </is>
      </c>
      <c r="G43" s="31" t="inlineStr">
        <is>
          <t>الاستدامة · تعزيز تجربة العملاء</t>
        </is>
      </c>
      <c r="H43" s="23" t="inlineStr">
        <is>
          <t>العملاء</t>
        </is>
      </c>
      <c r="I43" s="32" t="n">
        <v>0.02</v>
      </c>
      <c r="J43" s="23" t="inlineStr">
        <is>
          <t>مدير الامتياز</t>
        </is>
      </c>
      <c r="K43" s="31" t="inlineStr">
        <is>
          <t>سجلات الإدارة</t>
        </is>
      </c>
      <c r="L43" s="23" t="inlineStr">
        <is>
          <t>شهري</t>
        </is>
      </c>
      <c r="M43" s="23" t="inlineStr">
        <is>
          <t>مدير الامتياز</t>
        </is>
      </c>
      <c r="N43" s="33" t="n"/>
    </row>
    <row r="44" ht="30" customHeight="1">
      <c r="A44" s="23" t="n">
        <v>42</v>
      </c>
      <c r="B44" s="26" t="inlineStr">
        <is>
          <t>الامتياز التجاري</t>
        </is>
      </c>
      <c r="C44" s="9" t="inlineStr">
        <is>
          <t>نسبة استدامة أصحاب الامتياز (Retention)</t>
        </is>
      </c>
      <c r="D44" s="30" t="inlineStr">
        <is>
          <t>يقيس نسبة استدامة أصحاب الامتياز (Retention) ضمن محور «استدامة الشراكة والامتثال»، ويعكس مساهمة الإدارة في ركيزة الاستدامة.</t>
        </is>
      </c>
      <c r="E44" s="31" t="inlineStr">
        <is>
          <t>(المتحقّق ÷ الإجمالي) × 100٪</t>
        </is>
      </c>
      <c r="F44" s="23" t="inlineStr">
        <is>
          <t>🔧 تشغيلي</t>
        </is>
      </c>
      <c r="G44" s="31" t="inlineStr">
        <is>
          <t>الاستدامة · تعزيز تجربة العملاء</t>
        </is>
      </c>
      <c r="H44" s="23" t="inlineStr">
        <is>
          <t>العمليات الداخلية</t>
        </is>
      </c>
      <c r="I44" s="32" t="n">
        <v>0.02</v>
      </c>
      <c r="J44" s="23" t="inlineStr">
        <is>
          <t>مدير الامتياز</t>
        </is>
      </c>
      <c r="K44" s="31" t="inlineStr">
        <is>
          <t>نظام إدارة الجودة (QMS)</t>
        </is>
      </c>
      <c r="L44" s="23" t="inlineStr">
        <is>
          <t>شهري</t>
        </is>
      </c>
      <c r="M44" s="23" t="inlineStr">
        <is>
          <t>مدير الامتياز</t>
        </is>
      </c>
      <c r="N44" s="33" t="n"/>
    </row>
    <row r="45" ht="30" customHeight="1">
      <c r="A45" s="23" t="n">
        <v>43</v>
      </c>
      <c r="B45" s="26" t="inlineStr">
        <is>
          <t>الامتياز التجاري</t>
        </is>
      </c>
      <c r="C45" s="9" t="inlineStr">
        <is>
          <t>نسبة زيادة عدد أصحاب الامتياز</t>
        </is>
      </c>
      <c r="D45" s="30" t="inlineStr">
        <is>
          <t>يقيس نسبة زيادة عدد أصحاب الامتياز ضمن محور «استدامة الشراكة والامتثال»، ويعكس مساهمة الإدارة في ركيزة الاستدامة.</t>
        </is>
      </c>
      <c r="E45" s="31" t="inlineStr">
        <is>
          <t>(المتحقّق ÷ الإجمالي) × 100٪</t>
        </is>
      </c>
      <c r="F45" s="23" t="inlineStr">
        <is>
          <t>⚙️ نشاط</t>
        </is>
      </c>
      <c r="G45" s="31" t="inlineStr">
        <is>
          <t>الاستدامة · تعزيز تجربة العملاء</t>
        </is>
      </c>
      <c r="H45" s="23" t="inlineStr">
        <is>
          <t>العمليات الداخلية</t>
        </is>
      </c>
      <c r="I45" s="32" t="n">
        <v>0.02</v>
      </c>
      <c r="J45" s="23" t="inlineStr">
        <is>
          <t>مدير الامتياز</t>
        </is>
      </c>
      <c r="K45" s="31" t="inlineStr">
        <is>
          <t>نظام إدارة الجودة (QMS)</t>
        </is>
      </c>
      <c r="L45" s="23" t="inlineStr">
        <is>
          <t>شهري</t>
        </is>
      </c>
      <c r="M45" s="23" t="inlineStr">
        <is>
          <t>مدير الامتياز</t>
        </is>
      </c>
      <c r="N45" s="33" t="n"/>
    </row>
    <row r="46" ht="30" customHeight="1">
      <c r="A46" s="23" t="n">
        <v>44</v>
      </c>
      <c r="B46" s="26" t="inlineStr">
        <is>
          <t>الامتياز التجاري</t>
        </is>
      </c>
      <c r="C46" s="9" t="inlineStr">
        <is>
          <t>نسبة اكتمال المستندات النظامية قبل التوقيع</t>
        </is>
      </c>
      <c r="D46" s="30" t="inlineStr">
        <is>
          <t>يقيس نسبة اكتمال المستندات النظامية قبل التوقيع ضمن محور «استدامة الشراكة والامتثال»، ويعكس مساهمة الإدارة في ركيزة الاستدامة.</t>
        </is>
      </c>
      <c r="E46" s="31" t="inlineStr">
        <is>
          <t>(المتحقّق ÷ الإجمالي) × 100٪</t>
        </is>
      </c>
      <c r="F46" s="23" t="inlineStr">
        <is>
          <t>⚙️ نشاط</t>
        </is>
      </c>
      <c r="G46" s="31" t="inlineStr">
        <is>
          <t>الاستدامة · جودة التشغيل</t>
        </is>
      </c>
      <c r="H46" s="23" t="inlineStr">
        <is>
          <t>العمليات الداخلية</t>
        </is>
      </c>
      <c r="I46" s="32" t="n">
        <v>0.01</v>
      </c>
      <c r="J46" s="23" t="inlineStr">
        <is>
          <t>مدير الامتياز</t>
        </is>
      </c>
      <c r="K46" s="31" t="inlineStr">
        <is>
          <t>نظام إدارة الجودة (QMS)</t>
        </is>
      </c>
      <c r="L46" s="23" t="inlineStr">
        <is>
          <t>شهري</t>
        </is>
      </c>
      <c r="M46" s="23" t="inlineStr">
        <is>
          <t>مدير الامتياز</t>
        </is>
      </c>
      <c r="N46" s="33" t="n"/>
    </row>
    <row r="47" ht="30" customHeight="1">
      <c r="A47" s="23" t="n">
        <v>45</v>
      </c>
      <c r="B47" s="26" t="inlineStr">
        <is>
          <t>الامتياز التجاري</t>
        </is>
      </c>
      <c r="C47" s="9" t="inlineStr">
        <is>
          <t>متوسط مدة إغلاق عقد الامتياز</t>
        </is>
      </c>
      <c r="D47" s="30" t="inlineStr">
        <is>
          <t>يقيس متوسط مدة إغلاق عقد الامتياز ضمن محور «استدامة الشراكة والامتثال»، ويعكس مساهمة الإدارة في ركيزة النمو.</t>
        </is>
      </c>
      <c r="E47" s="31" t="inlineStr">
        <is>
          <t>متوسط أسبوع خلال الفترة</t>
        </is>
      </c>
      <c r="F47" s="23" t="inlineStr">
        <is>
          <t>🔧 تشغيلي</t>
        </is>
      </c>
      <c r="G47" s="31" t="inlineStr">
        <is>
          <t>النمو · الامتياز التجاري</t>
        </is>
      </c>
      <c r="H47" s="23" t="inlineStr">
        <is>
          <t>العمليات الداخلية</t>
        </is>
      </c>
      <c r="I47" s="32" t="n">
        <v>0.03</v>
      </c>
      <c r="J47" s="23" t="inlineStr">
        <is>
          <t>مدير الامتياز</t>
        </is>
      </c>
      <c r="K47" s="31" t="inlineStr">
        <is>
          <t>نظام إدارة الجودة (QMS)</t>
        </is>
      </c>
      <c r="L47" s="23" t="inlineStr">
        <is>
          <t>شهري</t>
        </is>
      </c>
      <c r="M47" s="23" t="inlineStr">
        <is>
          <t>مدير الامتياز</t>
        </is>
      </c>
      <c r="N47" s="33" t="n"/>
    </row>
    <row r="48" ht="30" customHeight="1">
      <c r="A48" s="23" t="n">
        <v>46</v>
      </c>
      <c r="B48" s="26" t="inlineStr">
        <is>
          <t>الامتياز التجاري</t>
        </is>
      </c>
      <c r="C48" s="9" t="inlineStr">
        <is>
          <t>نسبة إنجاز التقارير الدورية في موعدها</t>
        </is>
      </c>
      <c r="D48" s="30" t="inlineStr">
        <is>
          <t>يقيس نسبة إنجاز التقارير الدورية في موعدها ضمن محور «استدامة الشراكة والامتثال»، ويعكس مساهمة الإدارة في ركيزة الاستدامة.</t>
        </is>
      </c>
      <c r="E48" s="31" t="inlineStr">
        <is>
          <t>(المتحقّق ÷ الإجمالي) × 100٪</t>
        </is>
      </c>
      <c r="F48" s="23" t="inlineStr">
        <is>
          <t>⚙️ نشاط</t>
        </is>
      </c>
      <c r="G48" s="31" t="inlineStr">
        <is>
          <t>الاستدامة · جودة التشغيل</t>
        </is>
      </c>
      <c r="H48" s="23" t="inlineStr">
        <is>
          <t>العمليات الداخلية</t>
        </is>
      </c>
      <c r="I48" s="32" t="n">
        <v>0.01</v>
      </c>
      <c r="J48" s="23" t="inlineStr">
        <is>
          <t>مدير الامتياز</t>
        </is>
      </c>
      <c r="K48" s="31" t="inlineStr">
        <is>
          <t>نظام إدارة الجودة (QMS)</t>
        </is>
      </c>
      <c r="L48" s="23" t="inlineStr">
        <is>
          <t>شهري</t>
        </is>
      </c>
      <c r="M48" s="23" t="inlineStr">
        <is>
          <t>مدير الامتياز</t>
        </is>
      </c>
      <c r="N48" s="33" t="n"/>
    </row>
    <row r="49" ht="30" customHeight="1">
      <c r="A49" s="23" t="n">
        <v>47</v>
      </c>
      <c r="B49" s="26" t="inlineStr">
        <is>
          <t>التشغيل والمحطات</t>
        </is>
      </c>
      <c r="C49" s="9" t="inlineStr">
        <is>
          <t>عدد المحطات المشغّلة (تراكمي)</t>
        </is>
      </c>
      <c r="D49" s="30" t="inlineStr">
        <is>
          <t>يقيس عدد المحطات المشغّلة (تراكمي) ضمن محور «النمو»، ويعكس مساهمة الإدارة في ركيزة النمو.</t>
        </is>
      </c>
      <c r="E49" s="31" t="inlineStr">
        <is>
          <t>إجمالي العدد خلال الفترة</t>
        </is>
      </c>
      <c r="F49" s="23" t="inlineStr">
        <is>
          <t>⚙️ نشاط</t>
        </is>
      </c>
      <c r="G49" s="31" t="inlineStr">
        <is>
          <t>النمو · التوسع في المواقع</t>
        </is>
      </c>
      <c r="H49" s="23" t="inlineStr">
        <is>
          <t>العمليات الداخلية</t>
        </is>
      </c>
      <c r="I49" s="32" t="n">
        <v>0.08</v>
      </c>
      <c r="J49" s="23" t="inlineStr">
        <is>
          <t>مدير التشغيل</t>
        </is>
      </c>
      <c r="K49" s="31" t="inlineStr">
        <is>
          <t>نظام تشغيل المحطات</t>
        </is>
      </c>
      <c r="L49" s="23" t="inlineStr">
        <is>
          <t>شهري</t>
        </is>
      </c>
      <c r="M49" s="23" t="inlineStr">
        <is>
          <t>مدير التشغيل</t>
        </is>
      </c>
      <c r="N49" s="33" t="n"/>
    </row>
    <row r="50" ht="30" customHeight="1">
      <c r="A50" s="23" t="n">
        <v>48</v>
      </c>
      <c r="B50" s="26" t="inlineStr">
        <is>
          <t>التشغيل والمحطات</t>
        </is>
      </c>
      <c r="C50" s="9" t="inlineStr">
        <is>
          <t>نمو مبيعات بنزين 91 مقارنة بالعام السابق</t>
        </is>
      </c>
      <c r="D50" s="30" t="inlineStr">
        <is>
          <t>يقيس نمو مبيعات بنزين 91 مقارنة بالعام السابق ضمن محور «الربحية»، ويعكس مساهمة الإدارة في ركيزة النمو.</t>
        </is>
      </c>
      <c r="E50" s="31" t="inlineStr">
        <is>
          <t>(المتحقّق ÷ الإجمالي) × 100٪</t>
        </is>
      </c>
      <c r="F50" s="23" t="inlineStr">
        <is>
          <t>🎯 نتيجة</t>
        </is>
      </c>
      <c r="G50" s="31" t="inlineStr">
        <is>
          <t>النمو · زيادة وصول العملاء</t>
        </is>
      </c>
      <c r="H50" s="23" t="inlineStr">
        <is>
          <t>مالي</t>
        </is>
      </c>
      <c r="I50" s="32" t="n">
        <v>0.08</v>
      </c>
      <c r="J50" s="23" t="inlineStr">
        <is>
          <t>مدير التشغيل</t>
        </is>
      </c>
      <c r="K50" s="31" t="inlineStr">
        <is>
          <t>نظام المحاسبة / ERP (D365)</t>
        </is>
      </c>
      <c r="L50" s="23" t="inlineStr">
        <is>
          <t>شهري</t>
        </is>
      </c>
      <c r="M50" s="23" t="inlineStr">
        <is>
          <t>الإدارة المالية</t>
        </is>
      </c>
      <c r="N50" s="33" t="n"/>
    </row>
    <row r="51" ht="30" customHeight="1">
      <c r="A51" s="23" t="n">
        <v>49</v>
      </c>
      <c r="B51" s="26" t="inlineStr">
        <is>
          <t>التشغيل والمحطات</t>
        </is>
      </c>
      <c r="C51" s="9" t="inlineStr">
        <is>
          <t>نمو مبيعات بنزين 95 مقارنة بالعام السابق</t>
        </is>
      </c>
      <c r="D51" s="30" t="inlineStr">
        <is>
          <t>يقيس نمو مبيعات بنزين 95 مقارنة بالعام السابق ضمن محور «الربحية»، ويعكس مساهمة الإدارة في ركيزة النمو.</t>
        </is>
      </c>
      <c r="E51" s="31" t="inlineStr">
        <is>
          <t>(المتحقّق ÷ الإجمالي) × 100٪</t>
        </is>
      </c>
      <c r="F51" s="23" t="inlineStr">
        <is>
          <t>🎯 نتيجة</t>
        </is>
      </c>
      <c r="G51" s="31" t="inlineStr">
        <is>
          <t>النمو · زيادة وصول العملاء</t>
        </is>
      </c>
      <c r="H51" s="23" t="inlineStr">
        <is>
          <t>مالي</t>
        </is>
      </c>
      <c r="I51" s="32" t="n">
        <v>0.08</v>
      </c>
      <c r="J51" s="23" t="inlineStr">
        <is>
          <t>مدير التشغيل</t>
        </is>
      </c>
      <c r="K51" s="31" t="inlineStr">
        <is>
          <t>نظام المحاسبة / ERP (D365)</t>
        </is>
      </c>
      <c r="L51" s="23" t="inlineStr">
        <is>
          <t>شهري</t>
        </is>
      </c>
      <c r="M51" s="23" t="inlineStr">
        <is>
          <t>الإدارة المالية</t>
        </is>
      </c>
      <c r="N51" s="33" t="n"/>
    </row>
    <row r="52" ht="30" customHeight="1">
      <c r="A52" s="23" t="n">
        <v>50</v>
      </c>
      <c r="B52" s="26" t="inlineStr">
        <is>
          <t>التشغيل والمحطات</t>
        </is>
      </c>
      <c r="C52" s="9" t="inlineStr">
        <is>
          <t>نمو مبيعات بنزين 98 مقارنة بالعام السابق</t>
        </is>
      </c>
      <c r="D52" s="30" t="inlineStr">
        <is>
          <t>يقيس نمو مبيعات بنزين 98 مقارنة بالعام السابق ضمن محور «الربحية»، ويعكس مساهمة الإدارة في ركيزة النمو.</t>
        </is>
      </c>
      <c r="E52" s="31" t="inlineStr">
        <is>
          <t>(المتحقّق ÷ الإجمالي) × 100٪</t>
        </is>
      </c>
      <c r="F52" s="23" t="inlineStr">
        <is>
          <t>🎯 نتيجة</t>
        </is>
      </c>
      <c r="G52" s="31" t="inlineStr">
        <is>
          <t>النمو · زيادة وصول العملاء</t>
        </is>
      </c>
      <c r="H52" s="23" t="inlineStr">
        <is>
          <t>مالي</t>
        </is>
      </c>
      <c r="I52" s="32" t="n">
        <v>0.08</v>
      </c>
      <c r="J52" s="23" t="inlineStr">
        <is>
          <t>مدير التشغيل</t>
        </is>
      </c>
      <c r="K52" s="31" t="inlineStr">
        <is>
          <t>نظام المحاسبة / ERP (D365)</t>
        </is>
      </c>
      <c r="L52" s="23" t="inlineStr">
        <is>
          <t>شهري</t>
        </is>
      </c>
      <c r="M52" s="23" t="inlineStr">
        <is>
          <t>الإدارة المالية</t>
        </is>
      </c>
      <c r="N52" s="33" t="n"/>
    </row>
    <row r="53" ht="30" customHeight="1">
      <c r="A53" s="23" t="n">
        <v>51</v>
      </c>
      <c r="B53" s="26" t="inlineStr">
        <is>
          <t>التشغيل والمحطات</t>
        </is>
      </c>
      <c r="C53" s="9" t="inlineStr">
        <is>
          <t>نمو مبيعات الديزل مقارنة بالعام السابق</t>
        </is>
      </c>
      <c r="D53" s="30" t="inlineStr">
        <is>
          <t>يقيس نمو مبيعات الديزل مقارنة بالعام السابق ضمن محور «الربحية»، ويعكس مساهمة الإدارة في ركيزة النمو.</t>
        </is>
      </c>
      <c r="E53" s="31" t="inlineStr">
        <is>
          <t>(المتحقّق ÷ الإجمالي) × 100٪</t>
        </is>
      </c>
      <c r="F53" s="23" t="inlineStr">
        <is>
          <t>🎯 نتيجة</t>
        </is>
      </c>
      <c r="G53" s="31" t="inlineStr">
        <is>
          <t>النمو · زيادة وصول العملاء</t>
        </is>
      </c>
      <c r="H53" s="23" t="inlineStr">
        <is>
          <t>مالي</t>
        </is>
      </c>
      <c r="I53" s="32" t="n">
        <v>0.08</v>
      </c>
      <c r="J53" s="23" t="inlineStr">
        <is>
          <t>مدير التشغيل</t>
        </is>
      </c>
      <c r="K53" s="31" t="inlineStr">
        <is>
          <t>نظام المحاسبة / ERP (D365)</t>
        </is>
      </c>
      <c r="L53" s="23" t="inlineStr">
        <is>
          <t>شهري</t>
        </is>
      </c>
      <c r="M53" s="23" t="inlineStr">
        <is>
          <t>الإدارة المالية</t>
        </is>
      </c>
      <c r="N53" s="33" t="n"/>
    </row>
    <row r="54" ht="30" customHeight="1">
      <c r="A54" s="23" t="n">
        <v>52</v>
      </c>
      <c r="B54" s="26" t="inlineStr">
        <is>
          <t>التشغيل والمحطات</t>
        </is>
      </c>
      <c r="C54" s="9" t="inlineStr">
        <is>
          <t>نسبة جاهزية المحطة الشاملة (Uptime)</t>
        </is>
      </c>
      <c r="D54" s="30" t="inlineStr">
        <is>
          <t>يقيس نسبة جاهزية المحطة الشاملة (Uptime) ضمن محور «حماية الإيراد»، ويعكس مساهمة الإدارة في ركيزة الاستدامة.</t>
        </is>
      </c>
      <c r="E54" s="31" t="inlineStr">
        <is>
          <t>(المتحقّق ÷ الإجمالي) × 100٪</t>
        </is>
      </c>
      <c r="F54" s="23" t="inlineStr">
        <is>
          <t>🔧 تشغيلي</t>
        </is>
      </c>
      <c r="G54" s="31" t="inlineStr">
        <is>
          <t>الاستدامة · جودة التشغيل</t>
        </is>
      </c>
      <c r="H54" s="23" t="inlineStr">
        <is>
          <t>العمليات الداخلية</t>
        </is>
      </c>
      <c r="I54" s="32" t="n">
        <v>0.07000000000000001</v>
      </c>
      <c r="J54" s="23" t="inlineStr">
        <is>
          <t>مدير التشغيل</t>
        </is>
      </c>
      <c r="K54" s="31" t="inlineStr">
        <is>
          <t>نظام المحاسبة / ERP (D365)</t>
        </is>
      </c>
      <c r="L54" s="23" t="inlineStr">
        <is>
          <t>شهري</t>
        </is>
      </c>
      <c r="M54" s="23" t="inlineStr">
        <is>
          <t>الإدارة المالية</t>
        </is>
      </c>
      <c r="N54" s="33" t="n"/>
    </row>
    <row r="55" ht="30" customHeight="1">
      <c r="A55" s="23" t="n">
        <v>53</v>
      </c>
      <c r="B55" s="26" t="inlineStr">
        <is>
          <t>التشغيل والمحطات</t>
        </is>
      </c>
      <c r="C55" s="9" t="inlineStr">
        <is>
          <t>نسبة المضخات العاملة</t>
        </is>
      </c>
      <c r="D55" s="30" t="inlineStr">
        <is>
          <t>يقيس نسبة المضخات العاملة ضمن محور «حماية الإيراد»، ويعكس مساهمة الإدارة في ركيزة الاستدامة.</t>
        </is>
      </c>
      <c r="E55" s="31" t="inlineStr">
        <is>
          <t>(المتحقّق ÷ الإجمالي) × 100٪</t>
        </is>
      </c>
      <c r="F55" s="23" t="inlineStr">
        <is>
          <t>🔧 تشغيلي</t>
        </is>
      </c>
      <c r="G55" s="31" t="inlineStr">
        <is>
          <t>الاستدامة · جودة التشغيل</t>
        </is>
      </c>
      <c r="H55" s="23" t="inlineStr">
        <is>
          <t>العمليات الداخلية</t>
        </is>
      </c>
      <c r="I55" s="32" t="n">
        <v>0.05</v>
      </c>
      <c r="J55" s="23" t="inlineStr">
        <is>
          <t>مدير التشغيل</t>
        </is>
      </c>
      <c r="K55" s="31" t="inlineStr">
        <is>
          <t>نظام المحاسبة / ERP (D365)</t>
        </is>
      </c>
      <c r="L55" s="23" t="inlineStr">
        <is>
          <t>شهري</t>
        </is>
      </c>
      <c r="M55" s="23" t="inlineStr">
        <is>
          <t>الإدارة المالية</t>
        </is>
      </c>
      <c r="N55" s="33" t="n"/>
    </row>
    <row r="56" ht="30" customHeight="1">
      <c r="A56" s="23" t="n">
        <v>54</v>
      </c>
      <c r="B56" s="26" t="inlineStr">
        <is>
          <t>التشغيل والمحطات</t>
        </is>
      </c>
      <c r="C56" s="9" t="inlineStr">
        <is>
          <t>تكلفة التشغيل لكل لتر مباع</t>
        </is>
      </c>
      <c r="D56" s="30" t="inlineStr">
        <is>
          <t>يقيس تكلفة التشغيل لكل لتر مباع ضمن محور «ضغط التكلفة»، ويعكس مساهمة الإدارة في ركيزة الاستدامة.</t>
        </is>
      </c>
      <c r="E56" s="31" t="inlineStr">
        <is>
          <t>إجمالي العدد خلال الفترة</t>
        </is>
      </c>
      <c r="F56" s="23" t="inlineStr">
        <is>
          <t>🔧 تشغيلي</t>
        </is>
      </c>
      <c r="G56" s="31" t="inlineStr">
        <is>
          <t>الاستدامة · جودة التشغيل</t>
        </is>
      </c>
      <c r="H56" s="23" t="inlineStr">
        <is>
          <t>مالي</t>
        </is>
      </c>
      <c r="I56" s="32" t="n">
        <v>0.05</v>
      </c>
      <c r="J56" s="23" t="inlineStr">
        <is>
          <t>مدير التشغيل</t>
        </is>
      </c>
      <c r="K56" s="31" t="inlineStr">
        <is>
          <t>نظام تشغيل المحطات</t>
        </is>
      </c>
      <c r="L56" s="23" t="inlineStr">
        <is>
          <t>ربعي</t>
        </is>
      </c>
      <c r="M56" s="23" t="inlineStr">
        <is>
          <t>مدير التشغيل</t>
        </is>
      </c>
      <c r="N56" s="33" t="n"/>
    </row>
    <row r="57" ht="30" customHeight="1">
      <c r="A57" s="23" t="n">
        <v>55</v>
      </c>
      <c r="B57" s="26" t="inlineStr">
        <is>
          <t>التشغيل والمحطات</t>
        </is>
      </c>
      <c r="C57" s="9" t="inlineStr">
        <is>
          <t>نسبة الصيانة الوقائية المنفذة في موعدها</t>
        </is>
      </c>
      <c r="D57" s="30" t="inlineStr">
        <is>
          <t>يقيس نسبة الصيانة الوقائية المنفذة في موعدها ضمن محور «حماية الأصول»، ويعكس مساهمة الإدارة في ركيزة الاستدامة.</t>
        </is>
      </c>
      <c r="E57" s="31" t="inlineStr">
        <is>
          <t>(المتحقّق ÷ الإجمالي) × 100٪</t>
        </is>
      </c>
      <c r="F57" s="23" t="inlineStr">
        <is>
          <t>🔧 تشغيلي</t>
        </is>
      </c>
      <c r="G57" s="31" t="inlineStr">
        <is>
          <t>الاستدامة · جودة التشغيل</t>
        </is>
      </c>
      <c r="H57" s="23" t="inlineStr">
        <is>
          <t>العمليات الداخلية</t>
        </is>
      </c>
      <c r="I57" s="32" t="n">
        <v>0.05</v>
      </c>
      <c r="J57" s="23" t="inlineStr">
        <is>
          <t>مدير التشغيل</t>
        </is>
      </c>
      <c r="K57" s="31" t="inlineStr">
        <is>
          <t>نظام تشغيل المحطات</t>
        </is>
      </c>
      <c r="L57" s="23" t="inlineStr">
        <is>
          <t>شهري</t>
        </is>
      </c>
      <c r="M57" s="23" t="inlineStr">
        <is>
          <t>مدير التشغيل</t>
        </is>
      </c>
      <c r="N57" s="33" t="n"/>
    </row>
    <row r="58" ht="30" customHeight="1">
      <c r="A58" s="23" t="n">
        <v>56</v>
      </c>
      <c r="B58" s="26" t="inlineStr">
        <is>
          <t>التشغيل والمحطات</t>
        </is>
      </c>
      <c r="C58" s="9" t="inlineStr">
        <is>
          <t>نسبة انخفاض الشكاوى مقارنة بالشهر السابق</t>
        </is>
      </c>
      <c r="D58" s="30" t="inlineStr">
        <is>
          <t>يقيس نسبة انخفاض الشكاوى مقارنة بالشهر السابق ضمن محور «تجربة العميل»، ويعكس مساهمة الإدارة في ركيزة الاستدامة.</t>
        </is>
      </c>
      <c r="E58" s="31" t="inlineStr">
        <is>
          <t>(المتحقّق ÷ الإجمالي) × 100٪</t>
        </is>
      </c>
      <c r="F58" s="23" t="inlineStr">
        <is>
          <t>🎯 نتيجة</t>
        </is>
      </c>
      <c r="G58" s="31" t="inlineStr">
        <is>
          <t>الاستدامة · تعزيز تجربة العملاء</t>
        </is>
      </c>
      <c r="H58" s="23" t="inlineStr">
        <is>
          <t>العملاء</t>
        </is>
      </c>
      <c r="I58" s="32" t="n">
        <v>0.05</v>
      </c>
      <c r="J58" s="23" t="inlineStr">
        <is>
          <t>مدير التشغيل</t>
        </is>
      </c>
      <c r="K58" s="31" t="inlineStr">
        <is>
          <t>سجلات الإدارة</t>
        </is>
      </c>
      <c r="L58" s="23" t="inlineStr">
        <is>
          <t>شهري</t>
        </is>
      </c>
      <c r="M58" s="23" t="inlineStr">
        <is>
          <t>مدير التشغيل</t>
        </is>
      </c>
      <c r="N58" s="33" t="n"/>
    </row>
    <row r="59" ht="30" customHeight="1">
      <c r="A59" s="23" t="n">
        <v>57</v>
      </c>
      <c r="B59" s="26" t="inlineStr">
        <is>
          <t>التشغيل والمحطات</t>
        </is>
      </c>
      <c r="C59" s="9" t="inlineStr">
        <is>
          <t>تقييم Google Maps للمحطات</t>
        </is>
      </c>
      <c r="D59" s="30" t="inlineStr">
        <is>
          <t>يقيس تقييم Google Maps للمحطات ضمن محور «تجربة العميل»، ويعكس مساهمة الإدارة في ركيزة الاستدامة.</t>
        </is>
      </c>
      <c r="E59" s="31" t="inlineStr">
        <is>
          <t>متوسط التقييم (من 5)</t>
        </is>
      </c>
      <c r="F59" s="23" t="inlineStr">
        <is>
          <t>🎯 نتيجة</t>
        </is>
      </c>
      <c r="G59" s="31" t="inlineStr">
        <is>
          <t>الاستدامة · تعزيز تجربة العملاء</t>
        </is>
      </c>
      <c r="H59" s="23" t="inlineStr">
        <is>
          <t>العمليات الداخلية</t>
        </is>
      </c>
      <c r="I59" s="32" t="n">
        <v>0.07000000000000001</v>
      </c>
      <c r="J59" s="23" t="inlineStr">
        <is>
          <t>مدير التشغيل</t>
        </is>
      </c>
      <c r="K59" s="31" t="inlineStr">
        <is>
          <t>تقييمات خرائط قوقل</t>
        </is>
      </c>
      <c r="L59" s="23" t="inlineStr">
        <is>
          <t>شهري</t>
        </is>
      </c>
      <c r="M59" s="23" t="inlineStr">
        <is>
          <t>مدير التشغيل</t>
        </is>
      </c>
      <c r="N59" s="33" t="n"/>
    </row>
    <row r="60" ht="30" customHeight="1">
      <c r="A60" s="23" t="n">
        <v>58</v>
      </c>
      <c r="B60" s="26" t="inlineStr">
        <is>
          <t>التشغيل والمحطات</t>
        </is>
      </c>
      <c r="C60" s="9" t="inlineStr">
        <is>
          <t>سرعة تعبئة الوقود</t>
        </is>
      </c>
      <c r="D60" s="30" t="inlineStr">
        <is>
          <t>يقيس سرعة تعبئة الوقود ضمن محور «تجربة العميل»، ويعكس مساهمة الإدارة في ركيزة الاستدامة.</t>
        </is>
      </c>
      <c r="E60" s="31" t="inlineStr">
        <is>
          <t>متوسط دقيقة خلال الفترة</t>
        </is>
      </c>
      <c r="F60" s="23" t="inlineStr">
        <is>
          <t>🔧 تشغيلي</t>
        </is>
      </c>
      <c r="G60" s="31" t="inlineStr">
        <is>
          <t>الاستدامة · تعزيز تجربة العملاء</t>
        </is>
      </c>
      <c r="H60" s="23" t="inlineStr">
        <is>
          <t>العمليات الداخلية</t>
        </is>
      </c>
      <c r="I60" s="32" t="n">
        <v>0.05</v>
      </c>
      <c r="J60" s="23" t="inlineStr">
        <is>
          <t>مدير التشغيل</t>
        </is>
      </c>
      <c r="K60" s="31" t="inlineStr">
        <is>
          <t>نظام تشغيل المحطات</t>
        </is>
      </c>
      <c r="L60" s="23" t="inlineStr">
        <is>
          <t>شهري</t>
        </is>
      </c>
      <c r="M60" s="23" t="inlineStr">
        <is>
          <t>مدير التشغيل</t>
        </is>
      </c>
      <c r="N60" s="33" t="n"/>
    </row>
    <row r="61" ht="30" customHeight="1">
      <c r="A61" s="23" t="n">
        <v>59</v>
      </c>
      <c r="B61" s="26" t="inlineStr">
        <is>
          <t>التشغيل والمحطات</t>
        </is>
      </c>
      <c r="C61" s="9" t="inlineStr">
        <is>
          <t>دقة التعبئة بدون أخطاء</t>
        </is>
      </c>
      <c r="D61" s="30" t="inlineStr">
        <is>
          <t>يقيس دقة التعبئة بدون أخطاء ضمن محور «تجربة العميل»، ويعكس مساهمة الإدارة في ركيزة الاستدامة.</t>
        </is>
      </c>
      <c r="E61" s="31" t="inlineStr">
        <is>
          <t>(المتحقّق ÷ الإجمالي) × 100٪</t>
        </is>
      </c>
      <c r="F61" s="23" t="inlineStr">
        <is>
          <t>🔧 تشغيلي</t>
        </is>
      </c>
      <c r="G61" s="31" t="inlineStr">
        <is>
          <t>الاستدامة · جودة التشغيل</t>
        </is>
      </c>
      <c r="H61" s="23" t="inlineStr">
        <is>
          <t>العمليات الداخلية</t>
        </is>
      </c>
      <c r="I61" s="32" t="n">
        <v>0.05</v>
      </c>
      <c r="J61" s="23" t="inlineStr">
        <is>
          <t>مدير التشغيل</t>
        </is>
      </c>
      <c r="K61" s="31" t="inlineStr">
        <is>
          <t>نظام تشغيل المحطات</t>
        </is>
      </c>
      <c r="L61" s="23" t="inlineStr">
        <is>
          <t>شهري</t>
        </is>
      </c>
      <c r="M61" s="23" t="inlineStr">
        <is>
          <t>مدير التشغيل</t>
        </is>
      </c>
      <c r="N61" s="33" t="n"/>
    </row>
    <row r="62" ht="30" customHeight="1">
      <c r="A62" s="23" t="n">
        <v>60</v>
      </c>
      <c r="B62" s="26" t="inlineStr">
        <is>
          <t>التشغيل والمحطات</t>
        </is>
      </c>
      <c r="C62" s="9" t="inlineStr">
        <is>
          <t>تطبيق المعيار الشامل في المحطات</t>
        </is>
      </c>
      <c r="D62" s="30" t="inlineStr">
        <is>
          <t>يقيس تطبيق المعيار الشامل في المحطات ضمن محور «تجربة العميل»، ويعكس مساهمة الإدارة في ركيزة الابتكار.</t>
        </is>
      </c>
      <c r="E62" s="31" t="inlineStr">
        <is>
          <t>(المتحقّق ÷ الإجمالي) × 100٪</t>
        </is>
      </c>
      <c r="F62" s="23" t="inlineStr">
        <is>
          <t>🔧 تشغيلي</t>
        </is>
      </c>
      <c r="G62" s="31" t="inlineStr">
        <is>
          <t>الابتكار · التحول التقني</t>
        </is>
      </c>
      <c r="H62" s="23" t="inlineStr">
        <is>
          <t>العمليات الداخلية</t>
        </is>
      </c>
      <c r="I62" s="32" t="n">
        <v>0.02</v>
      </c>
      <c r="J62" s="23" t="inlineStr">
        <is>
          <t>مدير التشغيل</t>
        </is>
      </c>
      <c r="K62" s="31" t="inlineStr">
        <is>
          <t>نظام تشغيل المحطات</t>
        </is>
      </c>
      <c r="L62" s="23" t="inlineStr">
        <is>
          <t>شهري</t>
        </is>
      </c>
      <c r="M62" s="23" t="inlineStr">
        <is>
          <t>مدير التشغيل</t>
        </is>
      </c>
      <c r="N62" s="33" t="n"/>
    </row>
    <row r="63" ht="30" customHeight="1">
      <c r="A63" s="23" t="n">
        <v>61</v>
      </c>
      <c r="B63" s="26" t="inlineStr">
        <is>
          <t>التشغيل والمحطات</t>
        </is>
      </c>
      <c r="C63" s="9" t="inlineStr">
        <is>
          <t>الالتزام بمعايير السلامة داخل المحطة</t>
        </is>
      </c>
      <c r="D63" s="30" t="inlineStr">
        <is>
          <t>يقيس الالتزام بمعايير السلامة داخل المحطة ضمن محور «السلامة»، ويعكس مساهمة الإدارة في ركيزة الاستدامة.</t>
        </is>
      </c>
      <c r="E63" s="31" t="inlineStr">
        <is>
          <t>(المتحقّق ÷ الإجمالي) × 100٪</t>
        </is>
      </c>
      <c r="F63" s="23" t="inlineStr">
        <is>
          <t>🔧 تشغيلي</t>
        </is>
      </c>
      <c r="G63" s="31" t="inlineStr">
        <is>
          <t>الاستدامة · جودة التشغيل</t>
        </is>
      </c>
      <c r="H63" s="23" t="inlineStr">
        <is>
          <t>العمليات الداخلية</t>
        </is>
      </c>
      <c r="I63" s="32" t="n">
        <v>0.07000000000000001</v>
      </c>
      <c r="J63" s="23" t="inlineStr">
        <is>
          <t>مدير التشغيل</t>
        </is>
      </c>
      <c r="K63" s="31" t="inlineStr">
        <is>
          <t>نظام تشغيل المحطات</t>
        </is>
      </c>
      <c r="L63" s="23" t="inlineStr">
        <is>
          <t>شهري</t>
        </is>
      </c>
      <c r="M63" s="23" t="inlineStr">
        <is>
          <t>مدير التشغيل</t>
        </is>
      </c>
      <c r="N63" s="33" t="n"/>
    </row>
    <row r="64" ht="30" customHeight="1">
      <c r="A64" s="23" t="n">
        <v>62</v>
      </c>
      <c r="B64" s="26" t="inlineStr">
        <is>
          <t>التشغيل والمحطات</t>
        </is>
      </c>
      <c r="C64" s="9" t="inlineStr">
        <is>
          <t>التشجير داخل المحطة (معيار الوزارة)</t>
        </is>
      </c>
      <c r="D64" s="30" t="inlineStr">
        <is>
          <t>يقيس التشجير داخل المحطة (معيار الوزارة) ضمن محور «البيئة»، ويعكس مساهمة الإدارة في ركيزة الاستدامة.</t>
        </is>
      </c>
      <c r="E64" s="31" t="inlineStr">
        <is>
          <t>(المتحقّق ÷ الإجمالي) × 100٪</t>
        </is>
      </c>
      <c r="F64" s="23" t="inlineStr">
        <is>
          <t>🔧 تشغيلي</t>
        </is>
      </c>
      <c r="G64" s="31" t="inlineStr">
        <is>
          <t>الاستدامة · جودة التشغيل</t>
        </is>
      </c>
      <c r="H64" s="23" t="inlineStr">
        <is>
          <t>العمليات الداخلية</t>
        </is>
      </c>
      <c r="I64" s="32" t="n">
        <v>0.07000000000000001</v>
      </c>
      <c r="J64" s="23" t="inlineStr">
        <is>
          <t>مدير التشغيل</t>
        </is>
      </c>
      <c r="K64" s="31" t="inlineStr">
        <is>
          <t>نظام تشغيل المحطات</t>
        </is>
      </c>
      <c r="L64" s="23" t="inlineStr">
        <is>
          <t>شهري</t>
        </is>
      </c>
      <c r="M64" s="23" t="inlineStr">
        <is>
          <t>مدير التشغيل</t>
        </is>
      </c>
      <c r="N64" s="33" t="n"/>
    </row>
    <row r="65" ht="30" customHeight="1">
      <c r="A65" s="23" t="n">
        <v>63</v>
      </c>
      <c r="B65" s="26" t="inlineStr">
        <is>
          <t>الاستثمار</t>
        </is>
      </c>
      <c r="C65" s="9" t="inlineStr">
        <is>
          <t>إجمالي عقود الاستثمار الجديدة (جميع النماذج)</t>
        </is>
      </c>
      <c r="D65" s="30" t="inlineStr">
        <is>
          <t>يقيس إجمالي عقود الاستثمار الجديدة (جميع النماذج) ضمن محور «نمو المحفظة»، ويعكس مساهمة الإدارة في ركيزة النمو.</t>
        </is>
      </c>
      <c r="E65" s="31" t="inlineStr">
        <is>
          <t>إجمالي العدد خلال الفترة</t>
        </is>
      </c>
      <c r="F65" s="23" t="inlineStr">
        <is>
          <t>🔧 تشغيلي</t>
        </is>
      </c>
      <c r="G65" s="31" t="inlineStr">
        <is>
          <t>النمو · التوسع في المواقع</t>
        </is>
      </c>
      <c r="H65" s="23" t="inlineStr">
        <is>
          <t>العمليات الداخلية</t>
        </is>
      </c>
      <c r="I65" s="32" t="n">
        <v>0.05</v>
      </c>
      <c r="J65" s="23" t="inlineStr">
        <is>
          <t>مدير الاستثمار</t>
        </is>
      </c>
      <c r="K65" s="31" t="inlineStr">
        <is>
          <t>نظام إدارة العقود (CRM)</t>
        </is>
      </c>
      <c r="L65" s="23" t="inlineStr">
        <is>
          <t>شهري</t>
        </is>
      </c>
      <c r="M65" s="23" t="inlineStr">
        <is>
          <t>مدير الاستثمار</t>
        </is>
      </c>
      <c r="N65" s="33" t="n"/>
    </row>
    <row r="66" ht="30" customHeight="1">
      <c r="A66" s="23" t="n">
        <v>64</v>
      </c>
      <c r="B66" s="26" t="inlineStr">
        <is>
          <t>الاستثمار</t>
        </is>
      </c>
      <c r="C66" s="9" t="inlineStr">
        <is>
          <t>عقود الاستثمار العادي الجديدة</t>
        </is>
      </c>
      <c r="D66" s="30" t="inlineStr">
        <is>
          <t>يقيس عقود الاستثمار العادي الجديدة ضمن محور «نمو المحفظة»، ويعكس مساهمة الإدارة في ركيزة النمو.</t>
        </is>
      </c>
      <c r="E66" s="31" t="inlineStr">
        <is>
          <t>إجمالي العدد خلال الفترة</t>
        </is>
      </c>
      <c r="F66" s="23" t="inlineStr">
        <is>
          <t>🔧 تشغيلي</t>
        </is>
      </c>
      <c r="G66" s="31" t="inlineStr">
        <is>
          <t>النمو · التوسع في المواقع</t>
        </is>
      </c>
      <c r="H66" s="23" t="inlineStr">
        <is>
          <t>العمليات الداخلية</t>
        </is>
      </c>
      <c r="I66" s="32" t="n">
        <v>0.05</v>
      </c>
      <c r="J66" s="23" t="inlineStr">
        <is>
          <t>مدير الاستثمار</t>
        </is>
      </c>
      <c r="K66" s="31" t="inlineStr">
        <is>
          <t>نظام إدارة العقود (CRM)</t>
        </is>
      </c>
      <c r="L66" s="23" t="inlineStr">
        <is>
          <t>شهري</t>
        </is>
      </c>
      <c r="M66" s="23" t="inlineStr">
        <is>
          <t>مدير الاستثمار</t>
        </is>
      </c>
      <c r="N66" s="33" t="n"/>
    </row>
    <row r="67" ht="30" customHeight="1">
      <c r="A67" s="23" t="n">
        <v>65</v>
      </c>
      <c r="B67" s="26" t="inlineStr">
        <is>
          <t>الاستثمار</t>
        </is>
      </c>
      <c r="C67" s="9" t="inlineStr">
        <is>
          <t>عقود الاستحواذ الجديدة</t>
        </is>
      </c>
      <c r="D67" s="30" t="inlineStr">
        <is>
          <t>يقيس عقود الاستحواذ الجديدة ضمن محور «نمو المحفظة»، ويعكس مساهمة الإدارة في ركيزة النمو.</t>
        </is>
      </c>
      <c r="E67" s="31" t="inlineStr">
        <is>
          <t>إجمالي العدد خلال الفترة</t>
        </is>
      </c>
      <c r="F67" s="23" t="inlineStr">
        <is>
          <t>🔧 تشغيلي</t>
        </is>
      </c>
      <c r="G67" s="31" t="inlineStr">
        <is>
          <t>النمو · التوسع في المواقع</t>
        </is>
      </c>
      <c r="H67" s="23" t="inlineStr">
        <is>
          <t>العمليات الداخلية</t>
        </is>
      </c>
      <c r="I67" s="32" t="n">
        <v>0.05</v>
      </c>
      <c r="J67" s="23" t="inlineStr">
        <is>
          <t>مدير الاستثمار</t>
        </is>
      </c>
      <c r="K67" s="31" t="inlineStr">
        <is>
          <t>نظام إدارة العقود (CRM)</t>
        </is>
      </c>
      <c r="L67" s="23" t="inlineStr">
        <is>
          <t>شهري</t>
        </is>
      </c>
      <c r="M67" s="23" t="inlineStr">
        <is>
          <t>مدير الاستثمار</t>
        </is>
      </c>
      <c r="N67" s="33" t="n"/>
    </row>
    <row r="68" ht="30" customHeight="1">
      <c r="A68" s="23" t="n">
        <v>66</v>
      </c>
      <c r="B68" s="26" t="inlineStr">
        <is>
          <t>الاستثمار</t>
        </is>
      </c>
      <c r="C68" s="9" t="inlineStr">
        <is>
          <t>المحطات المستحوَذ عليها المشغّلة (تراكمي)</t>
        </is>
      </c>
      <c r="D68" s="30" t="inlineStr">
        <is>
          <t>يقيس المحطات المستحوَذ عليها المشغّلة (تراكمي) ضمن محور «نمو المحفظة»، ويعكس مساهمة الإدارة في ركيزة النمو.</t>
        </is>
      </c>
      <c r="E68" s="31" t="inlineStr">
        <is>
          <t>إجمالي العدد خلال الفترة</t>
        </is>
      </c>
      <c r="F68" s="23" t="inlineStr">
        <is>
          <t>🔧 تشغيلي</t>
        </is>
      </c>
      <c r="G68" s="31" t="inlineStr">
        <is>
          <t>النمو · التوسع في المواقع</t>
        </is>
      </c>
      <c r="H68" s="23" t="inlineStr">
        <is>
          <t>العمليات الداخلية</t>
        </is>
      </c>
      <c r="I68" s="32" t="n">
        <v>0.05</v>
      </c>
      <c r="J68" s="23" t="inlineStr">
        <is>
          <t>مدير الاستثمار</t>
        </is>
      </c>
      <c r="K68" s="31" t="inlineStr">
        <is>
          <t>نظام تشغيل المحطات</t>
        </is>
      </c>
      <c r="L68" s="23" t="inlineStr">
        <is>
          <t>شهري</t>
        </is>
      </c>
      <c r="M68" s="23" t="inlineStr">
        <is>
          <t>مدير الاستثمار</t>
        </is>
      </c>
      <c r="N68" s="33" t="n"/>
    </row>
    <row r="69" ht="30" customHeight="1">
      <c r="A69" s="23" t="n">
        <v>67</v>
      </c>
      <c r="B69" s="26" t="inlineStr">
        <is>
          <t>الاستثمار</t>
        </is>
      </c>
      <c r="C69" s="9" t="inlineStr">
        <is>
          <t>عقود تأجير الأرض الجديدة</t>
        </is>
      </c>
      <c r="D69" s="30" t="inlineStr">
        <is>
          <t>يقيس عقود تأجير الأرض الجديدة ضمن محور «نمو المحفظة»، ويعكس مساهمة الإدارة في ركيزة النمو.</t>
        </is>
      </c>
      <c r="E69" s="31" t="inlineStr">
        <is>
          <t>إجمالي العدد خلال الفترة</t>
        </is>
      </c>
      <c r="F69" s="23" t="inlineStr">
        <is>
          <t>🔧 تشغيلي</t>
        </is>
      </c>
      <c r="G69" s="31" t="inlineStr">
        <is>
          <t>النمو · التوسع في المواقع</t>
        </is>
      </c>
      <c r="H69" s="23" t="inlineStr">
        <is>
          <t>العمليات الداخلية</t>
        </is>
      </c>
      <c r="I69" s="32" t="n">
        <v>0.05</v>
      </c>
      <c r="J69" s="23" t="inlineStr">
        <is>
          <t>مدير الاستثمار</t>
        </is>
      </c>
      <c r="K69" s="31" t="inlineStr">
        <is>
          <t>نظام إدارة العقود (CRM)</t>
        </is>
      </c>
      <c r="L69" s="23" t="inlineStr">
        <is>
          <t>شهري</t>
        </is>
      </c>
      <c r="M69" s="23" t="inlineStr">
        <is>
          <t>مدير الاستثمار</t>
        </is>
      </c>
      <c r="N69" s="33" t="n"/>
    </row>
    <row r="70" ht="30" customHeight="1">
      <c r="A70" s="23" t="n">
        <v>68</v>
      </c>
      <c r="B70" s="26" t="inlineStr">
        <is>
          <t>الاستثمار</t>
        </is>
      </c>
      <c r="C70" s="9" t="inlineStr">
        <is>
          <t>عقود إيجار المحطة الجديدة</t>
        </is>
      </c>
      <c r="D70" s="30" t="inlineStr">
        <is>
          <t>يقيس عقود إيجار المحطة الجديدة ضمن محور «نمو المحفظة»، ويعكس مساهمة الإدارة في ركيزة النمو.</t>
        </is>
      </c>
      <c r="E70" s="31" t="inlineStr">
        <is>
          <t>إجمالي العدد خلال الفترة</t>
        </is>
      </c>
      <c r="F70" s="23" t="inlineStr">
        <is>
          <t>🔧 تشغيلي</t>
        </is>
      </c>
      <c r="G70" s="31" t="inlineStr">
        <is>
          <t>النمو · التوسع في المواقع</t>
        </is>
      </c>
      <c r="H70" s="23" t="inlineStr">
        <is>
          <t>العمليات الداخلية</t>
        </is>
      </c>
      <c r="I70" s="32" t="n">
        <v>0.05</v>
      </c>
      <c r="J70" s="23" t="inlineStr">
        <is>
          <t>مدير الاستثمار</t>
        </is>
      </c>
      <c r="K70" s="31" t="inlineStr">
        <is>
          <t>نظام إدارة العقود (CRM)</t>
        </is>
      </c>
      <c r="L70" s="23" t="inlineStr">
        <is>
          <t>شهري</t>
        </is>
      </c>
      <c r="M70" s="23" t="inlineStr">
        <is>
          <t>مدير الاستثمار</t>
        </is>
      </c>
      <c r="N70" s="33" t="n"/>
    </row>
    <row r="71" ht="30" customHeight="1">
      <c r="A71" s="23" t="n">
        <v>69</v>
      </c>
      <c r="B71" s="26" t="inlineStr">
        <is>
          <t>الاستثمار</t>
        </is>
      </c>
      <c r="C71" s="9" t="inlineStr">
        <is>
          <t>عقود تشغيل المحطة الجديدة</t>
        </is>
      </c>
      <c r="D71" s="30" t="inlineStr">
        <is>
          <t>يقيس عقود تشغيل المحطة الجديدة ضمن محور «نمو المحفظة»، ويعكس مساهمة الإدارة في ركيزة النمو.</t>
        </is>
      </c>
      <c r="E71" s="31" t="inlineStr">
        <is>
          <t>إجمالي العدد خلال الفترة</t>
        </is>
      </c>
      <c r="F71" s="23" t="inlineStr">
        <is>
          <t>🔧 تشغيلي</t>
        </is>
      </c>
      <c r="G71" s="31" t="inlineStr">
        <is>
          <t>النمو · التوسع في المواقع</t>
        </is>
      </c>
      <c r="H71" s="23" t="inlineStr">
        <is>
          <t>العمليات الداخلية</t>
        </is>
      </c>
      <c r="I71" s="32" t="n">
        <v>0.05</v>
      </c>
      <c r="J71" s="23" t="inlineStr">
        <is>
          <t>مدير الاستثمار</t>
        </is>
      </c>
      <c r="K71" s="31" t="inlineStr">
        <is>
          <t>نظام إدارة العقود (CRM)</t>
        </is>
      </c>
      <c r="L71" s="23" t="inlineStr">
        <is>
          <t>شهري</t>
        </is>
      </c>
      <c r="M71" s="23" t="inlineStr">
        <is>
          <t>مدير الاستثمار</t>
        </is>
      </c>
      <c r="N71" s="33" t="n"/>
    </row>
    <row r="72" ht="30" customHeight="1">
      <c r="A72" s="23" t="n">
        <v>70</v>
      </c>
      <c r="B72" s="26" t="inlineStr">
        <is>
          <t>الاستثمار</t>
        </is>
      </c>
      <c r="C72" s="9" t="inlineStr">
        <is>
          <t>نسبة المواقع المعتمدة ذات العائد المجدي</t>
        </is>
      </c>
      <c r="D72" s="30" t="inlineStr">
        <is>
          <t>يقيس نسبة المواقع المعتمدة ذات العائد المجدي ضمن محور «الربحية وجودة الموقع»، ويعكس مساهمة الإدارة في ركيزة الاستدامة.</t>
        </is>
      </c>
      <c r="E72" s="31" t="inlineStr">
        <is>
          <t>(المتحقّق ÷ الإجمالي) × 100٪</t>
        </is>
      </c>
      <c r="F72" s="23" t="inlineStr">
        <is>
          <t>🎯 نتيجة</t>
        </is>
      </c>
      <c r="G72" s="31" t="inlineStr">
        <is>
          <t>الاستدامة · جودة التشغيل</t>
        </is>
      </c>
      <c r="H72" s="23" t="inlineStr">
        <is>
          <t>مالي</t>
        </is>
      </c>
      <c r="I72" s="32" t="n">
        <v>0.05</v>
      </c>
      <c r="J72" s="23" t="inlineStr">
        <is>
          <t>مدير الاستثمار</t>
        </is>
      </c>
      <c r="K72" s="31" t="inlineStr">
        <is>
          <t>نظام المحاسبة / ERP (D365)</t>
        </is>
      </c>
      <c r="L72" s="23" t="inlineStr">
        <is>
          <t>شهري</t>
        </is>
      </c>
      <c r="M72" s="23" t="inlineStr">
        <is>
          <t>الإدارة المالية</t>
        </is>
      </c>
      <c r="N72" s="33" t="n"/>
    </row>
    <row r="73" ht="30" customHeight="1">
      <c r="A73" s="23" t="n">
        <v>71</v>
      </c>
      <c r="B73" s="26" t="inlineStr">
        <is>
          <t>الاستثمار</t>
        </is>
      </c>
      <c r="C73" s="9" t="inlineStr">
        <is>
          <t>متوسط فترة استرداد رأس المال</t>
        </is>
      </c>
      <c r="D73" s="30" t="inlineStr">
        <is>
          <t>يقيس متوسط فترة استرداد رأس المال ضمن محور «الربحية وجودة الموقع»، ويعكس مساهمة الإدارة في ركيزة الاستدامة.</t>
        </is>
      </c>
      <c r="E73" s="31" t="inlineStr">
        <is>
          <t>متوسط سنة خلال الفترة</t>
        </is>
      </c>
      <c r="F73" s="23" t="inlineStr">
        <is>
          <t>🔧 تشغيلي</t>
        </is>
      </c>
      <c r="G73" s="31" t="inlineStr">
        <is>
          <t>الاستدامة · جودة التشغيل</t>
        </is>
      </c>
      <c r="H73" s="23" t="inlineStr">
        <is>
          <t>مالي</t>
        </is>
      </c>
      <c r="I73" s="32" t="n">
        <v>0.03</v>
      </c>
      <c r="J73" s="23" t="inlineStr">
        <is>
          <t>مدير الاستثمار</t>
        </is>
      </c>
      <c r="K73" s="31" t="inlineStr">
        <is>
          <t>نظام المحاسبة / ERP (D365)</t>
        </is>
      </c>
      <c r="L73" s="23" t="inlineStr">
        <is>
          <t>شهري</t>
        </is>
      </c>
      <c r="M73" s="23" t="inlineStr">
        <is>
          <t>الإدارة المالية</t>
        </is>
      </c>
      <c r="N73" s="33" t="n"/>
    </row>
    <row r="74" ht="30" customHeight="1">
      <c r="A74" s="23" t="n">
        <v>72</v>
      </c>
      <c r="B74" s="26" t="inlineStr">
        <is>
          <t>الاستثمار</t>
        </is>
      </c>
      <c r="C74" s="9" t="inlineStr">
        <is>
          <t>متوسط قيمة عقد الإيجار السنوي (أرض)</t>
        </is>
      </c>
      <c r="D74" s="30" t="inlineStr">
        <is>
          <t>يقيس متوسط قيمة عقد الإيجار السنوي (أرض) ضمن محور «الربحية وجودة الموقع»، ويعكس مساهمة الإدارة في ركيزة النمو.</t>
        </is>
      </c>
      <c r="E74" s="31" t="inlineStr">
        <is>
          <t>إجمالي القيمة (ر.س) خلال الفترة</t>
        </is>
      </c>
      <c r="F74" s="23" t="inlineStr">
        <is>
          <t>🎯 نتيجة</t>
        </is>
      </c>
      <c r="G74" s="31" t="inlineStr">
        <is>
          <t>النمو · التوسع في المواقع</t>
        </is>
      </c>
      <c r="H74" s="23" t="inlineStr">
        <is>
          <t>مالي</t>
        </is>
      </c>
      <c r="I74" s="32" t="n">
        <v>0.05</v>
      </c>
      <c r="J74" s="23" t="inlineStr">
        <is>
          <t>مدير الاستثمار</t>
        </is>
      </c>
      <c r="K74" s="31" t="inlineStr">
        <is>
          <t>نظام المحاسبة / ERP (D365)</t>
        </is>
      </c>
      <c r="L74" s="23" t="inlineStr">
        <is>
          <t>شهري</t>
        </is>
      </c>
      <c r="M74" s="23" t="inlineStr">
        <is>
          <t>الإدارة المالية</t>
        </is>
      </c>
      <c r="N74" s="33" t="n"/>
    </row>
    <row r="75" ht="30" customHeight="1">
      <c r="A75" s="23" t="n">
        <v>73</v>
      </c>
      <c r="B75" s="26" t="inlineStr">
        <is>
          <t>الاستثمار</t>
        </is>
      </c>
      <c r="C75" s="9" t="inlineStr">
        <is>
          <t>نسبة العقود التي تغطي المناطق الـ13</t>
        </is>
      </c>
      <c r="D75" s="30" t="inlineStr">
        <is>
          <t>يقيس نسبة العقود التي تغطي المناطق الـ13 ضمن محور «التوسع الإقليمي»، ويعكس مساهمة الإدارة في ركيزة النمو.</t>
        </is>
      </c>
      <c r="E75" s="31" t="inlineStr">
        <is>
          <t>(المتحقّق ÷ الإجمالي) × 100٪</t>
        </is>
      </c>
      <c r="F75" s="23" t="inlineStr">
        <is>
          <t>🔧 تشغيلي</t>
        </is>
      </c>
      <c r="G75" s="31" t="inlineStr">
        <is>
          <t>النمو · التوسع في المواقع</t>
        </is>
      </c>
      <c r="H75" s="23" t="inlineStr">
        <is>
          <t>العمليات الداخلية</t>
        </is>
      </c>
      <c r="I75" s="32" t="n">
        <v>0.05</v>
      </c>
      <c r="J75" s="23" t="inlineStr">
        <is>
          <t>مدير الاستثمار</t>
        </is>
      </c>
      <c r="K75" s="31" t="inlineStr">
        <is>
          <t>نظام إدارة العقود (CRM)</t>
        </is>
      </c>
      <c r="L75" s="23" t="inlineStr">
        <is>
          <t>شهري</t>
        </is>
      </c>
      <c r="M75" s="23" t="inlineStr">
        <is>
          <t>مدير الاستثمار</t>
        </is>
      </c>
      <c r="N75" s="33" t="n"/>
    </row>
    <row r="76" ht="30" customHeight="1">
      <c r="A76" s="23" t="n">
        <v>74</v>
      </c>
      <c r="B76" s="26" t="inlineStr">
        <is>
          <t>الاستثمار</t>
        </is>
      </c>
      <c r="C76" s="9" t="inlineStr">
        <is>
          <t>نسبة العقود خارج المدن الرئيسية</t>
        </is>
      </c>
      <c r="D76" s="30" t="inlineStr">
        <is>
          <t>يقيس نسبة العقود خارج المدن الرئيسية ضمن محور «التوسع الإقليمي»، ويعكس مساهمة الإدارة في ركيزة النمو.</t>
        </is>
      </c>
      <c r="E76" s="31" t="inlineStr">
        <is>
          <t>(المتحقّق ÷ الإجمالي) × 100٪</t>
        </is>
      </c>
      <c r="F76" s="23" t="inlineStr">
        <is>
          <t>🔧 تشغيلي</t>
        </is>
      </c>
      <c r="G76" s="31" t="inlineStr">
        <is>
          <t>النمو · التوسع في المواقع</t>
        </is>
      </c>
      <c r="H76" s="23" t="inlineStr">
        <is>
          <t>العمليات الداخلية</t>
        </is>
      </c>
      <c r="I76" s="32" t="n">
        <v>0.05</v>
      </c>
      <c r="J76" s="23" t="inlineStr">
        <is>
          <t>مدير الاستثمار</t>
        </is>
      </c>
      <c r="K76" s="31" t="inlineStr">
        <is>
          <t>نظام إدارة العقود (CRM)</t>
        </is>
      </c>
      <c r="L76" s="23" t="inlineStr">
        <is>
          <t>شهري</t>
        </is>
      </c>
      <c r="M76" s="23" t="inlineStr">
        <is>
          <t>مدير الاستثمار</t>
        </is>
      </c>
      <c r="N76" s="33" t="n"/>
    </row>
    <row r="77" ht="30" customHeight="1">
      <c r="A77" s="23" t="n">
        <v>75</v>
      </c>
      <c r="B77" s="26" t="inlineStr">
        <is>
          <t>الاستثمار</t>
        </is>
      </c>
      <c r="C77" s="9" t="inlineStr">
        <is>
          <t>نسبة العقود في الـ12 مدينة الرئيسية</t>
        </is>
      </c>
      <c r="D77" s="30" t="inlineStr">
        <is>
          <t>يقيس نسبة العقود في الـ12 مدينة الرئيسية ضمن محور «التوسع الإقليمي»، ويعكس مساهمة الإدارة في ركيزة النمو.</t>
        </is>
      </c>
      <c r="E77" s="31" t="inlineStr">
        <is>
          <t>(المتحقّق ÷ الإجمالي) × 100٪</t>
        </is>
      </c>
      <c r="F77" s="23" t="inlineStr">
        <is>
          <t>🔧 تشغيلي</t>
        </is>
      </c>
      <c r="G77" s="31" t="inlineStr">
        <is>
          <t>النمو · التوسع في المواقع</t>
        </is>
      </c>
      <c r="H77" s="23" t="inlineStr">
        <is>
          <t>العمليات الداخلية</t>
        </is>
      </c>
      <c r="I77" s="32" t="n">
        <v>0.05</v>
      </c>
      <c r="J77" s="23" t="inlineStr">
        <is>
          <t>مدير الاستثمار</t>
        </is>
      </c>
      <c r="K77" s="31" t="inlineStr">
        <is>
          <t>نظام المحاسبة / ERP (D365)</t>
        </is>
      </c>
      <c r="L77" s="23" t="inlineStr">
        <is>
          <t>شهري</t>
        </is>
      </c>
      <c r="M77" s="23" t="inlineStr">
        <is>
          <t>الإدارة المالية</t>
        </is>
      </c>
      <c r="N77" s="33" t="n"/>
    </row>
    <row r="78" ht="30" customHeight="1">
      <c r="A78" s="23" t="n">
        <v>76</v>
      </c>
      <c r="B78" s="26" t="inlineStr">
        <is>
          <t>الاستثمار</t>
        </is>
      </c>
      <c r="C78" s="9" t="inlineStr">
        <is>
          <t>نسبة العقود على الطرق الإقليمية</t>
        </is>
      </c>
      <c r="D78" s="30" t="inlineStr">
        <is>
          <t>يقيس نسبة العقود على الطرق الإقليمية ضمن محور «التوسع الإقليمي»، ويعكس مساهمة الإدارة في ركيزة النمو.</t>
        </is>
      </c>
      <c r="E78" s="31" t="inlineStr">
        <is>
          <t>(المتحقّق ÷ الإجمالي) × 100٪</t>
        </is>
      </c>
      <c r="F78" s="23" t="inlineStr">
        <is>
          <t>🔧 تشغيلي</t>
        </is>
      </c>
      <c r="G78" s="31" t="inlineStr">
        <is>
          <t>النمو · التوسع في المواقع</t>
        </is>
      </c>
      <c r="H78" s="23" t="inlineStr">
        <is>
          <t>العمليات الداخلية</t>
        </is>
      </c>
      <c r="I78" s="32" t="n">
        <v>0.05</v>
      </c>
      <c r="J78" s="23" t="inlineStr">
        <is>
          <t>مدير الاستثمار</t>
        </is>
      </c>
      <c r="K78" s="31" t="inlineStr">
        <is>
          <t>نظام إدارة العقود (CRM)</t>
        </is>
      </c>
      <c r="L78" s="23" t="inlineStr">
        <is>
          <t>شهري</t>
        </is>
      </c>
      <c r="M78" s="23" t="inlineStr">
        <is>
          <t>مدير الاستثمار</t>
        </is>
      </c>
      <c r="N78" s="33" t="n"/>
    </row>
    <row r="79" ht="30" customHeight="1">
      <c r="A79" s="23" t="n">
        <v>77</v>
      </c>
      <c r="B79" s="26" t="inlineStr">
        <is>
          <t>الاستثمار</t>
        </is>
      </c>
      <c r="C79" s="9" t="inlineStr">
        <is>
          <t>متوسط مدة إغلاق عقد الاستثمار</t>
        </is>
      </c>
      <c r="D79" s="30" t="inlineStr">
        <is>
          <t>يقيس متوسط مدة إغلاق عقد الاستثمار ضمن محور «كفاءة الدورة»، ويعكس مساهمة الإدارة في ركيزة النمو.</t>
        </is>
      </c>
      <c r="E79" s="31" t="inlineStr">
        <is>
          <t>متوسط أسبوع خلال الفترة</t>
        </is>
      </c>
      <c r="F79" s="23" t="inlineStr">
        <is>
          <t>🔧 تشغيلي</t>
        </is>
      </c>
      <c r="G79" s="31" t="inlineStr">
        <is>
          <t>النمو · التوسع في المواقع</t>
        </is>
      </c>
      <c r="H79" s="23" t="inlineStr">
        <is>
          <t>العمليات الداخلية</t>
        </is>
      </c>
      <c r="I79" s="32" t="n">
        <v>0.05</v>
      </c>
      <c r="J79" s="23" t="inlineStr">
        <is>
          <t>مدير الاستثمار</t>
        </is>
      </c>
      <c r="K79" s="31" t="inlineStr">
        <is>
          <t>نظام إدارة العقود (CRM)</t>
        </is>
      </c>
      <c r="L79" s="23" t="inlineStr">
        <is>
          <t>شهري</t>
        </is>
      </c>
      <c r="M79" s="23" t="inlineStr">
        <is>
          <t>مدير الاستثمار</t>
        </is>
      </c>
      <c r="N79" s="33" t="n"/>
    </row>
    <row r="80" ht="30" customHeight="1">
      <c r="A80" s="23" t="n">
        <v>78</v>
      </c>
      <c r="B80" s="26" t="inlineStr">
        <is>
          <t>الاستثمار</t>
        </is>
      </c>
      <c r="C80" s="9" t="inlineStr">
        <is>
          <t>نسبة العقود المتحوّلة لمحطات مشغّلة</t>
        </is>
      </c>
      <c r="D80" s="30" t="inlineStr">
        <is>
          <t>يقيس نسبة العقود المتحوّلة لمحطات مشغّلة ضمن محور «كفاءة الدورة»، ويعكس مساهمة الإدارة في ركيزة النمو.</t>
        </is>
      </c>
      <c r="E80" s="31" t="inlineStr">
        <is>
          <t>(المتحقّق ÷ الإجمالي) × 100٪</t>
        </is>
      </c>
      <c r="F80" s="23" t="inlineStr">
        <is>
          <t>🔧 تشغيلي</t>
        </is>
      </c>
      <c r="G80" s="31" t="inlineStr">
        <is>
          <t>النمو · التوسع في المواقع</t>
        </is>
      </c>
      <c r="H80" s="23" t="inlineStr">
        <is>
          <t>العمليات الداخلية</t>
        </is>
      </c>
      <c r="I80" s="32" t="n">
        <v>0.05</v>
      </c>
      <c r="J80" s="23" t="inlineStr">
        <is>
          <t>مدير الاستثمار</t>
        </is>
      </c>
      <c r="K80" s="31" t="inlineStr">
        <is>
          <t>نظام إدارة العقود (CRM)</t>
        </is>
      </c>
      <c r="L80" s="23" t="inlineStr">
        <is>
          <t>شهري</t>
        </is>
      </c>
      <c r="M80" s="23" t="inlineStr">
        <is>
          <t>مدير الاستثمار</t>
        </is>
      </c>
      <c r="N80" s="33" t="n"/>
    </row>
    <row r="81" ht="30" customHeight="1">
      <c r="A81" s="23" t="n">
        <v>79</v>
      </c>
      <c r="B81" s="26" t="inlineStr">
        <is>
          <t>الاستثمار</t>
        </is>
      </c>
      <c r="C81" s="9" t="inlineStr">
        <is>
          <t>نسبة تخفيض إيجار المواقع عالية التكاليف</t>
        </is>
      </c>
      <c r="D81" s="30" t="inlineStr">
        <is>
          <t>يقيس نسبة تخفيض إيجار المواقع عالية التكاليف ضمن محور «كفاءة الدورة»، ويعكس مساهمة الإدارة في ركيزة الاستدامة.</t>
        </is>
      </c>
      <c r="E81" s="31" t="inlineStr">
        <is>
          <t>(المتحقّق ÷ الإجمالي) × 100٪</t>
        </is>
      </c>
      <c r="F81" s="23" t="inlineStr">
        <is>
          <t>🔧 تشغيلي</t>
        </is>
      </c>
      <c r="G81" s="31" t="inlineStr">
        <is>
          <t>الاستدامة · جودة التشغيل</t>
        </is>
      </c>
      <c r="H81" s="23" t="inlineStr">
        <is>
          <t>العمليات الداخلية</t>
        </is>
      </c>
      <c r="I81" s="32" t="n">
        <v>0.03</v>
      </c>
      <c r="J81" s="23" t="inlineStr">
        <is>
          <t>مدير الاستثمار</t>
        </is>
      </c>
      <c r="K81" s="31" t="inlineStr">
        <is>
          <t>نظام إدارة العقود (CRM)</t>
        </is>
      </c>
      <c r="L81" s="23" t="inlineStr">
        <is>
          <t>شهري</t>
        </is>
      </c>
      <c r="M81" s="23" t="inlineStr">
        <is>
          <t>مدير الاستثمار</t>
        </is>
      </c>
      <c r="N81" s="33" t="n"/>
    </row>
    <row r="82" ht="30" customHeight="1">
      <c r="A82" s="23" t="n">
        <v>80</v>
      </c>
      <c r="B82" s="26" t="inlineStr">
        <is>
          <t>الاستثمار</t>
        </is>
      </c>
      <c r="C82" s="9" t="inlineStr">
        <is>
          <t>نسبة اكتمال المستندات النظامية قبل التوقيع</t>
        </is>
      </c>
      <c r="D82" s="30" t="inlineStr">
        <is>
          <t>يقيس نسبة اكتمال المستندات النظامية قبل التوقيع ضمن محور «الامتثال»، ويعكس مساهمة الإدارة في ركيزة الاستدامة.</t>
        </is>
      </c>
      <c r="E82" s="31" t="inlineStr">
        <is>
          <t>(المتحقّق ÷ الإجمالي) × 100٪</t>
        </is>
      </c>
      <c r="F82" s="23" t="inlineStr">
        <is>
          <t>⚙️ نشاط</t>
        </is>
      </c>
      <c r="G82" s="31" t="inlineStr">
        <is>
          <t>الاستدامة · جودة التشغيل</t>
        </is>
      </c>
      <c r="H82" s="23" t="inlineStr">
        <is>
          <t>العمليات الداخلية</t>
        </is>
      </c>
      <c r="I82" s="32" t="n">
        <v>0.01</v>
      </c>
      <c r="J82" s="23" t="inlineStr">
        <is>
          <t>مدير الاستثمار</t>
        </is>
      </c>
      <c r="K82" s="31" t="inlineStr">
        <is>
          <t>نظام إدارة الجودة (QMS)</t>
        </is>
      </c>
      <c r="L82" s="23" t="inlineStr">
        <is>
          <t>شهري</t>
        </is>
      </c>
      <c r="M82" s="23" t="inlineStr">
        <is>
          <t>مدير الاستثمار</t>
        </is>
      </c>
      <c r="N82" s="33" t="n"/>
    </row>
    <row r="83" ht="30" customHeight="1">
      <c r="A83" s="23" t="n">
        <v>81</v>
      </c>
      <c r="B83" s="26" t="inlineStr">
        <is>
          <t>الاستثمار</t>
        </is>
      </c>
      <c r="C83" s="9" t="inlineStr">
        <is>
          <t>نسبة العقود المؤرشفة إلكترونياً خلال 48 ساعة</t>
        </is>
      </c>
      <c r="D83" s="30" t="inlineStr">
        <is>
          <t>يقيس نسبة العقود المؤرشفة إلكترونياً خلال 48 ساعة ضمن محور «الامتثال»، ويعكس مساهمة الإدارة في ركيزة الاستدامة.</t>
        </is>
      </c>
      <c r="E83" s="31" t="inlineStr">
        <is>
          <t>(المتحقّق ÷ الإجمالي) × 100٪</t>
        </is>
      </c>
      <c r="F83" s="23" t="inlineStr">
        <is>
          <t>🔧 تشغيلي</t>
        </is>
      </c>
      <c r="G83" s="31" t="inlineStr">
        <is>
          <t>الاستدامة · جودة التشغيل</t>
        </is>
      </c>
      <c r="H83" s="23" t="inlineStr">
        <is>
          <t>العمليات الداخلية</t>
        </is>
      </c>
      <c r="I83" s="32" t="n">
        <v>0.05</v>
      </c>
      <c r="J83" s="23" t="inlineStr">
        <is>
          <t>مدير الاستثمار</t>
        </is>
      </c>
      <c r="K83" s="31" t="inlineStr">
        <is>
          <t>نظام إدارة الجودة (QMS)</t>
        </is>
      </c>
      <c r="L83" s="23" t="inlineStr">
        <is>
          <t>شهري</t>
        </is>
      </c>
      <c r="M83" s="23" t="inlineStr">
        <is>
          <t>مدير الاستثمار</t>
        </is>
      </c>
      <c r="N83" s="33" t="n"/>
    </row>
    <row r="84" ht="30" customHeight="1">
      <c r="A84" s="23" t="n">
        <v>82</v>
      </c>
      <c r="B84" s="26" t="inlineStr">
        <is>
          <t>الاستثمار</t>
        </is>
      </c>
      <c r="C84" s="9" t="inlineStr">
        <is>
          <t>جودة التفاوض مع المستثمرين</t>
        </is>
      </c>
      <c r="D84" s="30" t="inlineStr">
        <is>
          <t>يقيس جودة التفاوض مع المستثمرين ضمن محور «جودة التعاقد»، ويعكس مساهمة الإدارة في ركيزة النمو.</t>
        </is>
      </c>
      <c r="E84" s="31" t="inlineStr">
        <is>
          <t>(المتحقّق ÷ الإجمالي) × 100٪</t>
        </is>
      </c>
      <c r="F84" s="23" t="inlineStr">
        <is>
          <t>🔧 تشغيلي</t>
        </is>
      </c>
      <c r="G84" s="31" t="inlineStr">
        <is>
          <t>النمو · التوسع في المواقع</t>
        </is>
      </c>
      <c r="H84" s="23" t="inlineStr">
        <is>
          <t>العمليات الداخلية</t>
        </is>
      </c>
      <c r="I84" s="32" t="n">
        <v>0.03</v>
      </c>
      <c r="J84" s="23" t="inlineStr">
        <is>
          <t>مدير الاستثمار</t>
        </is>
      </c>
      <c r="K84" s="31" t="inlineStr">
        <is>
          <t>نظام إدارة الجودة (QMS)</t>
        </is>
      </c>
      <c r="L84" s="23" t="inlineStr">
        <is>
          <t>شهري</t>
        </is>
      </c>
      <c r="M84" s="23" t="inlineStr">
        <is>
          <t>مدير الاستثمار</t>
        </is>
      </c>
      <c r="N84" s="33" t="n"/>
    </row>
    <row r="85" ht="30" customHeight="1">
      <c r="A85" s="23" t="n">
        <v>83</v>
      </c>
      <c r="B85" s="26" t="inlineStr">
        <is>
          <t>الاستثمار</t>
        </is>
      </c>
      <c r="C85" s="9" t="inlineStr">
        <is>
          <t>سرعة إنجاز إجراءات التعاقد</t>
        </is>
      </c>
      <c r="D85" s="30" t="inlineStr">
        <is>
          <t>يقيس سرعة إنجاز إجراءات التعاقد ضمن محور «جودة التعاقد»، ويعكس مساهمة الإدارة في ركيزة النمو.</t>
        </is>
      </c>
      <c r="E85" s="31" t="inlineStr">
        <is>
          <t>متوسط أسبوع خلال الفترة</t>
        </is>
      </c>
      <c r="F85" s="23" t="inlineStr">
        <is>
          <t>🔧 تشغيلي</t>
        </is>
      </c>
      <c r="G85" s="31" t="inlineStr">
        <is>
          <t>النمو · التوسع في المواقع</t>
        </is>
      </c>
      <c r="H85" s="23" t="inlineStr">
        <is>
          <t>العمليات الداخلية</t>
        </is>
      </c>
      <c r="I85" s="32" t="n">
        <v>0.03</v>
      </c>
      <c r="J85" s="23" t="inlineStr">
        <is>
          <t>مدير الاستثمار</t>
        </is>
      </c>
      <c r="K85" s="31" t="inlineStr">
        <is>
          <t>نظام إدارة الجودة (QMS)</t>
        </is>
      </c>
      <c r="L85" s="23" t="inlineStr">
        <is>
          <t>شهري</t>
        </is>
      </c>
      <c r="M85" s="23" t="inlineStr">
        <is>
          <t>مدير الاستثمار</t>
        </is>
      </c>
      <c r="N85" s="33" t="n"/>
    </row>
    <row r="86" ht="30" customHeight="1">
      <c r="A86" s="23" t="n">
        <v>84</v>
      </c>
      <c r="B86" s="26" t="inlineStr">
        <is>
          <t>الاستثمار</t>
        </is>
      </c>
      <c r="C86" s="9" t="inlineStr">
        <is>
          <t>مدى رضا المستثمرين وشركاء الاستثمار</t>
        </is>
      </c>
      <c r="D86" s="30" t="inlineStr">
        <is>
          <t>يقيس مدى رضا المستثمرين وشركاء الاستثمار ضمن محور «جودة التعاقد»، ويعكس مساهمة الإدارة في ركيزة الاستدامة.</t>
        </is>
      </c>
      <c r="E86" s="31" t="inlineStr">
        <is>
          <t>(المتحقّق ÷ الإجمالي) × 100٪</t>
        </is>
      </c>
      <c r="F86" s="23" t="inlineStr">
        <is>
          <t>🎯 نتيجة</t>
        </is>
      </c>
      <c r="G86" s="31" t="inlineStr">
        <is>
          <t>الاستدامة · تعزيز تجربة العملاء</t>
        </is>
      </c>
      <c r="H86" s="23" t="inlineStr">
        <is>
          <t>العملاء</t>
        </is>
      </c>
      <c r="I86" s="32" t="n">
        <v>0.05</v>
      </c>
      <c r="J86" s="23" t="inlineStr">
        <is>
          <t>مدير الاستثمار</t>
        </is>
      </c>
      <c r="K86" s="31" t="inlineStr">
        <is>
          <t>استبيان دوري</t>
        </is>
      </c>
      <c r="L86" s="23" t="inlineStr">
        <is>
          <t>ربعي</t>
        </is>
      </c>
      <c r="M86" s="23" t="inlineStr">
        <is>
          <t>مدير الاستثمار</t>
        </is>
      </c>
      <c r="N86" s="33" t="n"/>
    </row>
    <row r="87" ht="30" customHeight="1">
      <c r="A87" s="23" t="n">
        <v>85</v>
      </c>
      <c r="B87" s="26" t="inlineStr">
        <is>
          <t>الاستثمار</t>
        </is>
      </c>
      <c r="C87" s="9" t="inlineStr">
        <is>
          <t>نسبة اكتمال أرشفة ملفات العملاء</t>
        </is>
      </c>
      <c r="D87" s="30" t="inlineStr">
        <is>
          <t>يقيس نسبة اكتمال أرشفة ملفات العملاء ضمن محور «جودة التعاقد»، ويعكس مساهمة الإدارة في ركيزة الاستدامة.</t>
        </is>
      </c>
      <c r="E87" s="31" t="inlineStr">
        <is>
          <t>(المتحقّق ÷ الإجمالي) × 100٪</t>
        </is>
      </c>
      <c r="F87" s="23" t="inlineStr">
        <is>
          <t>⚙️ نشاط</t>
        </is>
      </c>
      <c r="G87" s="31" t="inlineStr">
        <is>
          <t>الاستدامة · جودة التشغيل</t>
        </is>
      </c>
      <c r="H87" s="23" t="inlineStr">
        <is>
          <t>العملاء</t>
        </is>
      </c>
      <c r="I87" s="32" t="n">
        <v>0.01</v>
      </c>
      <c r="J87" s="23" t="inlineStr">
        <is>
          <t>مدير الاستثمار</t>
        </is>
      </c>
      <c r="K87" s="31" t="inlineStr">
        <is>
          <t>نظام إدارة الجودة (QMS)</t>
        </is>
      </c>
      <c r="L87" s="23" t="inlineStr">
        <is>
          <t>شهري</t>
        </is>
      </c>
      <c r="M87" s="23" t="inlineStr">
        <is>
          <t>مدير الاستثمار</t>
        </is>
      </c>
      <c r="N87" s="33" t="n"/>
    </row>
    <row r="88" ht="30" customHeight="1">
      <c r="A88" s="23" t="n">
        <v>86</v>
      </c>
      <c r="B88" s="26" t="inlineStr">
        <is>
          <t>الاستثمار</t>
        </is>
      </c>
      <c r="C88" s="9" t="inlineStr">
        <is>
          <t>نسبة إنجاز التقارير الدورية في موعدها</t>
        </is>
      </c>
      <c r="D88" s="30" t="inlineStr">
        <is>
          <t>يقيس نسبة إنجاز التقارير الدورية في موعدها ضمن محور «جودة التعاقد»، ويعكس مساهمة الإدارة في ركيزة الاستدامة.</t>
        </is>
      </c>
      <c r="E88" s="31" t="inlineStr">
        <is>
          <t>(المتحقّق ÷ الإجمالي) × 100٪</t>
        </is>
      </c>
      <c r="F88" s="23" t="inlineStr">
        <is>
          <t>⚙️ نشاط</t>
        </is>
      </c>
      <c r="G88" s="31" t="inlineStr">
        <is>
          <t>الاستدامة · جودة التشغيل</t>
        </is>
      </c>
      <c r="H88" s="23" t="inlineStr">
        <is>
          <t>العمليات الداخلية</t>
        </is>
      </c>
      <c r="I88" s="32" t="n">
        <v>0.01</v>
      </c>
      <c r="J88" s="23" t="inlineStr">
        <is>
          <t>مدير الاستثمار</t>
        </is>
      </c>
      <c r="K88" s="31" t="inlineStr">
        <is>
          <t>نظام إدارة الجودة (QMS)</t>
        </is>
      </c>
      <c r="L88" s="23" t="inlineStr">
        <is>
          <t>شهري</t>
        </is>
      </c>
      <c r="M88" s="23" t="inlineStr">
        <is>
          <t>مدير الاستثمار</t>
        </is>
      </c>
      <c r="N88" s="33" t="n"/>
    </row>
    <row r="89" ht="30" customHeight="1">
      <c r="A89" s="23" t="n">
        <v>87</v>
      </c>
      <c r="B89" s="26" t="inlineStr">
        <is>
          <t>العقار</t>
        </is>
      </c>
      <c r="C89" s="9" t="inlineStr">
        <is>
          <t>نمو الإيرادات الإيجارية</t>
        </is>
      </c>
      <c r="D89" s="30" t="inlineStr">
        <is>
          <t>يقيس نمو الإيرادات الإيجارية ضمن محور «الإدارة»، ويعكس مساهمة الإدارة في ركيزة الاستدامة.</t>
        </is>
      </c>
      <c r="E89" s="31" t="inlineStr">
        <is>
          <t>(المتحقّق ÷ الإجمالي) × 100٪</t>
        </is>
      </c>
      <c r="F89" s="23" t="inlineStr">
        <is>
          <t>🎯 نتيجة</t>
        </is>
      </c>
      <c r="G89" s="31" t="inlineStr">
        <is>
          <t>الاستدامة · منظومة التأجير</t>
        </is>
      </c>
      <c r="H89" s="23" t="inlineStr">
        <is>
          <t>مالي</t>
        </is>
      </c>
      <c r="I89" s="32" t="n">
        <v>0.08</v>
      </c>
      <c r="J89" s="23" t="inlineStr">
        <is>
          <t>مدير العقار</t>
        </is>
      </c>
      <c r="K89" s="31" t="inlineStr">
        <is>
          <t>نظام المحاسبة / ERP (D365)</t>
        </is>
      </c>
      <c r="L89" s="23" t="inlineStr">
        <is>
          <t>ربعي</t>
        </is>
      </c>
      <c r="M89" s="23" t="inlineStr">
        <is>
          <t>الإدارة المالية</t>
        </is>
      </c>
      <c r="N89" s="33" t="n"/>
    </row>
    <row r="90" ht="30" customHeight="1">
      <c r="A90" s="23" t="n">
        <v>88</v>
      </c>
      <c r="B90" s="26" t="inlineStr">
        <is>
          <t>العقار</t>
        </is>
      </c>
      <c r="C90" s="9" t="inlineStr">
        <is>
          <t>نسبة الالتزام بالعقود</t>
        </is>
      </c>
      <c r="D90" s="30" t="inlineStr">
        <is>
          <t>يقيس نسبة الالتزام بالعقود ضمن محور «الإدارة»، ويعكس مساهمة الإدارة في ركيزة الاستدامة.</t>
        </is>
      </c>
      <c r="E90" s="31" t="inlineStr">
        <is>
          <t>(المتحقّق ÷ الإجمالي) × 100٪</t>
        </is>
      </c>
      <c r="F90" s="23" t="inlineStr">
        <is>
          <t>🔧 تشغيلي</t>
        </is>
      </c>
      <c r="G90" s="31" t="inlineStr">
        <is>
          <t>الاستدامة · منظومة التأجير</t>
        </is>
      </c>
      <c r="H90" s="23" t="inlineStr">
        <is>
          <t>العمليات الداخلية</t>
        </is>
      </c>
      <c r="I90" s="32" t="n">
        <v>0.08</v>
      </c>
      <c r="J90" s="23" t="inlineStr">
        <is>
          <t>مدير العقار</t>
        </is>
      </c>
      <c r="K90" s="31" t="inlineStr">
        <is>
          <t>نظام إدارة العقود (CRM)</t>
        </is>
      </c>
      <c r="L90" s="23" t="inlineStr">
        <is>
          <t>شهري</t>
        </is>
      </c>
      <c r="M90" s="23" t="inlineStr">
        <is>
          <t>مدير العقار</t>
        </is>
      </c>
      <c r="N90" s="33" t="n"/>
    </row>
    <row r="91" ht="30" customHeight="1">
      <c r="A91" s="23" t="n">
        <v>89</v>
      </c>
      <c r="B91" s="26" t="inlineStr">
        <is>
          <t>العقار</t>
        </is>
      </c>
      <c r="C91" s="9" t="inlineStr">
        <is>
          <t>نسبة التحصيل</t>
        </is>
      </c>
      <c r="D91" s="30" t="inlineStr">
        <is>
          <t>يقيس نسبة التحصيل ضمن محور «الإدارة»، ويعكس مساهمة الإدارة في ركيزة الاستدامة.</t>
        </is>
      </c>
      <c r="E91" s="31" t="inlineStr">
        <is>
          <t>(المتحقّق ÷ الإجمالي) × 100٪</t>
        </is>
      </c>
      <c r="F91" s="23" t="inlineStr">
        <is>
          <t>🎯 نتيجة</t>
        </is>
      </c>
      <c r="G91" s="31" t="inlineStr">
        <is>
          <t>الاستدامة · منظومة التأجير</t>
        </is>
      </c>
      <c r="H91" s="23" t="inlineStr">
        <is>
          <t>مالي</t>
        </is>
      </c>
      <c r="I91" s="32" t="n">
        <v>0.08</v>
      </c>
      <c r="J91" s="23" t="inlineStr">
        <is>
          <t>مدير العقار</t>
        </is>
      </c>
      <c r="K91" s="31" t="inlineStr">
        <is>
          <t>نظام المحاسبة / ERP (D365)</t>
        </is>
      </c>
      <c r="L91" s="23" t="inlineStr">
        <is>
          <t>شهري</t>
        </is>
      </c>
      <c r="M91" s="23" t="inlineStr">
        <is>
          <t>الإدارة المالية</t>
        </is>
      </c>
      <c r="N91" s="33" t="n"/>
    </row>
    <row r="92" ht="30" customHeight="1">
      <c r="A92" s="23" t="n">
        <v>90</v>
      </c>
      <c r="B92" s="26" t="inlineStr">
        <is>
          <t>العقار</t>
        </is>
      </c>
      <c r="C92" s="9" t="inlineStr">
        <is>
          <t>نسبة الإشغال</t>
        </is>
      </c>
      <c r="D92" s="30" t="inlineStr">
        <is>
          <t>يقيس نسبة الإشغال ضمن محور «التأجير»، ويعكس مساهمة الإدارة في ركيزة الاستدامة.</t>
        </is>
      </c>
      <c r="E92" s="31" t="inlineStr">
        <is>
          <t>(المتحقّق ÷ الإجمالي) × 100٪</t>
        </is>
      </c>
      <c r="F92" s="23" t="inlineStr">
        <is>
          <t>🎯 نتيجة</t>
        </is>
      </c>
      <c r="G92" s="31" t="inlineStr">
        <is>
          <t>الاستدامة · منظومة التأجير</t>
        </is>
      </c>
      <c r="H92" s="23" t="inlineStr">
        <is>
          <t>العمليات الداخلية</t>
        </is>
      </c>
      <c r="I92" s="32" t="n">
        <v>0.08</v>
      </c>
      <c r="J92" s="23" t="inlineStr">
        <is>
          <t>مدير العقار</t>
        </is>
      </c>
      <c r="K92" s="31" t="inlineStr">
        <is>
          <t>نظام إدارة العقود (CRM)</t>
        </is>
      </c>
      <c r="L92" s="23" t="inlineStr">
        <is>
          <t>شهري</t>
        </is>
      </c>
      <c r="M92" s="23" t="inlineStr">
        <is>
          <t>مدير العقار</t>
        </is>
      </c>
      <c r="N92" s="33" t="n"/>
    </row>
    <row r="93" ht="30" customHeight="1">
      <c r="A93" s="23" t="n">
        <v>91</v>
      </c>
      <c r="B93" s="26" t="inlineStr">
        <is>
          <t>العقار</t>
        </is>
      </c>
      <c r="C93" s="9" t="inlineStr">
        <is>
          <t>الوحدات المؤجَّرة شهرياً</t>
        </is>
      </c>
      <c r="D93" s="30" t="inlineStr">
        <is>
          <t>يقيس الوحدات المؤجَّرة شهرياً ضمن محور «التأجير»، ويعكس مساهمة الإدارة في ركيزة الاستدامة.</t>
        </is>
      </c>
      <c r="E93" s="31" t="inlineStr">
        <is>
          <t>إجمالي العدد خلال الفترة</t>
        </is>
      </c>
      <c r="F93" s="23" t="inlineStr">
        <is>
          <t>🔧 تشغيلي</t>
        </is>
      </c>
      <c r="G93" s="31" t="inlineStr">
        <is>
          <t>الاستدامة · منظومة التأجير</t>
        </is>
      </c>
      <c r="H93" s="23" t="inlineStr">
        <is>
          <t>العمليات الداخلية</t>
        </is>
      </c>
      <c r="I93" s="32" t="n">
        <v>0.05</v>
      </c>
      <c r="J93" s="23" t="inlineStr">
        <is>
          <t>مدير العقار</t>
        </is>
      </c>
      <c r="K93" s="31" t="inlineStr">
        <is>
          <t>نظام إدارة العقود (CRM)</t>
        </is>
      </c>
      <c r="L93" s="23" t="inlineStr">
        <is>
          <t>شهري</t>
        </is>
      </c>
      <c r="M93" s="23" t="inlineStr">
        <is>
          <t>مدير العقار</t>
        </is>
      </c>
      <c r="N93" s="33" t="n"/>
    </row>
    <row r="94" ht="30" customHeight="1">
      <c r="A94" s="23" t="n">
        <v>92</v>
      </c>
      <c r="B94" s="26" t="inlineStr">
        <is>
          <t>العقار</t>
        </is>
      </c>
      <c r="C94" s="9" t="inlineStr">
        <is>
          <t>العملاء المحتملون (LEADS)</t>
        </is>
      </c>
      <c r="D94" s="30" t="inlineStr">
        <is>
          <t>يقيس العملاء المحتملون (LEADS) ضمن محور «التأجير»، ويعكس مساهمة الإدارة في ركيزة النمو.</t>
        </is>
      </c>
      <c r="E94" s="31" t="inlineStr">
        <is>
          <t>إجمالي العدد خلال الفترة</t>
        </is>
      </c>
      <c r="F94" s="23" t="inlineStr">
        <is>
          <t>🔧 تشغيلي</t>
        </is>
      </c>
      <c r="G94" s="31" t="inlineStr">
        <is>
          <t>النمو · زيادة وصول العملاء</t>
        </is>
      </c>
      <c r="H94" s="23" t="inlineStr">
        <is>
          <t>العملاء</t>
        </is>
      </c>
      <c r="I94" s="32" t="n">
        <v>0.05</v>
      </c>
      <c r="J94" s="23" t="inlineStr">
        <is>
          <t>مدير العقار</t>
        </is>
      </c>
      <c r="K94" s="31" t="inlineStr">
        <is>
          <t>نظام إدارة العقود (CRM)</t>
        </is>
      </c>
      <c r="L94" s="23" t="inlineStr">
        <is>
          <t>شهري</t>
        </is>
      </c>
      <c r="M94" s="23" t="inlineStr">
        <is>
          <t>مدير العقار</t>
        </is>
      </c>
      <c r="N94" s="33" t="n"/>
    </row>
    <row r="95" ht="30" customHeight="1">
      <c r="A95" s="23" t="n">
        <v>93</v>
      </c>
      <c r="B95" s="26" t="inlineStr">
        <is>
          <t>العقار</t>
        </is>
      </c>
      <c r="C95" s="9" t="inlineStr">
        <is>
          <t>معدل التحويل</t>
        </is>
      </c>
      <c r="D95" s="30" t="inlineStr">
        <is>
          <t>يقيس معدل التحويل ضمن محور «التأجير»، ويعكس مساهمة الإدارة في ركيزة النمو.</t>
        </is>
      </c>
      <c r="E95" s="31" t="inlineStr">
        <is>
          <t>(المتحقّق ÷ الإجمالي) × 100٪</t>
        </is>
      </c>
      <c r="F95" s="23" t="inlineStr">
        <is>
          <t>🔧 تشغيلي</t>
        </is>
      </c>
      <c r="G95" s="31" t="inlineStr">
        <is>
          <t>النمو · زيادة وصول العملاء</t>
        </is>
      </c>
      <c r="H95" s="23" t="inlineStr">
        <is>
          <t>العمليات الداخلية</t>
        </is>
      </c>
      <c r="I95" s="32" t="n">
        <v>0.08</v>
      </c>
      <c r="J95" s="23" t="inlineStr">
        <is>
          <t>مدير العقار</t>
        </is>
      </c>
      <c r="K95" s="31" t="inlineStr">
        <is>
          <t>نظام إدارة العقود (CRM)</t>
        </is>
      </c>
      <c r="L95" s="23" t="inlineStr">
        <is>
          <t>شهري</t>
        </is>
      </c>
      <c r="M95" s="23" t="inlineStr">
        <is>
          <t>مدير العقار</t>
        </is>
      </c>
      <c r="N95" s="33" t="n"/>
    </row>
    <row r="96" ht="30" customHeight="1">
      <c r="A96" s="23" t="n">
        <v>94</v>
      </c>
      <c r="B96" s="26" t="inlineStr">
        <is>
          <t>العقار</t>
        </is>
      </c>
      <c r="C96" s="9" t="inlineStr">
        <is>
          <t>زيادة عدد العلامات التجارية</t>
        </is>
      </c>
      <c r="D96" s="30" t="inlineStr">
        <is>
          <t>يقيس زيادة عدد العلامات التجارية ضمن محور «التأجير»، ويعكس مساهمة الإدارة في ركيزة الاستدامة.</t>
        </is>
      </c>
      <c r="E96" s="31" t="inlineStr">
        <is>
          <t>إجمالي العدد خلال الفترة</t>
        </is>
      </c>
      <c r="F96" s="23" t="inlineStr">
        <is>
          <t>⚙️ نشاط</t>
        </is>
      </c>
      <c r="G96" s="31" t="inlineStr">
        <is>
          <t>الاستدامة · منظومة التأجير</t>
        </is>
      </c>
      <c r="H96" s="23" t="inlineStr">
        <is>
          <t>العمليات الداخلية</t>
        </is>
      </c>
      <c r="I96" s="32" t="n">
        <v>0.05</v>
      </c>
      <c r="J96" s="23" t="inlineStr">
        <is>
          <t>مدير العقار</t>
        </is>
      </c>
      <c r="K96" s="31" t="inlineStr">
        <is>
          <t>نظام إدارة العقود (CRM)</t>
        </is>
      </c>
      <c r="L96" s="23" t="inlineStr">
        <is>
          <t>شهري</t>
        </is>
      </c>
      <c r="M96" s="23" t="inlineStr">
        <is>
          <t>مدير العقار</t>
        </is>
      </c>
      <c r="N96" s="33" t="n"/>
    </row>
    <row r="97" ht="30" customHeight="1">
      <c r="A97" s="23" t="n">
        <v>95</v>
      </c>
      <c r="B97" s="26" t="inlineStr">
        <is>
          <t>العقار</t>
        </is>
      </c>
      <c r="C97" s="9" t="inlineStr">
        <is>
          <t>نسبة تأجير ساحة درب</t>
        </is>
      </c>
      <c r="D97" s="30" t="inlineStr">
        <is>
          <t>يقيس نسبة تأجير ساحة درب ضمن محور «الإبداع والتكامل»، ويعكس مساهمة الإدارة في ركيزة الابتكار.</t>
        </is>
      </c>
      <c r="E97" s="31" t="inlineStr">
        <is>
          <t>(المتحقّق ÷ الإجمالي) × 100٪</t>
        </is>
      </c>
      <c r="F97" s="23" t="inlineStr">
        <is>
          <t>🔧 تشغيلي</t>
        </is>
      </c>
      <c r="G97" s="31" t="inlineStr">
        <is>
          <t>الابتكار · ساحات درب</t>
        </is>
      </c>
      <c r="H97" s="23" t="inlineStr">
        <is>
          <t>العمليات الداخلية</t>
        </is>
      </c>
      <c r="I97" s="32" t="n">
        <v>0.05</v>
      </c>
      <c r="J97" s="23" t="inlineStr">
        <is>
          <t>مدير العقار</t>
        </is>
      </c>
      <c r="K97" s="31" t="inlineStr">
        <is>
          <t>مكتب إدارة المشاريع (PMO)</t>
        </is>
      </c>
      <c r="L97" s="23" t="inlineStr">
        <is>
          <t>شهري</t>
        </is>
      </c>
      <c r="M97" s="23" t="inlineStr">
        <is>
          <t>مدير العقار</t>
        </is>
      </c>
      <c r="N97" s="33" t="n"/>
    </row>
    <row r="98" ht="30" customHeight="1">
      <c r="A98" s="23" t="n">
        <v>96</v>
      </c>
      <c r="B98" s="26" t="inlineStr">
        <is>
          <t>العقار</t>
        </is>
      </c>
      <c r="C98" s="9" t="inlineStr">
        <is>
          <t>علامات تجارية جديدة (ساحة درب)</t>
        </is>
      </c>
      <c r="D98" s="30" t="inlineStr">
        <is>
          <t>يقيس علامات تجارية جديدة (ساحة درب) ضمن محور «الإبداع والتكامل»، ويعكس مساهمة الإدارة في ركيزة الابتكار.</t>
        </is>
      </c>
      <c r="E98" s="31" t="inlineStr">
        <is>
          <t>إجمالي العدد خلال الفترة</t>
        </is>
      </c>
      <c r="F98" s="23" t="inlineStr">
        <is>
          <t>🔧 تشغيلي</t>
        </is>
      </c>
      <c r="G98" s="31" t="inlineStr">
        <is>
          <t>الابتكار · ساحات درب</t>
        </is>
      </c>
      <c r="H98" s="23" t="inlineStr">
        <is>
          <t>العمليات الداخلية</t>
        </is>
      </c>
      <c r="I98" s="32" t="n">
        <v>0.05</v>
      </c>
      <c r="J98" s="23" t="inlineStr">
        <is>
          <t>مدير العقار</t>
        </is>
      </c>
      <c r="K98" s="31" t="inlineStr">
        <is>
          <t>مكتب إدارة المشاريع (PMO)</t>
        </is>
      </c>
      <c r="L98" s="23" t="inlineStr">
        <is>
          <t>شهري</t>
        </is>
      </c>
      <c r="M98" s="23" t="inlineStr">
        <is>
          <t>مدير العقار</t>
        </is>
      </c>
      <c r="N98" s="33" t="n"/>
    </row>
    <row r="99" ht="30" customHeight="1">
      <c r="A99" s="23" t="n">
        <v>97</v>
      </c>
      <c r="B99" s="26" t="inlineStr">
        <is>
          <t>العقار</t>
        </is>
      </c>
      <c r="C99" s="9" t="inlineStr">
        <is>
          <t>الشراكات الاستراتيجية</t>
        </is>
      </c>
      <c r="D99" s="30" t="inlineStr">
        <is>
          <t>يقيس الشراكات الاستراتيجية ضمن محور «الإبداع والتكامل»، ويعكس مساهمة الإدارة في ركيزة الابتكار.</t>
        </is>
      </c>
      <c r="E99" s="31" t="inlineStr">
        <is>
          <t>إجمالي العدد خلال الفترة</t>
        </is>
      </c>
      <c r="F99" s="23" t="inlineStr">
        <is>
          <t>🔧 تشغيلي</t>
        </is>
      </c>
      <c r="G99" s="31" t="inlineStr">
        <is>
          <t>الابتكار · إطلاق مشاريع جديدة</t>
        </is>
      </c>
      <c r="H99" s="23" t="inlineStr">
        <is>
          <t>التعلّم والنمو</t>
        </is>
      </c>
      <c r="I99" s="32" t="n">
        <v>0.05</v>
      </c>
      <c r="J99" s="23" t="inlineStr">
        <is>
          <t>مدير العقار</t>
        </is>
      </c>
      <c r="K99" s="31" t="inlineStr">
        <is>
          <t>مكتب إدارة المشاريع (PMO)</t>
        </is>
      </c>
      <c r="L99" s="23" t="inlineStr">
        <is>
          <t>شهري</t>
        </is>
      </c>
      <c r="M99" s="23" t="inlineStr">
        <is>
          <t>مدير العقار</t>
        </is>
      </c>
      <c r="N99" s="33" t="n"/>
    </row>
    <row r="100" ht="30" customHeight="1">
      <c r="A100" s="23" t="n">
        <v>98</v>
      </c>
      <c r="B100" s="26" t="inlineStr">
        <is>
          <t>العقار</t>
        </is>
      </c>
      <c r="C100" s="9" t="inlineStr">
        <is>
          <t>نسبة تجديد العقود</t>
        </is>
      </c>
      <c r="D100" s="30" t="inlineStr">
        <is>
          <t>يقيس نسبة تجديد العقود ضمن محور «إدارة الأملاك»، ويعكس مساهمة الإدارة في ركيزة الاستدامة.</t>
        </is>
      </c>
      <c r="E100" s="31" t="inlineStr">
        <is>
          <t>(المتحقّق ÷ الإجمالي) × 100٪</t>
        </is>
      </c>
      <c r="F100" s="23" t="inlineStr">
        <is>
          <t>🔧 تشغيلي</t>
        </is>
      </c>
      <c r="G100" s="31" t="inlineStr">
        <is>
          <t>الاستدامة · منظومة التأجير</t>
        </is>
      </c>
      <c r="H100" s="23" t="inlineStr">
        <is>
          <t>العمليات الداخلية</t>
        </is>
      </c>
      <c r="I100" s="32" t="n">
        <v>0.08</v>
      </c>
      <c r="J100" s="23" t="inlineStr">
        <is>
          <t>مدير العقار</t>
        </is>
      </c>
      <c r="K100" s="31" t="inlineStr">
        <is>
          <t>نظام إدارة العقود (CRM)</t>
        </is>
      </c>
      <c r="L100" s="23" t="inlineStr">
        <is>
          <t>شهري</t>
        </is>
      </c>
      <c r="M100" s="23" t="inlineStr">
        <is>
          <t>مدير العقار</t>
        </is>
      </c>
      <c r="N100" s="33" t="n"/>
    </row>
    <row r="101" ht="30" customHeight="1">
      <c r="A101" s="23" t="n">
        <v>99</v>
      </c>
      <c r="B101" s="26" t="inlineStr">
        <is>
          <t>العقار</t>
        </is>
      </c>
      <c r="C101" s="9" t="inlineStr">
        <is>
          <t>متوسط زمن تسليم الوحدة</t>
        </is>
      </c>
      <c r="D101" s="30" t="inlineStr">
        <is>
          <t>يقيس متوسط زمن تسليم الوحدة ضمن محور «تنسيق المشاريع»، ويعكس مساهمة الإدارة في ركيزة الاستدامة.</t>
        </is>
      </c>
      <c r="E101" s="31" t="inlineStr">
        <is>
          <t>متوسط يوم خلال الفترة</t>
        </is>
      </c>
      <c r="F101" s="23" t="inlineStr">
        <is>
          <t>🔧 تشغيلي</t>
        </is>
      </c>
      <c r="G101" s="31" t="inlineStr">
        <is>
          <t>الاستدامة · جودة التشغيل</t>
        </is>
      </c>
      <c r="H101" s="23" t="inlineStr">
        <is>
          <t>العمليات الداخلية</t>
        </is>
      </c>
      <c r="I101" s="32" t="n">
        <v>0.05</v>
      </c>
      <c r="J101" s="23" t="inlineStr">
        <is>
          <t>مدير العقار</t>
        </is>
      </c>
      <c r="K101" s="31" t="inlineStr">
        <is>
          <t>سجلات الإدارة</t>
        </is>
      </c>
      <c r="L101" s="23" t="inlineStr">
        <is>
          <t>شهري</t>
        </is>
      </c>
      <c r="M101" s="23" t="inlineStr">
        <is>
          <t>مدير العقار</t>
        </is>
      </c>
      <c r="N101" s="33" t="n"/>
    </row>
    <row r="102" ht="30" customHeight="1">
      <c r="A102" s="23" t="n">
        <v>100</v>
      </c>
      <c r="B102" s="26" t="inlineStr">
        <is>
          <t>العقار</t>
        </is>
      </c>
      <c r="C102" s="9" t="inlineStr">
        <is>
          <t>نسبة إغلاق الطلبات خلال 3 أسابيع</t>
        </is>
      </c>
      <c r="D102" s="30" t="inlineStr">
        <is>
          <t>يقيس نسبة إغلاق الطلبات خلال 3 أسابيع ضمن محور «تنسيق المشاريع»، ويعكس مساهمة الإدارة في ركيزة الاستدامة.</t>
        </is>
      </c>
      <c r="E102" s="31" t="inlineStr">
        <is>
          <t>(المتحقّق ÷ الإجمالي) × 100٪</t>
        </is>
      </c>
      <c r="F102" s="23" t="inlineStr">
        <is>
          <t>🔧 تشغيلي</t>
        </is>
      </c>
      <c r="G102" s="31" t="inlineStr">
        <is>
          <t>الاستدامة · جودة التشغيل</t>
        </is>
      </c>
      <c r="H102" s="23" t="inlineStr">
        <is>
          <t>العمليات الداخلية</t>
        </is>
      </c>
      <c r="I102" s="32" t="n">
        <v>0.05</v>
      </c>
      <c r="J102" s="23" t="inlineStr">
        <is>
          <t>مدير العقار</t>
        </is>
      </c>
      <c r="K102" s="31" t="inlineStr">
        <is>
          <t>سجلات الإدارة</t>
        </is>
      </c>
      <c r="L102" s="23" t="inlineStr">
        <is>
          <t>شهري</t>
        </is>
      </c>
      <c r="M102" s="23" t="inlineStr">
        <is>
          <t>مدير العقار</t>
        </is>
      </c>
      <c r="N102" s="33" t="n"/>
    </row>
    <row r="103" ht="30" customHeight="1">
      <c r="A103" s="23" t="n">
        <v>101</v>
      </c>
      <c r="B103" s="26" t="inlineStr">
        <is>
          <t>العقار</t>
        </is>
      </c>
      <c r="C103" s="9" t="inlineStr">
        <is>
          <t>استدامة المستأجرين (لم يُنهَ مبكراً)</t>
        </is>
      </c>
      <c r="D103" s="30" t="inlineStr">
        <is>
          <t>يقيس استدامة المستأجرين (لم يُنهَ مبكراً) ضمن محور «الجودة والاستدامة»، ويعكس مساهمة الإدارة في ركيزة الاستدامة.</t>
        </is>
      </c>
      <c r="E103" s="31" t="inlineStr">
        <is>
          <t>(المتحقّق ÷ الإجمالي) × 100٪</t>
        </is>
      </c>
      <c r="F103" s="23" t="inlineStr">
        <is>
          <t>🔧 تشغيلي</t>
        </is>
      </c>
      <c r="G103" s="31" t="inlineStr">
        <is>
          <t>الاستدامة · تعزيز تجربة العملاء</t>
        </is>
      </c>
      <c r="H103" s="23" t="inlineStr">
        <is>
          <t>العملاء</t>
        </is>
      </c>
      <c r="I103" s="32" t="n">
        <v>0.05</v>
      </c>
      <c r="J103" s="23" t="inlineStr">
        <is>
          <t>مدير العقار</t>
        </is>
      </c>
      <c r="K103" s="31" t="inlineStr">
        <is>
          <t>نظام إدارة الجودة (QMS)</t>
        </is>
      </c>
      <c r="L103" s="23" t="inlineStr">
        <is>
          <t>شهري</t>
        </is>
      </c>
      <c r="M103" s="23" t="inlineStr">
        <is>
          <t>مدير العقار</t>
        </is>
      </c>
      <c r="N103" s="33" t="n"/>
    </row>
    <row r="104" ht="30" customHeight="1">
      <c r="A104" s="23" t="n">
        <v>102</v>
      </c>
      <c r="B104" s="26" t="inlineStr">
        <is>
          <t>العقار</t>
        </is>
      </c>
      <c r="C104" s="9" t="inlineStr">
        <is>
          <t>معدل رضا المستأجرين (استبيان ربعي)</t>
        </is>
      </c>
      <c r="D104" s="30" t="inlineStr">
        <is>
          <t>يقيس معدل رضا المستأجرين (استبيان ربعي) ضمن محور «الجودة والاستدامة»، ويعكس مساهمة الإدارة في ركيزة الاستدامة.</t>
        </is>
      </c>
      <c r="E104" s="31" t="inlineStr">
        <is>
          <t>(المتحقّق ÷ الإجمالي) × 100٪</t>
        </is>
      </c>
      <c r="F104" s="23" t="inlineStr">
        <is>
          <t>🎯 نتيجة</t>
        </is>
      </c>
      <c r="G104" s="31" t="inlineStr">
        <is>
          <t>الاستدامة · تعزيز تجربة العملاء</t>
        </is>
      </c>
      <c r="H104" s="23" t="inlineStr">
        <is>
          <t>العملاء</t>
        </is>
      </c>
      <c r="I104" s="32" t="n">
        <v>0.07000000000000001</v>
      </c>
      <c r="J104" s="23" t="inlineStr">
        <is>
          <t>مدير العقار</t>
        </is>
      </c>
      <c r="K104" s="31" t="inlineStr">
        <is>
          <t>استبيان دوري</t>
        </is>
      </c>
      <c r="L104" s="23" t="inlineStr">
        <is>
          <t>ربعي</t>
        </is>
      </c>
      <c r="M104" s="23" t="inlineStr">
        <is>
          <t>مدير العقار</t>
        </is>
      </c>
      <c r="N104" s="33" t="n"/>
    </row>
    <row r="105" ht="30" customHeight="1">
      <c r="A105" s="23" t="n">
        <v>103</v>
      </c>
      <c r="B105" s="26" t="inlineStr">
        <is>
          <t>التقنية الرقمية</t>
        </is>
      </c>
      <c r="C105" s="9" t="inlineStr">
        <is>
          <t>نسبة إنجاز محفظة مشاريع التحول الرقمي</t>
        </is>
      </c>
      <c r="D105" s="30" t="inlineStr">
        <is>
          <t>يقيس نسبة إنجاز محفظة مشاريع التحول الرقمي ضمن محور «أداء المشاريع»، ويعكس مساهمة الإدارة في ركيزة الابتكار.</t>
        </is>
      </c>
      <c r="E105" s="31" t="inlineStr">
        <is>
          <t>(المتحقّق ÷ الإجمالي) × 100٪</t>
        </is>
      </c>
      <c r="F105" s="23" t="inlineStr">
        <is>
          <t>🔧 تشغيلي</t>
        </is>
      </c>
      <c r="G105" s="31" t="inlineStr">
        <is>
          <t>الابتكار · التحول التقني</t>
        </is>
      </c>
      <c r="H105" s="23" t="inlineStr">
        <is>
          <t>التعلّم والنمو</t>
        </is>
      </c>
      <c r="I105" s="32" t="n">
        <v>0.1</v>
      </c>
      <c r="J105" s="23" t="inlineStr">
        <is>
          <t>مدير التقنية</t>
        </is>
      </c>
      <c r="K105" s="31" t="inlineStr">
        <is>
          <t>سجلات الإدارة</t>
        </is>
      </c>
      <c r="L105" s="23" t="inlineStr">
        <is>
          <t>شهري</t>
        </is>
      </c>
      <c r="M105" s="23" t="inlineStr">
        <is>
          <t>مدير التقنية</t>
        </is>
      </c>
      <c r="N105" s="33" t="n"/>
    </row>
    <row r="106" ht="30" customHeight="1">
      <c r="A106" s="23" t="n">
        <v>104</v>
      </c>
      <c r="B106" s="26" t="inlineStr">
        <is>
          <t>التقنية الرقمية</t>
        </is>
      </c>
      <c r="C106" s="9" t="inlineStr">
        <is>
          <t>معدل تسليم المشاريع في الموعد المحدد</t>
        </is>
      </c>
      <c r="D106" s="30" t="inlineStr">
        <is>
          <t>يقيس معدل تسليم المشاريع في الموعد المحدد ضمن محور «أداء المشاريع»، ويعكس مساهمة الإدارة في ركيزة الابتكار.</t>
        </is>
      </c>
      <c r="E106" s="31" t="inlineStr">
        <is>
          <t>(المتحقّق ÷ الإجمالي) × 100٪</t>
        </is>
      </c>
      <c r="F106" s="23" t="inlineStr">
        <is>
          <t>🔧 تشغيلي</t>
        </is>
      </c>
      <c r="G106" s="31" t="inlineStr">
        <is>
          <t>الابتكار · التحول التقني</t>
        </is>
      </c>
      <c r="H106" s="23" t="inlineStr">
        <is>
          <t>العمليات الداخلية</t>
        </is>
      </c>
      <c r="I106" s="32" t="n">
        <v>0.1</v>
      </c>
      <c r="J106" s="23" t="inlineStr">
        <is>
          <t>مدير التقنية</t>
        </is>
      </c>
      <c r="K106" s="31" t="inlineStr">
        <is>
          <t>سجلات الإدارة</t>
        </is>
      </c>
      <c r="L106" s="23" t="inlineStr">
        <is>
          <t>شهري</t>
        </is>
      </c>
      <c r="M106" s="23" t="inlineStr">
        <is>
          <t>مدير التقنية</t>
        </is>
      </c>
      <c r="N106" s="33" t="n"/>
    </row>
    <row r="107" ht="30" customHeight="1">
      <c r="A107" s="23" t="n">
        <v>105</v>
      </c>
      <c r="B107" s="26" t="inlineStr">
        <is>
          <t>التقنية الرقمية</t>
        </is>
      </c>
      <c r="C107" s="9" t="inlineStr">
        <is>
          <t>نسبة الالتزام بميزانية المشاريع</t>
        </is>
      </c>
      <c r="D107" s="30" t="inlineStr">
        <is>
          <t>يقيس نسبة الالتزام بميزانية المشاريع ضمن محور «أداء المشاريع»، ويعكس مساهمة الإدارة في ركيزة الابتكار.</t>
        </is>
      </c>
      <c r="E107" s="31" t="inlineStr">
        <is>
          <t>(المتحقّق ÷ الإجمالي) × 100٪</t>
        </is>
      </c>
      <c r="F107" s="23" t="inlineStr">
        <is>
          <t>🔧 تشغيلي</t>
        </is>
      </c>
      <c r="G107" s="31" t="inlineStr">
        <is>
          <t>الابتكار · التحول التقني</t>
        </is>
      </c>
      <c r="H107" s="23" t="inlineStr">
        <is>
          <t>العمليات الداخلية</t>
        </is>
      </c>
      <c r="I107" s="32" t="n">
        <v>0.1</v>
      </c>
      <c r="J107" s="23" t="inlineStr">
        <is>
          <t>مدير التقنية</t>
        </is>
      </c>
      <c r="K107" s="31" t="inlineStr">
        <is>
          <t>نظام المحاسبة / ERP (D365)</t>
        </is>
      </c>
      <c r="L107" s="23" t="inlineStr">
        <is>
          <t>شهري</t>
        </is>
      </c>
      <c r="M107" s="23" t="inlineStr">
        <is>
          <t>الإدارة المالية</t>
        </is>
      </c>
      <c r="N107" s="33" t="n"/>
    </row>
    <row r="108" ht="30" customHeight="1">
      <c r="A108" s="23" t="n">
        <v>106</v>
      </c>
      <c r="B108" s="26" t="inlineStr">
        <is>
          <t>التقنية الرقمية</t>
        </is>
      </c>
      <c r="C108" s="9" t="inlineStr">
        <is>
          <t>نسبة الالتزام بنطاق العمل</t>
        </is>
      </c>
      <c r="D108" s="30" t="inlineStr">
        <is>
          <t>يقيس نسبة الالتزام بنطاق العمل ضمن محور «أداء المشاريع»، ويعكس مساهمة الإدارة في ركيزة الابتكار.</t>
        </is>
      </c>
      <c r="E108" s="31" t="inlineStr">
        <is>
          <t>(المتحقّق ÷ الإجمالي) × 100٪</t>
        </is>
      </c>
      <c r="F108" s="23" t="inlineStr">
        <is>
          <t>🔧 تشغيلي</t>
        </is>
      </c>
      <c r="G108" s="31" t="inlineStr">
        <is>
          <t>الابتكار · التحول التقني</t>
        </is>
      </c>
      <c r="H108" s="23" t="inlineStr">
        <is>
          <t>العمليات الداخلية</t>
        </is>
      </c>
      <c r="I108" s="32" t="n">
        <v>0.1</v>
      </c>
      <c r="J108" s="23" t="inlineStr">
        <is>
          <t>مدير التقنية</t>
        </is>
      </c>
      <c r="K108" s="31" t="inlineStr">
        <is>
          <t>سجلات الإدارة</t>
        </is>
      </c>
      <c r="L108" s="23" t="inlineStr">
        <is>
          <t>شهري</t>
        </is>
      </c>
      <c r="M108" s="23" t="inlineStr">
        <is>
          <t>مدير التقنية</t>
        </is>
      </c>
      <c r="N108" s="33" t="n"/>
    </row>
    <row r="109" ht="30" customHeight="1">
      <c r="A109" s="23" t="n">
        <v>107</v>
      </c>
      <c r="B109" s="26" t="inlineStr">
        <is>
          <t>التقنية الرقمية</t>
        </is>
      </c>
      <c r="C109" s="9" t="inlineStr">
        <is>
          <t>نسبة تفعيل الأنظمة الأساسية بالمحطات</t>
        </is>
      </c>
      <c r="D109" s="30" t="inlineStr">
        <is>
          <t>يقيس نسبة تفعيل الأنظمة الأساسية بالمحطات ضمن محور «الكفاءة التشغيلية»، ويعكس مساهمة الإدارة في ركيزة الاستدامة.</t>
        </is>
      </c>
      <c r="E109" s="31" t="inlineStr">
        <is>
          <t>(المتحقّق ÷ الإجمالي) × 100٪</t>
        </is>
      </c>
      <c r="F109" s="23" t="inlineStr">
        <is>
          <t>🔧 تشغيلي</t>
        </is>
      </c>
      <c r="G109" s="31" t="inlineStr">
        <is>
          <t>الاستدامة · جودة التشغيل</t>
        </is>
      </c>
      <c r="H109" s="23" t="inlineStr">
        <is>
          <t>العمليات الداخلية</t>
        </is>
      </c>
      <c r="I109" s="32" t="n">
        <v>0.15</v>
      </c>
      <c r="J109" s="23" t="inlineStr">
        <is>
          <t>مدير التقنية</t>
        </is>
      </c>
      <c r="K109" s="31" t="inlineStr">
        <is>
          <t>مكتب إدارة المشاريع (PMO)</t>
        </is>
      </c>
      <c r="L109" s="23" t="inlineStr">
        <is>
          <t>شهري</t>
        </is>
      </c>
      <c r="M109" s="23" t="inlineStr">
        <is>
          <t>مدير التقنية</t>
        </is>
      </c>
      <c r="N109" s="33" t="n"/>
    </row>
    <row r="110" ht="30" customHeight="1">
      <c r="A110" s="23" t="n">
        <v>108</v>
      </c>
      <c r="B110" s="26" t="inlineStr">
        <is>
          <t>التقنية الرقمية</t>
        </is>
      </c>
      <c r="C110" s="9" t="inlineStr">
        <is>
          <t>متوسط جاهزية أنظمة المركز الرئيسي (Uptime)</t>
        </is>
      </c>
      <c r="D110" s="30" t="inlineStr">
        <is>
          <t>يقيس متوسط جاهزية أنظمة المركز الرئيسي (Uptime) ضمن محور «الكفاءة التشغيلية»، ويعكس مساهمة الإدارة في ركيزة الاستدامة.</t>
        </is>
      </c>
      <c r="E110" s="31" t="inlineStr">
        <is>
          <t>(المتحقّق ÷ الإجمالي) × 100٪</t>
        </is>
      </c>
      <c r="F110" s="23" t="inlineStr">
        <is>
          <t>🔧 تشغيلي</t>
        </is>
      </c>
      <c r="G110" s="31" t="inlineStr">
        <is>
          <t>الاستدامة · جودة التشغيل</t>
        </is>
      </c>
      <c r="H110" s="23" t="inlineStr">
        <is>
          <t>العمليات الداخلية</t>
        </is>
      </c>
      <c r="I110" s="32" t="n">
        <v>0.15</v>
      </c>
      <c r="J110" s="23" t="inlineStr">
        <is>
          <t>مدير التقنية</t>
        </is>
      </c>
      <c r="K110" s="31" t="inlineStr">
        <is>
          <t>مكتب إدارة المشاريع (PMO)</t>
        </is>
      </c>
      <c r="L110" s="23" t="inlineStr">
        <is>
          <t>شهري</t>
        </is>
      </c>
      <c r="M110" s="23" t="inlineStr">
        <is>
          <t>مدير التقنية</t>
        </is>
      </c>
      <c r="N110" s="33" t="n"/>
    </row>
    <row r="111" ht="30" customHeight="1">
      <c r="A111" s="23" t="n">
        <v>109</v>
      </c>
      <c r="B111" s="26" t="inlineStr">
        <is>
          <t>التقنية الرقمية</t>
        </is>
      </c>
      <c r="C111" s="9" t="inlineStr">
        <is>
          <t>نسبة الامتثال للأمن السيبراني</t>
        </is>
      </c>
      <c r="D111" s="30" t="inlineStr">
        <is>
          <t>يقيس نسبة الامتثال للأمن السيبراني ضمن محور «الكفاءة التشغيلية»، ويعكس مساهمة الإدارة في ركيزة الاستدامة.</t>
        </is>
      </c>
      <c r="E111" s="31" t="inlineStr">
        <is>
          <t>(المتحقّق ÷ الإجمالي) × 100٪</t>
        </is>
      </c>
      <c r="F111" s="23" t="inlineStr">
        <is>
          <t>🔧 تشغيلي</t>
        </is>
      </c>
      <c r="G111" s="31" t="inlineStr">
        <is>
          <t>الاستدامة · جودة التشغيل</t>
        </is>
      </c>
      <c r="H111" s="23" t="inlineStr">
        <is>
          <t>العمليات الداخلية</t>
        </is>
      </c>
      <c r="I111" s="32" t="n">
        <v>0.1</v>
      </c>
      <c r="J111" s="23" t="inlineStr">
        <is>
          <t>مدير التقنية</t>
        </is>
      </c>
      <c r="K111" s="31" t="inlineStr">
        <is>
          <t>مكتب إدارة المشاريع (PMO)</t>
        </is>
      </c>
      <c r="L111" s="23" t="inlineStr">
        <is>
          <t>شهري</t>
        </is>
      </c>
      <c r="M111" s="23" t="inlineStr">
        <is>
          <t>مدير التقنية</t>
        </is>
      </c>
      <c r="N111" s="33" t="n"/>
    </row>
    <row r="112" ht="30" customHeight="1">
      <c r="A112" s="23" t="n">
        <v>110</v>
      </c>
      <c r="B112" s="26" t="inlineStr">
        <is>
          <t>التقنية الرقمية</t>
        </is>
      </c>
      <c r="C112" s="9" t="inlineStr">
        <is>
          <t>متوسط زمن استجابة الدعم الفني</t>
        </is>
      </c>
      <c r="D112" s="30" t="inlineStr">
        <is>
          <t>يقيس متوسط زمن استجابة الدعم الفني ضمن محور «الكفاءة التشغيلية»، ويعكس مساهمة الإدارة في ركيزة الاستدامة.</t>
        </is>
      </c>
      <c r="E112" s="31" t="inlineStr">
        <is>
          <t>متوسط ساعة خلال الفترة</t>
        </is>
      </c>
      <c r="F112" s="23" t="inlineStr">
        <is>
          <t>🔧 تشغيلي</t>
        </is>
      </c>
      <c r="G112" s="31" t="inlineStr">
        <is>
          <t>الاستدامة · جودة التشغيل</t>
        </is>
      </c>
      <c r="H112" s="23" t="inlineStr">
        <is>
          <t>العمليات الداخلية</t>
        </is>
      </c>
      <c r="I112" s="32" t="n">
        <v>0.1</v>
      </c>
      <c r="J112" s="23" t="inlineStr">
        <is>
          <t>مدير التقنية</t>
        </is>
      </c>
      <c r="K112" s="31" t="inlineStr">
        <is>
          <t>سجلات الإدارة</t>
        </is>
      </c>
      <c r="L112" s="23" t="inlineStr">
        <is>
          <t>شهري</t>
        </is>
      </c>
      <c r="M112" s="23" t="inlineStr">
        <is>
          <t>مدير التقنية</t>
        </is>
      </c>
      <c r="N112" s="33" t="n"/>
    </row>
    <row r="113" ht="30" customHeight="1">
      <c r="A113" s="23" t="n">
        <v>111</v>
      </c>
      <c r="B113" s="26" t="inlineStr">
        <is>
          <t>التقنية الرقمية</t>
        </is>
      </c>
      <c r="C113" s="9" t="inlineStr">
        <is>
          <t>نسبة التكامل الرقمي (ERP/واثق/الولاء)</t>
        </is>
      </c>
      <c r="D113" s="30" t="inlineStr">
        <is>
          <t>يقيس نسبة التكامل الرقمي (ERP/واثق/الولاء) ضمن محور «الكفاءة التشغيلية»، ويعكس مساهمة الإدارة في ركيزة الاستدامة.</t>
        </is>
      </c>
      <c r="E113" s="31" t="inlineStr">
        <is>
          <t>(المتحقّق ÷ الإجمالي) × 100٪</t>
        </is>
      </c>
      <c r="F113" s="23" t="inlineStr">
        <is>
          <t>🔧 تشغيلي</t>
        </is>
      </c>
      <c r="G113" s="31" t="inlineStr">
        <is>
          <t>الاستدامة · جودة التشغيل</t>
        </is>
      </c>
      <c r="H113" s="23" t="inlineStr">
        <is>
          <t>التعلّم والنمو</t>
        </is>
      </c>
      <c r="I113" s="32" t="n">
        <v>0.1</v>
      </c>
      <c r="J113" s="23" t="inlineStr">
        <is>
          <t>مدير التقنية</t>
        </is>
      </c>
      <c r="K113" s="31" t="inlineStr">
        <is>
          <t>أنظمة التسويق الرقمي / تانكي</t>
        </is>
      </c>
      <c r="L113" s="23" t="inlineStr">
        <is>
          <t>شهري</t>
        </is>
      </c>
      <c r="M113" s="23" t="inlineStr">
        <is>
          <t>مدير التقنية</t>
        </is>
      </c>
      <c r="N113" s="33" t="n"/>
    </row>
    <row r="114" ht="30" customHeight="1">
      <c r="A114" s="23" t="n">
        <v>112</v>
      </c>
      <c r="B114" s="26" t="inlineStr">
        <is>
          <t>الموارد البشرية</t>
        </is>
      </c>
      <c r="C114" s="9" t="inlineStr">
        <is>
          <t>نسبة السعودة / التوطين</t>
        </is>
      </c>
      <c r="D114" s="30" t="inlineStr">
        <is>
          <t>يقيس نسبة السعودة / التوطين ضمن محور «التوظيف والتوطين»، ويعكس مساهمة الإدارة في ركيزة الاستدامة.</t>
        </is>
      </c>
      <c r="E114" s="31" t="inlineStr">
        <is>
          <t>(المتحقّق ÷ الإجمالي) × 100٪</t>
        </is>
      </c>
      <c r="F114" s="23" t="inlineStr">
        <is>
          <t>🔧 تشغيلي</t>
        </is>
      </c>
      <c r="G114" s="31" t="inlineStr">
        <is>
          <t>الاستدامة · الاستثمار في الموظفين</t>
        </is>
      </c>
      <c r="H114" s="23" t="inlineStr">
        <is>
          <t>التعلّم والنمو</t>
        </is>
      </c>
      <c r="I114" s="32" t="n">
        <v>0.06</v>
      </c>
      <c r="J114" s="23" t="inlineStr">
        <is>
          <t>مدير الموارد البشرية</t>
        </is>
      </c>
      <c r="K114" s="31" t="inlineStr">
        <is>
          <t>نظام الموارد البشرية (HRMS)</t>
        </is>
      </c>
      <c r="L114" s="23" t="inlineStr">
        <is>
          <t>شهري</t>
        </is>
      </c>
      <c r="M114" s="23" t="inlineStr">
        <is>
          <t>مدير الموارد البشرية</t>
        </is>
      </c>
      <c r="N114" s="33" t="n"/>
    </row>
    <row r="115" ht="30" customHeight="1">
      <c r="A115" s="23" t="n">
        <v>113</v>
      </c>
      <c r="B115" s="26" t="inlineStr">
        <is>
          <t>الموارد البشرية</t>
        </is>
      </c>
      <c r="C115" s="9" t="inlineStr">
        <is>
          <t>الارتقاء بآليات اختيار المرشحين</t>
        </is>
      </c>
      <c r="D115" s="30" t="inlineStr">
        <is>
          <t>يقيس الارتقاء بآليات اختيار المرشحين ضمن محور «التوظيف والتوطين»، ويعكس مساهمة الإدارة في ركيزة الاستدامة.</t>
        </is>
      </c>
      <c r="E115" s="31" t="inlineStr">
        <is>
          <t>(المتحقّق ÷ الإجمالي) × 100٪</t>
        </is>
      </c>
      <c r="F115" s="23" t="inlineStr">
        <is>
          <t>🔧 تشغيلي</t>
        </is>
      </c>
      <c r="G115" s="31" t="inlineStr">
        <is>
          <t>الاستدامة · الاستثمار في الموظفين</t>
        </is>
      </c>
      <c r="H115" s="23" t="inlineStr">
        <is>
          <t>العمليات الداخلية</t>
        </is>
      </c>
      <c r="I115" s="32" t="n">
        <v>0.06</v>
      </c>
      <c r="J115" s="23" t="inlineStr">
        <is>
          <t>مدير الموارد البشرية</t>
        </is>
      </c>
      <c r="K115" s="31" t="inlineStr">
        <is>
          <t>نظام الموارد البشرية (HRMS)</t>
        </is>
      </c>
      <c r="L115" s="23" t="inlineStr">
        <is>
          <t>شهري</t>
        </is>
      </c>
      <c r="M115" s="23" t="inlineStr">
        <is>
          <t>مدير الموارد البشرية</t>
        </is>
      </c>
      <c r="N115" s="33" t="n"/>
    </row>
    <row r="116" ht="30" customHeight="1">
      <c r="A116" s="23" t="n">
        <v>114</v>
      </c>
      <c r="B116" s="26" t="inlineStr">
        <is>
          <t>الموارد البشرية</t>
        </is>
      </c>
      <c r="C116" s="9" t="inlineStr">
        <is>
          <t>نسبة شغل الشواغر خلال 30 يوم</t>
        </is>
      </c>
      <c r="D116" s="30" t="inlineStr">
        <is>
          <t>يقيس نسبة شغل الشواغر خلال 30 يوم ضمن محور «التوظيف والتوطين»، ويعكس مساهمة الإدارة في ركيزة الاستدامة.</t>
        </is>
      </c>
      <c r="E116" s="31" t="inlineStr">
        <is>
          <t>(المتحقّق ÷ الإجمالي) × 100٪</t>
        </is>
      </c>
      <c r="F116" s="23" t="inlineStr">
        <is>
          <t>🔧 تشغيلي</t>
        </is>
      </c>
      <c r="G116" s="31" t="inlineStr">
        <is>
          <t>الاستدامة · الاستثمار في الموظفين</t>
        </is>
      </c>
      <c r="H116" s="23" t="inlineStr">
        <is>
          <t>العمليات الداخلية</t>
        </is>
      </c>
      <c r="I116" s="32" t="n">
        <v>0.06</v>
      </c>
      <c r="J116" s="23" t="inlineStr">
        <is>
          <t>مدير الموارد البشرية</t>
        </is>
      </c>
      <c r="K116" s="31" t="inlineStr">
        <is>
          <t>نظام الموارد البشرية (HRMS)</t>
        </is>
      </c>
      <c r="L116" s="23" t="inlineStr">
        <is>
          <t>شهري</t>
        </is>
      </c>
      <c r="M116" s="23" t="inlineStr">
        <is>
          <t>مدير الموارد البشرية</t>
        </is>
      </c>
      <c r="N116" s="33" t="n"/>
    </row>
    <row r="117" ht="30" customHeight="1">
      <c r="A117" s="23" t="n">
        <v>115</v>
      </c>
      <c r="B117" s="26" t="inlineStr">
        <is>
          <t>الموارد البشرية</t>
        </is>
      </c>
      <c r="C117" s="9" t="inlineStr">
        <is>
          <t>معدل استبقاء الموظفين (Retention)</t>
        </is>
      </c>
      <c r="D117" s="30" t="inlineStr">
        <is>
          <t>يقيس معدل استبقاء الموظفين (Retention) ضمن محور «الاستبقاء»، ويعكس مساهمة الإدارة في ركيزة الاستدامة.</t>
        </is>
      </c>
      <c r="E117" s="31" t="inlineStr">
        <is>
          <t>(المتحقّق ÷ الإجمالي) × 100٪</t>
        </is>
      </c>
      <c r="F117" s="23" t="inlineStr">
        <is>
          <t>🎯 نتيجة</t>
        </is>
      </c>
      <c r="G117" s="31" t="inlineStr">
        <is>
          <t>الاستدامة · الاستثمار في الموظفين</t>
        </is>
      </c>
      <c r="H117" s="23" t="inlineStr">
        <is>
          <t>التعلّم والنمو</t>
        </is>
      </c>
      <c r="I117" s="32" t="n">
        <v>0.08</v>
      </c>
      <c r="J117" s="23" t="inlineStr">
        <is>
          <t>مدير الموارد البشرية</t>
        </is>
      </c>
      <c r="K117" s="31" t="inlineStr">
        <is>
          <t>نظام الموارد البشرية (HRMS)</t>
        </is>
      </c>
      <c r="L117" s="23" t="inlineStr">
        <is>
          <t>شهري</t>
        </is>
      </c>
      <c r="M117" s="23" t="inlineStr">
        <is>
          <t>مدير الموارد البشرية</t>
        </is>
      </c>
      <c r="N117" s="33" t="n"/>
    </row>
    <row r="118" ht="30" customHeight="1">
      <c r="A118" s="23" t="n">
        <v>116</v>
      </c>
      <c r="B118" s="26" t="inlineStr">
        <is>
          <t>الموارد البشرية</t>
        </is>
      </c>
      <c r="C118" s="9" t="inlineStr">
        <is>
          <t>معدل دوران الموظفين (Turnover)</t>
        </is>
      </c>
      <c r="D118" s="30" t="inlineStr">
        <is>
          <t>يقيس معدل دوران الموظفين (Turnover) ضمن محور «الاستبقاء»، ويعكس مساهمة الإدارة في ركيزة الاستدامة.</t>
        </is>
      </c>
      <c r="E118" s="31" t="inlineStr">
        <is>
          <t>(المتحقّق ÷ الإجمالي) × 100٪</t>
        </is>
      </c>
      <c r="F118" s="23" t="inlineStr">
        <is>
          <t>🔧 تشغيلي</t>
        </is>
      </c>
      <c r="G118" s="31" t="inlineStr">
        <is>
          <t>الاستدامة · الاستثمار في الموظفين</t>
        </is>
      </c>
      <c r="H118" s="23" t="inlineStr">
        <is>
          <t>التعلّم والنمو</t>
        </is>
      </c>
      <c r="I118" s="32" t="n">
        <v>0.06</v>
      </c>
      <c r="J118" s="23" t="inlineStr">
        <is>
          <t>مدير الموارد البشرية</t>
        </is>
      </c>
      <c r="K118" s="31" t="inlineStr">
        <is>
          <t>نظام الموارد البشرية (HRMS)</t>
        </is>
      </c>
      <c r="L118" s="23" t="inlineStr">
        <is>
          <t>شهري</t>
        </is>
      </c>
      <c r="M118" s="23" t="inlineStr">
        <is>
          <t>مدير الموارد البشرية</t>
        </is>
      </c>
      <c r="N118" s="33" t="n"/>
    </row>
    <row r="119" ht="30" customHeight="1">
      <c r="A119" s="23" t="n">
        <v>117</v>
      </c>
      <c r="B119" s="26" t="inlineStr">
        <is>
          <t>الموارد البشرية</t>
        </is>
      </c>
      <c r="C119" s="9" t="inlineStr">
        <is>
          <t>عدد الدورات الإدارية المنعقدة</t>
        </is>
      </c>
      <c r="D119" s="30" t="inlineStr">
        <is>
          <t>يقيس عدد الدورات الإدارية المنعقدة ضمن محور «التدريب والتطوير»، ويعكس مساهمة الإدارة في ركيزة الاستدامة.</t>
        </is>
      </c>
      <c r="E119" s="31" t="inlineStr">
        <is>
          <t>إجمالي العدد خلال الفترة</t>
        </is>
      </c>
      <c r="F119" s="23" t="inlineStr">
        <is>
          <t>⚙️ نشاط</t>
        </is>
      </c>
      <c r="G119" s="31" t="inlineStr">
        <is>
          <t>الاستدامة · الاستثمار في الموظفين</t>
        </is>
      </c>
      <c r="H119" s="23" t="inlineStr">
        <is>
          <t>العمليات الداخلية</t>
        </is>
      </c>
      <c r="I119" s="32" t="n">
        <v>0.08</v>
      </c>
      <c r="J119" s="23" t="inlineStr">
        <is>
          <t>مدير الموارد البشرية</t>
        </is>
      </c>
      <c r="K119" s="31" t="inlineStr">
        <is>
          <t>نظام الموارد البشرية (HRMS)</t>
        </is>
      </c>
      <c r="L119" s="23" t="inlineStr">
        <is>
          <t>شهري</t>
        </is>
      </c>
      <c r="M119" s="23" t="inlineStr">
        <is>
          <t>مدير الموارد البشرية</t>
        </is>
      </c>
      <c r="N119" s="33" t="n"/>
    </row>
    <row r="120" ht="30" customHeight="1">
      <c r="A120" s="23" t="n">
        <v>118</v>
      </c>
      <c r="B120" s="26" t="inlineStr">
        <is>
          <t>الموارد البشرية</t>
        </is>
      </c>
      <c r="C120" s="9" t="inlineStr">
        <is>
          <t>متوسط ساعات التدريب لكل موظف</t>
        </is>
      </c>
      <c r="D120" s="30" t="inlineStr">
        <is>
          <t>يقيس متوسط ساعات التدريب لكل موظف ضمن محور «التدريب والتطوير»، ويعكس مساهمة الإدارة في ركيزة الاستدامة.</t>
        </is>
      </c>
      <c r="E120" s="31" t="inlineStr">
        <is>
          <t>متوسط ساعة خلال الفترة</t>
        </is>
      </c>
      <c r="F120" s="23" t="inlineStr">
        <is>
          <t>⚙️ نشاط</t>
        </is>
      </c>
      <c r="G120" s="31" t="inlineStr">
        <is>
          <t>الاستدامة · الاستثمار في الموظفين</t>
        </is>
      </c>
      <c r="H120" s="23" t="inlineStr">
        <is>
          <t>التعلّم والنمو</t>
        </is>
      </c>
      <c r="I120" s="32" t="n">
        <v>0.06</v>
      </c>
      <c r="J120" s="23" t="inlineStr">
        <is>
          <t>مدير الموارد البشرية</t>
        </is>
      </c>
      <c r="K120" s="31" t="inlineStr">
        <is>
          <t>نظام الموارد البشرية (HRMS)</t>
        </is>
      </c>
      <c r="L120" s="23" t="inlineStr">
        <is>
          <t>شهري</t>
        </is>
      </c>
      <c r="M120" s="23" t="inlineStr">
        <is>
          <t>مدير الموارد البشرية</t>
        </is>
      </c>
      <c r="N120" s="33" t="n"/>
    </row>
    <row r="121" ht="30" customHeight="1">
      <c r="A121" s="23" t="n">
        <v>119</v>
      </c>
      <c r="B121" s="26" t="inlineStr">
        <is>
          <t>الموارد البشرية</t>
        </is>
      </c>
      <c r="C121" s="9" t="inlineStr">
        <is>
          <t>نسبة الموظفين المشمولين بخطة تطوير</t>
        </is>
      </c>
      <c r="D121" s="30" t="inlineStr">
        <is>
          <t>يقيس نسبة الموظفين المشمولين بخطة تطوير ضمن محور «التدريب والتطوير»، ويعكس مساهمة الإدارة في ركيزة الاستدامة.</t>
        </is>
      </c>
      <c r="E121" s="31" t="inlineStr">
        <is>
          <t>(المتحقّق ÷ الإجمالي) × 100٪</t>
        </is>
      </c>
      <c r="F121" s="23" t="inlineStr">
        <is>
          <t>🔧 تشغيلي</t>
        </is>
      </c>
      <c r="G121" s="31" t="inlineStr">
        <is>
          <t>الاستدامة · الاستثمار في الموظفين</t>
        </is>
      </c>
      <c r="H121" s="23" t="inlineStr">
        <is>
          <t>التعلّم والنمو</t>
        </is>
      </c>
      <c r="I121" s="32" t="n">
        <v>0.05</v>
      </c>
      <c r="J121" s="23" t="inlineStr">
        <is>
          <t>مدير الموارد البشرية</t>
        </is>
      </c>
      <c r="K121" s="31" t="inlineStr">
        <is>
          <t>نظام الموارد البشرية (HRMS)</t>
        </is>
      </c>
      <c r="L121" s="23" t="inlineStr">
        <is>
          <t>شهري</t>
        </is>
      </c>
      <c r="M121" s="23" t="inlineStr">
        <is>
          <t>مدير الموارد البشرية</t>
        </is>
      </c>
      <c r="N121" s="33" t="n"/>
    </row>
    <row r="122" ht="30" customHeight="1">
      <c r="A122" s="23" t="n">
        <v>120</v>
      </c>
      <c r="B122" s="26" t="inlineStr">
        <is>
          <t>الموارد البشرية</t>
        </is>
      </c>
      <c r="C122" s="9" t="inlineStr">
        <is>
          <t>مؤشر رضا الموظفين (eNPS)</t>
        </is>
      </c>
      <c r="D122" s="30" t="inlineStr">
        <is>
          <t>يقيس مؤشر رضا الموظفين (eNPS) ضمن محور «الرضا والثقافة»، ويعكس مساهمة الإدارة في ركيزة الاستدامة.</t>
        </is>
      </c>
      <c r="E122" s="31" t="inlineStr">
        <is>
          <t>٪ المروّجين − ٪ المنتقدين</t>
        </is>
      </c>
      <c r="F122" s="23" t="inlineStr">
        <is>
          <t>🎯 نتيجة</t>
        </is>
      </c>
      <c r="G122" s="31" t="inlineStr">
        <is>
          <t>الاستدامة · الاستثمار في الموظفين</t>
        </is>
      </c>
      <c r="H122" s="23" t="inlineStr">
        <is>
          <t>التعلّم والنمو</t>
        </is>
      </c>
      <c r="I122" s="32" t="n">
        <v>0.08</v>
      </c>
      <c r="J122" s="23" t="inlineStr">
        <is>
          <t>مدير الموارد البشرية</t>
        </is>
      </c>
      <c r="K122" s="31" t="inlineStr">
        <is>
          <t>استبيان دوري</t>
        </is>
      </c>
      <c r="L122" s="23" t="inlineStr">
        <is>
          <t>ربعي</t>
        </is>
      </c>
      <c r="M122" s="23" t="inlineStr">
        <is>
          <t>مدير الموارد البشرية</t>
        </is>
      </c>
      <c r="N122" s="33" t="n"/>
    </row>
    <row r="123" ht="30" customHeight="1">
      <c r="A123" s="23" t="n">
        <v>121</v>
      </c>
      <c r="B123" s="26" t="inlineStr">
        <is>
          <t>الموارد البشرية</t>
        </is>
      </c>
      <c r="C123" s="9" t="inlineStr">
        <is>
          <t>تحسين مستوى الرضا الوظيفي</t>
        </is>
      </c>
      <c r="D123" s="30" t="inlineStr">
        <is>
          <t>يقيس تحسين مستوى الرضا الوظيفي ضمن محور «الرضا والثقافة»، ويعكس مساهمة الإدارة في ركيزة الاستدامة.</t>
        </is>
      </c>
      <c r="E123" s="31" t="inlineStr">
        <is>
          <t>(المتحقّق ÷ الإجمالي) × 100٪</t>
        </is>
      </c>
      <c r="F123" s="23" t="inlineStr">
        <is>
          <t>🎯 نتيجة</t>
        </is>
      </c>
      <c r="G123" s="31" t="inlineStr">
        <is>
          <t>الاستدامة · الاستثمار في الموظفين</t>
        </is>
      </c>
      <c r="H123" s="23" t="inlineStr">
        <is>
          <t>العملاء</t>
        </is>
      </c>
      <c r="I123" s="32" t="n">
        <v>0.08</v>
      </c>
      <c r="J123" s="23" t="inlineStr">
        <is>
          <t>مدير الموارد البشرية</t>
        </is>
      </c>
      <c r="K123" s="31" t="inlineStr">
        <is>
          <t>استبيان دوري</t>
        </is>
      </c>
      <c r="L123" s="23" t="inlineStr">
        <is>
          <t>ربعي</t>
        </is>
      </c>
      <c r="M123" s="23" t="inlineStr">
        <is>
          <t>مدير الموارد البشرية</t>
        </is>
      </c>
      <c r="N123" s="33" t="n"/>
    </row>
    <row r="124" ht="30" customHeight="1">
      <c r="A124" s="23" t="n">
        <v>122</v>
      </c>
      <c r="B124" s="26" t="inlineStr">
        <is>
          <t>الموارد البشرية</t>
        </is>
      </c>
      <c r="C124" s="9" t="inlineStr">
        <is>
          <t>ترسيخ القيم والثقافة المؤسسية</t>
        </is>
      </c>
      <c r="D124" s="30" t="inlineStr">
        <is>
          <t>يقيس ترسيخ القيم والثقافة المؤسسية ضمن محور «الرضا والثقافة»، ويعكس مساهمة الإدارة في ركيزة الاستدامة.</t>
        </is>
      </c>
      <c r="E124" s="31" t="inlineStr">
        <is>
          <t>(المتحقّق ÷ الإجمالي) × 100٪</t>
        </is>
      </c>
      <c r="F124" s="23" t="inlineStr">
        <is>
          <t>🔧 تشغيلي</t>
        </is>
      </c>
      <c r="G124" s="31" t="inlineStr">
        <is>
          <t>الاستدامة · الاستثمار في الموظفين</t>
        </is>
      </c>
      <c r="H124" s="23" t="inlineStr">
        <is>
          <t>العمليات الداخلية</t>
        </is>
      </c>
      <c r="I124" s="32" t="n">
        <v>0.05</v>
      </c>
      <c r="J124" s="23" t="inlineStr">
        <is>
          <t>مدير الموارد البشرية</t>
        </is>
      </c>
      <c r="K124" s="31" t="inlineStr">
        <is>
          <t>استبيان دوري</t>
        </is>
      </c>
      <c r="L124" s="23" t="inlineStr">
        <is>
          <t>شهري</t>
        </is>
      </c>
      <c r="M124" s="23" t="inlineStr">
        <is>
          <t>مدير الموارد البشرية</t>
        </is>
      </c>
      <c r="N124" s="33" t="n"/>
    </row>
    <row r="125" ht="30" customHeight="1">
      <c r="A125" s="23" t="n">
        <v>123</v>
      </c>
      <c r="B125" s="26" t="inlineStr">
        <is>
          <t>الموارد البشرية</t>
        </is>
      </c>
      <c r="C125" s="9" t="inlineStr">
        <is>
          <t>نسبة أتمتة عمليات الموارد البشرية</t>
        </is>
      </c>
      <c r="D125" s="30" t="inlineStr">
        <is>
          <t>يقيس نسبة أتمتة عمليات الموارد البشرية ضمن محور «الأتمتة والتوثيق»، ويعكس مساهمة الإدارة في ركيزة الابتكار.</t>
        </is>
      </c>
      <c r="E125" s="31" t="inlineStr">
        <is>
          <t>(المتحقّق ÷ الإجمالي) × 100٪</t>
        </is>
      </c>
      <c r="F125" s="23" t="inlineStr">
        <is>
          <t>🔧 تشغيلي</t>
        </is>
      </c>
      <c r="G125" s="31" t="inlineStr">
        <is>
          <t>الابتكار · التحول التقني</t>
        </is>
      </c>
      <c r="H125" s="23" t="inlineStr">
        <is>
          <t>التعلّم والنمو</t>
        </is>
      </c>
      <c r="I125" s="32" t="n">
        <v>0.05</v>
      </c>
      <c r="J125" s="23" t="inlineStr">
        <is>
          <t>مدير الموارد البشرية</t>
        </is>
      </c>
      <c r="K125" s="31" t="inlineStr">
        <is>
          <t>مكتب إدارة المشاريع (PMO)</t>
        </is>
      </c>
      <c r="L125" s="23" t="inlineStr">
        <is>
          <t>شهري</t>
        </is>
      </c>
      <c r="M125" s="23" t="inlineStr">
        <is>
          <t>مدير الموارد البشرية</t>
        </is>
      </c>
      <c r="N125" s="33" t="n"/>
    </row>
    <row r="126" ht="30" customHeight="1">
      <c r="A126" s="23" t="n">
        <v>124</v>
      </c>
      <c r="B126" s="26" t="inlineStr">
        <is>
          <t>الموارد البشرية</t>
        </is>
      </c>
      <c r="C126" s="9" t="inlineStr">
        <is>
          <t>نسبة توثيق أنظمة العمل</t>
        </is>
      </c>
      <c r="D126" s="30" t="inlineStr">
        <is>
          <t>يقيس نسبة توثيق أنظمة العمل ضمن محور «الأتمتة والتوثيق»، ويعكس مساهمة الإدارة في ركيزة الاستدامة.</t>
        </is>
      </c>
      <c r="E126" s="31" t="inlineStr">
        <is>
          <t>(المتحقّق ÷ الإجمالي) × 100٪</t>
        </is>
      </c>
      <c r="F126" s="23" t="inlineStr">
        <is>
          <t>🔧 تشغيلي</t>
        </is>
      </c>
      <c r="G126" s="31" t="inlineStr">
        <is>
          <t>الاستدامة · جودة التشغيل</t>
        </is>
      </c>
      <c r="H126" s="23" t="inlineStr">
        <is>
          <t>العمليات الداخلية</t>
        </is>
      </c>
      <c r="I126" s="32" t="n">
        <v>0.03</v>
      </c>
      <c r="J126" s="23" t="inlineStr">
        <is>
          <t>مدير الموارد البشرية</t>
        </is>
      </c>
      <c r="K126" s="31" t="inlineStr">
        <is>
          <t>مكتب إدارة المشاريع (PMO)</t>
        </is>
      </c>
      <c r="L126" s="23" t="inlineStr">
        <is>
          <t>شهري</t>
        </is>
      </c>
      <c r="M126" s="23" t="inlineStr">
        <is>
          <t>مدير الموارد البشرية</t>
        </is>
      </c>
      <c r="N126" s="33" t="n"/>
    </row>
    <row r="127" ht="30" customHeight="1">
      <c r="A127" s="23" t="n">
        <v>125</v>
      </c>
      <c r="B127" s="26" t="inlineStr">
        <is>
          <t>الموارد البشرية</t>
        </is>
      </c>
      <c r="C127" s="9" t="inlineStr">
        <is>
          <t>ترسيخ الأنظمة الإدارية</t>
        </is>
      </c>
      <c r="D127" s="30" t="inlineStr">
        <is>
          <t>يقيس ترسيخ الأنظمة الإدارية ضمن محور «الأتمتة والتوثيق»، ويعكس مساهمة الإدارة في ركيزة الاستدامة.</t>
        </is>
      </c>
      <c r="E127" s="31" t="inlineStr">
        <is>
          <t>(المتحقّق ÷ الإجمالي) × 100٪</t>
        </is>
      </c>
      <c r="F127" s="23" t="inlineStr">
        <is>
          <t>🔧 تشغيلي</t>
        </is>
      </c>
      <c r="G127" s="31" t="inlineStr">
        <is>
          <t>الاستدامة · جودة التشغيل</t>
        </is>
      </c>
      <c r="H127" s="23" t="inlineStr">
        <is>
          <t>العمليات الداخلية</t>
        </is>
      </c>
      <c r="I127" s="32" t="n">
        <v>0.05</v>
      </c>
      <c r="J127" s="23" t="inlineStr">
        <is>
          <t>مدير الموارد البشرية</t>
        </is>
      </c>
      <c r="K127" s="31" t="inlineStr">
        <is>
          <t>مكتب إدارة المشاريع (PMO)</t>
        </is>
      </c>
      <c r="L127" s="23" t="inlineStr">
        <is>
          <t>شهري</t>
        </is>
      </c>
      <c r="M127" s="23" t="inlineStr">
        <is>
          <t>مدير الموارد البشرية</t>
        </is>
      </c>
      <c r="N127" s="33" t="n"/>
    </row>
    <row r="128" ht="30" customHeight="1">
      <c r="A128" s="23" t="n">
        <v>126</v>
      </c>
      <c r="B128" s="26" t="inlineStr">
        <is>
          <t>الموارد البشرية</t>
        </is>
      </c>
      <c r="C128" s="9" t="inlineStr">
        <is>
          <t>اعتماد الهيكل التنظيمي</t>
        </is>
      </c>
      <c r="D128" s="30" t="inlineStr">
        <is>
          <t>يقيس اعتماد الهيكل التنظيمي ضمن محور «الهيكلة»، ويعكس مساهمة الإدارة في ركيزة الاستدامة.</t>
        </is>
      </c>
      <c r="E128" s="31" t="inlineStr">
        <is>
          <t>(المتحقّق ÷ الإجمالي) × 100٪</t>
        </is>
      </c>
      <c r="F128" s="23" t="inlineStr">
        <is>
          <t>🔧 تشغيلي</t>
        </is>
      </c>
      <c r="G128" s="31" t="inlineStr">
        <is>
          <t>الاستدامة · جودة التشغيل</t>
        </is>
      </c>
      <c r="H128" s="23" t="inlineStr">
        <is>
          <t>العمليات الداخلية</t>
        </is>
      </c>
      <c r="I128" s="32" t="n">
        <v>0.05</v>
      </c>
      <c r="J128" s="23" t="inlineStr">
        <is>
          <t>مدير الموارد البشرية</t>
        </is>
      </c>
      <c r="K128" s="31" t="inlineStr">
        <is>
          <t>نظام الموارد البشرية (HRMS)</t>
        </is>
      </c>
      <c r="L128" s="23" t="inlineStr">
        <is>
          <t>شهري</t>
        </is>
      </c>
      <c r="M128" s="23" t="inlineStr">
        <is>
          <t>مدير الموارد البشرية</t>
        </is>
      </c>
      <c r="N128" s="33" t="n"/>
    </row>
    <row r="129" ht="30" customHeight="1">
      <c r="A129" s="23" t="n">
        <v>127</v>
      </c>
      <c r="B129" s="26" t="inlineStr">
        <is>
          <t>الموارد البشرية</t>
        </is>
      </c>
      <c r="C129" s="9" t="inlineStr">
        <is>
          <t>اكتمال الأوصاف الوظيفية (+KPI)</t>
        </is>
      </c>
      <c r="D129" s="30" t="inlineStr">
        <is>
          <t>يقيس اكتمال الأوصاف الوظيفية (+KPI) ضمن محور «الهيكلة»، ويعكس مساهمة الإدارة في ركيزة الاستدامة.</t>
        </is>
      </c>
      <c r="E129" s="31" t="inlineStr">
        <is>
          <t>(المتحقّق ÷ الإجمالي) × 100٪</t>
        </is>
      </c>
      <c r="F129" s="23" t="inlineStr">
        <is>
          <t>⚙️ نشاط</t>
        </is>
      </c>
      <c r="G129" s="31" t="inlineStr">
        <is>
          <t>الاستدامة · جودة التشغيل</t>
        </is>
      </c>
      <c r="H129" s="23" t="inlineStr">
        <is>
          <t>العمليات الداخلية</t>
        </is>
      </c>
      <c r="I129" s="32" t="n">
        <v>0.05</v>
      </c>
      <c r="J129" s="23" t="inlineStr">
        <is>
          <t>مدير الموارد البشرية</t>
        </is>
      </c>
      <c r="K129" s="31" t="inlineStr">
        <is>
          <t>نظام الموارد البشرية (HRMS)</t>
        </is>
      </c>
      <c r="L129" s="23" t="inlineStr">
        <is>
          <t>شهري</t>
        </is>
      </c>
      <c r="M129" s="23" t="inlineStr">
        <is>
          <t>مدير الموارد البشرية</t>
        </is>
      </c>
      <c r="N129" s="33" t="n"/>
    </row>
    <row r="130" ht="30" customHeight="1">
      <c r="A130" s="23" t="n">
        <v>128</v>
      </c>
      <c r="B130" s="26" t="inlineStr">
        <is>
          <t>الموارد البشرية</t>
        </is>
      </c>
      <c r="C130" s="9" t="inlineStr">
        <is>
          <t>نسبة إنجاز تقييمات الأداء في موعدها</t>
        </is>
      </c>
      <c r="D130" s="30" t="inlineStr">
        <is>
          <t>يقيس نسبة إنجاز تقييمات الأداء في موعدها ضمن محور «الأداء»، ويعكس مساهمة الإدارة في ركيزة الاستدامة.</t>
        </is>
      </c>
      <c r="E130" s="31" t="inlineStr">
        <is>
          <t>(المتحقّق ÷ الإجمالي) × 100٪</t>
        </is>
      </c>
      <c r="F130" s="23" t="inlineStr">
        <is>
          <t>🎯 نتيجة</t>
        </is>
      </c>
      <c r="G130" s="31" t="inlineStr">
        <is>
          <t>الاستدامة · الاستثمار في الموظفين</t>
        </is>
      </c>
      <c r="H130" s="23" t="inlineStr">
        <is>
          <t>العمليات الداخلية</t>
        </is>
      </c>
      <c r="I130" s="32" t="n">
        <v>0.05</v>
      </c>
      <c r="J130" s="23" t="inlineStr">
        <is>
          <t>مدير الموارد البشرية</t>
        </is>
      </c>
      <c r="K130" s="31" t="inlineStr">
        <is>
          <t>سجلات الإدارة</t>
        </is>
      </c>
      <c r="L130" s="23" t="inlineStr">
        <is>
          <t>شهري</t>
        </is>
      </c>
      <c r="M130" s="23" t="inlineStr">
        <is>
          <t>مدير الموارد البشرية</t>
        </is>
      </c>
      <c r="N130" s="33" t="n"/>
    </row>
    <row r="131" ht="30" customHeight="1">
      <c r="A131" s="23" t="n">
        <v>129</v>
      </c>
      <c r="B131" s="26" t="inlineStr">
        <is>
          <t>التسويق</t>
        </is>
      </c>
      <c r="C131" s="9" t="inlineStr">
        <is>
          <t>الوصول الكلي (Total Reach)</t>
        </is>
      </c>
      <c r="D131" s="30" t="inlineStr">
        <is>
          <t>يقيس الوصول الكلي (Total Reach) ضمن محور «الإدارة العامة»، ويعكس مساهمة الإدارة في ركيزة النمو.</t>
        </is>
      </c>
      <c r="E131" s="31" t="inlineStr">
        <is>
          <t>إجمالي العدد خلال الفترة</t>
        </is>
      </c>
      <c r="F131" s="23" t="inlineStr">
        <is>
          <t>🎯 نتيجة</t>
        </is>
      </c>
      <c r="G131" s="31" t="inlineStr">
        <is>
          <t>النمو · زيادة وصول العملاء</t>
        </is>
      </c>
      <c r="H131" s="23" t="inlineStr">
        <is>
          <t>العملاء</t>
        </is>
      </c>
      <c r="I131" s="32" t="n">
        <v>0.08</v>
      </c>
      <c r="J131" s="23" t="inlineStr">
        <is>
          <t>مدير التسويق</t>
        </is>
      </c>
      <c r="K131" s="31" t="inlineStr">
        <is>
          <t>أنظمة التسويق الرقمي / تانكي</t>
        </is>
      </c>
      <c r="L131" s="23" t="inlineStr">
        <is>
          <t>شهري</t>
        </is>
      </c>
      <c r="M131" s="23" t="inlineStr">
        <is>
          <t>مدير التسويق</t>
        </is>
      </c>
      <c r="N131" s="33" t="n"/>
    </row>
    <row r="132" ht="30" customHeight="1">
      <c r="A132" s="23" t="n">
        <v>130</v>
      </c>
      <c r="B132" s="26" t="inlineStr">
        <is>
          <t>التسويق</t>
        </is>
      </c>
      <c r="C132" s="9" t="inlineStr">
        <is>
          <t>عملاء تجاريون جدد</t>
        </is>
      </c>
      <c r="D132" s="30" t="inlineStr">
        <is>
          <t>يقيس عملاء تجاريون جدد ضمن محور «الإدارة العامة»، ويعكس مساهمة الإدارة في ركيزة النمو.</t>
        </is>
      </c>
      <c r="E132" s="31" t="inlineStr">
        <is>
          <t>إجمالي العدد خلال الفترة</t>
        </is>
      </c>
      <c r="F132" s="23" t="inlineStr">
        <is>
          <t>🔧 تشغيلي</t>
        </is>
      </c>
      <c r="G132" s="31" t="inlineStr">
        <is>
          <t>النمو · زيادة وصول العملاء</t>
        </is>
      </c>
      <c r="H132" s="23" t="inlineStr">
        <is>
          <t>العملاء</t>
        </is>
      </c>
      <c r="I132" s="32" t="n">
        <v>0.06</v>
      </c>
      <c r="J132" s="23" t="inlineStr">
        <is>
          <t>مدير التسويق</t>
        </is>
      </c>
      <c r="K132" s="31" t="inlineStr">
        <is>
          <t>سجلات الإدارة</t>
        </is>
      </c>
      <c r="L132" s="23" t="inlineStr">
        <is>
          <t>شهري</t>
        </is>
      </c>
      <c r="M132" s="23" t="inlineStr">
        <is>
          <t>مدير التسويق</t>
        </is>
      </c>
      <c r="N132" s="33" t="n"/>
    </row>
    <row r="133" ht="30" customHeight="1">
      <c r="A133" s="23" t="n">
        <v>131</v>
      </c>
      <c r="B133" s="26" t="inlineStr">
        <is>
          <t>التسويق</t>
        </is>
      </c>
      <c r="C133" s="9" t="inlineStr">
        <is>
          <t>إجمالي المتابعين (كل المنصات)</t>
        </is>
      </c>
      <c r="D133" s="30" t="inlineStr">
        <is>
          <t>يقيس إجمالي المتابعين (كل المنصات) ضمن محور «الفريق الإبداعي»، ويعكس مساهمة الإدارة في ركيزة النمو.</t>
        </is>
      </c>
      <c r="E133" s="31" t="inlineStr">
        <is>
          <t>إجمالي العدد خلال الفترة</t>
        </is>
      </c>
      <c r="F133" s="23" t="inlineStr">
        <is>
          <t>🔧 تشغيلي</t>
        </is>
      </c>
      <c r="G133" s="31" t="inlineStr">
        <is>
          <t>النمو · زيادة وصول العملاء</t>
        </is>
      </c>
      <c r="H133" s="23" t="inlineStr">
        <is>
          <t>العمليات الداخلية</t>
        </is>
      </c>
      <c r="I133" s="32" t="n">
        <v>0.08</v>
      </c>
      <c r="J133" s="23" t="inlineStr">
        <is>
          <t>مدير التسويق</t>
        </is>
      </c>
      <c r="K133" s="31" t="inlineStr">
        <is>
          <t>أنظمة التسويق الرقمي / تانكي</t>
        </is>
      </c>
      <c r="L133" s="23" t="inlineStr">
        <is>
          <t>شهري</t>
        </is>
      </c>
      <c r="M133" s="23" t="inlineStr">
        <is>
          <t>مدير التسويق</t>
        </is>
      </c>
      <c r="N133" s="33" t="n"/>
    </row>
    <row r="134" ht="30" customHeight="1">
      <c r="A134" s="23" t="n">
        <v>132</v>
      </c>
      <c r="B134" s="26" t="inlineStr">
        <is>
          <t>التسويق</t>
        </is>
      </c>
      <c r="C134" s="9" t="inlineStr">
        <is>
          <t>معدل التفاعل (Engagement)</t>
        </is>
      </c>
      <c r="D134" s="30" t="inlineStr">
        <is>
          <t>يقيس معدل التفاعل (Engagement) ضمن محور «الفريق الإبداعي»، ويعكس مساهمة الإدارة في ركيزة النمو.</t>
        </is>
      </c>
      <c r="E134" s="31" t="inlineStr">
        <is>
          <t>(المتحقّق ÷ الإجمالي) × 100٪</t>
        </is>
      </c>
      <c r="F134" s="23" t="inlineStr">
        <is>
          <t>🔧 تشغيلي</t>
        </is>
      </c>
      <c r="G134" s="31" t="inlineStr">
        <is>
          <t>النمو · زيادة وصول العملاء</t>
        </is>
      </c>
      <c r="H134" s="23" t="inlineStr">
        <is>
          <t>العمليات الداخلية</t>
        </is>
      </c>
      <c r="I134" s="32" t="n">
        <v>0.08</v>
      </c>
      <c r="J134" s="23" t="inlineStr">
        <is>
          <t>مدير التسويق</t>
        </is>
      </c>
      <c r="K134" s="31" t="inlineStr">
        <is>
          <t>أنظمة التسويق الرقمي / تانكي</t>
        </is>
      </c>
      <c r="L134" s="23" t="inlineStr">
        <is>
          <t>شهري</t>
        </is>
      </c>
      <c r="M134" s="23" t="inlineStr">
        <is>
          <t>مدير التسويق</t>
        </is>
      </c>
      <c r="N134" s="33" t="n"/>
    </row>
    <row r="135" ht="30" customHeight="1">
      <c r="A135" s="23" t="n">
        <v>133</v>
      </c>
      <c r="B135" s="26" t="inlineStr">
        <is>
          <t>التسويق</t>
        </is>
      </c>
      <c r="C135" s="9" t="inlineStr">
        <is>
          <t>حملات تسويقية منجزة</t>
        </is>
      </c>
      <c r="D135" s="30" t="inlineStr">
        <is>
          <t>يقيس حملات تسويقية منجزة ضمن محور «الحملات التسويقية»، ويعكس مساهمة الإدارة في ركيزة النمو.</t>
        </is>
      </c>
      <c r="E135" s="31" t="inlineStr">
        <is>
          <t>إجمالي العدد خلال الفترة</t>
        </is>
      </c>
      <c r="F135" s="23" t="inlineStr">
        <is>
          <t>⚙️ نشاط</t>
        </is>
      </c>
      <c r="G135" s="31" t="inlineStr">
        <is>
          <t>النمو · زيادة وصول العملاء</t>
        </is>
      </c>
      <c r="H135" s="23" t="inlineStr">
        <is>
          <t>العمليات الداخلية</t>
        </is>
      </c>
      <c r="I135" s="32" t="n">
        <v>0.06</v>
      </c>
      <c r="J135" s="23" t="inlineStr">
        <is>
          <t>مدير التسويق</t>
        </is>
      </c>
      <c r="K135" s="31" t="inlineStr">
        <is>
          <t>أنظمة التسويق الرقمي / تانكي</t>
        </is>
      </c>
      <c r="L135" s="23" t="inlineStr">
        <is>
          <t>شهري</t>
        </is>
      </c>
      <c r="M135" s="23" t="inlineStr">
        <is>
          <t>مدير التسويق</t>
        </is>
      </c>
      <c r="N135" s="33" t="n"/>
    </row>
    <row r="136" ht="30" customHeight="1">
      <c r="A136" s="23" t="n">
        <v>134</v>
      </c>
      <c r="B136" s="26" t="inlineStr">
        <is>
          <t>التسويق</t>
        </is>
      </c>
      <c r="C136" s="9" t="inlineStr">
        <is>
          <t>تحويل الفرص إلى عقود</t>
        </is>
      </c>
      <c r="D136" s="30" t="inlineStr">
        <is>
          <t>يقيس تحويل الفرص إلى عقود ضمن محور «الحملات التسويقية»، ويعكس مساهمة الإدارة في ركيزة النمو.</t>
        </is>
      </c>
      <c r="E136" s="31" t="inlineStr">
        <is>
          <t>(المتحقّق ÷ الإجمالي) × 100٪</t>
        </is>
      </c>
      <c r="F136" s="23" t="inlineStr">
        <is>
          <t>🔧 تشغيلي</t>
        </is>
      </c>
      <c r="G136" s="31" t="inlineStr">
        <is>
          <t>النمو · زيادة وصول العملاء</t>
        </is>
      </c>
      <c r="H136" s="23" t="inlineStr">
        <is>
          <t>العمليات الداخلية</t>
        </is>
      </c>
      <c r="I136" s="32" t="n">
        <v>0.08</v>
      </c>
      <c r="J136" s="23" t="inlineStr">
        <is>
          <t>مدير التسويق</t>
        </is>
      </c>
      <c r="K136" s="31" t="inlineStr">
        <is>
          <t>أنظمة التسويق الرقمي / تانكي</t>
        </is>
      </c>
      <c r="L136" s="23" t="inlineStr">
        <is>
          <t>شهري</t>
        </is>
      </c>
      <c r="M136" s="23" t="inlineStr">
        <is>
          <t>مدير التسويق</t>
        </is>
      </c>
      <c r="N136" s="33" t="n"/>
    </row>
    <row r="137" ht="30" customHeight="1">
      <c r="A137" s="23" t="n">
        <v>135</v>
      </c>
      <c r="B137" s="26" t="inlineStr">
        <is>
          <t>التسويق</t>
        </is>
      </c>
      <c r="C137" s="9" t="inlineStr">
        <is>
          <t>نسبة المبيعات لكل حملة</t>
        </is>
      </c>
      <c r="D137" s="30" t="inlineStr">
        <is>
          <t>يقيس نسبة المبيعات لكل حملة ضمن محور «الحملات التسويقية»، ويعكس مساهمة الإدارة في ركيزة النمو.</t>
        </is>
      </c>
      <c r="E137" s="31" t="inlineStr">
        <is>
          <t>(المتحقّق ÷ الإجمالي) × 100٪</t>
        </is>
      </c>
      <c r="F137" s="23" t="inlineStr">
        <is>
          <t>🎯 نتيجة</t>
        </is>
      </c>
      <c r="G137" s="31" t="inlineStr">
        <is>
          <t>النمو · زيادة وصول العملاء</t>
        </is>
      </c>
      <c r="H137" s="23" t="inlineStr">
        <is>
          <t>مالي</t>
        </is>
      </c>
      <c r="I137" s="32" t="n">
        <v>0.08</v>
      </c>
      <c r="J137" s="23" t="inlineStr">
        <is>
          <t>مدير التسويق</t>
        </is>
      </c>
      <c r="K137" s="31" t="inlineStr">
        <is>
          <t>أنظمة التسويق الرقمي / تانكي</t>
        </is>
      </c>
      <c r="L137" s="23" t="inlineStr">
        <is>
          <t>شهري</t>
        </is>
      </c>
      <c r="M137" s="23" t="inlineStr">
        <is>
          <t>مدير التسويق</t>
        </is>
      </c>
      <c r="N137" s="33" t="n"/>
    </row>
    <row r="138" ht="30" customHeight="1">
      <c r="A138" s="23" t="n">
        <v>136</v>
      </c>
      <c r="B138" s="26" t="inlineStr">
        <is>
          <t>التسويق</t>
        </is>
      </c>
      <c r="C138" s="9" t="inlineStr">
        <is>
          <t>نسبة التزام الهوية البصرية</t>
        </is>
      </c>
      <c r="D138" s="30" t="inlineStr">
        <is>
          <t>يقيس نسبة التزام الهوية البصرية ضمن محور «الدعاية والإعلان»، ويعكس مساهمة الإدارة في ركيزة الابتكار.</t>
        </is>
      </c>
      <c r="E138" s="31" t="inlineStr">
        <is>
          <t>(المتحقّق ÷ الإجمالي) × 100٪</t>
        </is>
      </c>
      <c r="F138" s="23" t="inlineStr">
        <is>
          <t>🔧 تشغيلي</t>
        </is>
      </c>
      <c r="G138" s="31" t="inlineStr">
        <is>
          <t>الابتكار · تطوير التصاميم والهوية</t>
        </is>
      </c>
      <c r="H138" s="23" t="inlineStr">
        <is>
          <t>التعلّم والنمو</t>
        </is>
      </c>
      <c r="I138" s="32" t="n">
        <v>0.08</v>
      </c>
      <c r="J138" s="23" t="inlineStr">
        <is>
          <t>مدير التسويق</t>
        </is>
      </c>
      <c r="K138" s="31" t="inlineStr">
        <is>
          <t>سجلات الإدارة</t>
        </is>
      </c>
      <c r="L138" s="23" t="inlineStr">
        <is>
          <t>شهري</t>
        </is>
      </c>
      <c r="M138" s="23" t="inlineStr">
        <is>
          <t>مدير التسويق</t>
        </is>
      </c>
      <c r="N138" s="33" t="n"/>
    </row>
    <row r="139" ht="30" customHeight="1">
      <c r="A139" s="23" t="n">
        <v>137</v>
      </c>
      <c r="B139" s="26" t="inlineStr">
        <is>
          <t>التسويق</t>
        </is>
      </c>
      <c r="C139" s="9" t="inlineStr">
        <is>
          <t>وصول العلاقات العامة (PR)</t>
        </is>
      </c>
      <c r="D139" s="30" t="inlineStr">
        <is>
          <t>يقيس وصول العلاقات العامة (PR) ضمن محور «العلاقات والشراكات»، ويعكس مساهمة الإدارة في ركيزة النمو.</t>
        </is>
      </c>
      <c r="E139" s="31" t="inlineStr">
        <is>
          <t>إجمالي العدد خلال الفترة</t>
        </is>
      </c>
      <c r="F139" s="23" t="inlineStr">
        <is>
          <t>🔧 تشغيلي</t>
        </is>
      </c>
      <c r="G139" s="31" t="inlineStr">
        <is>
          <t>النمو · زيادة وصول العملاء</t>
        </is>
      </c>
      <c r="H139" s="23" t="inlineStr">
        <is>
          <t>العملاء</t>
        </is>
      </c>
      <c r="I139" s="32" t="n">
        <v>0.06</v>
      </c>
      <c r="J139" s="23" t="inlineStr">
        <is>
          <t>مدير التسويق</t>
        </is>
      </c>
      <c r="K139" s="31" t="inlineStr">
        <is>
          <t>أنظمة التسويق الرقمي / تانكي</t>
        </is>
      </c>
      <c r="L139" s="23" t="inlineStr">
        <is>
          <t>شهري</t>
        </is>
      </c>
      <c r="M139" s="23" t="inlineStr">
        <is>
          <t>مدير التسويق</t>
        </is>
      </c>
      <c r="N139" s="33" t="n"/>
    </row>
    <row r="140" ht="30" customHeight="1">
      <c r="A140" s="23" t="n">
        <v>138</v>
      </c>
      <c r="B140" s="26" t="inlineStr">
        <is>
          <t>التسويق</t>
        </is>
      </c>
      <c r="C140" s="9" t="inlineStr">
        <is>
          <t>عدد المعارض بالسنة</t>
        </is>
      </c>
      <c r="D140" s="30" t="inlineStr">
        <is>
          <t>يقيس عدد المعارض بالسنة ضمن محور «العلاقات والشراكات»، ويعكس مساهمة الإدارة في ركيزة الابتكار.</t>
        </is>
      </c>
      <c r="E140" s="31" t="inlineStr">
        <is>
          <t>إجمالي العدد خلال الفترة</t>
        </is>
      </c>
      <c r="F140" s="23" t="inlineStr">
        <is>
          <t>⚙️ نشاط</t>
        </is>
      </c>
      <c r="G140" s="31" t="inlineStr">
        <is>
          <t>الابتكار · إطلاق مشاريع جديدة</t>
        </is>
      </c>
      <c r="H140" s="23" t="inlineStr">
        <is>
          <t>العمليات الداخلية</t>
        </is>
      </c>
      <c r="I140" s="32" t="n">
        <v>0.06</v>
      </c>
      <c r="J140" s="23" t="inlineStr">
        <is>
          <t>مدير التسويق</t>
        </is>
      </c>
      <c r="K140" s="31" t="inlineStr">
        <is>
          <t>سجلات الإدارة</t>
        </is>
      </c>
      <c r="L140" s="23" t="inlineStr">
        <is>
          <t>شهري</t>
        </is>
      </c>
      <c r="M140" s="23" t="inlineStr">
        <is>
          <t>مدير التسويق</t>
        </is>
      </c>
      <c r="N140" s="33" t="n"/>
    </row>
    <row r="141" ht="30" customHeight="1">
      <c r="A141" s="23" t="n">
        <v>139</v>
      </c>
      <c r="B141" s="26" t="inlineStr">
        <is>
          <t>التسويق</t>
        </is>
      </c>
      <c r="C141" s="9" t="inlineStr">
        <is>
          <t>اتفاقيات استراتيجية</t>
        </is>
      </c>
      <c r="D141" s="30" t="inlineStr">
        <is>
          <t>يقيس اتفاقيات استراتيجية ضمن محور «العلاقات والشراكات»، ويعكس مساهمة الإدارة في ركيزة الابتكار.</t>
        </is>
      </c>
      <c r="E141" s="31" t="inlineStr">
        <is>
          <t>إجمالي العدد خلال الفترة</t>
        </is>
      </c>
      <c r="F141" s="23" t="inlineStr">
        <is>
          <t>🔧 تشغيلي</t>
        </is>
      </c>
      <c r="G141" s="31" t="inlineStr">
        <is>
          <t>الابتكار · إطلاق مشاريع جديدة</t>
        </is>
      </c>
      <c r="H141" s="23" t="inlineStr">
        <is>
          <t>العمليات الداخلية</t>
        </is>
      </c>
      <c r="I141" s="32" t="n">
        <v>0.06</v>
      </c>
      <c r="J141" s="23" t="inlineStr">
        <is>
          <t>مدير التسويق</t>
        </is>
      </c>
      <c r="K141" s="31" t="inlineStr">
        <is>
          <t>سجلات الإدارة</t>
        </is>
      </c>
      <c r="L141" s="23" t="inlineStr">
        <is>
          <t>شهري</t>
        </is>
      </c>
      <c r="M141" s="23" t="inlineStr">
        <is>
          <t>مدير التسويق</t>
        </is>
      </c>
      <c r="N141" s="33" t="n"/>
    </row>
    <row r="142" ht="30" customHeight="1">
      <c r="A142" s="23" t="n">
        <v>140</v>
      </c>
      <c r="B142" s="26" t="inlineStr">
        <is>
          <t>التسويق</t>
        </is>
      </c>
      <c r="C142" s="9" t="inlineStr">
        <is>
          <t>تقييم خرائط قوقل</t>
        </is>
      </c>
      <c r="D142" s="30" t="inlineStr">
        <is>
          <t>يقيس تقييم خرائط قوقل ضمن محور «خدمة العملاء والدعم»، ويعكس مساهمة الإدارة في ركيزة الاستدامة.</t>
        </is>
      </c>
      <c r="E142" s="31" t="inlineStr">
        <is>
          <t>متوسط التقييم (من 5)</t>
        </is>
      </c>
      <c r="F142" s="23" t="inlineStr">
        <is>
          <t>🎯 نتيجة</t>
        </is>
      </c>
      <c r="G142" s="31" t="inlineStr">
        <is>
          <t>الاستدامة · تعزيز تجربة العملاء</t>
        </is>
      </c>
      <c r="H142" s="23" t="inlineStr">
        <is>
          <t>العملاء</t>
        </is>
      </c>
      <c r="I142" s="32" t="n">
        <v>0.06</v>
      </c>
      <c r="J142" s="23" t="inlineStr">
        <is>
          <t>مدير التسويق</t>
        </is>
      </c>
      <c r="K142" s="31" t="inlineStr">
        <is>
          <t>تقييمات خرائط قوقل</t>
        </is>
      </c>
      <c r="L142" s="23" t="inlineStr">
        <is>
          <t>شهري</t>
        </is>
      </c>
      <c r="M142" s="23" t="inlineStr">
        <is>
          <t>مدير التسويق</t>
        </is>
      </c>
      <c r="N142" s="33" t="n"/>
    </row>
    <row r="143" ht="30" customHeight="1">
      <c r="A143" s="23" t="n">
        <v>141</v>
      </c>
      <c r="B143" s="26" t="inlineStr">
        <is>
          <t>التسويق</t>
        </is>
      </c>
      <c r="C143" s="9" t="inlineStr">
        <is>
          <t>معدل خفض الشكاوى</t>
        </is>
      </c>
      <c r="D143" s="30" t="inlineStr">
        <is>
          <t>يقيس معدل خفض الشكاوى ضمن محور «خدمة العملاء والدعم»، ويعكس مساهمة الإدارة في ركيزة الاستدامة.</t>
        </is>
      </c>
      <c r="E143" s="31" t="inlineStr">
        <is>
          <t>(المتحقّق ÷ الإجمالي) × 100٪</t>
        </is>
      </c>
      <c r="F143" s="23" t="inlineStr">
        <is>
          <t>🎯 نتيجة</t>
        </is>
      </c>
      <c r="G143" s="31" t="inlineStr">
        <is>
          <t>الاستدامة · تعزيز تجربة العملاء</t>
        </is>
      </c>
      <c r="H143" s="23" t="inlineStr">
        <is>
          <t>العملاء</t>
        </is>
      </c>
      <c r="I143" s="32" t="n">
        <v>0.06</v>
      </c>
      <c r="J143" s="23" t="inlineStr">
        <is>
          <t>مدير التسويق</t>
        </is>
      </c>
      <c r="K143" s="31" t="inlineStr">
        <is>
          <t>سجلات الإدارة</t>
        </is>
      </c>
      <c r="L143" s="23" t="inlineStr">
        <is>
          <t>شهري</t>
        </is>
      </c>
      <c r="M143" s="23" t="inlineStr">
        <is>
          <t>مدير التسويق</t>
        </is>
      </c>
      <c r="N143" s="33" t="n"/>
    </row>
    <row r="144" ht="30" customHeight="1">
      <c r="A144" s="23" t="n">
        <v>142</v>
      </c>
      <c r="B144" s="26" t="inlineStr">
        <is>
          <t>التسويق</t>
        </is>
      </c>
      <c r="C144" s="9" t="inlineStr">
        <is>
          <t>وصول محتوى تطبيق تانكي</t>
        </is>
      </c>
      <c r="D144" s="30" t="inlineStr">
        <is>
          <t>يقيس وصول محتوى تطبيق تانكي ضمن محور «تطبيق تانكي»، ويعكس مساهمة الإدارة في ركيزة الابتكار.</t>
        </is>
      </c>
      <c r="E144" s="31" t="inlineStr">
        <is>
          <t>إجمالي العدد خلال الفترة</t>
        </is>
      </c>
      <c r="F144" s="23" t="inlineStr">
        <is>
          <t>🔧 تشغيلي</t>
        </is>
      </c>
      <c r="G144" s="31" t="inlineStr">
        <is>
          <t>الابتكار · تطبيق «تانكي»</t>
        </is>
      </c>
      <c r="H144" s="23" t="inlineStr">
        <is>
          <t>العملاء</t>
        </is>
      </c>
      <c r="I144" s="32" t="n">
        <v>0.05</v>
      </c>
      <c r="J144" s="23" t="inlineStr">
        <is>
          <t>مدير التسويق</t>
        </is>
      </c>
      <c r="K144" s="31" t="inlineStr">
        <is>
          <t>أنظمة التسويق الرقمي / تانكي</t>
        </is>
      </c>
      <c r="L144" s="23" t="inlineStr">
        <is>
          <t>شهري</t>
        </is>
      </c>
      <c r="M144" s="23" t="inlineStr">
        <is>
          <t>مدير التسويق</t>
        </is>
      </c>
      <c r="N144" s="33" t="n"/>
    </row>
    <row r="145" ht="30" customHeight="1">
      <c r="A145" s="23" t="n">
        <v>143</v>
      </c>
      <c r="B145" s="26" t="inlineStr">
        <is>
          <t>التسويق</t>
        </is>
      </c>
      <c r="C145" s="9" t="inlineStr">
        <is>
          <t>مشاركات تطبيق تانكي</t>
        </is>
      </c>
      <c r="D145" s="30" t="inlineStr">
        <is>
          <t>يقيس مشاركات تطبيق تانكي ضمن محور «تطبيق تانكي»، ويعكس مساهمة الإدارة في ركيزة الابتكار.</t>
        </is>
      </c>
      <c r="E145" s="31" t="inlineStr">
        <is>
          <t>إجمالي العدد خلال الفترة</t>
        </is>
      </c>
      <c r="F145" s="23" t="inlineStr">
        <is>
          <t>🔧 تشغيلي</t>
        </is>
      </c>
      <c r="G145" s="31" t="inlineStr">
        <is>
          <t>الابتكار · تطبيق «تانكي»</t>
        </is>
      </c>
      <c r="H145" s="23" t="inlineStr">
        <is>
          <t>العمليات الداخلية</t>
        </is>
      </c>
      <c r="I145" s="32" t="n">
        <v>0.05</v>
      </c>
      <c r="J145" s="23" t="inlineStr">
        <is>
          <t>مدير التسويق</t>
        </is>
      </c>
      <c r="K145" s="31" t="inlineStr">
        <is>
          <t>أنظمة التسويق الرقمي / تانكي</t>
        </is>
      </c>
      <c r="L145" s="23" t="inlineStr">
        <is>
          <t>شهري</t>
        </is>
      </c>
      <c r="M145" s="23" t="inlineStr">
        <is>
          <t>مدير التسويق</t>
        </is>
      </c>
      <c r="N145" s="33" t="n"/>
    </row>
    <row r="146" ht="30" customHeight="1">
      <c r="A146" s="23" t="n">
        <v>144</v>
      </c>
      <c r="B146" s="26" t="inlineStr">
        <is>
          <t>الجودة</t>
        </is>
      </c>
      <c r="C146" s="9" t="inlineStr">
        <is>
          <t>نسبة المحطات الحرجة</t>
        </is>
      </c>
      <c r="D146" s="30" t="inlineStr">
        <is>
          <t>يقيس نسبة المحطات الحرجة ضمن محور «مخاطر الجودة»، ويعكس مساهمة الإدارة في ركيزة الاستدامة.</t>
        </is>
      </c>
      <c r="E146" s="31" t="inlineStr">
        <is>
          <t>(المتحقّق ÷ الإجمالي) × 100٪</t>
        </is>
      </c>
      <c r="F146" s="23" t="inlineStr">
        <is>
          <t>🔧 تشغيلي</t>
        </is>
      </c>
      <c r="G146" s="31" t="inlineStr">
        <is>
          <t>الاستدامة · جودة التشغيل</t>
        </is>
      </c>
      <c r="H146" s="23" t="inlineStr">
        <is>
          <t>العمليات الداخلية</t>
        </is>
      </c>
      <c r="I146" s="32" t="n">
        <v>0.1</v>
      </c>
      <c r="J146" s="23" t="inlineStr">
        <is>
          <t>مدير الجودة</t>
        </is>
      </c>
      <c r="K146" s="31" t="inlineStr">
        <is>
          <t>نظام إدارة الجودة (QMS)</t>
        </is>
      </c>
      <c r="L146" s="23" t="inlineStr">
        <is>
          <t>شهري</t>
        </is>
      </c>
      <c r="M146" s="23" t="inlineStr">
        <is>
          <t>مدير الجودة</t>
        </is>
      </c>
      <c r="N146" s="33" t="n"/>
    </row>
    <row r="147" ht="30" customHeight="1">
      <c r="A147" s="23" t="n">
        <v>145</v>
      </c>
      <c r="B147" s="26" t="inlineStr">
        <is>
          <t>الجودة</t>
        </is>
      </c>
      <c r="C147" s="9" t="inlineStr">
        <is>
          <t>نسبة مطابقة جودة الوقود</t>
        </is>
      </c>
      <c r="D147" s="30" t="inlineStr">
        <is>
          <t>يقيس نسبة مطابقة جودة الوقود ضمن محور «جودة الوقود»، ويعكس مساهمة الإدارة في ركيزة الاستدامة.</t>
        </is>
      </c>
      <c r="E147" s="31" t="inlineStr">
        <is>
          <t>(المتحقّق ÷ الإجمالي) × 100٪</t>
        </is>
      </c>
      <c r="F147" s="23" t="inlineStr">
        <is>
          <t>🔧 تشغيلي</t>
        </is>
      </c>
      <c r="G147" s="31" t="inlineStr">
        <is>
          <t>الاستدامة · جودة التشغيل</t>
        </is>
      </c>
      <c r="H147" s="23" t="inlineStr">
        <is>
          <t>العمليات الداخلية</t>
        </is>
      </c>
      <c r="I147" s="32" t="n">
        <v>0.07000000000000001</v>
      </c>
      <c r="J147" s="23" t="inlineStr">
        <is>
          <t>مدير الجودة</t>
        </is>
      </c>
      <c r="K147" s="31" t="inlineStr">
        <is>
          <t>نظام إدارة الجودة (QMS)</t>
        </is>
      </c>
      <c r="L147" s="23" t="inlineStr">
        <is>
          <t>شهري</t>
        </is>
      </c>
      <c r="M147" s="23" t="inlineStr">
        <is>
          <t>مدير الجودة</t>
        </is>
      </c>
      <c r="N147" s="33" t="n"/>
    </row>
    <row r="148" ht="30" customHeight="1">
      <c r="A148" s="23" t="n">
        <v>146</v>
      </c>
      <c r="B148" s="26" t="inlineStr">
        <is>
          <t>الجودة</t>
        </is>
      </c>
      <c r="C148" s="9" t="inlineStr">
        <is>
          <t>نسبة إغلاق الملاحظات في الوقت المحدد</t>
        </is>
      </c>
      <c r="D148" s="30" t="inlineStr">
        <is>
          <t>يقيس نسبة إغلاق الملاحظات في الوقت المحدد ضمن محور «معالجة وتصحيح»، ويعكس مساهمة الإدارة في ركيزة الاستدامة.</t>
        </is>
      </c>
      <c r="E148" s="31" t="inlineStr">
        <is>
          <t>(المتحقّق ÷ الإجمالي) × 100٪</t>
        </is>
      </c>
      <c r="F148" s="23" t="inlineStr">
        <is>
          <t>🔧 تشغيلي</t>
        </is>
      </c>
      <c r="G148" s="31" t="inlineStr">
        <is>
          <t>الاستدامة · جودة التشغيل</t>
        </is>
      </c>
      <c r="H148" s="23" t="inlineStr">
        <is>
          <t>العمليات الداخلية</t>
        </is>
      </c>
      <c r="I148" s="32" t="n">
        <v>0.07000000000000001</v>
      </c>
      <c r="J148" s="23" t="inlineStr">
        <is>
          <t>مدير الجودة</t>
        </is>
      </c>
      <c r="K148" s="31" t="inlineStr">
        <is>
          <t>نظام إدارة الجودة (QMS)</t>
        </is>
      </c>
      <c r="L148" s="23" t="inlineStr">
        <is>
          <t>شهري</t>
        </is>
      </c>
      <c r="M148" s="23" t="inlineStr">
        <is>
          <t>مدير الجودة</t>
        </is>
      </c>
      <c r="N148" s="33" t="n"/>
    </row>
    <row r="149" ht="30" customHeight="1">
      <c r="A149" s="23" t="n">
        <v>147</v>
      </c>
      <c r="B149" s="26" t="inlineStr">
        <is>
          <t>الجودة</t>
        </is>
      </c>
      <c r="C149" s="9" t="inlineStr">
        <is>
          <t>نسبة فعالية الإجراءات التصحيحية</t>
        </is>
      </c>
      <c r="D149" s="30" t="inlineStr">
        <is>
          <t>يقيس نسبة فعالية الإجراءات التصحيحية ضمن محور «تحسين ووقاية»، ويعكس مساهمة الإدارة في ركيزة الاستدامة.</t>
        </is>
      </c>
      <c r="E149" s="31" t="inlineStr">
        <is>
          <t>(المتحقّق ÷ الإجمالي) × 100٪</t>
        </is>
      </c>
      <c r="F149" s="23" t="inlineStr">
        <is>
          <t>🔧 تشغيلي</t>
        </is>
      </c>
      <c r="G149" s="31" t="inlineStr">
        <is>
          <t>الاستدامة · جودة التشغيل</t>
        </is>
      </c>
      <c r="H149" s="23" t="inlineStr">
        <is>
          <t>العمليات الداخلية</t>
        </is>
      </c>
      <c r="I149" s="32" t="n">
        <v>0.07000000000000001</v>
      </c>
      <c r="J149" s="23" t="inlineStr">
        <is>
          <t>مدير الجودة</t>
        </is>
      </c>
      <c r="K149" s="31" t="inlineStr">
        <is>
          <t>سجلات الإدارة</t>
        </is>
      </c>
      <c r="L149" s="23" t="inlineStr">
        <is>
          <t>شهري</t>
        </is>
      </c>
      <c r="M149" s="23" t="inlineStr">
        <is>
          <t>مدير الجودة</t>
        </is>
      </c>
      <c r="N149" s="33" t="n"/>
    </row>
    <row r="150" ht="30" customHeight="1">
      <c r="A150" s="23" t="n">
        <v>148</v>
      </c>
      <c r="B150" s="26" t="inlineStr">
        <is>
          <t>الجودة</t>
        </is>
      </c>
      <c r="C150" s="9" t="inlineStr">
        <is>
          <t>نسبة تكرار الملاحظات</t>
        </is>
      </c>
      <c r="D150" s="30" t="inlineStr">
        <is>
          <t>يقيس نسبة تكرار الملاحظات ضمن محور «منع التكرار»، ويعكس مساهمة الإدارة في ركيزة الاستدامة.</t>
        </is>
      </c>
      <c r="E150" s="31" t="inlineStr">
        <is>
          <t>(المتحقّق ÷ الإجمالي) × 100٪</t>
        </is>
      </c>
      <c r="F150" s="23" t="inlineStr">
        <is>
          <t>🔧 تشغيلي</t>
        </is>
      </c>
      <c r="G150" s="31" t="inlineStr">
        <is>
          <t>الاستدامة · جودة التشغيل</t>
        </is>
      </c>
      <c r="H150" s="23" t="inlineStr">
        <is>
          <t>العمليات الداخلية</t>
        </is>
      </c>
      <c r="I150" s="32" t="n">
        <v>0.07000000000000001</v>
      </c>
      <c r="J150" s="23" t="inlineStr">
        <is>
          <t>مدير الجودة</t>
        </is>
      </c>
      <c r="K150" s="31" t="inlineStr">
        <is>
          <t>نظام إدارة الجودة (QMS)</t>
        </is>
      </c>
      <c r="L150" s="23" t="inlineStr">
        <is>
          <t>شهري</t>
        </is>
      </c>
      <c r="M150" s="23" t="inlineStr">
        <is>
          <t>مدير الجودة</t>
        </is>
      </c>
      <c r="N150" s="33" t="n"/>
    </row>
    <row r="151" ht="30" customHeight="1">
      <c r="A151" s="23" t="n">
        <v>149</v>
      </c>
      <c r="B151" s="26" t="inlineStr">
        <is>
          <t>الجودة</t>
        </is>
      </c>
      <c r="C151" s="9" t="inlineStr">
        <is>
          <t>نسبة تنفيذ خطة التفتيش والتدقيق</t>
        </is>
      </c>
      <c r="D151" s="30" t="inlineStr">
        <is>
          <t>يقيس نسبة تنفيذ خطة التفتيش والتدقيق ضمن محور «تفتيش وتدقيق»، ويعكس مساهمة الإدارة في ركيزة الاستدامة.</t>
        </is>
      </c>
      <c r="E151" s="31" t="inlineStr">
        <is>
          <t>(المتحقّق ÷ الإجمالي) × 100٪</t>
        </is>
      </c>
      <c r="F151" s="23" t="inlineStr">
        <is>
          <t>⚙️ نشاط</t>
        </is>
      </c>
      <c r="G151" s="31" t="inlineStr">
        <is>
          <t>الاستدامة · جودة التشغيل</t>
        </is>
      </c>
      <c r="H151" s="23" t="inlineStr">
        <is>
          <t>العمليات الداخلية</t>
        </is>
      </c>
      <c r="I151" s="32" t="n">
        <v>0.07000000000000001</v>
      </c>
      <c r="J151" s="23" t="inlineStr">
        <is>
          <t>مدير الجودة</t>
        </is>
      </c>
      <c r="K151" s="31" t="inlineStr">
        <is>
          <t>نظام المحاسبة / ERP (D365)</t>
        </is>
      </c>
      <c r="L151" s="23" t="inlineStr">
        <is>
          <t>ربعي</t>
        </is>
      </c>
      <c r="M151" s="23" t="inlineStr">
        <is>
          <t>الإدارة المالية</t>
        </is>
      </c>
      <c r="N151" s="33" t="n"/>
    </row>
    <row r="152" ht="30" customHeight="1">
      <c r="A152" s="23" t="n">
        <v>150</v>
      </c>
      <c r="B152" s="26" t="inlineStr">
        <is>
          <t>الجودة</t>
        </is>
      </c>
      <c r="C152" s="9" t="inlineStr">
        <is>
          <t>نسبة جاهزية نظام إدارة الجودة QMS</t>
        </is>
      </c>
      <c r="D152" s="30" t="inlineStr">
        <is>
          <t>يقيس نسبة جاهزية نظام إدارة الجودة QMS ضمن محور «حوكمة الجودة»، ويعكس مساهمة الإدارة في ركيزة الاستدامة.</t>
        </is>
      </c>
      <c r="E152" s="31" t="inlineStr">
        <is>
          <t>(المتحقّق ÷ الإجمالي) × 100٪</t>
        </is>
      </c>
      <c r="F152" s="23" t="inlineStr">
        <is>
          <t>🔧 تشغيلي</t>
        </is>
      </c>
      <c r="G152" s="31" t="inlineStr">
        <is>
          <t>الاستدامة · جودة التشغيل</t>
        </is>
      </c>
      <c r="H152" s="23" t="inlineStr">
        <is>
          <t>العمليات الداخلية</t>
        </is>
      </c>
      <c r="I152" s="32" t="n">
        <v>0.1</v>
      </c>
      <c r="J152" s="23" t="inlineStr">
        <is>
          <t>مدير الجودة</t>
        </is>
      </c>
      <c r="K152" s="31" t="inlineStr">
        <is>
          <t>نظام إدارة الجودة (QMS)</t>
        </is>
      </c>
      <c r="L152" s="23" t="inlineStr">
        <is>
          <t>شهري</t>
        </is>
      </c>
      <c r="M152" s="23" t="inlineStr">
        <is>
          <t>مدير الجودة</t>
        </is>
      </c>
      <c r="N152" s="33" t="n"/>
    </row>
    <row r="153" ht="30" customHeight="1">
      <c r="A153" s="23" t="n">
        <v>151</v>
      </c>
      <c r="B153" s="26" t="inlineStr">
        <is>
          <t>الجودة</t>
        </is>
      </c>
      <c r="C153" s="9" t="inlineStr">
        <is>
          <t>عدد مخاطر الجودة الحرجة المفتوحة</t>
        </is>
      </c>
      <c r="D153" s="30" t="inlineStr">
        <is>
          <t>يقيس عدد مخاطر الجودة الحرجة المفتوحة ضمن محور «مخاطر الجودة»، ويعكس مساهمة الإدارة في ركيزة الاستدامة.</t>
        </is>
      </c>
      <c r="E153" s="31" t="inlineStr">
        <is>
          <t>إجمالي العدد خلال الفترة</t>
        </is>
      </c>
      <c r="F153" s="23" t="inlineStr">
        <is>
          <t>⚙️ نشاط</t>
        </is>
      </c>
      <c r="G153" s="31" t="inlineStr">
        <is>
          <t>الاستدامة · جودة التشغيل</t>
        </is>
      </c>
      <c r="H153" s="23" t="inlineStr">
        <is>
          <t>العمليات الداخلية</t>
        </is>
      </c>
      <c r="I153" s="32" t="n">
        <v>0.07000000000000001</v>
      </c>
      <c r="J153" s="23" t="inlineStr">
        <is>
          <t>مدير الجودة</t>
        </is>
      </c>
      <c r="K153" s="31" t="inlineStr">
        <is>
          <t>نظام إدارة الجودة (QMS)</t>
        </is>
      </c>
      <c r="L153" s="23" t="inlineStr">
        <is>
          <t>شهري</t>
        </is>
      </c>
      <c r="M153" s="23" t="inlineStr">
        <is>
          <t>مدير الجودة</t>
        </is>
      </c>
      <c r="N153" s="33" t="n"/>
    </row>
    <row r="154" ht="30" customHeight="1">
      <c r="A154" s="23" t="n">
        <v>152</v>
      </c>
      <c r="B154" s="26" t="inlineStr">
        <is>
          <t>الجودة</t>
        </is>
      </c>
      <c r="C154" s="9" t="inlineStr">
        <is>
          <t>نسبة إغلاق مخاطر الجودة في الوقت المحدد</t>
        </is>
      </c>
      <c r="D154" s="30" t="inlineStr">
        <is>
          <t>يقيس نسبة إغلاق مخاطر الجودة في الوقت المحدد ضمن محور «مخاطر الجودة»، ويعكس مساهمة الإدارة في ركيزة الاستدامة.</t>
        </is>
      </c>
      <c r="E154" s="31" t="inlineStr">
        <is>
          <t>(المتحقّق ÷ الإجمالي) × 100٪</t>
        </is>
      </c>
      <c r="F154" s="23" t="inlineStr">
        <is>
          <t>🔧 تشغيلي</t>
        </is>
      </c>
      <c r="G154" s="31" t="inlineStr">
        <is>
          <t>الاستدامة · جودة التشغيل</t>
        </is>
      </c>
      <c r="H154" s="23" t="inlineStr">
        <is>
          <t>العمليات الداخلية</t>
        </is>
      </c>
      <c r="I154" s="32" t="n">
        <v>0.07000000000000001</v>
      </c>
      <c r="J154" s="23" t="inlineStr">
        <is>
          <t>مدير الجودة</t>
        </is>
      </c>
      <c r="K154" s="31" t="inlineStr">
        <is>
          <t>نظام إدارة الجودة (QMS)</t>
        </is>
      </c>
      <c r="L154" s="23" t="inlineStr">
        <is>
          <t>شهري</t>
        </is>
      </c>
      <c r="M154" s="23" t="inlineStr">
        <is>
          <t>مدير الجودة</t>
        </is>
      </c>
      <c r="N154" s="33" t="n"/>
    </row>
    <row r="155" ht="30" customHeight="1">
      <c r="A155" s="23" t="n">
        <v>153</v>
      </c>
      <c r="B155" s="26" t="inlineStr">
        <is>
          <t>الجودة</t>
        </is>
      </c>
      <c r="C155" s="9" t="inlineStr">
        <is>
          <t>نسبة انخفاض الشكاوى المتكررة ذات العلاقة بالجودة</t>
        </is>
      </c>
      <c r="D155" s="30" t="inlineStr">
        <is>
          <t>يقيس نسبة انخفاض الشكاوى المتكررة ذات العلاقة بالجودة ضمن محور «تجربة العميل»، ويعكس مساهمة الإدارة في ركيزة الاستدامة.</t>
        </is>
      </c>
      <c r="E155" s="31" t="inlineStr">
        <is>
          <t>(المتحقّق ÷ الإجمالي) × 100٪</t>
        </is>
      </c>
      <c r="F155" s="23" t="inlineStr">
        <is>
          <t>🎯 نتيجة</t>
        </is>
      </c>
      <c r="G155" s="31" t="inlineStr">
        <is>
          <t>الاستدامة · تعزيز تجربة العملاء</t>
        </is>
      </c>
      <c r="H155" s="23" t="inlineStr">
        <is>
          <t>العملاء</t>
        </is>
      </c>
      <c r="I155" s="32" t="n">
        <v>0.07000000000000001</v>
      </c>
      <c r="J155" s="23" t="inlineStr">
        <is>
          <t>مدير الجودة</t>
        </is>
      </c>
      <c r="K155" s="31" t="inlineStr">
        <is>
          <t>نظام إدارة الجودة (QMS)</t>
        </is>
      </c>
      <c r="L155" s="23" t="inlineStr">
        <is>
          <t>شهري</t>
        </is>
      </c>
      <c r="M155" s="23" t="inlineStr">
        <is>
          <t>مدير الجودة</t>
        </is>
      </c>
      <c r="N155" s="33" t="n"/>
    </row>
    <row r="156" ht="30" customHeight="1">
      <c r="A156" s="23" t="n">
        <v>154</v>
      </c>
      <c r="B156" s="26" t="inlineStr">
        <is>
          <t>الجودة</t>
        </is>
      </c>
      <c r="C156" s="9" t="inlineStr">
        <is>
          <t>نسبة اكتمال وتحديث الإجراءات المعتمدة</t>
        </is>
      </c>
      <c r="D156" s="30" t="inlineStr">
        <is>
          <t>يقيس نسبة اكتمال وتحديث الإجراءات المعتمدة ضمن محور «الجودة الإدارية»، ويعكس مساهمة الإدارة في ركيزة الاستدامة.</t>
        </is>
      </c>
      <c r="E156" s="31" t="inlineStr">
        <is>
          <t>(المتحقّق ÷ الإجمالي) × 100٪</t>
        </is>
      </c>
      <c r="F156" s="23" t="inlineStr">
        <is>
          <t>⚙️ نشاط</t>
        </is>
      </c>
      <c r="G156" s="31" t="inlineStr">
        <is>
          <t>الاستدامة · جودة التشغيل</t>
        </is>
      </c>
      <c r="H156" s="23" t="inlineStr">
        <is>
          <t>العمليات الداخلية</t>
        </is>
      </c>
      <c r="I156" s="32" t="n">
        <v>0.03</v>
      </c>
      <c r="J156" s="23" t="inlineStr">
        <is>
          <t>مدير الجودة</t>
        </is>
      </c>
      <c r="K156" s="31" t="inlineStr">
        <is>
          <t>نظام إدارة الجودة (QMS)</t>
        </is>
      </c>
      <c r="L156" s="23" t="inlineStr">
        <is>
          <t>شهري</t>
        </is>
      </c>
      <c r="M156" s="23" t="inlineStr">
        <is>
          <t>مدير الجودة</t>
        </is>
      </c>
      <c r="N156" s="33" t="n"/>
    </row>
    <row r="157" ht="30" customHeight="1">
      <c r="A157" s="23" t="n">
        <v>155</v>
      </c>
      <c r="B157" s="26" t="inlineStr">
        <is>
          <t>الجودة</t>
        </is>
      </c>
      <c r="C157" s="9" t="inlineStr">
        <is>
          <t>نسبة اكتمال سجلات الجودة</t>
        </is>
      </c>
      <c r="D157" s="30" t="inlineStr">
        <is>
          <t>يقيس نسبة اكتمال سجلات الجودة ضمن محور «توثيق وحوكمة»، ويعكس مساهمة الإدارة في ركيزة الاستدامة.</t>
        </is>
      </c>
      <c r="E157" s="31" t="inlineStr">
        <is>
          <t>(المتحقّق ÷ الإجمالي) × 100٪</t>
        </is>
      </c>
      <c r="F157" s="23" t="inlineStr">
        <is>
          <t>⚙️ نشاط</t>
        </is>
      </c>
      <c r="G157" s="31" t="inlineStr">
        <is>
          <t>الاستدامة · جودة التشغيل</t>
        </is>
      </c>
      <c r="H157" s="23" t="inlineStr">
        <is>
          <t>العمليات الداخلية</t>
        </is>
      </c>
      <c r="I157" s="32" t="n">
        <v>0.07000000000000001</v>
      </c>
      <c r="J157" s="23" t="inlineStr">
        <is>
          <t>مدير الجودة</t>
        </is>
      </c>
      <c r="K157" s="31" t="inlineStr">
        <is>
          <t>نظام إدارة الجودة (QMS)</t>
        </is>
      </c>
      <c r="L157" s="23" t="inlineStr">
        <is>
          <t>شهري</t>
        </is>
      </c>
      <c r="M157" s="23" t="inlineStr">
        <is>
          <t>مدير الجودة</t>
        </is>
      </c>
      <c r="N157" s="33" t="n"/>
    </row>
    <row r="158" ht="30" customHeight="1">
      <c r="A158" s="23" t="n">
        <v>156</v>
      </c>
      <c r="B158" s="26" t="inlineStr">
        <is>
          <t>الجودة</t>
        </is>
      </c>
      <c r="C158" s="9" t="inlineStr">
        <is>
          <t>نسبة رقمنة عمليات الجودة</t>
        </is>
      </c>
      <c r="D158" s="30" t="inlineStr">
        <is>
          <t>يقيس نسبة رقمنة عمليات الجودة ضمن محور «الابتكار والرقمنة»، ويعكس مساهمة الإدارة في ركيزة الابتكار.</t>
        </is>
      </c>
      <c r="E158" s="31" t="inlineStr">
        <is>
          <t>(المتحقّق ÷ الإجمالي) × 100٪</t>
        </is>
      </c>
      <c r="F158" s="23" t="inlineStr">
        <is>
          <t>🔧 تشغيلي</t>
        </is>
      </c>
      <c r="G158" s="31" t="inlineStr">
        <is>
          <t>الابتكار · التحول التقني</t>
        </is>
      </c>
      <c r="H158" s="23" t="inlineStr">
        <is>
          <t>العمليات الداخلية</t>
        </is>
      </c>
      <c r="I158" s="32" t="n">
        <v>0.07000000000000001</v>
      </c>
      <c r="J158" s="23" t="inlineStr">
        <is>
          <t>مدير الجودة</t>
        </is>
      </c>
      <c r="K158" s="31" t="inlineStr">
        <is>
          <t>نظام إدارة الجودة (QMS)</t>
        </is>
      </c>
      <c r="L158" s="23" t="inlineStr">
        <is>
          <t>شهري</t>
        </is>
      </c>
      <c r="M158" s="23" t="inlineStr">
        <is>
          <t>مدير الجودة</t>
        </is>
      </c>
      <c r="N158" s="33" t="n"/>
    </row>
    <row r="159" ht="30" customHeight="1">
      <c r="A159" s="23" t="n">
        <v>157</v>
      </c>
      <c r="B159" s="26" t="inlineStr">
        <is>
          <t>الجودة</t>
        </is>
      </c>
      <c r="C159" s="9" t="inlineStr">
        <is>
          <t>عدد مبادرات التحسين المؤثرة</t>
        </is>
      </c>
      <c r="D159" s="30" t="inlineStr">
        <is>
          <t>يقيس عدد مبادرات التحسين المؤثرة ضمن محور «التحسين المستمر»، ويعكس مساهمة الإدارة في ركيزة الاستدامة.</t>
        </is>
      </c>
      <c r="E159" s="31" t="inlineStr">
        <is>
          <t>إجمالي العدد خلال الفترة</t>
        </is>
      </c>
      <c r="F159" s="23" t="inlineStr">
        <is>
          <t>⚙️ نشاط</t>
        </is>
      </c>
      <c r="G159" s="31" t="inlineStr">
        <is>
          <t>الاستدامة · جودة التشغيل</t>
        </is>
      </c>
      <c r="H159" s="23" t="inlineStr">
        <is>
          <t>العمليات الداخلية</t>
        </is>
      </c>
      <c r="I159" s="32" t="n">
        <v>0.07000000000000001</v>
      </c>
      <c r="J159" s="23" t="inlineStr">
        <is>
          <t>مدير الجودة</t>
        </is>
      </c>
      <c r="K159" s="31" t="inlineStr">
        <is>
          <t>سجلات الإدارة</t>
        </is>
      </c>
      <c r="L159" s="23" t="inlineStr">
        <is>
          <t>ربعي</t>
        </is>
      </c>
      <c r="M159" s="23" t="inlineStr">
        <is>
          <t>مدير الجودة</t>
        </is>
      </c>
      <c r="N159" s="33" t="n"/>
    </row>
    <row r="160" ht="30" customHeight="1">
      <c r="A160" s="23" t="n">
        <v>158</v>
      </c>
      <c r="B160" s="26" t="inlineStr">
        <is>
          <t>الإدارة القانونية</t>
        </is>
      </c>
      <c r="C160" s="9" t="inlineStr">
        <is>
          <t>نسبة العقود المُراجَعة قانونياً قبل التوقيع</t>
        </is>
      </c>
      <c r="D160" s="30" t="inlineStr">
        <is>
          <t>يقيس نسبة العقود المُراجَعة قانونياً قبل التوقيع ضمن محور «أعمال العقود»، ويعكس مساهمة الإدارة في ركيزة الاستدامة.</t>
        </is>
      </c>
      <c r="E160" s="31" t="inlineStr">
        <is>
          <t>(المتحقّق ÷ الإجمالي) × 100٪</t>
        </is>
      </c>
      <c r="F160" s="23" t="inlineStr">
        <is>
          <t>🔧 تشغيلي</t>
        </is>
      </c>
      <c r="G160" s="31" t="inlineStr">
        <is>
          <t>الاستدامة · جودة التشغيل</t>
        </is>
      </c>
      <c r="H160" s="23" t="inlineStr">
        <is>
          <t>العمليات الداخلية</t>
        </is>
      </c>
      <c r="I160" s="32" t="n">
        <v>0.15</v>
      </c>
      <c r="J160" s="23" t="inlineStr">
        <is>
          <t>المدير القانوني</t>
        </is>
      </c>
      <c r="K160" s="31" t="inlineStr">
        <is>
          <t>نظام إدارة العقود (CRM)</t>
        </is>
      </c>
      <c r="L160" s="23" t="inlineStr">
        <is>
          <t>شهري</t>
        </is>
      </c>
      <c r="M160" s="23" t="inlineStr">
        <is>
          <t>المدير القانوني</t>
        </is>
      </c>
      <c r="N160" s="33" t="n"/>
    </row>
    <row r="161" ht="30" customHeight="1">
      <c r="A161" s="23" t="n">
        <v>159</v>
      </c>
      <c r="B161" s="26" t="inlineStr">
        <is>
          <t>الإدارة القانونية</t>
        </is>
      </c>
      <c r="C161" s="9" t="inlineStr">
        <is>
          <t>متوسط زمن صياغة ومراجعة العقد</t>
        </is>
      </c>
      <c r="D161" s="30" t="inlineStr">
        <is>
          <t>يقيس متوسط زمن صياغة ومراجعة العقد ضمن محور «أعمال العقود»، ويعكس مساهمة الإدارة في ركيزة الاستدامة.</t>
        </is>
      </c>
      <c r="E161" s="31" t="inlineStr">
        <is>
          <t>متوسط يوم خلال الفترة</t>
        </is>
      </c>
      <c r="F161" s="23" t="inlineStr">
        <is>
          <t>🔧 تشغيلي</t>
        </is>
      </c>
      <c r="G161" s="31" t="inlineStr">
        <is>
          <t>الاستدامة · جودة التشغيل</t>
        </is>
      </c>
      <c r="H161" s="23" t="inlineStr">
        <is>
          <t>العمليات الداخلية</t>
        </is>
      </c>
      <c r="I161" s="32" t="n">
        <v>0.15</v>
      </c>
      <c r="J161" s="23" t="inlineStr">
        <is>
          <t>المدير القانوني</t>
        </is>
      </c>
      <c r="K161" s="31" t="inlineStr">
        <is>
          <t>نظام إدارة العقود/القضايا</t>
        </is>
      </c>
      <c r="L161" s="23" t="inlineStr">
        <is>
          <t>شهري</t>
        </is>
      </c>
      <c r="M161" s="23" t="inlineStr">
        <is>
          <t>المدير القانوني</t>
        </is>
      </c>
      <c r="N161" s="33" t="n"/>
    </row>
    <row r="162" ht="30" customHeight="1">
      <c r="A162" s="23" t="n">
        <v>160</v>
      </c>
      <c r="B162" s="26" t="inlineStr">
        <is>
          <t>الإدارة القانونية</t>
        </is>
      </c>
      <c r="C162" s="9" t="inlineStr">
        <is>
          <t>نسبة العقود الخالية من الملاحظات والمخاطر القانونية</t>
        </is>
      </c>
      <c r="D162" s="30" t="inlineStr">
        <is>
          <t>يقيس نسبة العقود الخالية من الملاحظات والمخاطر القانونية ضمن محور «أعمال العقود»، ويعكس مساهمة الإدارة في ركيزة الاستدامة.</t>
        </is>
      </c>
      <c r="E162" s="31" t="inlineStr">
        <is>
          <t>(المتحقّق ÷ الإجمالي) × 100٪</t>
        </is>
      </c>
      <c r="F162" s="23" t="inlineStr">
        <is>
          <t>🔧 تشغيلي</t>
        </is>
      </c>
      <c r="G162" s="31" t="inlineStr">
        <is>
          <t>الاستدامة · جودة التشغيل</t>
        </is>
      </c>
      <c r="H162" s="23" t="inlineStr">
        <is>
          <t>العمليات الداخلية</t>
        </is>
      </c>
      <c r="I162" s="32" t="n">
        <v>0.15</v>
      </c>
      <c r="J162" s="23" t="inlineStr">
        <is>
          <t>المدير القانوني</t>
        </is>
      </c>
      <c r="K162" s="31" t="inlineStr">
        <is>
          <t>نظام إدارة الجودة (QMS)</t>
        </is>
      </c>
      <c r="L162" s="23" t="inlineStr">
        <is>
          <t>شهري</t>
        </is>
      </c>
      <c r="M162" s="23" t="inlineStr">
        <is>
          <t>المدير القانوني</t>
        </is>
      </c>
      <c r="N162" s="33" t="n"/>
    </row>
    <row r="163" ht="30" customHeight="1">
      <c r="A163" s="23" t="n">
        <v>161</v>
      </c>
      <c r="B163" s="26" t="inlineStr">
        <is>
          <t>الإدارة القانونية</t>
        </is>
      </c>
      <c r="C163" s="9" t="inlineStr">
        <is>
          <t>نسبة القضايا المُغلقة لصالح الشركة</t>
        </is>
      </c>
      <c r="D163" s="30" t="inlineStr">
        <is>
          <t>يقيس نسبة القضايا المُغلقة لصالح الشركة ضمن محور «أعمال القضايا»، ويعكس مساهمة الإدارة في ركيزة الاستدامة.</t>
        </is>
      </c>
      <c r="E163" s="31" t="inlineStr">
        <is>
          <t>(المتحقّق ÷ الإجمالي) × 100٪</t>
        </is>
      </c>
      <c r="F163" s="23" t="inlineStr">
        <is>
          <t>🔧 تشغيلي</t>
        </is>
      </c>
      <c r="G163" s="31" t="inlineStr">
        <is>
          <t>الاستدامة · جودة التشغيل</t>
        </is>
      </c>
      <c r="H163" s="23" t="inlineStr">
        <is>
          <t>العمليات الداخلية</t>
        </is>
      </c>
      <c r="I163" s="32" t="n">
        <v>0.1</v>
      </c>
      <c r="J163" s="23" t="inlineStr">
        <is>
          <t>المدير القانوني</t>
        </is>
      </c>
      <c r="K163" s="31" t="inlineStr">
        <is>
          <t>نظام إدارة العقود/القضايا</t>
        </is>
      </c>
      <c r="L163" s="23" t="inlineStr">
        <is>
          <t>شهري</t>
        </is>
      </c>
      <c r="M163" s="23" t="inlineStr">
        <is>
          <t>المدير القانوني</t>
        </is>
      </c>
      <c r="N163" s="33" t="n"/>
    </row>
    <row r="164" ht="30" customHeight="1">
      <c r="A164" s="23" t="n">
        <v>162</v>
      </c>
      <c r="B164" s="26" t="inlineStr">
        <is>
          <t>الإدارة القانونية</t>
        </is>
      </c>
      <c r="C164" s="9" t="inlineStr">
        <is>
          <t>نسبة تقديم المذكرات والردود في المواعيد النظامية</t>
        </is>
      </c>
      <c r="D164" s="30" t="inlineStr">
        <is>
          <t>يقيس نسبة تقديم المذكرات والردود في المواعيد النظامية ضمن محور «أعمال القضايا»، ويعكس مساهمة الإدارة في ركيزة الاستدامة.</t>
        </is>
      </c>
      <c r="E164" s="31" t="inlineStr">
        <is>
          <t>(المتحقّق ÷ الإجمالي) × 100٪</t>
        </is>
      </c>
      <c r="F164" s="23" t="inlineStr">
        <is>
          <t>🔧 تشغيلي</t>
        </is>
      </c>
      <c r="G164" s="31" t="inlineStr">
        <is>
          <t>الاستدامة · جودة التشغيل</t>
        </is>
      </c>
      <c r="H164" s="23" t="inlineStr">
        <is>
          <t>العمليات الداخلية</t>
        </is>
      </c>
      <c r="I164" s="32" t="n">
        <v>0.1</v>
      </c>
      <c r="J164" s="23" t="inlineStr">
        <is>
          <t>المدير القانوني</t>
        </is>
      </c>
      <c r="K164" s="31" t="inlineStr">
        <is>
          <t>نظام إدارة العقود/القضايا</t>
        </is>
      </c>
      <c r="L164" s="23" t="inlineStr">
        <is>
          <t>شهري</t>
        </is>
      </c>
      <c r="M164" s="23" t="inlineStr">
        <is>
          <t>المدير القانوني</t>
        </is>
      </c>
      <c r="N164" s="33" t="n"/>
    </row>
    <row r="165" ht="30" customHeight="1">
      <c r="A165" s="23" t="n">
        <v>163</v>
      </c>
      <c r="B165" s="26" t="inlineStr">
        <is>
          <t>الإدارة القانونية</t>
        </is>
      </c>
      <c r="C165" s="9" t="inlineStr">
        <is>
          <t>متوسط زمن إعداد المذكرة القانونية</t>
        </is>
      </c>
      <c r="D165" s="30" t="inlineStr">
        <is>
          <t>يقيس متوسط زمن إعداد المذكرة القانونية ضمن محور «أعمال القضايا»، ويعكس مساهمة الإدارة في ركيزة الاستدامة.</t>
        </is>
      </c>
      <c r="E165" s="31" t="inlineStr">
        <is>
          <t>متوسط يوم خلال الفترة</t>
        </is>
      </c>
      <c r="F165" s="23" t="inlineStr">
        <is>
          <t>⚙️ نشاط</t>
        </is>
      </c>
      <c r="G165" s="31" t="inlineStr">
        <is>
          <t>الاستدامة · جودة التشغيل</t>
        </is>
      </c>
      <c r="H165" s="23" t="inlineStr">
        <is>
          <t>العمليات الداخلية</t>
        </is>
      </c>
      <c r="I165" s="32" t="n">
        <v>0.1</v>
      </c>
      <c r="J165" s="23" t="inlineStr">
        <is>
          <t>المدير القانوني</t>
        </is>
      </c>
      <c r="K165" s="31" t="inlineStr">
        <is>
          <t>نظام إدارة العقود/القضايا</t>
        </is>
      </c>
      <c r="L165" s="23" t="inlineStr">
        <is>
          <t>شهري</t>
        </is>
      </c>
      <c r="M165" s="23" t="inlineStr">
        <is>
          <t>المدير القانوني</t>
        </is>
      </c>
      <c r="N165" s="33" t="n"/>
    </row>
    <row r="166" ht="30" customHeight="1">
      <c r="A166" s="23" t="n">
        <v>164</v>
      </c>
      <c r="B166" s="26" t="inlineStr">
        <is>
          <t>الإدارة القانونية</t>
        </is>
      </c>
      <c r="C166" s="9" t="inlineStr">
        <is>
          <t>نسبة الاستشارات المُنجزة ضمن المدة المستهدفة (SLA)</t>
        </is>
      </c>
      <c r="D166" s="30" t="inlineStr">
        <is>
          <t>يقيس نسبة الاستشارات المُنجزة ضمن المدة المستهدفة (SLA) ضمن محور «الاستشارات القانونية»، ويعكس مساهمة الإدارة في ركيزة الاستدامة.</t>
        </is>
      </c>
      <c r="E166" s="31" t="inlineStr">
        <is>
          <t>(المتحقّق ÷ الإجمالي) × 100٪</t>
        </is>
      </c>
      <c r="F166" s="23" t="inlineStr">
        <is>
          <t>🔧 تشغيلي</t>
        </is>
      </c>
      <c r="G166" s="31" t="inlineStr">
        <is>
          <t>الاستدامة · جودة التشغيل</t>
        </is>
      </c>
      <c r="H166" s="23" t="inlineStr">
        <is>
          <t>العمليات الداخلية</t>
        </is>
      </c>
      <c r="I166" s="32" t="n">
        <v>0.1</v>
      </c>
      <c r="J166" s="23" t="inlineStr">
        <is>
          <t>المدير القانوني</t>
        </is>
      </c>
      <c r="K166" s="31" t="inlineStr">
        <is>
          <t>نظام إدارة العقود/القضايا</t>
        </is>
      </c>
      <c r="L166" s="23" t="inlineStr">
        <is>
          <t>شهري</t>
        </is>
      </c>
      <c r="M166" s="23" t="inlineStr">
        <is>
          <t>المدير القانوني</t>
        </is>
      </c>
      <c r="N166" s="33" t="n"/>
    </row>
    <row r="167" ht="30" customHeight="1">
      <c r="A167" s="23" t="n">
        <v>165</v>
      </c>
      <c r="B167" s="26" t="inlineStr">
        <is>
          <t>الإدارة القانونية</t>
        </is>
      </c>
      <c r="C167" s="9" t="inlineStr">
        <is>
          <t>مستوى رضا الإدارات عن الدعم القانوني</t>
        </is>
      </c>
      <c r="D167" s="30" t="inlineStr">
        <is>
          <t>يقيس مستوى رضا الإدارات عن الدعم القانوني ضمن محور «الاستشارات القانونية»، ويعكس مساهمة الإدارة في ركيزة الاستدامة.</t>
        </is>
      </c>
      <c r="E167" s="31" t="inlineStr">
        <is>
          <t>(المتحقّق ÷ الإجمالي) × 100٪</t>
        </is>
      </c>
      <c r="F167" s="23" t="inlineStr">
        <is>
          <t>🎯 نتيجة</t>
        </is>
      </c>
      <c r="G167" s="31" t="inlineStr">
        <is>
          <t>الاستدامة · جودة التشغيل</t>
        </is>
      </c>
      <c r="H167" s="23" t="inlineStr">
        <is>
          <t>العملاء</t>
        </is>
      </c>
      <c r="I167" s="32" t="n">
        <v>0.15</v>
      </c>
      <c r="J167" s="23" t="inlineStr">
        <is>
          <t>المدير القانوني</t>
        </is>
      </c>
      <c r="K167" s="31" t="inlineStr">
        <is>
          <t>استبيان دوري</t>
        </is>
      </c>
      <c r="L167" s="23" t="inlineStr">
        <is>
          <t>ربعي</t>
        </is>
      </c>
      <c r="M167" s="23" t="inlineStr">
        <is>
          <t>المدير القانوني</t>
        </is>
      </c>
      <c r="N167" s="33" t="n"/>
    </row>
    <row r="168" ht="30" customHeight="1">
      <c r="A168" s="23" t="n">
        <v>166</v>
      </c>
      <c r="B168" s="26" t="inlineStr">
        <is>
          <t>الإدارة المالية</t>
        </is>
      </c>
      <c r="C168" s="9" t="inlineStr">
        <is>
          <t>نمو الإيرادات السنوي</t>
        </is>
      </c>
      <c r="D168" s="30" t="inlineStr">
        <is>
          <t>يقيس نمو الإيرادات السنوي ضمن محور «المالية الاستراتيجية»، ويعكس مساهمة الإدارة في ركيزة النمو.</t>
        </is>
      </c>
      <c r="E168" s="31" t="inlineStr">
        <is>
          <t>(المتحقّق ÷ الإجمالي) × 100٪</t>
        </is>
      </c>
      <c r="F168" s="23" t="inlineStr">
        <is>
          <t>🎯 نتيجة</t>
        </is>
      </c>
      <c r="G168" s="31" t="inlineStr">
        <is>
          <t>النمو · زيادة وصول العملاء</t>
        </is>
      </c>
      <c r="H168" s="23" t="inlineStr">
        <is>
          <t>مالي</t>
        </is>
      </c>
      <c r="I168" s="32" t="n">
        <v>0.05</v>
      </c>
      <c r="J168" s="23" t="inlineStr">
        <is>
          <t>المدير المالي</t>
        </is>
      </c>
      <c r="K168" s="31" t="inlineStr">
        <is>
          <t>نظام المحاسبة / ERP (D365)</t>
        </is>
      </c>
      <c r="L168" s="23" t="inlineStr">
        <is>
          <t>ربعي</t>
        </is>
      </c>
      <c r="M168" s="23" t="inlineStr">
        <is>
          <t>الإدارة المالية</t>
        </is>
      </c>
      <c r="N168" s="33" t="n"/>
    </row>
    <row r="169" ht="30" customHeight="1">
      <c r="A169" s="23" t="n">
        <v>167</v>
      </c>
      <c r="B169" s="26" t="inlineStr">
        <is>
          <t>الإدارة المالية</t>
        </is>
      </c>
      <c r="C169" s="9" t="inlineStr">
        <is>
          <t>هامش EBITDA</t>
        </is>
      </c>
      <c r="D169" s="30" t="inlineStr">
        <is>
          <t>يقيس هامش EBITDA ضمن محور «المالية الاستراتيجية»، ويعكس مساهمة الإدارة في ركيزة النمو.</t>
        </is>
      </c>
      <c r="E169" s="31" t="inlineStr">
        <is>
          <t>(المتحقّق ÷ الإجمالي) × 100٪</t>
        </is>
      </c>
      <c r="F169" s="23" t="inlineStr">
        <is>
          <t>🎯 نتيجة</t>
        </is>
      </c>
      <c r="G169" s="31" t="inlineStr">
        <is>
          <t>النمو · زيادة وصول العملاء</t>
        </is>
      </c>
      <c r="H169" s="23" t="inlineStr">
        <is>
          <t>مالي</t>
        </is>
      </c>
      <c r="I169" s="32" t="n">
        <v>0.04</v>
      </c>
      <c r="J169" s="23" t="inlineStr">
        <is>
          <t>المدير المالي</t>
        </is>
      </c>
      <c r="K169" s="31" t="inlineStr">
        <is>
          <t>نظام المحاسبة / ERP (D365)</t>
        </is>
      </c>
      <c r="L169" s="23" t="inlineStr">
        <is>
          <t>شهري</t>
        </is>
      </c>
      <c r="M169" s="23" t="inlineStr">
        <is>
          <t>الإدارة المالية</t>
        </is>
      </c>
      <c r="N169" s="33" t="n"/>
    </row>
    <row r="170" ht="30" customHeight="1">
      <c r="A170" s="23" t="n">
        <v>168</v>
      </c>
      <c r="B170" s="26" t="inlineStr">
        <is>
          <t>الإدارة المالية</t>
        </is>
      </c>
      <c r="C170" s="9" t="inlineStr">
        <is>
          <t>هامش صافي الربح</t>
        </is>
      </c>
      <c r="D170" s="30" t="inlineStr">
        <is>
          <t>يقيس هامش صافي الربح ضمن محور «المالية الاستراتيجية»، ويعكس مساهمة الإدارة في ركيزة النمو.</t>
        </is>
      </c>
      <c r="E170" s="31" t="inlineStr">
        <is>
          <t>(المتحقّق ÷ الإجمالي) × 100٪</t>
        </is>
      </c>
      <c r="F170" s="23" t="inlineStr">
        <is>
          <t>🎯 نتيجة</t>
        </is>
      </c>
      <c r="G170" s="31" t="inlineStr">
        <is>
          <t>النمو · زيادة وصول العملاء</t>
        </is>
      </c>
      <c r="H170" s="23" t="inlineStr">
        <is>
          <t>مالي</t>
        </is>
      </c>
      <c r="I170" s="32" t="n">
        <v>0.04</v>
      </c>
      <c r="J170" s="23" t="inlineStr">
        <is>
          <t>المدير المالي</t>
        </is>
      </c>
      <c r="K170" s="31" t="inlineStr">
        <is>
          <t>نظام المحاسبة / ERP (D365)</t>
        </is>
      </c>
      <c r="L170" s="23" t="inlineStr">
        <is>
          <t>شهري</t>
        </is>
      </c>
      <c r="M170" s="23" t="inlineStr">
        <is>
          <t>الإدارة المالية</t>
        </is>
      </c>
      <c r="N170" s="33" t="n"/>
    </row>
    <row r="171" ht="30" customHeight="1">
      <c r="A171" s="23" t="n">
        <v>169</v>
      </c>
      <c r="B171" s="26" t="inlineStr">
        <is>
          <t>الإدارة المالية</t>
        </is>
      </c>
      <c r="C171" s="9" t="inlineStr">
        <is>
          <t>العائد على حقوق الملكية (ROE)</t>
        </is>
      </c>
      <c r="D171" s="30" t="inlineStr">
        <is>
          <t>يقيس العائد على حقوق الملكية (ROE) ضمن محور «المالية الاستراتيجية»، ويعكس مساهمة الإدارة في ركيزة النمو.</t>
        </is>
      </c>
      <c r="E171" s="31" t="inlineStr">
        <is>
          <t>(المتحقّق ÷ الإجمالي) × 100٪</t>
        </is>
      </c>
      <c r="F171" s="23" t="inlineStr">
        <is>
          <t>🎯 نتيجة</t>
        </is>
      </c>
      <c r="G171" s="31" t="inlineStr">
        <is>
          <t>النمو · زيادة وصول العملاء</t>
        </is>
      </c>
      <c r="H171" s="23" t="inlineStr">
        <is>
          <t>مالي</t>
        </is>
      </c>
      <c r="I171" s="32" t="n">
        <v>0.05</v>
      </c>
      <c r="J171" s="23" t="inlineStr">
        <is>
          <t>المدير المالي</t>
        </is>
      </c>
      <c r="K171" s="31" t="inlineStr">
        <is>
          <t>نظام المحاسبة / ERP (D365)</t>
        </is>
      </c>
      <c r="L171" s="23" t="inlineStr">
        <is>
          <t>ربعي</t>
        </is>
      </c>
      <c r="M171" s="23" t="inlineStr">
        <is>
          <t>الإدارة المالية</t>
        </is>
      </c>
      <c r="N171" s="33" t="n"/>
    </row>
    <row r="172" ht="30" customHeight="1">
      <c r="A172" s="23" t="n">
        <v>170</v>
      </c>
      <c r="B172" s="26" t="inlineStr">
        <is>
          <t>الإدارة المالية</t>
        </is>
      </c>
      <c r="C172" s="9" t="inlineStr">
        <is>
          <t>نسبة التدفق النقدي التشغيلي</t>
        </is>
      </c>
      <c r="D172" s="30" t="inlineStr">
        <is>
          <t>يقيس نسبة التدفق النقدي التشغيلي ضمن محور «المالية الاستراتيجية»، ويعكس مساهمة الإدارة في ركيزة الاستدامة.</t>
        </is>
      </c>
      <c r="E172" s="31" t="inlineStr">
        <is>
          <t>(المتحقّق ÷ الإجمالي) × 100٪</t>
        </is>
      </c>
      <c r="F172" s="23" t="inlineStr">
        <is>
          <t>🔧 تشغيلي</t>
        </is>
      </c>
      <c r="G172" s="31" t="inlineStr">
        <is>
          <t>الاستدامة · جودة التشغيل</t>
        </is>
      </c>
      <c r="H172" s="23" t="inlineStr">
        <is>
          <t>العمليات الداخلية</t>
        </is>
      </c>
      <c r="I172" s="32" t="n">
        <v>0.04</v>
      </c>
      <c r="J172" s="23" t="inlineStr">
        <is>
          <t>المدير المالي</t>
        </is>
      </c>
      <c r="K172" s="31" t="inlineStr">
        <is>
          <t>نظام المحاسبة / ERP (D365)</t>
        </is>
      </c>
      <c r="L172" s="23" t="inlineStr">
        <is>
          <t>شهري</t>
        </is>
      </c>
      <c r="M172" s="23" t="inlineStr">
        <is>
          <t>الإدارة المالية</t>
        </is>
      </c>
      <c r="N172" s="33" t="n"/>
    </row>
    <row r="173" ht="30" customHeight="1">
      <c r="A173" s="23" t="n">
        <v>171</v>
      </c>
      <c r="B173" s="26" t="inlineStr">
        <is>
          <t>الإدارة المالية</t>
        </is>
      </c>
      <c r="C173" s="9" t="inlineStr">
        <is>
          <t>النسبة الجارية (Current Ratio)</t>
        </is>
      </c>
      <c r="D173" s="30" t="inlineStr">
        <is>
          <t>يقيس النسبة الجارية (Current Ratio) ضمن محور «السيولة ورأس المال»، ويعكس مساهمة الإدارة في ركيزة الاستدامة.</t>
        </is>
      </c>
      <c r="E173" s="31" t="inlineStr">
        <is>
          <t>(المتحقّق ÷ الإجمالي) × 100٪</t>
        </is>
      </c>
      <c r="F173" s="23" t="inlineStr">
        <is>
          <t>🔧 تشغيلي</t>
        </is>
      </c>
      <c r="G173" s="31" t="inlineStr">
        <is>
          <t>الاستدامة · جودة التشغيل</t>
        </is>
      </c>
      <c r="H173" s="23" t="inlineStr">
        <is>
          <t>العمليات الداخلية</t>
        </is>
      </c>
      <c r="I173" s="32" t="n">
        <v>0.04</v>
      </c>
      <c r="J173" s="23" t="inlineStr">
        <is>
          <t>المدير المالي</t>
        </is>
      </c>
      <c r="K173" s="31" t="inlineStr">
        <is>
          <t>سجلات الإدارة</t>
        </is>
      </c>
      <c r="L173" s="23" t="inlineStr">
        <is>
          <t>شهري</t>
        </is>
      </c>
      <c r="M173" s="23" t="inlineStr">
        <is>
          <t>المدير المالي</t>
        </is>
      </c>
      <c r="N173" s="33" t="n"/>
    </row>
    <row r="174" ht="30" customHeight="1">
      <c r="A174" s="23" t="n">
        <v>172</v>
      </c>
      <c r="B174" s="26" t="inlineStr">
        <is>
          <t>الإدارة المالية</t>
        </is>
      </c>
      <c r="C174" s="9" t="inlineStr">
        <is>
          <t>دورة التحويل النقدي</t>
        </is>
      </c>
      <c r="D174" s="30" t="inlineStr">
        <is>
          <t>يقيس دورة التحويل النقدي ضمن محور «السيولة ورأس المال»، ويعكس مساهمة الإدارة في ركيزة الاستدامة.</t>
        </is>
      </c>
      <c r="E174" s="31" t="inlineStr">
        <is>
          <t>متوسط يوم خلال الفترة</t>
        </is>
      </c>
      <c r="F174" s="23" t="inlineStr">
        <is>
          <t>🔧 تشغيلي</t>
        </is>
      </c>
      <c r="G174" s="31" t="inlineStr">
        <is>
          <t>الاستدامة · جودة التشغيل</t>
        </is>
      </c>
      <c r="H174" s="23" t="inlineStr">
        <is>
          <t>العمليات الداخلية</t>
        </is>
      </c>
      <c r="I174" s="32" t="n">
        <v>0.05</v>
      </c>
      <c r="J174" s="23" t="inlineStr">
        <is>
          <t>المدير المالي</t>
        </is>
      </c>
      <c r="K174" s="31" t="inlineStr">
        <is>
          <t>نظام المحاسبة / ERP (D365)</t>
        </is>
      </c>
      <c r="L174" s="23" t="inlineStr">
        <is>
          <t>شهري</t>
        </is>
      </c>
      <c r="M174" s="23" t="inlineStr">
        <is>
          <t>الإدارة المالية</t>
        </is>
      </c>
      <c r="N174" s="33" t="n"/>
    </row>
    <row r="175" ht="30" customHeight="1">
      <c r="A175" s="23" t="n">
        <v>173</v>
      </c>
      <c r="B175" s="26" t="inlineStr">
        <is>
          <t>الإدارة المالية</t>
        </is>
      </c>
      <c r="C175" s="9" t="inlineStr">
        <is>
          <t>متوسط أيام التحصيل (DSO)</t>
        </is>
      </c>
      <c r="D175" s="30" t="inlineStr">
        <is>
          <t>يقيس متوسط أيام التحصيل (DSO) ضمن محور «الذمم المدينة»، ويعكس مساهمة الإدارة في ركيزة الاستدامة.</t>
        </is>
      </c>
      <c r="E175" s="31" t="inlineStr">
        <is>
          <t>متوسط يوم خلال الفترة</t>
        </is>
      </c>
      <c r="F175" s="23" t="inlineStr">
        <is>
          <t>🎯 نتيجة</t>
        </is>
      </c>
      <c r="G175" s="31" t="inlineStr">
        <is>
          <t>الاستدامة · جودة التشغيل</t>
        </is>
      </c>
      <c r="H175" s="23" t="inlineStr">
        <is>
          <t>مالي</t>
        </is>
      </c>
      <c r="I175" s="32" t="n">
        <v>0.05</v>
      </c>
      <c r="J175" s="23" t="inlineStr">
        <is>
          <t>المدير المالي</t>
        </is>
      </c>
      <c r="K175" s="31" t="inlineStr">
        <is>
          <t>نظام المحاسبة / ERP (D365)</t>
        </is>
      </c>
      <c r="L175" s="23" t="inlineStr">
        <is>
          <t>شهري</t>
        </is>
      </c>
      <c r="M175" s="23" t="inlineStr">
        <is>
          <t>الإدارة المالية</t>
        </is>
      </c>
      <c r="N175" s="33" t="n"/>
    </row>
    <row r="176" ht="30" customHeight="1">
      <c r="A176" s="23" t="n">
        <v>174</v>
      </c>
      <c r="B176" s="26" t="inlineStr">
        <is>
          <t>الإدارة المالية</t>
        </is>
      </c>
      <c r="C176" s="9" t="inlineStr">
        <is>
          <t>نسبة التحصيل</t>
        </is>
      </c>
      <c r="D176" s="30" t="inlineStr">
        <is>
          <t>يقيس نسبة التحصيل ضمن محور «الذمم المدينة»، ويعكس مساهمة الإدارة في ركيزة الاستدامة.</t>
        </is>
      </c>
      <c r="E176" s="31" t="inlineStr">
        <is>
          <t>(المتحقّق ÷ الإجمالي) × 100٪</t>
        </is>
      </c>
      <c r="F176" s="23" t="inlineStr">
        <is>
          <t>🎯 نتيجة</t>
        </is>
      </c>
      <c r="G176" s="31" t="inlineStr">
        <is>
          <t>الاستدامة · جودة التشغيل</t>
        </is>
      </c>
      <c r="H176" s="23" t="inlineStr">
        <is>
          <t>مالي</t>
        </is>
      </c>
      <c r="I176" s="32" t="n">
        <v>0.05</v>
      </c>
      <c r="J176" s="23" t="inlineStr">
        <is>
          <t>المدير المالي</t>
        </is>
      </c>
      <c r="K176" s="31" t="inlineStr">
        <is>
          <t>نظام المحاسبة / ERP (D365)</t>
        </is>
      </c>
      <c r="L176" s="23" t="inlineStr">
        <is>
          <t>شهري</t>
        </is>
      </c>
      <c r="M176" s="23" t="inlineStr">
        <is>
          <t>الإدارة المالية</t>
        </is>
      </c>
      <c r="N176" s="33" t="n"/>
    </row>
    <row r="177" ht="30" customHeight="1">
      <c r="A177" s="23" t="n">
        <v>175</v>
      </c>
      <c r="B177" s="26" t="inlineStr">
        <is>
          <t>الإدارة المالية</t>
        </is>
      </c>
      <c r="C177" s="9" t="inlineStr">
        <is>
          <t>نسبة الذمم المتأخرة</t>
        </is>
      </c>
      <c r="D177" s="30" t="inlineStr">
        <is>
          <t>يقيس نسبة الذمم المتأخرة ضمن محور «الذمم المدينة»، ويعكس مساهمة الإدارة في ركيزة الاستدامة.</t>
        </is>
      </c>
      <c r="E177" s="31" t="inlineStr">
        <is>
          <t>(المتحقّق ÷ الإجمالي) × 100٪</t>
        </is>
      </c>
      <c r="F177" s="23" t="inlineStr">
        <is>
          <t>🔧 تشغيلي</t>
        </is>
      </c>
      <c r="G177" s="31" t="inlineStr">
        <is>
          <t>الاستدامة · جودة التشغيل</t>
        </is>
      </c>
      <c r="H177" s="23" t="inlineStr">
        <is>
          <t>العمليات الداخلية</t>
        </is>
      </c>
      <c r="I177" s="32" t="n">
        <v>0.04</v>
      </c>
      <c r="J177" s="23" t="inlineStr">
        <is>
          <t>المدير المالي</t>
        </is>
      </c>
      <c r="K177" s="31" t="inlineStr">
        <is>
          <t>نظام المحاسبة / ERP (D365)</t>
        </is>
      </c>
      <c r="L177" s="23" t="inlineStr">
        <is>
          <t>شهري</t>
        </is>
      </c>
      <c r="M177" s="23" t="inlineStr">
        <is>
          <t>الإدارة المالية</t>
        </is>
      </c>
      <c r="N177" s="33" t="n"/>
    </row>
    <row r="178" ht="30" customHeight="1">
      <c r="A178" s="23" t="n">
        <v>176</v>
      </c>
      <c r="B178" s="26" t="inlineStr">
        <is>
          <t>الإدارة المالية</t>
        </is>
      </c>
      <c r="C178" s="9" t="inlineStr">
        <is>
          <t>نسبة الديون المعدومة</t>
        </is>
      </c>
      <c r="D178" s="30" t="inlineStr">
        <is>
          <t>يقيس نسبة الديون المعدومة ضمن محور «الذمم المدينة»، ويعكس مساهمة الإدارة في ركيزة الاستدامة.</t>
        </is>
      </c>
      <c r="E178" s="31" t="inlineStr">
        <is>
          <t>(المتحقّق ÷ الإجمالي) × 100٪</t>
        </is>
      </c>
      <c r="F178" s="23" t="inlineStr">
        <is>
          <t>🔧 تشغيلي</t>
        </is>
      </c>
      <c r="G178" s="31" t="inlineStr">
        <is>
          <t>الاستدامة · جودة التشغيل</t>
        </is>
      </c>
      <c r="H178" s="23" t="inlineStr">
        <is>
          <t>العمليات الداخلية</t>
        </is>
      </c>
      <c r="I178" s="32" t="n">
        <v>0.04</v>
      </c>
      <c r="J178" s="23" t="inlineStr">
        <is>
          <t>المدير المالي</t>
        </is>
      </c>
      <c r="K178" s="31" t="inlineStr">
        <is>
          <t>نظام المحاسبة / ERP (D365)</t>
        </is>
      </c>
      <c r="L178" s="23" t="inlineStr">
        <is>
          <t>شهري</t>
        </is>
      </c>
      <c r="M178" s="23" t="inlineStr">
        <is>
          <t>الإدارة المالية</t>
        </is>
      </c>
      <c r="N178" s="33" t="n"/>
    </row>
    <row r="179" ht="30" customHeight="1">
      <c r="A179" s="23" t="n">
        <v>177</v>
      </c>
      <c r="B179" s="26" t="inlineStr">
        <is>
          <t>الإدارة المالية</t>
        </is>
      </c>
      <c r="C179" s="9" t="inlineStr">
        <is>
          <t>سداد الموردين في الموعد</t>
        </is>
      </c>
      <c r="D179" s="30" t="inlineStr">
        <is>
          <t>يقيس سداد الموردين في الموعد ضمن محور «الذمم الدائنة»، ويعكس مساهمة الإدارة في ركيزة الاستدامة.</t>
        </is>
      </c>
      <c r="E179" s="31" t="inlineStr">
        <is>
          <t>(المتحقّق ÷ الإجمالي) × 100٪</t>
        </is>
      </c>
      <c r="F179" s="23" t="inlineStr">
        <is>
          <t>🔧 تشغيلي</t>
        </is>
      </c>
      <c r="G179" s="31" t="inlineStr">
        <is>
          <t>الاستدامة · جودة التشغيل</t>
        </is>
      </c>
      <c r="H179" s="23" t="inlineStr">
        <is>
          <t>مالي</t>
        </is>
      </c>
      <c r="I179" s="32" t="n">
        <v>0.04</v>
      </c>
      <c r="J179" s="23" t="inlineStr">
        <is>
          <t>المدير المالي</t>
        </is>
      </c>
      <c r="K179" s="31" t="inlineStr">
        <is>
          <t>نظام المحاسبة / ERP (D365)</t>
        </is>
      </c>
      <c r="L179" s="23" t="inlineStr">
        <is>
          <t>شهري</t>
        </is>
      </c>
      <c r="M179" s="23" t="inlineStr">
        <is>
          <t>الإدارة المالية</t>
        </is>
      </c>
      <c r="N179" s="33" t="n"/>
    </row>
    <row r="180" ht="30" customHeight="1">
      <c r="A180" s="23" t="n">
        <v>178</v>
      </c>
      <c r="B180" s="26" t="inlineStr">
        <is>
          <t>الإدارة المالية</t>
        </is>
      </c>
      <c r="C180" s="9" t="inlineStr">
        <is>
          <t>اكتمال مطابقة حسابات الموردين</t>
        </is>
      </c>
      <c r="D180" s="30" t="inlineStr">
        <is>
          <t>يقيس اكتمال مطابقة حسابات الموردين ضمن محور «الذمم الدائنة»، ويعكس مساهمة الإدارة في ركيزة الاستدامة.</t>
        </is>
      </c>
      <c r="E180" s="31" t="inlineStr">
        <is>
          <t>(المتحقّق ÷ الإجمالي) × 100٪</t>
        </is>
      </c>
      <c r="F180" s="23" t="inlineStr">
        <is>
          <t>⚙️ نشاط</t>
        </is>
      </c>
      <c r="G180" s="31" t="inlineStr">
        <is>
          <t>الاستدامة · جودة التشغيل</t>
        </is>
      </c>
      <c r="H180" s="23" t="inlineStr">
        <is>
          <t>العمليات الداخلية</t>
        </is>
      </c>
      <c r="I180" s="32" t="n">
        <v>0.04</v>
      </c>
      <c r="J180" s="23" t="inlineStr">
        <is>
          <t>المدير المالي</t>
        </is>
      </c>
      <c r="K180" s="31" t="inlineStr">
        <is>
          <t>نظام المحاسبة / ERP (D365)</t>
        </is>
      </c>
      <c r="L180" s="23" t="inlineStr">
        <is>
          <t>شهري</t>
        </is>
      </c>
      <c r="M180" s="23" t="inlineStr">
        <is>
          <t>الإدارة المالية</t>
        </is>
      </c>
      <c r="N180" s="33" t="n"/>
    </row>
    <row r="181" ht="30" customHeight="1">
      <c r="A181" s="23" t="n">
        <v>179</v>
      </c>
      <c r="B181" s="26" t="inlineStr">
        <is>
          <t>الإدارة المالية</t>
        </is>
      </c>
      <c r="C181" s="9" t="inlineStr">
        <is>
          <t>دقة التنبؤ النقدي</t>
        </is>
      </c>
      <c r="D181" s="30" t="inlineStr">
        <is>
          <t>يقيس دقة التنبؤ النقدي ضمن محور «الخزينة»، ويعكس مساهمة الإدارة في ركيزة الاستدامة.</t>
        </is>
      </c>
      <c r="E181" s="31" t="inlineStr">
        <is>
          <t>(المتحقّق ÷ الإجمالي) × 100٪</t>
        </is>
      </c>
      <c r="F181" s="23" t="inlineStr">
        <is>
          <t>🔧 تشغيلي</t>
        </is>
      </c>
      <c r="G181" s="31" t="inlineStr">
        <is>
          <t>الاستدامة · جودة التشغيل</t>
        </is>
      </c>
      <c r="H181" s="23" t="inlineStr">
        <is>
          <t>العمليات الداخلية</t>
        </is>
      </c>
      <c r="I181" s="32" t="n">
        <v>0.04</v>
      </c>
      <c r="J181" s="23" t="inlineStr">
        <is>
          <t>المدير المالي</t>
        </is>
      </c>
      <c r="K181" s="31" t="inlineStr">
        <is>
          <t>نظام المحاسبة / ERP (D365)</t>
        </is>
      </c>
      <c r="L181" s="23" t="inlineStr">
        <is>
          <t>شهري</t>
        </is>
      </c>
      <c r="M181" s="23" t="inlineStr">
        <is>
          <t>الإدارة المالية</t>
        </is>
      </c>
      <c r="N181" s="33" t="n"/>
    </row>
    <row r="182" ht="30" customHeight="1">
      <c r="A182" s="23" t="n">
        <v>180</v>
      </c>
      <c r="B182" s="26" t="inlineStr">
        <is>
          <t>الإدارة المالية</t>
        </is>
      </c>
      <c r="C182" s="9" t="inlineStr">
        <is>
          <t>تباين مخزون الوقود</t>
        </is>
      </c>
      <c r="D182" s="30" t="inlineStr">
        <is>
          <t>يقيس تباين مخزون الوقود ضمن محور «صناعة الوقود»، ويعكس مساهمة الإدارة في ركيزة الاستدامة.</t>
        </is>
      </c>
      <c r="E182" s="31" t="inlineStr">
        <is>
          <t>(المتحقّق ÷ الإجمالي) × 100٪</t>
        </is>
      </c>
      <c r="F182" s="23" t="inlineStr">
        <is>
          <t>🔧 تشغيلي</t>
        </is>
      </c>
      <c r="G182" s="31" t="inlineStr">
        <is>
          <t>الاستدامة · جودة التشغيل</t>
        </is>
      </c>
      <c r="H182" s="23" t="inlineStr">
        <is>
          <t>العمليات الداخلية</t>
        </is>
      </c>
      <c r="I182" s="32" t="n">
        <v>0.04</v>
      </c>
      <c r="J182" s="23" t="inlineStr">
        <is>
          <t>المدير المالي</t>
        </is>
      </c>
      <c r="K182" s="31" t="inlineStr">
        <is>
          <t>نظام تشغيل المحطات</t>
        </is>
      </c>
      <c r="L182" s="23" t="inlineStr">
        <is>
          <t>شهري</t>
        </is>
      </c>
      <c r="M182" s="23" t="inlineStr">
        <is>
          <t>المدير المالي</t>
        </is>
      </c>
      <c r="N182" s="33" t="n"/>
    </row>
    <row r="183" ht="30" customHeight="1">
      <c r="A183" s="23" t="n">
        <v>181</v>
      </c>
      <c r="B183" s="26" t="inlineStr">
        <is>
          <t>الإدارة المالية</t>
        </is>
      </c>
      <c r="C183" s="9" t="inlineStr">
        <is>
          <t>دقة مطابقة المخزون</t>
        </is>
      </c>
      <c r="D183" s="30" t="inlineStr">
        <is>
          <t>يقيس دقة مطابقة المخزون ضمن محور «صناعة الوقود»، ويعكس مساهمة الإدارة في ركيزة الاستدامة.</t>
        </is>
      </c>
      <c r="E183" s="31" t="inlineStr">
        <is>
          <t>(المتحقّق ÷ الإجمالي) × 100٪</t>
        </is>
      </c>
      <c r="F183" s="23" t="inlineStr">
        <is>
          <t>🔧 تشغيلي</t>
        </is>
      </c>
      <c r="G183" s="31" t="inlineStr">
        <is>
          <t>الاستدامة · جودة التشغيل</t>
        </is>
      </c>
      <c r="H183" s="23" t="inlineStr">
        <is>
          <t>العمليات الداخلية</t>
        </is>
      </c>
      <c r="I183" s="32" t="n">
        <v>0.03</v>
      </c>
      <c r="J183" s="23" t="inlineStr">
        <is>
          <t>المدير المالي</t>
        </is>
      </c>
      <c r="K183" s="31" t="inlineStr">
        <is>
          <t>نظام إدارة الجودة (QMS)</t>
        </is>
      </c>
      <c r="L183" s="23" t="inlineStr">
        <is>
          <t>شهري</t>
        </is>
      </c>
      <c r="M183" s="23" t="inlineStr">
        <is>
          <t>المدير المالي</t>
        </is>
      </c>
      <c r="N183" s="33" t="n"/>
    </row>
    <row r="184" ht="30" customHeight="1">
      <c r="A184" s="23" t="n">
        <v>182</v>
      </c>
      <c r="B184" s="26" t="inlineStr">
        <is>
          <t>الإدارة المالية</t>
        </is>
      </c>
      <c r="C184" s="9" t="inlineStr">
        <is>
          <t>دقة تسوية أرامكو</t>
        </is>
      </c>
      <c r="D184" s="30" t="inlineStr">
        <is>
          <t>يقيس دقة تسوية أرامكو ضمن محور «صناعة الوقود»، ويعكس مساهمة الإدارة في ركيزة الاستدامة.</t>
        </is>
      </c>
      <c r="E184" s="31" t="inlineStr">
        <is>
          <t>(المتحقّق ÷ الإجمالي) × 100٪</t>
        </is>
      </c>
      <c r="F184" s="23" t="inlineStr">
        <is>
          <t>🔧 تشغيلي</t>
        </is>
      </c>
      <c r="G184" s="31" t="inlineStr">
        <is>
          <t>الاستدامة · جودة التشغيل</t>
        </is>
      </c>
      <c r="H184" s="23" t="inlineStr">
        <is>
          <t>العمليات الداخلية</t>
        </is>
      </c>
      <c r="I184" s="32" t="n">
        <v>0.03</v>
      </c>
      <c r="J184" s="23" t="inlineStr">
        <is>
          <t>المدير المالي</t>
        </is>
      </c>
      <c r="K184" s="31" t="inlineStr">
        <is>
          <t>نظام تشغيل المحطات</t>
        </is>
      </c>
      <c r="L184" s="23" t="inlineStr">
        <is>
          <t>شهري</t>
        </is>
      </c>
      <c r="M184" s="23" t="inlineStr">
        <is>
          <t>المدير المالي</t>
        </is>
      </c>
      <c r="N184" s="33" t="n"/>
    </row>
    <row r="185" ht="30" customHeight="1">
      <c r="A185" s="23" t="n">
        <v>183</v>
      </c>
      <c r="B185" s="26" t="inlineStr">
        <is>
          <t>الإدارة المالية</t>
        </is>
      </c>
      <c r="C185" s="9" t="inlineStr">
        <is>
          <t>نسبة تحصيل الامتياز</t>
        </is>
      </c>
      <c r="D185" s="30" t="inlineStr">
        <is>
          <t>يقيس نسبة تحصيل الامتياز ضمن محور «تمويل الامتياز»، ويعكس مساهمة الإدارة في ركيزة النمو.</t>
        </is>
      </c>
      <c r="E185" s="31" t="inlineStr">
        <is>
          <t>(المتحقّق ÷ الإجمالي) × 100٪</t>
        </is>
      </c>
      <c r="F185" s="23" t="inlineStr">
        <is>
          <t>🎯 نتيجة</t>
        </is>
      </c>
      <c r="G185" s="31" t="inlineStr">
        <is>
          <t>النمو · الامتياز التجاري</t>
        </is>
      </c>
      <c r="H185" s="23" t="inlineStr">
        <is>
          <t>مالي</t>
        </is>
      </c>
      <c r="I185" s="32" t="n">
        <v>0.05</v>
      </c>
      <c r="J185" s="23" t="inlineStr">
        <is>
          <t>المدير المالي</t>
        </is>
      </c>
      <c r="K185" s="31" t="inlineStr">
        <is>
          <t>نظام المحاسبة / ERP (D365)</t>
        </is>
      </c>
      <c r="L185" s="23" t="inlineStr">
        <is>
          <t>شهري</t>
        </is>
      </c>
      <c r="M185" s="23" t="inlineStr">
        <is>
          <t>الإدارة المالية</t>
        </is>
      </c>
      <c r="N185" s="33" t="n"/>
    </row>
    <row r="186" ht="30" customHeight="1">
      <c r="A186" s="23" t="n">
        <v>184</v>
      </c>
      <c r="B186" s="26" t="inlineStr">
        <is>
          <t>الإدارة المالية</t>
        </is>
      </c>
      <c r="C186" s="9" t="inlineStr">
        <is>
          <t>أيام تحصيل رسوم الامتياز</t>
        </is>
      </c>
      <c r="D186" s="30" t="inlineStr">
        <is>
          <t>يقيس أيام تحصيل رسوم الامتياز ضمن محور «تمويل الامتياز»، ويعكس مساهمة الإدارة في ركيزة النمو.</t>
        </is>
      </c>
      <c r="E186" s="31" t="inlineStr">
        <is>
          <t>متوسط يوم خلال الفترة</t>
        </is>
      </c>
      <c r="F186" s="23" t="inlineStr">
        <is>
          <t>🎯 نتيجة</t>
        </is>
      </c>
      <c r="G186" s="31" t="inlineStr">
        <is>
          <t>النمو · الامتياز التجاري</t>
        </is>
      </c>
      <c r="H186" s="23" t="inlineStr">
        <is>
          <t>مالي</t>
        </is>
      </c>
      <c r="I186" s="32" t="n">
        <v>0.05</v>
      </c>
      <c r="J186" s="23" t="inlineStr">
        <is>
          <t>المدير المالي</t>
        </is>
      </c>
      <c r="K186" s="31" t="inlineStr">
        <is>
          <t>نظام المحاسبة / ERP (D365)</t>
        </is>
      </c>
      <c r="L186" s="23" t="inlineStr">
        <is>
          <t>شهري</t>
        </is>
      </c>
      <c r="M186" s="23" t="inlineStr">
        <is>
          <t>الإدارة المالية</t>
        </is>
      </c>
      <c r="N186" s="33" t="n"/>
    </row>
    <row r="187" ht="30" customHeight="1">
      <c r="A187" s="23" t="n">
        <v>185</v>
      </c>
      <c r="B187" s="26" t="inlineStr">
        <is>
          <t>الإدارة المالية</t>
        </is>
      </c>
      <c r="C187" s="9" t="inlineStr">
        <is>
          <t>نسبة تحصيل الإيجار</t>
        </is>
      </c>
      <c r="D187" s="30" t="inlineStr">
        <is>
          <t>يقيس نسبة تحصيل الإيجار ضمن محور «العقار والإيجار»، ويعكس مساهمة الإدارة في ركيزة الاستدامة.</t>
        </is>
      </c>
      <c r="E187" s="31" t="inlineStr">
        <is>
          <t>(المتحقّق ÷ الإجمالي) × 100٪</t>
        </is>
      </c>
      <c r="F187" s="23" t="inlineStr">
        <is>
          <t>🎯 نتيجة</t>
        </is>
      </c>
      <c r="G187" s="31" t="inlineStr">
        <is>
          <t>الاستدامة · منظومة التأجير</t>
        </is>
      </c>
      <c r="H187" s="23" t="inlineStr">
        <is>
          <t>مالي</t>
        </is>
      </c>
      <c r="I187" s="32" t="n">
        <v>0.05</v>
      </c>
      <c r="J187" s="23" t="inlineStr">
        <is>
          <t>المدير المالي</t>
        </is>
      </c>
      <c r="K187" s="31" t="inlineStr">
        <is>
          <t>نظام المحاسبة / ERP (D365)</t>
        </is>
      </c>
      <c r="L187" s="23" t="inlineStr">
        <is>
          <t>شهري</t>
        </is>
      </c>
      <c r="M187" s="23" t="inlineStr">
        <is>
          <t>الإدارة المالية</t>
        </is>
      </c>
      <c r="N187" s="33" t="n"/>
    </row>
    <row r="188" ht="30" customHeight="1">
      <c r="A188" s="23" t="n">
        <v>186</v>
      </c>
      <c r="B188" s="26" t="inlineStr">
        <is>
          <t>الإدارة المالية</t>
        </is>
      </c>
      <c r="C188" s="9" t="inlineStr">
        <is>
          <t>معدل تجديد عقود الإيجار</t>
        </is>
      </c>
      <c r="D188" s="30" t="inlineStr">
        <is>
          <t>يقيس معدل تجديد عقود الإيجار ضمن محور «العقار والإيجار»، ويعكس مساهمة الإدارة في ركيزة الاستدامة.</t>
        </is>
      </c>
      <c r="E188" s="31" t="inlineStr">
        <is>
          <t>(المتحقّق ÷ الإجمالي) × 100٪</t>
        </is>
      </c>
      <c r="F188" s="23" t="inlineStr">
        <is>
          <t>🔧 تشغيلي</t>
        </is>
      </c>
      <c r="G188" s="31" t="inlineStr">
        <is>
          <t>الاستدامة · منظومة التأجير</t>
        </is>
      </c>
      <c r="H188" s="23" t="inlineStr">
        <is>
          <t>العمليات الداخلية</t>
        </is>
      </c>
      <c r="I188" s="32" t="n">
        <v>0.05</v>
      </c>
      <c r="J188" s="23" t="inlineStr">
        <is>
          <t>المدير المالي</t>
        </is>
      </c>
      <c r="K188" s="31" t="inlineStr">
        <is>
          <t>نظام إدارة العقود (CRM)</t>
        </is>
      </c>
      <c r="L188" s="23" t="inlineStr">
        <is>
          <t>شهري</t>
        </is>
      </c>
      <c r="M188" s="23" t="inlineStr">
        <is>
          <t>المدير المالي</t>
        </is>
      </c>
      <c r="N188" s="33" t="n"/>
    </row>
    <row r="189" ht="30" customHeight="1">
      <c r="A189" s="23" t="n">
        <v>187</v>
      </c>
      <c r="B189" s="26" t="inlineStr">
        <is>
          <t>الإدارة المالية</t>
        </is>
      </c>
      <c r="C189" s="9" t="inlineStr">
        <is>
          <t>انحراف الموازنة</t>
        </is>
      </c>
      <c r="D189" s="30" t="inlineStr">
        <is>
          <t>يقيس انحراف الموازنة ضمن محور «الموازنة والتقارير»، ويعكس مساهمة الإدارة في ركيزة الاستدامة.</t>
        </is>
      </c>
      <c r="E189" s="31" t="inlineStr">
        <is>
          <t>(المتحقّق ÷ الإجمالي) × 100٪</t>
        </is>
      </c>
      <c r="F189" s="23" t="inlineStr">
        <is>
          <t>🔧 تشغيلي</t>
        </is>
      </c>
      <c r="G189" s="31" t="inlineStr">
        <is>
          <t>الاستدامة · جودة التشغيل</t>
        </is>
      </c>
      <c r="H189" s="23" t="inlineStr">
        <is>
          <t>العمليات الداخلية</t>
        </is>
      </c>
      <c r="I189" s="32" t="n">
        <v>0.03</v>
      </c>
      <c r="J189" s="23" t="inlineStr">
        <is>
          <t>المدير المالي</t>
        </is>
      </c>
      <c r="K189" s="31" t="inlineStr">
        <is>
          <t>نظام المحاسبة / ERP (D365)</t>
        </is>
      </c>
      <c r="L189" s="23" t="inlineStr">
        <is>
          <t>ربعي</t>
        </is>
      </c>
      <c r="M189" s="23" t="inlineStr">
        <is>
          <t>الإدارة المالية</t>
        </is>
      </c>
      <c r="N189" s="33" t="n"/>
    </row>
    <row r="190" ht="30" customHeight="1">
      <c r="A190" s="23" t="n">
        <v>188</v>
      </c>
      <c r="B190" s="26" t="inlineStr">
        <is>
          <t>الإدارة المالية</t>
        </is>
      </c>
      <c r="C190" s="9" t="inlineStr">
        <is>
          <t>أيام الإقفال الشهري</t>
        </is>
      </c>
      <c r="D190" s="30" t="inlineStr">
        <is>
          <t>يقيس أيام الإقفال الشهري ضمن محور «الموازنة والتقارير»، ويعكس مساهمة الإدارة في ركيزة الاستدامة.</t>
        </is>
      </c>
      <c r="E190" s="31" t="inlineStr">
        <is>
          <t>متوسط يوم خلال الفترة</t>
        </is>
      </c>
      <c r="F190" s="23" t="inlineStr">
        <is>
          <t>🔧 تشغيلي</t>
        </is>
      </c>
      <c r="G190" s="31" t="inlineStr">
        <is>
          <t>الاستدامة · جودة التشغيل</t>
        </is>
      </c>
      <c r="H190" s="23" t="inlineStr">
        <is>
          <t>العمليات الداخلية</t>
        </is>
      </c>
      <c r="I190" s="32" t="n">
        <v>0.03</v>
      </c>
      <c r="J190" s="23" t="inlineStr">
        <is>
          <t>المدير المالي</t>
        </is>
      </c>
      <c r="K190" s="31" t="inlineStr">
        <is>
          <t>نظام المحاسبة / ERP (D365)</t>
        </is>
      </c>
      <c r="L190" s="23" t="inlineStr">
        <is>
          <t>شهري</t>
        </is>
      </c>
      <c r="M190" s="23" t="inlineStr">
        <is>
          <t>الإدارة المالية</t>
        </is>
      </c>
      <c r="N190" s="33" t="n"/>
    </row>
    <row r="191" ht="30" customHeight="1">
      <c r="A191" s="23" t="n">
        <v>189</v>
      </c>
      <c r="B191" s="26" t="inlineStr">
        <is>
          <t>الإدارة المالية</t>
        </is>
      </c>
      <c r="C191" s="9" t="inlineStr">
        <is>
          <t>نسبة تسويات التدقيق</t>
        </is>
      </c>
      <c r="D191" s="30" t="inlineStr">
        <is>
          <t>يقيس نسبة تسويات التدقيق ضمن محور «الموازنة والتقارير»، ويعكس مساهمة الإدارة في ركيزة الاستدامة.</t>
        </is>
      </c>
      <c r="E191" s="31" t="inlineStr">
        <is>
          <t>(المتحقّق ÷ الإجمالي) × 100٪</t>
        </is>
      </c>
      <c r="F191" s="23" t="inlineStr">
        <is>
          <t>🔧 تشغيلي</t>
        </is>
      </c>
      <c r="G191" s="31" t="inlineStr">
        <is>
          <t>الاستدامة · جودة التشغيل</t>
        </is>
      </c>
      <c r="H191" s="23" t="inlineStr">
        <is>
          <t>العمليات الداخلية</t>
        </is>
      </c>
      <c r="I191" s="32" t="n">
        <v>0.03</v>
      </c>
      <c r="J191" s="23" t="inlineStr">
        <is>
          <t>المدير المالي</t>
        </is>
      </c>
      <c r="K191" s="31" t="inlineStr">
        <is>
          <t>نظام المحاسبة / ERP (D365)</t>
        </is>
      </c>
      <c r="L191" s="23" t="inlineStr">
        <is>
          <t>ربعي</t>
        </is>
      </c>
      <c r="M191" s="23" t="inlineStr">
        <is>
          <t>الإدارة المالية</t>
        </is>
      </c>
      <c r="N191" s="33" t="n"/>
    </row>
  </sheetData>
  <autoFilter ref="A2:N191"/>
  <mergeCells count="1">
    <mergeCell ref="A1:N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190"/>
  <sheetViews>
    <sheetView showGridLines="0" rightToLeft="1" workbookViewId="0">
      <pane xSplit="3" ySplit="1" topLeftCell="D2" activePane="bottomRight" state="frozen"/>
      <selection pane="topRight"/>
      <selection pane="bottomLeft"/>
      <selection pane="bottomRight" activeCell="A1" sqref="A1"/>
    </sheetView>
  </sheetViews>
  <sheetFormatPr baseColWidth="8" defaultRowHeight="15"/>
  <cols>
    <col width="18" customWidth="1" min="1" max="1"/>
    <col width="15" customWidth="1" min="2" max="2"/>
    <col width="40" customWidth="1" min="3" max="3"/>
    <col width="11" customWidth="1" min="4" max="4"/>
    <col width="8" customWidth="1" min="5" max="5"/>
    <col width="7" customWidth="1" min="6" max="6"/>
    <col width="11" customWidth="1" min="7" max="7"/>
    <col width="8" customWidth="1" min="8" max="8"/>
    <col width="11" customWidth="1" min="9" max="9"/>
    <col width="11" customWidth="1" min="10" max="10"/>
    <col width="12" customWidth="1" min="11" max="11"/>
    <col width="14" customWidth="1" min="12" max="12"/>
    <col width="11" customWidth="1" min="13" max="13"/>
    <col width="20" customWidth="1" min="14" max="14"/>
    <col width="15" customWidth="1" min="15" max="15"/>
    <col width="16" customWidth="1" min="16" max="16"/>
    <col width="22" customWidth="1" min="17" max="17"/>
    <col width="9" customWidth="1" min="18" max="18"/>
  </cols>
  <sheetData>
    <row r="1" ht="26" customHeight="1">
      <c r="A1" s="34" t="inlineStr">
        <is>
          <t>الإدارة</t>
        </is>
      </c>
      <c r="B1" s="34" t="inlineStr">
        <is>
          <t>المحور</t>
        </is>
      </c>
      <c r="C1" s="34" t="inlineStr">
        <is>
          <t>المؤشر</t>
        </is>
      </c>
      <c r="D1" s="34" t="inlineStr">
        <is>
          <t>النوع</t>
        </is>
      </c>
      <c r="E1" s="34" t="inlineStr">
        <is>
          <t>الوحدة</t>
        </is>
      </c>
      <c r="F1" s="34" t="inlineStr">
        <is>
          <t>القطبية</t>
        </is>
      </c>
      <c r="G1" s="34" t="inlineStr">
        <is>
          <t>الأولوية</t>
        </is>
      </c>
      <c r="H1" s="34" t="inlineStr">
        <is>
          <t>الوزن</t>
        </is>
      </c>
      <c r="I1" s="34" t="inlineStr">
        <is>
          <t>المستهدف</t>
        </is>
      </c>
      <c r="J1" s="34" t="inlineStr">
        <is>
          <t>المُحقَّق</t>
        </is>
      </c>
      <c r="K1" s="34" t="inlineStr">
        <is>
          <t>نسبة التحقيق</t>
        </is>
      </c>
      <c r="L1" s="34" t="inlineStr">
        <is>
          <t>الحالة</t>
        </is>
      </c>
      <c r="M1" s="34" t="inlineStr">
        <is>
          <t>الركيزة</t>
        </is>
      </c>
      <c r="N1" s="34" t="inlineStr">
        <is>
          <t>المشروع</t>
        </is>
      </c>
      <c r="O1" s="34" t="inlineStr">
        <is>
          <t>منظور BSC</t>
        </is>
      </c>
      <c r="P1" s="34" t="inlineStr">
        <is>
          <t>المالك</t>
        </is>
      </c>
      <c r="Q1" s="34" t="inlineStr">
        <is>
          <t>مصدر البيانات</t>
        </is>
      </c>
      <c r="R1" s="34" t="inlineStr">
        <is>
          <t>الدورية</t>
        </is>
      </c>
    </row>
    <row r="2">
      <c r="A2" s="22" t="inlineStr">
        <is>
          <t>الإدارة التنفيذية</t>
        </is>
      </c>
      <c r="B2" s="22" t="inlineStr">
        <is>
          <t>النمو</t>
        </is>
      </c>
      <c r="C2" s="22" t="inlineStr">
        <is>
          <t>إجمالي المحطات المشغّلة — الشركة (تراكمي)</t>
        </is>
      </c>
      <c r="D2" s="23" t="inlineStr">
        <is>
          <t>🔧 تشغيلي</t>
        </is>
      </c>
      <c r="E2" s="35" t="inlineStr">
        <is>
          <t>محطة</t>
        </is>
      </c>
      <c r="F2" s="35" t="inlineStr">
        <is>
          <t>↑</t>
        </is>
      </c>
      <c r="G2" s="23" t="inlineStr">
        <is>
          <t>🔴 رئيسي</t>
        </is>
      </c>
      <c r="H2" s="32" t="n">
        <v>0.12</v>
      </c>
      <c r="I2" s="35" t="n">
        <v>235</v>
      </c>
      <c r="J2" s="35" t="n">
        <v>206.1</v>
      </c>
      <c r="K2" s="32" t="n">
        <v>0.8770212765957447</v>
      </c>
      <c r="L2" s="14" t="inlineStr">
        <is>
          <t>🟡 قريب</t>
        </is>
      </c>
      <c r="M2" s="14" t="inlineStr">
        <is>
          <t>النمو</t>
        </is>
      </c>
      <c r="N2" s="26" t="inlineStr">
        <is>
          <t>التوسع في المواقع</t>
        </is>
      </c>
      <c r="O2" s="23" t="inlineStr">
        <is>
          <t>العمليات الداخلية</t>
        </is>
      </c>
      <c r="P2" s="23" t="inlineStr">
        <is>
          <t>الرئيس التنفيذي</t>
        </is>
      </c>
      <c r="Q2" s="26" t="inlineStr">
        <is>
          <t>نظام تشغيل المحطات</t>
        </is>
      </c>
      <c r="R2" s="23" t="inlineStr">
        <is>
          <t>شهري</t>
        </is>
      </c>
    </row>
    <row r="3">
      <c r="A3" s="22" t="inlineStr">
        <is>
          <t>الإدارة التنفيذية</t>
        </is>
      </c>
      <c r="B3" s="22" t="inlineStr">
        <is>
          <t>النمو</t>
        </is>
      </c>
      <c r="C3" s="22" t="inlineStr">
        <is>
          <t>إجمالي العقود الجديدة — الشركة</t>
        </is>
      </c>
      <c r="D3" s="23" t="inlineStr">
        <is>
          <t>🔧 تشغيلي</t>
        </is>
      </c>
      <c r="E3" s="35" t="inlineStr">
        <is>
          <t>عقد</t>
        </is>
      </c>
      <c r="F3" s="35" t="inlineStr">
        <is>
          <t>↑</t>
        </is>
      </c>
      <c r="G3" s="23" t="inlineStr">
        <is>
          <t>🔴 رئيسي</t>
        </is>
      </c>
      <c r="H3" s="32" t="n">
        <v>0.12</v>
      </c>
      <c r="I3" s="35" t="n">
        <v>357</v>
      </c>
      <c r="J3" s="35" t="n">
        <v>346.6</v>
      </c>
      <c r="K3" s="32" t="n">
        <v>0.9708683473389357</v>
      </c>
      <c r="L3" s="14" t="inlineStr">
        <is>
          <t>🟡 قريب</t>
        </is>
      </c>
      <c r="M3" s="14" t="inlineStr">
        <is>
          <t>النمو</t>
        </is>
      </c>
      <c r="N3" s="26" t="inlineStr">
        <is>
          <t>الامتياز التجاري</t>
        </is>
      </c>
      <c r="O3" s="23" t="inlineStr">
        <is>
          <t>العمليات الداخلية</t>
        </is>
      </c>
      <c r="P3" s="23" t="inlineStr">
        <is>
          <t>الرئيس التنفيذي</t>
        </is>
      </c>
      <c r="Q3" s="26" t="inlineStr">
        <is>
          <t>نظام إدارة العقود (CRM)</t>
        </is>
      </c>
      <c r="R3" s="23" t="inlineStr">
        <is>
          <t>شهري</t>
        </is>
      </c>
    </row>
    <row r="4">
      <c r="A4" s="22" t="inlineStr">
        <is>
          <t>الإدارة التنفيذية</t>
        </is>
      </c>
      <c r="B4" s="22" t="inlineStr">
        <is>
          <t>النمو</t>
        </is>
      </c>
      <c r="C4" s="22" t="inlineStr">
        <is>
          <t>إجمالي إيرادات الشركة السنوية</t>
        </is>
      </c>
      <c r="D4" s="23" t="inlineStr">
        <is>
          <t>🎯 نتيجة</t>
        </is>
      </c>
      <c r="E4" s="35" t="inlineStr">
        <is>
          <t>ر.س</t>
        </is>
      </c>
      <c r="F4" s="35" t="inlineStr">
        <is>
          <t>↑</t>
        </is>
      </c>
      <c r="G4" s="23" t="inlineStr">
        <is>
          <t>🔴 رئيسي</t>
        </is>
      </c>
      <c r="H4" s="32" t="n">
        <v>0.11</v>
      </c>
      <c r="I4" s="35" t="n"/>
      <c r="J4" s="35" t="n"/>
      <c r="K4" s="32" t="n"/>
      <c r="L4" s="14" t="inlineStr">
        <is>
          <t>⏳ بانتظار هدف</t>
        </is>
      </c>
      <c r="M4" s="14" t="inlineStr">
        <is>
          <t>النمو</t>
        </is>
      </c>
      <c r="N4" s="26" t="inlineStr">
        <is>
          <t>زيادة وصول العملاء</t>
        </is>
      </c>
      <c r="O4" s="23" t="inlineStr">
        <is>
          <t>مالي</t>
        </is>
      </c>
      <c r="P4" s="23" t="inlineStr">
        <is>
          <t>الرئيس التنفيذي</t>
        </is>
      </c>
      <c r="Q4" s="26" t="inlineStr">
        <is>
          <t>نظام المحاسبة / ERP (D365)</t>
        </is>
      </c>
      <c r="R4" s="23" t="inlineStr">
        <is>
          <t>شهري</t>
        </is>
      </c>
    </row>
    <row r="5">
      <c r="A5" s="22" t="inlineStr">
        <is>
          <t>الإدارة التنفيذية</t>
        </is>
      </c>
      <c r="B5" s="22" t="inlineStr">
        <is>
          <t>النمو</t>
        </is>
      </c>
      <c r="C5" s="22" t="inlineStr">
        <is>
          <t>نسبة نمو إيرادات الشركة (سنوي)</t>
        </is>
      </c>
      <c r="D5" s="23" t="inlineStr">
        <is>
          <t>🎯 نتيجة</t>
        </is>
      </c>
      <c r="E5" s="35" t="inlineStr">
        <is>
          <t>%</t>
        </is>
      </c>
      <c r="F5" s="35" t="inlineStr">
        <is>
          <t>↑</t>
        </is>
      </c>
      <c r="G5" s="23" t="inlineStr">
        <is>
          <t>🔴 رئيسي</t>
        </is>
      </c>
      <c r="H5" s="32" t="n">
        <v>0.11</v>
      </c>
      <c r="I5" s="35" t="n"/>
      <c r="J5" s="35" t="n"/>
      <c r="K5" s="32" t="n"/>
      <c r="L5" s="14" t="inlineStr">
        <is>
          <t>⏳ بانتظار هدف</t>
        </is>
      </c>
      <c r="M5" s="14" t="inlineStr">
        <is>
          <t>النمو</t>
        </is>
      </c>
      <c r="N5" s="26" t="inlineStr">
        <is>
          <t>زيادة وصول العملاء</t>
        </is>
      </c>
      <c r="O5" s="23" t="inlineStr">
        <is>
          <t>مالي</t>
        </is>
      </c>
      <c r="P5" s="23" t="inlineStr">
        <is>
          <t>الرئيس التنفيذي</t>
        </is>
      </c>
      <c r="Q5" s="26" t="inlineStr">
        <is>
          <t>نظام المحاسبة / ERP (D365)</t>
        </is>
      </c>
      <c r="R5" s="23" t="inlineStr">
        <is>
          <t>شهري</t>
        </is>
      </c>
    </row>
    <row r="6">
      <c r="A6" s="22" t="inlineStr">
        <is>
          <t>الإدارة التنفيذية</t>
        </is>
      </c>
      <c r="B6" s="22" t="inlineStr">
        <is>
          <t>الابتكار</t>
        </is>
      </c>
      <c r="C6" s="22" t="inlineStr">
        <is>
          <t>نسبة إنجاز مشاريع الخارطة التنفيذية</t>
        </is>
      </c>
      <c r="D6" s="23" t="inlineStr">
        <is>
          <t>⚙️ نشاط</t>
        </is>
      </c>
      <c r="E6" s="35" t="inlineStr">
        <is>
          <t>%</t>
        </is>
      </c>
      <c r="F6" s="35" t="inlineStr">
        <is>
          <t>↑</t>
        </is>
      </c>
      <c r="G6" s="23" t="inlineStr">
        <is>
          <t>🟠 مهم</t>
        </is>
      </c>
      <c r="H6" s="32" t="n">
        <v>0.08</v>
      </c>
      <c r="I6" s="35" t="n">
        <v>1</v>
      </c>
      <c r="J6" s="35" t="n">
        <v>0.906</v>
      </c>
      <c r="K6" s="32" t="n">
        <v>0.906</v>
      </c>
      <c r="L6" s="14" t="inlineStr">
        <is>
          <t>🟡 قريب</t>
        </is>
      </c>
      <c r="M6" s="14" t="inlineStr">
        <is>
          <t>الابتكار</t>
        </is>
      </c>
      <c r="N6" s="26" t="inlineStr">
        <is>
          <t>إطلاق مشاريع جديدة</t>
        </is>
      </c>
      <c r="O6" s="23" t="inlineStr">
        <is>
          <t>العمليات الداخلية</t>
        </is>
      </c>
      <c r="P6" s="23" t="inlineStr">
        <is>
          <t>الرئيس التنفيذي</t>
        </is>
      </c>
      <c r="Q6" s="26" t="inlineStr">
        <is>
          <t>سجلات الإدارة</t>
        </is>
      </c>
      <c r="R6" s="23" t="inlineStr">
        <is>
          <t>شهري</t>
        </is>
      </c>
    </row>
    <row r="7">
      <c r="A7" s="22" t="inlineStr">
        <is>
          <t>الإدارة التنفيذية</t>
        </is>
      </c>
      <c r="B7" s="22" t="inlineStr">
        <is>
          <t>الابتكار</t>
        </is>
      </c>
      <c r="C7" s="22" t="inlineStr">
        <is>
          <t>نسبة التحول الرقمي على مستوى الشركة</t>
        </is>
      </c>
      <c r="D7" s="23" t="inlineStr">
        <is>
          <t>🔧 تشغيلي</t>
        </is>
      </c>
      <c r="E7" s="35" t="inlineStr">
        <is>
          <t>%</t>
        </is>
      </c>
      <c r="F7" s="35" t="inlineStr">
        <is>
          <t>↑</t>
        </is>
      </c>
      <c r="G7" s="23" t="inlineStr">
        <is>
          <t>🟠 مهم</t>
        </is>
      </c>
      <c r="H7" s="32" t="n">
        <v>0.08</v>
      </c>
      <c r="I7" s="35" t="n">
        <v>0.9</v>
      </c>
      <c r="J7" s="35" t="n">
        <v>0.9389999999999999</v>
      </c>
      <c r="K7" s="32" t="n">
        <v>1</v>
      </c>
      <c r="L7" s="14" t="inlineStr">
        <is>
          <t>✅ محقق</t>
        </is>
      </c>
      <c r="M7" s="14" t="inlineStr">
        <is>
          <t>الابتكار</t>
        </is>
      </c>
      <c r="N7" s="26" t="inlineStr">
        <is>
          <t>التحول التقني</t>
        </is>
      </c>
      <c r="O7" s="23" t="inlineStr">
        <is>
          <t>التعلّم والنمو</t>
        </is>
      </c>
      <c r="P7" s="23" t="inlineStr">
        <is>
          <t>الرئيس التنفيذي</t>
        </is>
      </c>
      <c r="Q7" s="26" t="inlineStr">
        <is>
          <t>سجلات الإدارة</t>
        </is>
      </c>
      <c r="R7" s="23" t="inlineStr">
        <is>
          <t>شهري</t>
        </is>
      </c>
    </row>
    <row r="8">
      <c r="A8" s="22" t="inlineStr">
        <is>
          <t>الإدارة التنفيذية</t>
        </is>
      </c>
      <c r="B8" s="22" t="inlineStr">
        <is>
          <t>الاستدامة</t>
        </is>
      </c>
      <c r="C8" s="22" t="inlineStr">
        <is>
          <t>مؤشر رضا العملاء العام (الشركة)</t>
        </is>
      </c>
      <c r="D8" s="23" t="inlineStr">
        <is>
          <t>🎯 نتيجة</t>
        </is>
      </c>
      <c r="E8" s="35" t="inlineStr">
        <is>
          <t>%</t>
        </is>
      </c>
      <c r="F8" s="35" t="inlineStr">
        <is>
          <t>↑</t>
        </is>
      </c>
      <c r="G8" s="23" t="inlineStr">
        <is>
          <t>🔴 رئيسي</t>
        </is>
      </c>
      <c r="H8" s="32" t="n">
        <v>0.11</v>
      </c>
      <c r="I8" s="35" t="n">
        <v>0.9</v>
      </c>
      <c r="J8" s="35" t="n">
        <v>0.922</v>
      </c>
      <c r="K8" s="32" t="n">
        <v>1</v>
      </c>
      <c r="L8" s="14" t="inlineStr">
        <is>
          <t>✅ محقق</t>
        </is>
      </c>
      <c r="M8" s="14" t="inlineStr">
        <is>
          <t>الاستدامة</t>
        </is>
      </c>
      <c r="N8" s="26" t="inlineStr">
        <is>
          <t>تعزيز تجربة العملاء</t>
        </is>
      </c>
      <c r="O8" s="23" t="inlineStr">
        <is>
          <t>العملاء</t>
        </is>
      </c>
      <c r="P8" s="23" t="inlineStr">
        <is>
          <t>الرئيس التنفيذي</t>
        </is>
      </c>
      <c r="Q8" s="26" t="inlineStr">
        <is>
          <t>استبيان دوري</t>
        </is>
      </c>
      <c r="R8" s="23" t="inlineStr">
        <is>
          <t>ربعي</t>
        </is>
      </c>
    </row>
    <row r="9">
      <c r="A9" s="22" t="inlineStr">
        <is>
          <t>الإدارة التنفيذية</t>
        </is>
      </c>
      <c r="B9" s="22" t="inlineStr">
        <is>
          <t>الاستدامة</t>
        </is>
      </c>
      <c r="C9" s="22" t="inlineStr">
        <is>
          <t>مؤشر رضا الموظفين العام (eNPS)</t>
        </is>
      </c>
      <c r="D9" s="23" t="inlineStr">
        <is>
          <t>🎯 نتيجة</t>
        </is>
      </c>
      <c r="E9" s="35" t="inlineStr">
        <is>
          <t>نقطة</t>
        </is>
      </c>
      <c r="F9" s="35" t="inlineStr">
        <is>
          <t>↑</t>
        </is>
      </c>
      <c r="G9" s="23" t="inlineStr">
        <is>
          <t>🔴 رئيسي</t>
        </is>
      </c>
      <c r="H9" s="32" t="n">
        <v>0.11</v>
      </c>
      <c r="I9" s="35" t="n">
        <v>30</v>
      </c>
      <c r="J9" s="35" t="n">
        <v>22.5</v>
      </c>
      <c r="K9" s="32" t="n">
        <v>0.75</v>
      </c>
      <c r="L9" s="14" t="inlineStr">
        <is>
          <t>🔴 تحت الهدف</t>
        </is>
      </c>
      <c r="M9" s="14" t="inlineStr">
        <is>
          <t>الاستدامة</t>
        </is>
      </c>
      <c r="N9" s="26" t="inlineStr">
        <is>
          <t>الاستثمار في الموظفين</t>
        </is>
      </c>
      <c r="O9" s="23" t="inlineStr">
        <is>
          <t>التعلّم والنمو</t>
        </is>
      </c>
      <c r="P9" s="23" t="inlineStr">
        <is>
          <t>الرئيس التنفيذي</t>
        </is>
      </c>
      <c r="Q9" s="26" t="inlineStr">
        <is>
          <t>استبيان دوري</t>
        </is>
      </c>
      <c r="R9" s="23" t="inlineStr">
        <is>
          <t>ربعي</t>
        </is>
      </c>
    </row>
    <row r="10">
      <c r="A10" s="22" t="inlineStr">
        <is>
          <t>الإدارة التنفيذية</t>
        </is>
      </c>
      <c r="B10" s="22" t="inlineStr">
        <is>
          <t>الاستدامة</t>
        </is>
      </c>
      <c r="C10" s="22" t="inlineStr">
        <is>
          <t>نسبة تحقيق المستهدفات الاستراتيجية العامة</t>
        </is>
      </c>
      <c r="D10" s="23" t="inlineStr">
        <is>
          <t>🔧 تشغيلي</t>
        </is>
      </c>
      <c r="E10" s="35" t="inlineStr">
        <is>
          <t>%</t>
        </is>
      </c>
      <c r="F10" s="35" t="inlineStr">
        <is>
          <t>↑</t>
        </is>
      </c>
      <c r="G10" s="23" t="inlineStr">
        <is>
          <t>🟠 مهم</t>
        </is>
      </c>
      <c r="H10" s="32" t="n">
        <v>0.08</v>
      </c>
      <c r="I10" s="35" t="n">
        <v>1</v>
      </c>
      <c r="J10" s="35" t="n">
        <v>0.85</v>
      </c>
      <c r="K10" s="32" t="n">
        <v>0.85</v>
      </c>
      <c r="L10" s="14" t="inlineStr">
        <is>
          <t>🟡 قريب</t>
        </is>
      </c>
      <c r="M10" s="14" t="inlineStr">
        <is>
          <t>الاستدامة</t>
        </is>
      </c>
      <c r="N10" s="26" t="inlineStr">
        <is>
          <t>جودة التشغيل</t>
        </is>
      </c>
      <c r="O10" s="23" t="inlineStr">
        <is>
          <t>العمليات الداخلية</t>
        </is>
      </c>
      <c r="P10" s="23" t="inlineStr">
        <is>
          <t>الرئيس التنفيذي</t>
        </is>
      </c>
      <c r="Q10" s="26" t="inlineStr">
        <is>
          <t>سجلات الإدارة</t>
        </is>
      </c>
      <c r="R10" s="23" t="inlineStr">
        <is>
          <t>شهري</t>
        </is>
      </c>
    </row>
    <row r="11">
      <c r="A11" s="22" t="inlineStr">
        <is>
          <t>الإدارة التنفيذية</t>
        </is>
      </c>
      <c r="B11" s="22" t="inlineStr">
        <is>
          <t>النمو</t>
        </is>
      </c>
      <c r="C11" s="22" t="inlineStr">
        <is>
          <t>الالتزام بمعايير وزارة الطاقة (تغطية 13 منطقة)</t>
        </is>
      </c>
      <c r="D11" s="23" t="inlineStr">
        <is>
          <t>🔧 تشغيلي</t>
        </is>
      </c>
      <c r="E11" s="35" t="inlineStr">
        <is>
          <t>%</t>
        </is>
      </c>
      <c r="F11" s="35" t="inlineStr">
        <is>
          <t>↑</t>
        </is>
      </c>
      <c r="G11" s="23" t="inlineStr">
        <is>
          <t>🟠 مهم</t>
        </is>
      </c>
      <c r="H11" s="32" t="n">
        <v>0.08</v>
      </c>
      <c r="I11" s="35" t="n">
        <v>1</v>
      </c>
      <c r="J11" s="35" t="n">
        <v>0.749</v>
      </c>
      <c r="K11" s="32" t="n">
        <v>0.749</v>
      </c>
      <c r="L11" s="14" t="inlineStr">
        <is>
          <t>🔴 تحت الهدف</t>
        </is>
      </c>
      <c r="M11" s="14" t="inlineStr">
        <is>
          <t>النمو</t>
        </is>
      </c>
      <c r="N11" s="26" t="inlineStr">
        <is>
          <t>التوسع في المواقع</t>
        </is>
      </c>
      <c r="O11" s="23" t="inlineStr">
        <is>
          <t>العمليات الداخلية</t>
        </is>
      </c>
      <c r="P11" s="23" t="inlineStr">
        <is>
          <t>الرئيس التنفيذي</t>
        </is>
      </c>
      <c r="Q11" s="26" t="inlineStr">
        <is>
          <t>سجلات الإدارة</t>
        </is>
      </c>
      <c r="R11" s="23" t="inlineStr">
        <is>
          <t>شهري</t>
        </is>
      </c>
    </row>
    <row r="12">
      <c r="A12" s="22" t="inlineStr">
        <is>
          <t>الامتياز التجاري</t>
        </is>
      </c>
      <c r="B12" s="22" t="inlineStr">
        <is>
          <t>النمو والتوسع</t>
        </is>
      </c>
      <c r="C12" s="22" t="inlineStr">
        <is>
          <t>عدد محطات الامتياز المشغّلة (تراكمي)</t>
        </is>
      </c>
      <c r="D12" s="23" t="inlineStr">
        <is>
          <t>⚙️ نشاط</t>
        </is>
      </c>
      <c r="E12" s="35" t="inlineStr">
        <is>
          <t>محطة</t>
        </is>
      </c>
      <c r="F12" s="35" t="inlineStr">
        <is>
          <t>↑</t>
        </is>
      </c>
      <c r="G12" s="23" t="inlineStr">
        <is>
          <t>🔴 رئيسي</t>
        </is>
      </c>
      <c r="H12" s="32" t="n">
        <v>0.04</v>
      </c>
      <c r="I12" s="35" t="n">
        <v>150</v>
      </c>
      <c r="J12" s="35" t="n">
        <v>110</v>
      </c>
      <c r="K12" s="32" t="n">
        <v>0.7333333333333333</v>
      </c>
      <c r="L12" s="14" t="inlineStr">
        <is>
          <t>🔴 تحت الهدف</t>
        </is>
      </c>
      <c r="M12" s="14" t="inlineStr">
        <is>
          <t>النمو</t>
        </is>
      </c>
      <c r="N12" s="26" t="inlineStr">
        <is>
          <t>التوسع في المواقع</t>
        </is>
      </c>
      <c r="O12" s="23" t="inlineStr">
        <is>
          <t>العمليات الداخلية</t>
        </is>
      </c>
      <c r="P12" s="23" t="inlineStr">
        <is>
          <t>مدير الامتياز</t>
        </is>
      </c>
      <c r="Q12" s="26" t="inlineStr">
        <is>
          <t>نظام إدارة العقود (CRM)</t>
        </is>
      </c>
      <c r="R12" s="23" t="inlineStr">
        <is>
          <t>شهري</t>
        </is>
      </c>
    </row>
    <row r="13">
      <c r="A13" s="22" t="inlineStr">
        <is>
          <t>الامتياز التجاري</t>
        </is>
      </c>
      <c r="B13" s="22" t="inlineStr">
        <is>
          <t>النمو والتوسع</t>
        </is>
      </c>
      <c r="C13" s="22" t="inlineStr">
        <is>
          <t>عدد عقود الامتياز الجديدة الموقّعة</t>
        </is>
      </c>
      <c r="D13" s="23" t="inlineStr">
        <is>
          <t>⚙️ نشاط</t>
        </is>
      </c>
      <c r="E13" s="35" t="inlineStr">
        <is>
          <t>عقد</t>
        </is>
      </c>
      <c r="F13" s="35" t="inlineStr">
        <is>
          <t>↑</t>
        </is>
      </c>
      <c r="G13" s="23" t="inlineStr">
        <is>
          <t>🔴 رئيسي</t>
        </is>
      </c>
      <c r="H13" s="32" t="n">
        <v>0.04</v>
      </c>
      <c r="I13" s="35" t="n">
        <v>167</v>
      </c>
      <c r="J13" s="35" t="n">
        <v>159.2</v>
      </c>
      <c r="K13" s="32" t="n">
        <v>0.9532934131736527</v>
      </c>
      <c r="L13" s="14" t="inlineStr">
        <is>
          <t>🟡 قريب</t>
        </is>
      </c>
      <c r="M13" s="14" t="inlineStr">
        <is>
          <t>النمو</t>
        </is>
      </c>
      <c r="N13" s="26" t="inlineStr">
        <is>
          <t>الامتياز التجاري</t>
        </is>
      </c>
      <c r="O13" s="23" t="inlineStr">
        <is>
          <t>العمليات الداخلية</t>
        </is>
      </c>
      <c r="P13" s="23" t="inlineStr">
        <is>
          <t>مدير الامتياز</t>
        </is>
      </c>
      <c r="Q13" s="26" t="inlineStr">
        <is>
          <t>نظام إدارة العقود (CRM)</t>
        </is>
      </c>
      <c r="R13" s="23" t="inlineStr">
        <is>
          <t>شهري</t>
        </is>
      </c>
    </row>
    <row r="14">
      <c r="A14" s="22" t="inlineStr">
        <is>
          <t>الامتياز التجاري</t>
        </is>
      </c>
      <c r="B14" s="22" t="inlineStr">
        <is>
          <t>المبيعات والأداء التجاري</t>
        </is>
      </c>
      <c r="C14" s="22" t="inlineStr">
        <is>
          <t>إجمالي مبيعات وقود محطات الامتياز</t>
        </is>
      </c>
      <c r="D14" s="23" t="inlineStr">
        <is>
          <t>🎯 نتيجة</t>
        </is>
      </c>
      <c r="E14" s="35" t="inlineStr">
        <is>
          <t>لتر</t>
        </is>
      </c>
      <c r="F14" s="35" t="inlineStr">
        <is>
          <t>↑</t>
        </is>
      </c>
      <c r="G14" s="23" t="inlineStr">
        <is>
          <t>🔴 رئيسي</t>
        </is>
      </c>
      <c r="H14" s="32" t="n">
        <v>0.04</v>
      </c>
      <c r="I14" s="35" t="n">
        <v>718838077</v>
      </c>
      <c r="J14" s="35" t="n">
        <v>576630340</v>
      </c>
      <c r="K14" s="32" t="n">
        <v>0.8021699996840874</v>
      </c>
      <c r="L14" s="14" t="inlineStr">
        <is>
          <t>🔴 تحت الهدف</t>
        </is>
      </c>
      <c r="M14" s="14" t="inlineStr">
        <is>
          <t>النمو</t>
        </is>
      </c>
      <c r="N14" s="26" t="inlineStr">
        <is>
          <t>زيادة وصول العملاء</t>
        </is>
      </c>
      <c r="O14" s="23" t="inlineStr">
        <is>
          <t>مالي</t>
        </is>
      </c>
      <c r="P14" s="23" t="inlineStr">
        <is>
          <t>مدير الامتياز</t>
        </is>
      </c>
      <c r="Q14" s="26" t="inlineStr">
        <is>
          <t>نظام إدارة العقود (CRM)</t>
        </is>
      </c>
      <c r="R14" s="23" t="inlineStr">
        <is>
          <t>شهري</t>
        </is>
      </c>
    </row>
    <row r="15">
      <c r="A15" s="22" t="inlineStr">
        <is>
          <t>الامتياز التجاري</t>
        </is>
      </c>
      <c r="B15" s="22" t="inlineStr">
        <is>
          <t>المبيعات والأداء التجاري</t>
        </is>
      </c>
      <c r="C15" s="22" t="inlineStr">
        <is>
          <t>نسبة المحطات التي حققت مستهدف المبيعات</t>
        </is>
      </c>
      <c r="D15" s="23" t="inlineStr">
        <is>
          <t>🎯 نتيجة</t>
        </is>
      </c>
      <c r="E15" s="35" t="inlineStr">
        <is>
          <t>%</t>
        </is>
      </c>
      <c r="F15" s="35" t="inlineStr">
        <is>
          <t>↑</t>
        </is>
      </c>
      <c r="G15" s="23" t="inlineStr">
        <is>
          <t>🔴 رئيسي</t>
        </is>
      </c>
      <c r="H15" s="32" t="n">
        <v>0.04</v>
      </c>
      <c r="I15" s="35" t="n">
        <v>0.9</v>
      </c>
      <c r="J15" s="35" t="n">
        <v>0.788</v>
      </c>
      <c r="K15" s="32" t="n">
        <v>0.8755555555555555</v>
      </c>
      <c r="L15" s="14" t="inlineStr">
        <is>
          <t>🟡 قريب</t>
        </is>
      </c>
      <c r="M15" s="14" t="inlineStr">
        <is>
          <t>النمو</t>
        </is>
      </c>
      <c r="N15" s="26" t="inlineStr">
        <is>
          <t>زيادة وصول العملاء</t>
        </is>
      </c>
      <c r="O15" s="23" t="inlineStr">
        <is>
          <t>مالي</t>
        </is>
      </c>
      <c r="P15" s="23" t="inlineStr">
        <is>
          <t>مدير الامتياز</t>
        </is>
      </c>
      <c r="Q15" s="26" t="inlineStr">
        <is>
          <t>نظام تشغيل المحطات</t>
        </is>
      </c>
      <c r="R15" s="23" t="inlineStr">
        <is>
          <t>شهري</t>
        </is>
      </c>
    </row>
    <row r="16">
      <c r="A16" s="22" t="inlineStr">
        <is>
          <t>الامتياز التجاري</t>
        </is>
      </c>
      <c r="B16" s="22" t="inlineStr">
        <is>
          <t>المبيعات والأداء التجاري</t>
        </is>
      </c>
      <c r="C16" s="22" t="inlineStr">
        <is>
          <t>متوسط مبيعات المحطة الواحدة شهرياً</t>
        </is>
      </c>
      <c r="D16" s="23" t="inlineStr">
        <is>
          <t>🎯 نتيجة</t>
        </is>
      </c>
      <c r="E16" s="35" t="inlineStr">
        <is>
          <t>لتر/محطة</t>
        </is>
      </c>
      <c r="F16" s="35" t="inlineStr">
        <is>
          <t>↑</t>
        </is>
      </c>
      <c r="G16" s="23" t="inlineStr">
        <is>
          <t>🔴 رئيسي</t>
        </is>
      </c>
      <c r="H16" s="32" t="n">
        <v>0.04</v>
      </c>
      <c r="I16" s="35" t="n"/>
      <c r="J16" s="35" t="n"/>
      <c r="K16" s="32" t="n"/>
      <c r="L16" s="14" t="inlineStr">
        <is>
          <t>⏳ بانتظار هدف</t>
        </is>
      </c>
      <c r="M16" s="14" t="inlineStr">
        <is>
          <t>النمو</t>
        </is>
      </c>
      <c r="N16" s="26" t="inlineStr">
        <is>
          <t>زيادة وصول العملاء</t>
        </is>
      </c>
      <c r="O16" s="23" t="inlineStr">
        <is>
          <t>مالي</t>
        </is>
      </c>
      <c r="P16" s="23" t="inlineStr">
        <is>
          <t>مدير الامتياز</t>
        </is>
      </c>
      <c r="Q16" s="26" t="inlineStr">
        <is>
          <t>نظام تشغيل المحطات</t>
        </is>
      </c>
      <c r="R16" s="23" t="inlineStr">
        <is>
          <t>شهري</t>
        </is>
      </c>
    </row>
    <row r="17">
      <c r="A17" s="22" t="inlineStr">
        <is>
          <t>الامتياز التجاري</t>
        </is>
      </c>
      <c r="B17" s="22" t="inlineStr">
        <is>
          <t>المبيعات والأداء التجاري</t>
        </is>
      </c>
      <c r="C17" s="22" t="inlineStr">
        <is>
          <t>نسبة تأجير وحدات الامتياز</t>
        </is>
      </c>
      <c r="D17" s="23" t="inlineStr">
        <is>
          <t>🔧 تشغيلي</t>
        </is>
      </c>
      <c r="E17" s="35" t="inlineStr">
        <is>
          <t>%</t>
        </is>
      </c>
      <c r="F17" s="35" t="inlineStr">
        <is>
          <t>↑</t>
        </is>
      </c>
      <c r="G17" s="23" t="inlineStr">
        <is>
          <t>🟠 مهم</t>
        </is>
      </c>
      <c r="H17" s="32" t="n">
        <v>0.02</v>
      </c>
      <c r="I17" s="35" t="n">
        <v>0.7</v>
      </c>
      <c r="J17" s="35" t="n">
        <v>0.709</v>
      </c>
      <c r="K17" s="32" t="n">
        <v>1</v>
      </c>
      <c r="L17" s="14" t="inlineStr">
        <is>
          <t>✅ محقق</t>
        </is>
      </c>
      <c r="M17" s="14" t="inlineStr">
        <is>
          <t>الاستدامة</t>
        </is>
      </c>
      <c r="N17" s="26" t="inlineStr">
        <is>
          <t>منظومة التأجير</t>
        </is>
      </c>
      <c r="O17" s="23" t="inlineStr">
        <is>
          <t>العمليات الداخلية</t>
        </is>
      </c>
      <c r="P17" s="23" t="inlineStr">
        <is>
          <t>مدير الامتياز</t>
        </is>
      </c>
      <c r="Q17" s="26" t="inlineStr">
        <is>
          <t>نظام إدارة العقود (CRM)</t>
        </is>
      </c>
      <c r="R17" s="23" t="inlineStr">
        <is>
          <t>شهري</t>
        </is>
      </c>
    </row>
    <row r="18">
      <c r="A18" s="22" t="inlineStr">
        <is>
          <t>الامتياز التجاري</t>
        </is>
      </c>
      <c r="B18" s="22" t="inlineStr">
        <is>
          <t>الأداء المالي</t>
        </is>
      </c>
      <c r="C18" s="22" t="inlineStr">
        <is>
          <t>إجمالي إيرادات إدارة الامتياز</t>
        </is>
      </c>
      <c r="D18" s="23" t="inlineStr">
        <is>
          <t>🎯 نتيجة</t>
        </is>
      </c>
      <c r="E18" s="35" t="inlineStr">
        <is>
          <t>ر.س</t>
        </is>
      </c>
      <c r="F18" s="35" t="inlineStr">
        <is>
          <t>↑</t>
        </is>
      </c>
      <c r="G18" s="23" t="inlineStr">
        <is>
          <t>🔴 رئيسي</t>
        </is>
      </c>
      <c r="H18" s="32" t="n">
        <v>0.04</v>
      </c>
      <c r="I18" s="35" t="n"/>
      <c r="J18" s="35" t="n"/>
      <c r="K18" s="32" t="n"/>
      <c r="L18" s="14" t="inlineStr">
        <is>
          <t>⏳ بانتظار هدف</t>
        </is>
      </c>
      <c r="M18" s="14" t="inlineStr">
        <is>
          <t>النمو</t>
        </is>
      </c>
      <c r="N18" s="26" t="inlineStr">
        <is>
          <t>الامتياز التجاري</t>
        </is>
      </c>
      <c r="O18" s="23" t="inlineStr">
        <is>
          <t>مالي</t>
        </is>
      </c>
      <c r="P18" s="23" t="inlineStr">
        <is>
          <t>مدير الامتياز</t>
        </is>
      </c>
      <c r="Q18" s="26" t="inlineStr">
        <is>
          <t>نظام المحاسبة / ERP (D365)</t>
        </is>
      </c>
      <c r="R18" s="23" t="inlineStr">
        <is>
          <t>شهري</t>
        </is>
      </c>
    </row>
    <row r="19">
      <c r="A19" s="22" t="inlineStr">
        <is>
          <t>الامتياز التجاري</t>
        </is>
      </c>
      <c r="B19" s="22" t="inlineStr">
        <is>
          <t>الأداء المالي</t>
        </is>
      </c>
      <c r="C19" s="22" t="inlineStr">
        <is>
          <t>رفع هامش الربحية للامتياز</t>
        </is>
      </c>
      <c r="D19" s="23" t="inlineStr">
        <is>
          <t>🎯 نتيجة</t>
        </is>
      </c>
      <c r="E19" s="35" t="inlineStr">
        <is>
          <t>هللة/لتر</t>
        </is>
      </c>
      <c r="F19" s="35" t="inlineStr">
        <is>
          <t>↑</t>
        </is>
      </c>
      <c r="G19" s="23" t="inlineStr">
        <is>
          <t>🟠 مهم</t>
        </is>
      </c>
      <c r="H19" s="32" t="n">
        <v>0.02</v>
      </c>
      <c r="I19" s="35" t="n">
        <v>1.8</v>
      </c>
      <c r="J19" s="35" t="n">
        <v>1.564</v>
      </c>
      <c r="K19" s="32" t="n">
        <v>0.8688888888888889</v>
      </c>
      <c r="L19" s="14" t="inlineStr">
        <is>
          <t>🟡 قريب</t>
        </is>
      </c>
      <c r="M19" s="14" t="inlineStr">
        <is>
          <t>النمو</t>
        </is>
      </c>
      <c r="N19" s="26" t="inlineStr">
        <is>
          <t>الامتياز التجاري</t>
        </is>
      </c>
      <c r="O19" s="23" t="inlineStr">
        <is>
          <t>مالي</t>
        </is>
      </c>
      <c r="P19" s="23" t="inlineStr">
        <is>
          <t>مدير الامتياز</t>
        </is>
      </c>
      <c r="Q19" s="26" t="inlineStr">
        <is>
          <t>نظام المحاسبة / ERP (D365)</t>
        </is>
      </c>
      <c r="R19" s="23" t="inlineStr">
        <is>
          <t>شهري</t>
        </is>
      </c>
    </row>
    <row r="20">
      <c r="A20" s="22" t="inlineStr">
        <is>
          <t>الامتياز التجاري</t>
        </is>
      </c>
      <c r="B20" s="22" t="inlineStr">
        <is>
          <t>الأداء المالي</t>
        </is>
      </c>
      <c r="C20" s="22" t="inlineStr">
        <is>
          <t>نسبة التحصيل المالي من شركاء الامتياز</t>
        </is>
      </c>
      <c r="D20" s="23" t="inlineStr">
        <is>
          <t>🎯 نتيجة</t>
        </is>
      </c>
      <c r="E20" s="35" t="inlineStr">
        <is>
          <t>%</t>
        </is>
      </c>
      <c r="F20" s="35" t="inlineStr">
        <is>
          <t>↑</t>
        </is>
      </c>
      <c r="G20" s="23" t="inlineStr">
        <is>
          <t>🔴 رئيسي</t>
        </is>
      </c>
      <c r="H20" s="32" t="n">
        <v>0.04</v>
      </c>
      <c r="I20" s="35" t="n">
        <v>0.95</v>
      </c>
      <c r="J20" s="35" t="n">
        <v>0.8120000000000001</v>
      </c>
      <c r="K20" s="32" t="n">
        <v>0.8547368421052632</v>
      </c>
      <c r="L20" s="14" t="inlineStr">
        <is>
          <t>🟡 قريب</t>
        </is>
      </c>
      <c r="M20" s="14" t="inlineStr">
        <is>
          <t>الاستدامة</t>
        </is>
      </c>
      <c r="N20" s="26" t="inlineStr">
        <is>
          <t>جودة التشغيل</t>
        </is>
      </c>
      <c r="O20" s="23" t="inlineStr">
        <is>
          <t>مالي</t>
        </is>
      </c>
      <c r="P20" s="23" t="inlineStr">
        <is>
          <t>مدير الامتياز</t>
        </is>
      </c>
      <c r="Q20" s="26" t="inlineStr">
        <is>
          <t>نظام المحاسبة / ERP (D365)</t>
        </is>
      </c>
      <c r="R20" s="23" t="inlineStr">
        <is>
          <t>شهري</t>
        </is>
      </c>
    </row>
    <row r="21">
      <c r="A21" s="22" t="inlineStr">
        <is>
          <t>الامتياز التجاري</t>
        </is>
      </c>
      <c r="B21" s="22" t="inlineStr">
        <is>
          <t>الأداء المالي</t>
        </is>
      </c>
      <c r="C21" s="22" t="inlineStr">
        <is>
          <t>متوسط أيام التحصيل (DSO)</t>
        </is>
      </c>
      <c r="D21" s="23" t="inlineStr">
        <is>
          <t>🎯 نتيجة</t>
        </is>
      </c>
      <c r="E21" s="35" t="inlineStr">
        <is>
          <t>يوم</t>
        </is>
      </c>
      <c r="F21" s="35" t="inlineStr">
        <is>
          <t>↓</t>
        </is>
      </c>
      <c r="G21" s="23" t="inlineStr">
        <is>
          <t>🔴 رئيسي</t>
        </is>
      </c>
      <c r="H21" s="32" t="n">
        <v>0.04</v>
      </c>
      <c r="I21" s="35" t="n">
        <v>30</v>
      </c>
      <c r="J21" s="35" t="n">
        <v>26</v>
      </c>
      <c r="K21" s="32" t="n">
        <v>1</v>
      </c>
      <c r="L21" s="14" t="inlineStr">
        <is>
          <t>✅ محقق</t>
        </is>
      </c>
      <c r="M21" s="14" t="inlineStr">
        <is>
          <t>الاستدامة</t>
        </is>
      </c>
      <c r="N21" s="26" t="inlineStr">
        <is>
          <t>جودة التشغيل</t>
        </is>
      </c>
      <c r="O21" s="23" t="inlineStr">
        <is>
          <t>مالي</t>
        </is>
      </c>
      <c r="P21" s="23" t="inlineStr">
        <is>
          <t>مدير الامتياز</t>
        </is>
      </c>
      <c r="Q21" s="26" t="inlineStr">
        <is>
          <t>نظام المحاسبة / ERP (D365)</t>
        </is>
      </c>
      <c r="R21" s="23" t="inlineStr">
        <is>
          <t>شهري</t>
        </is>
      </c>
    </row>
    <row r="22">
      <c r="A22" s="22" t="inlineStr">
        <is>
          <t>الامتياز التجاري</t>
        </is>
      </c>
      <c r="B22" s="22" t="inlineStr">
        <is>
          <t>الأداء المالي</t>
        </is>
      </c>
      <c r="C22" s="22" t="inlineStr">
        <is>
          <t>إجمالي المستحقات المتأخرة (+30 يوم)</t>
        </is>
      </c>
      <c r="D22" s="23" t="inlineStr">
        <is>
          <t>🔧 تشغيلي</t>
        </is>
      </c>
      <c r="E22" s="35" t="inlineStr">
        <is>
          <t>ر.س</t>
        </is>
      </c>
      <c r="F22" s="35" t="inlineStr">
        <is>
          <t>↓</t>
        </is>
      </c>
      <c r="G22" s="23" t="inlineStr">
        <is>
          <t>🟠 مهم</t>
        </is>
      </c>
      <c r="H22" s="32" t="n">
        <v>0.02</v>
      </c>
      <c r="I22" s="35" t="n"/>
      <c r="J22" s="35" t="n"/>
      <c r="K22" s="32" t="n"/>
      <c r="L22" s="14" t="inlineStr">
        <is>
          <t>⏳ بانتظار هدف</t>
        </is>
      </c>
      <c r="M22" s="14" t="inlineStr">
        <is>
          <t>الاستدامة</t>
        </is>
      </c>
      <c r="N22" s="26" t="inlineStr">
        <is>
          <t>جودة التشغيل</t>
        </is>
      </c>
      <c r="O22" s="23" t="inlineStr">
        <is>
          <t>مالي</t>
        </is>
      </c>
      <c r="P22" s="23" t="inlineStr">
        <is>
          <t>مدير الامتياز</t>
        </is>
      </c>
      <c r="Q22" s="26" t="inlineStr">
        <is>
          <t>نظام المحاسبة / ERP (D365)</t>
        </is>
      </c>
      <c r="R22" s="23" t="inlineStr">
        <is>
          <t>شهري</t>
        </is>
      </c>
    </row>
    <row r="23">
      <c r="A23" s="22" t="inlineStr">
        <is>
          <t>الامتياز التجاري</t>
        </is>
      </c>
      <c r="B23" s="22" t="inlineStr">
        <is>
          <t>الأداء المالي</t>
        </is>
      </c>
      <c r="C23" s="22" t="inlineStr">
        <is>
          <t>نسبة الشركاء الملتزمين بمواعيد السداد</t>
        </is>
      </c>
      <c r="D23" s="23" t="inlineStr">
        <is>
          <t>🔧 تشغيلي</t>
        </is>
      </c>
      <c r="E23" s="35" t="inlineStr">
        <is>
          <t>%</t>
        </is>
      </c>
      <c r="F23" s="35" t="inlineStr">
        <is>
          <t>↑</t>
        </is>
      </c>
      <c r="G23" s="23" t="inlineStr">
        <is>
          <t>🟠 مهم</t>
        </is>
      </c>
      <c r="H23" s="32" t="n">
        <v>0.02</v>
      </c>
      <c r="I23" s="35" t="n">
        <v>0.9</v>
      </c>
      <c r="J23" s="35" t="n">
        <v>0.705</v>
      </c>
      <c r="K23" s="32" t="n">
        <v>0.7833333333333332</v>
      </c>
      <c r="L23" s="14" t="inlineStr">
        <is>
          <t>🔴 تحت الهدف</t>
        </is>
      </c>
      <c r="M23" s="14" t="inlineStr">
        <is>
          <t>الاستدامة</t>
        </is>
      </c>
      <c r="N23" s="26" t="inlineStr">
        <is>
          <t>جودة التشغيل</t>
        </is>
      </c>
      <c r="O23" s="23" t="inlineStr">
        <is>
          <t>مالي</t>
        </is>
      </c>
      <c r="P23" s="23" t="inlineStr">
        <is>
          <t>مدير الامتياز</t>
        </is>
      </c>
      <c r="Q23" s="26" t="inlineStr">
        <is>
          <t>نظام المحاسبة / ERP (D365)</t>
        </is>
      </c>
      <c r="R23" s="23" t="inlineStr">
        <is>
          <t>شهري</t>
        </is>
      </c>
    </row>
    <row r="24">
      <c r="A24" s="22" t="inlineStr">
        <is>
          <t>الامتياز التجاري</t>
        </is>
      </c>
      <c r="B24" s="22" t="inlineStr">
        <is>
          <t>الأداء المالي</t>
        </is>
      </c>
      <c r="C24" s="22" t="inlineStr">
        <is>
          <t>معدل دوران رأس المال (أيام الدورة)</t>
        </is>
      </c>
      <c r="D24" s="23" t="inlineStr">
        <is>
          <t>🔧 تشغيلي</t>
        </is>
      </c>
      <c r="E24" s="35" t="inlineStr">
        <is>
          <t>يوم</t>
        </is>
      </c>
      <c r="F24" s="35" t="inlineStr">
        <is>
          <t>↓</t>
        </is>
      </c>
      <c r="G24" s="23" t="inlineStr">
        <is>
          <t>🟠 مهم</t>
        </is>
      </c>
      <c r="H24" s="32" t="n">
        <v>0.02</v>
      </c>
      <c r="I24" s="35" t="n">
        <v>5</v>
      </c>
      <c r="J24" s="35" t="n">
        <v>4.329</v>
      </c>
      <c r="K24" s="32" t="n">
        <v>1</v>
      </c>
      <c r="L24" s="14" t="inlineStr">
        <is>
          <t>✅ محقق</t>
        </is>
      </c>
      <c r="M24" s="14" t="inlineStr">
        <is>
          <t>الاستدامة</t>
        </is>
      </c>
      <c r="N24" s="26" t="inlineStr">
        <is>
          <t>جودة التشغيل</t>
        </is>
      </c>
      <c r="O24" s="23" t="inlineStr">
        <is>
          <t>مالي</t>
        </is>
      </c>
      <c r="P24" s="23" t="inlineStr">
        <is>
          <t>مدير الامتياز</t>
        </is>
      </c>
      <c r="Q24" s="26" t="inlineStr">
        <is>
          <t>نظام الموارد البشرية (HRMS)</t>
        </is>
      </c>
      <c r="R24" s="23" t="inlineStr">
        <is>
          <t>شهري</t>
        </is>
      </c>
    </row>
    <row r="25">
      <c r="A25" s="22" t="inlineStr">
        <is>
          <t>الامتياز التجاري</t>
        </is>
      </c>
      <c r="B25" s="22" t="inlineStr">
        <is>
          <t>التشغيل والجودة</t>
        </is>
      </c>
      <c r="C25" s="22" t="inlineStr">
        <is>
          <t>نسبة جاهزية محطات الامتياز (صفر انقطاع)</t>
        </is>
      </c>
      <c r="D25" s="23" t="inlineStr">
        <is>
          <t>🔧 تشغيلي</t>
        </is>
      </c>
      <c r="E25" s="35" t="inlineStr">
        <is>
          <t>%</t>
        </is>
      </c>
      <c r="F25" s="35" t="inlineStr">
        <is>
          <t>↑</t>
        </is>
      </c>
      <c r="G25" s="23" t="inlineStr">
        <is>
          <t>🔴 رئيسي</t>
        </is>
      </c>
      <c r="H25" s="32" t="n">
        <v>0.04</v>
      </c>
      <c r="I25" s="35" t="n">
        <v>0.99</v>
      </c>
      <c r="J25" s="35" t="n">
        <v>1</v>
      </c>
      <c r="K25" s="32" t="n">
        <v>1</v>
      </c>
      <c r="L25" s="14" t="inlineStr">
        <is>
          <t>✅ محقق</t>
        </is>
      </c>
      <c r="M25" s="14" t="inlineStr">
        <is>
          <t>الاستدامة</t>
        </is>
      </c>
      <c r="N25" s="26" t="inlineStr">
        <is>
          <t>جودة التشغيل</t>
        </is>
      </c>
      <c r="O25" s="23" t="inlineStr">
        <is>
          <t>العمليات الداخلية</t>
        </is>
      </c>
      <c r="P25" s="23" t="inlineStr">
        <is>
          <t>مدير الامتياز</t>
        </is>
      </c>
      <c r="Q25" s="26" t="inlineStr">
        <is>
          <t>نظام إدارة الجودة (QMS)</t>
        </is>
      </c>
      <c r="R25" s="23" t="inlineStr">
        <is>
          <t>شهري</t>
        </is>
      </c>
    </row>
    <row r="26">
      <c r="A26" s="22" t="inlineStr">
        <is>
          <t>الامتياز التجاري</t>
        </is>
      </c>
      <c r="B26" s="22" t="inlineStr">
        <is>
          <t>التشغيل والجودة</t>
        </is>
      </c>
      <c r="C26" s="22" t="inlineStr">
        <is>
          <t>عدد حالات انقطاع الوقود الموثّقة</t>
        </is>
      </c>
      <c r="D26" s="23" t="inlineStr">
        <is>
          <t>⚙️ نشاط</t>
        </is>
      </c>
      <c r="E26" s="35" t="inlineStr">
        <is>
          <t>حالة</t>
        </is>
      </c>
      <c r="F26" s="35" t="inlineStr">
        <is>
          <t>↓</t>
        </is>
      </c>
      <c r="G26" s="23" t="inlineStr">
        <is>
          <t>🟠 مهم</t>
        </is>
      </c>
      <c r="H26" s="32" t="n">
        <v>0.02</v>
      </c>
      <c r="I26" s="35" t="n">
        <v>0</v>
      </c>
      <c r="J26" s="35" t="n"/>
      <c r="K26" s="32" t="n"/>
      <c r="L26" s="14" t="inlineStr">
        <is>
          <t>⏳ بانتظار هدف</t>
        </is>
      </c>
      <c r="M26" s="14" t="inlineStr">
        <is>
          <t>الاستدامة</t>
        </is>
      </c>
      <c r="N26" s="26" t="inlineStr">
        <is>
          <t>جودة التشغيل</t>
        </is>
      </c>
      <c r="O26" s="23" t="inlineStr">
        <is>
          <t>العمليات الداخلية</t>
        </is>
      </c>
      <c r="P26" s="23" t="inlineStr">
        <is>
          <t>مدير الامتياز</t>
        </is>
      </c>
      <c r="Q26" s="26" t="inlineStr">
        <is>
          <t>نظام إدارة الجودة (QMS)</t>
        </is>
      </c>
      <c r="R26" s="23" t="inlineStr">
        <is>
          <t>شهري</t>
        </is>
      </c>
    </row>
    <row r="27">
      <c r="A27" s="22" t="inlineStr">
        <is>
          <t>الامتياز التجاري</t>
        </is>
      </c>
      <c r="B27" s="22" t="inlineStr">
        <is>
          <t>التشغيل والجودة</t>
        </is>
      </c>
      <c r="C27" s="22" t="inlineStr">
        <is>
          <t>نسبة إغلاق ملاحظات الجودة الميدانية</t>
        </is>
      </c>
      <c r="D27" s="23" t="inlineStr">
        <is>
          <t>🔧 تشغيلي</t>
        </is>
      </c>
      <c r="E27" s="35" t="inlineStr">
        <is>
          <t>%</t>
        </is>
      </c>
      <c r="F27" s="35" t="inlineStr">
        <is>
          <t>↑</t>
        </is>
      </c>
      <c r="G27" s="23" t="inlineStr">
        <is>
          <t>🟠 مهم</t>
        </is>
      </c>
      <c r="H27" s="32" t="n">
        <v>0.02</v>
      </c>
      <c r="I27" s="35" t="n">
        <v>0.95</v>
      </c>
      <c r="J27" s="35" t="n">
        <v>0.879</v>
      </c>
      <c r="K27" s="32" t="n">
        <v>0.9252631578947369</v>
      </c>
      <c r="L27" s="14" t="inlineStr">
        <is>
          <t>🟡 قريب</t>
        </is>
      </c>
      <c r="M27" s="14" t="inlineStr">
        <is>
          <t>الاستدامة</t>
        </is>
      </c>
      <c r="N27" s="26" t="inlineStr">
        <is>
          <t>جودة التشغيل</t>
        </is>
      </c>
      <c r="O27" s="23" t="inlineStr">
        <is>
          <t>العمليات الداخلية</t>
        </is>
      </c>
      <c r="P27" s="23" t="inlineStr">
        <is>
          <t>مدير الامتياز</t>
        </is>
      </c>
      <c r="Q27" s="26" t="inlineStr">
        <is>
          <t>نظام إدارة الجودة (QMS)</t>
        </is>
      </c>
      <c r="R27" s="23" t="inlineStr">
        <is>
          <t>شهري</t>
        </is>
      </c>
    </row>
    <row r="28">
      <c r="A28" s="22" t="inlineStr">
        <is>
          <t>الامتياز التجاري</t>
        </is>
      </c>
      <c r="B28" s="22" t="inlineStr">
        <is>
          <t>التشغيل والجودة</t>
        </is>
      </c>
      <c r="C28" s="22" t="inlineStr">
        <is>
          <t>متوسط درجة تقييم جودة المحطة (قائمة التحقق)</t>
        </is>
      </c>
      <c r="D28" s="23" t="inlineStr">
        <is>
          <t>🎯 نتيجة</t>
        </is>
      </c>
      <c r="E28" s="35" t="inlineStr">
        <is>
          <t>درجة/100</t>
        </is>
      </c>
      <c r="F28" s="35" t="inlineStr">
        <is>
          <t>↑</t>
        </is>
      </c>
      <c r="G28" s="23" t="inlineStr">
        <is>
          <t>🔴 رئيسي</t>
        </is>
      </c>
      <c r="H28" s="32" t="n">
        <v>0.04</v>
      </c>
      <c r="I28" s="35" t="n">
        <v>85</v>
      </c>
      <c r="J28" s="35" t="n">
        <v>78.8</v>
      </c>
      <c r="K28" s="32" t="n">
        <v>0.9270588235294117</v>
      </c>
      <c r="L28" s="14" t="inlineStr">
        <is>
          <t>🟡 قريب</t>
        </is>
      </c>
      <c r="M28" s="14" t="inlineStr">
        <is>
          <t>الاستدامة</t>
        </is>
      </c>
      <c r="N28" s="26" t="inlineStr">
        <is>
          <t>جودة التشغيل</t>
        </is>
      </c>
      <c r="O28" s="23" t="inlineStr">
        <is>
          <t>العمليات الداخلية</t>
        </is>
      </c>
      <c r="P28" s="23" t="inlineStr">
        <is>
          <t>مدير الامتياز</t>
        </is>
      </c>
      <c r="Q28" s="26" t="inlineStr">
        <is>
          <t>نظام إدارة الجودة (QMS)</t>
        </is>
      </c>
      <c r="R28" s="23" t="inlineStr">
        <is>
          <t>شهري</t>
        </is>
      </c>
    </row>
    <row r="29">
      <c r="A29" s="22" t="inlineStr">
        <is>
          <t>الامتياز التجاري</t>
        </is>
      </c>
      <c r="B29" s="22" t="inlineStr">
        <is>
          <t>التشغيل والجودة</t>
        </is>
      </c>
      <c r="C29" s="22" t="inlineStr">
        <is>
          <t>نسبة تنفيذ الزيارات الميدانية المجدولة</t>
        </is>
      </c>
      <c r="D29" s="23" t="inlineStr">
        <is>
          <t>⚙️ نشاط</t>
        </is>
      </c>
      <c r="E29" s="35" t="inlineStr">
        <is>
          <t>%</t>
        </is>
      </c>
      <c r="F29" s="35" t="inlineStr">
        <is>
          <t>↑</t>
        </is>
      </c>
      <c r="G29" s="23" t="inlineStr">
        <is>
          <t>🟠 مهم</t>
        </is>
      </c>
      <c r="H29" s="32" t="n">
        <v>0.02</v>
      </c>
      <c r="I29" s="35" t="n">
        <v>1</v>
      </c>
      <c r="J29" s="35" t="n">
        <v>1.034</v>
      </c>
      <c r="K29" s="32" t="n">
        <v>1</v>
      </c>
      <c r="L29" s="14" t="inlineStr">
        <is>
          <t>✅ محقق</t>
        </is>
      </c>
      <c r="M29" s="14" t="inlineStr">
        <is>
          <t>الاستدامة</t>
        </is>
      </c>
      <c r="N29" s="26" t="inlineStr">
        <is>
          <t>جودة التشغيل</t>
        </is>
      </c>
      <c r="O29" s="23" t="inlineStr">
        <is>
          <t>العمليات الداخلية</t>
        </is>
      </c>
      <c r="P29" s="23" t="inlineStr">
        <is>
          <t>مدير الامتياز</t>
        </is>
      </c>
      <c r="Q29" s="26" t="inlineStr">
        <is>
          <t>نظام إدارة الجودة (QMS)</t>
        </is>
      </c>
      <c r="R29" s="23" t="inlineStr">
        <is>
          <t>شهري</t>
        </is>
      </c>
    </row>
    <row r="30">
      <c r="A30" s="22" t="inlineStr">
        <is>
          <t>الامتياز التجاري</t>
        </is>
      </c>
      <c r="B30" s="22" t="inlineStr">
        <is>
          <t>التشغيل والجودة</t>
        </is>
      </c>
      <c r="C30" s="22" t="inlineStr">
        <is>
          <t>نسبة المحطات المستوفية لمعايير السلامة</t>
        </is>
      </c>
      <c r="D30" s="23" t="inlineStr">
        <is>
          <t>🔧 تشغيلي</t>
        </is>
      </c>
      <c r="E30" s="35" t="inlineStr">
        <is>
          <t>%</t>
        </is>
      </c>
      <c r="F30" s="35" t="inlineStr">
        <is>
          <t>↑</t>
        </is>
      </c>
      <c r="G30" s="23" t="inlineStr">
        <is>
          <t>🔴 رئيسي</t>
        </is>
      </c>
      <c r="H30" s="32" t="n">
        <v>0.04</v>
      </c>
      <c r="I30" s="35" t="n">
        <v>1</v>
      </c>
      <c r="J30" s="35" t="n">
        <v>0.911</v>
      </c>
      <c r="K30" s="32" t="n">
        <v>0.911</v>
      </c>
      <c r="L30" s="14" t="inlineStr">
        <is>
          <t>🟡 قريب</t>
        </is>
      </c>
      <c r="M30" s="14" t="inlineStr">
        <is>
          <t>الاستدامة</t>
        </is>
      </c>
      <c r="N30" s="26" t="inlineStr">
        <is>
          <t>جودة التشغيل</t>
        </is>
      </c>
      <c r="O30" s="23" t="inlineStr">
        <is>
          <t>العمليات الداخلية</t>
        </is>
      </c>
      <c r="P30" s="23" t="inlineStr">
        <is>
          <t>مدير الامتياز</t>
        </is>
      </c>
      <c r="Q30" s="26" t="inlineStr">
        <is>
          <t>نظام إدارة الجودة (QMS)</t>
        </is>
      </c>
      <c r="R30" s="23" t="inlineStr">
        <is>
          <t>شهري</t>
        </is>
      </c>
    </row>
    <row r="31">
      <c r="A31" s="22" t="inlineStr">
        <is>
          <t>الامتياز التجاري</t>
        </is>
      </c>
      <c r="B31" s="22" t="inlineStr">
        <is>
          <t>التشغيل والجودة</t>
        </is>
      </c>
      <c r="C31" s="22" t="inlineStr">
        <is>
          <t>متوسط وقت معالجة البلاغات التشغيلية</t>
        </is>
      </c>
      <c r="D31" s="23" t="inlineStr">
        <is>
          <t>🔧 تشغيلي</t>
        </is>
      </c>
      <c r="E31" s="35" t="inlineStr">
        <is>
          <t>ساعة</t>
        </is>
      </c>
      <c r="F31" s="35" t="inlineStr">
        <is>
          <t>↓</t>
        </is>
      </c>
      <c r="G31" s="23" t="inlineStr">
        <is>
          <t>🟠 مهم</t>
        </is>
      </c>
      <c r="H31" s="32" t="n">
        <v>0.02</v>
      </c>
      <c r="I31" s="35" t="n">
        <v>24</v>
      </c>
      <c r="J31" s="35" t="n">
        <v>26.2</v>
      </c>
      <c r="K31" s="32" t="n">
        <v>0.916030534351145</v>
      </c>
      <c r="L31" s="14" t="inlineStr">
        <is>
          <t>🟡 قريب</t>
        </is>
      </c>
      <c r="M31" s="14" t="inlineStr">
        <is>
          <t>الاستدامة</t>
        </is>
      </c>
      <c r="N31" s="26" t="inlineStr">
        <is>
          <t>جودة التشغيل</t>
        </is>
      </c>
      <c r="O31" s="23" t="inlineStr">
        <is>
          <t>العمليات الداخلية</t>
        </is>
      </c>
      <c r="P31" s="23" t="inlineStr">
        <is>
          <t>مدير الامتياز</t>
        </is>
      </c>
      <c r="Q31" s="26" t="inlineStr">
        <is>
          <t>نظام إدارة الجودة (QMS)</t>
        </is>
      </c>
      <c r="R31" s="23" t="inlineStr">
        <is>
          <t>شهري</t>
        </is>
      </c>
    </row>
    <row r="32">
      <c r="A32" s="22" t="inlineStr">
        <is>
          <t>الامتياز التجاري</t>
        </is>
      </c>
      <c r="B32" s="22" t="inlineStr">
        <is>
          <t>التشغيل والجودة</t>
        </is>
      </c>
      <c r="C32" s="22" t="inlineStr">
        <is>
          <t>نسبة أتمتة محطات الامتياز</t>
        </is>
      </c>
      <c r="D32" s="23" t="inlineStr">
        <is>
          <t>🔧 تشغيلي</t>
        </is>
      </c>
      <c r="E32" s="35" t="inlineStr">
        <is>
          <t>%</t>
        </is>
      </c>
      <c r="F32" s="35" t="inlineStr">
        <is>
          <t>↑</t>
        </is>
      </c>
      <c r="G32" s="23" t="inlineStr">
        <is>
          <t>🔴 رئيسي</t>
        </is>
      </c>
      <c r="H32" s="32" t="n">
        <v>0.03</v>
      </c>
      <c r="I32" s="35" t="n">
        <v>0.9</v>
      </c>
      <c r="J32" s="35" t="n">
        <v>0.674</v>
      </c>
      <c r="K32" s="32" t="n">
        <v>0.7488888888888889</v>
      </c>
      <c r="L32" s="14" t="inlineStr">
        <is>
          <t>🔴 تحت الهدف</t>
        </is>
      </c>
      <c r="M32" s="14" t="inlineStr">
        <is>
          <t>الابتكار</t>
        </is>
      </c>
      <c r="N32" s="26" t="inlineStr">
        <is>
          <t>التحول التقني</t>
        </is>
      </c>
      <c r="O32" s="23" t="inlineStr">
        <is>
          <t>التعلّم والنمو</t>
        </is>
      </c>
      <c r="P32" s="23" t="inlineStr">
        <is>
          <t>مدير الامتياز</t>
        </is>
      </c>
      <c r="Q32" s="26" t="inlineStr">
        <is>
          <t>مكتب إدارة المشاريع (PMO)</t>
        </is>
      </c>
      <c r="R32" s="23" t="inlineStr">
        <is>
          <t>شهري</t>
        </is>
      </c>
    </row>
    <row r="33">
      <c r="A33" s="22" t="inlineStr">
        <is>
          <t>الامتياز التجاري</t>
        </is>
      </c>
      <c r="B33" s="22" t="inlineStr">
        <is>
          <t>التشغيل والجودة</t>
        </is>
      </c>
      <c r="C33" s="22" t="inlineStr">
        <is>
          <t>نسبة تطبيق المعيار الشامل داخل المحطات</t>
        </is>
      </c>
      <c r="D33" s="23" t="inlineStr">
        <is>
          <t>🔧 تشغيلي</t>
        </is>
      </c>
      <c r="E33" s="35" t="inlineStr">
        <is>
          <t>%</t>
        </is>
      </c>
      <c r="F33" s="35" t="inlineStr">
        <is>
          <t>↑</t>
        </is>
      </c>
      <c r="G33" s="23" t="inlineStr">
        <is>
          <t>🟡 متابعة</t>
        </is>
      </c>
      <c r="H33" s="32" t="n">
        <v>0.01</v>
      </c>
      <c r="I33" s="35" t="n">
        <v>0.3</v>
      </c>
      <c r="J33" s="35" t="n">
        <v>0.299</v>
      </c>
      <c r="K33" s="32" t="n">
        <v>0.9966666666666667</v>
      </c>
      <c r="L33" s="14" t="inlineStr">
        <is>
          <t>🟡 قريب</t>
        </is>
      </c>
      <c r="M33" s="14" t="inlineStr">
        <is>
          <t>الابتكار</t>
        </is>
      </c>
      <c r="N33" s="26" t="inlineStr">
        <is>
          <t>التحول التقني</t>
        </is>
      </c>
      <c r="O33" s="23" t="inlineStr">
        <is>
          <t>العمليات الداخلية</t>
        </is>
      </c>
      <c r="P33" s="23" t="inlineStr">
        <is>
          <t>مدير الامتياز</t>
        </is>
      </c>
      <c r="Q33" s="26" t="inlineStr">
        <is>
          <t>نظام إدارة الجودة (QMS)</t>
        </is>
      </c>
      <c r="R33" s="23" t="inlineStr">
        <is>
          <t>شهري</t>
        </is>
      </c>
    </row>
    <row r="34">
      <c r="A34" s="22" t="inlineStr">
        <is>
          <t>الامتياز التجاري</t>
        </is>
      </c>
      <c r="B34" s="22" t="inlineStr">
        <is>
          <t>الهوية والتسويق</t>
        </is>
      </c>
      <c r="C34" s="22" t="inlineStr">
        <is>
          <t>نسبة التزام المحطات بالهوية المؤسسية</t>
        </is>
      </c>
      <c r="D34" s="23" t="inlineStr">
        <is>
          <t>🔧 تشغيلي</t>
        </is>
      </c>
      <c r="E34" s="35" t="inlineStr">
        <is>
          <t>%</t>
        </is>
      </c>
      <c r="F34" s="35" t="inlineStr">
        <is>
          <t>↑</t>
        </is>
      </c>
      <c r="G34" s="23" t="inlineStr">
        <is>
          <t>🔴 رئيسي</t>
        </is>
      </c>
      <c r="H34" s="32" t="n">
        <v>0.03</v>
      </c>
      <c r="I34" s="35" t="n">
        <v>0.55</v>
      </c>
      <c r="J34" s="35" t="n">
        <v>0.44</v>
      </c>
      <c r="K34" s="32" t="n">
        <v>0.7999999999999999</v>
      </c>
      <c r="L34" s="14" t="inlineStr">
        <is>
          <t>🔴 تحت الهدف</t>
        </is>
      </c>
      <c r="M34" s="14" t="inlineStr">
        <is>
          <t>الابتكار</t>
        </is>
      </c>
      <c r="N34" s="26" t="inlineStr">
        <is>
          <t>تطوير التصاميم والهوية</t>
        </is>
      </c>
      <c r="O34" s="23" t="inlineStr">
        <is>
          <t>التعلّم والنمو</t>
        </is>
      </c>
      <c r="P34" s="23" t="inlineStr">
        <is>
          <t>مدير الامتياز</t>
        </is>
      </c>
      <c r="Q34" s="26" t="inlineStr">
        <is>
          <t>نظام تشغيل المحطات</t>
        </is>
      </c>
      <c r="R34" s="23" t="inlineStr">
        <is>
          <t>شهري</t>
        </is>
      </c>
    </row>
    <row r="35">
      <c r="A35" s="22" t="inlineStr">
        <is>
          <t>الامتياز التجاري</t>
        </is>
      </c>
      <c r="B35" s="22" t="inlineStr">
        <is>
          <t>التوسع الإقليمي</t>
        </is>
      </c>
      <c r="C35" s="22" t="inlineStr">
        <is>
          <t>نسبة العقود التي تغطي المناطق الـ13</t>
        </is>
      </c>
      <c r="D35" s="23" t="inlineStr">
        <is>
          <t>🔧 تشغيلي</t>
        </is>
      </c>
      <c r="E35" s="35" t="inlineStr">
        <is>
          <t>%</t>
        </is>
      </c>
      <c r="F35" s="35" t="inlineStr">
        <is>
          <t>↑</t>
        </is>
      </c>
      <c r="G35" s="23" t="inlineStr">
        <is>
          <t>🔴 رئيسي</t>
        </is>
      </c>
      <c r="H35" s="32" t="n">
        <v>0.03</v>
      </c>
      <c r="I35" s="35" t="n">
        <v>1</v>
      </c>
      <c r="J35" s="35" t="n">
        <v>1.028</v>
      </c>
      <c r="K35" s="32" t="n">
        <v>1</v>
      </c>
      <c r="L35" s="14" t="inlineStr">
        <is>
          <t>✅ محقق</t>
        </is>
      </c>
      <c r="M35" s="14" t="inlineStr">
        <is>
          <t>النمو</t>
        </is>
      </c>
      <c r="N35" s="26" t="inlineStr">
        <is>
          <t>التوسع في المواقع</t>
        </is>
      </c>
      <c r="O35" s="23" t="inlineStr">
        <is>
          <t>العمليات الداخلية</t>
        </is>
      </c>
      <c r="P35" s="23" t="inlineStr">
        <is>
          <t>مدير الامتياز</t>
        </is>
      </c>
      <c r="Q35" s="26" t="inlineStr">
        <is>
          <t>نظام إدارة العقود (CRM)</t>
        </is>
      </c>
      <c r="R35" s="23" t="inlineStr">
        <is>
          <t>شهري</t>
        </is>
      </c>
    </row>
    <row r="36">
      <c r="A36" s="22" t="inlineStr">
        <is>
          <t>الامتياز التجاري</t>
        </is>
      </c>
      <c r="B36" s="22" t="inlineStr">
        <is>
          <t>التوسع الإقليمي</t>
        </is>
      </c>
      <c r="C36" s="22" t="inlineStr">
        <is>
          <t>نسبة العقود في الـ12 مدينة الرئيسية</t>
        </is>
      </c>
      <c r="D36" s="23" t="inlineStr">
        <is>
          <t>🔧 تشغيلي</t>
        </is>
      </c>
      <c r="E36" s="35" t="inlineStr">
        <is>
          <t>%</t>
        </is>
      </c>
      <c r="F36" s="35" t="inlineStr">
        <is>
          <t>↓</t>
        </is>
      </c>
      <c r="G36" s="23" t="inlineStr">
        <is>
          <t>🔴 رئيسي</t>
        </is>
      </c>
      <c r="H36" s="32" t="n">
        <v>0.03</v>
      </c>
      <c r="I36" s="35" t="n">
        <v>0.4</v>
      </c>
      <c r="J36" s="35" t="n">
        <v>0.415</v>
      </c>
      <c r="K36" s="32" t="n">
        <v>0.9638554216867471</v>
      </c>
      <c r="L36" s="14" t="inlineStr">
        <is>
          <t>🟡 قريب</t>
        </is>
      </c>
      <c r="M36" s="14" t="inlineStr">
        <is>
          <t>النمو</t>
        </is>
      </c>
      <c r="N36" s="26" t="inlineStr">
        <is>
          <t>التوسع في المواقع</t>
        </is>
      </c>
      <c r="O36" s="23" t="inlineStr">
        <is>
          <t>العمليات الداخلية</t>
        </is>
      </c>
      <c r="P36" s="23" t="inlineStr">
        <is>
          <t>مدير الامتياز</t>
        </is>
      </c>
      <c r="Q36" s="26" t="inlineStr">
        <is>
          <t>نظام المحاسبة / ERP (D365)</t>
        </is>
      </c>
      <c r="R36" s="23" t="inlineStr">
        <is>
          <t>شهري</t>
        </is>
      </c>
    </row>
    <row r="37">
      <c r="A37" s="22" t="inlineStr">
        <is>
          <t>الامتياز التجاري</t>
        </is>
      </c>
      <c r="B37" s="22" t="inlineStr">
        <is>
          <t>التوسع الإقليمي</t>
        </is>
      </c>
      <c r="C37" s="22" t="inlineStr">
        <is>
          <t>نسبة العقود خارج المدن الرئيسية</t>
        </is>
      </c>
      <c r="D37" s="23" t="inlineStr">
        <is>
          <t>🔧 تشغيلي</t>
        </is>
      </c>
      <c r="E37" s="35" t="inlineStr">
        <is>
          <t>%</t>
        </is>
      </c>
      <c r="F37" s="35" t="inlineStr">
        <is>
          <t>↑</t>
        </is>
      </c>
      <c r="G37" s="23" t="inlineStr">
        <is>
          <t>🔴 رئيسي</t>
        </is>
      </c>
      <c r="H37" s="32" t="n">
        <v>0.03</v>
      </c>
      <c r="I37" s="35" t="n">
        <v>0.6</v>
      </c>
      <c r="J37" s="35" t="n">
        <v>0.516</v>
      </c>
      <c r="K37" s="32" t="n">
        <v>0.8600000000000001</v>
      </c>
      <c r="L37" s="14" t="inlineStr">
        <is>
          <t>🟡 قريب</t>
        </is>
      </c>
      <c r="M37" s="14" t="inlineStr">
        <is>
          <t>النمو</t>
        </is>
      </c>
      <c r="N37" s="26" t="inlineStr">
        <is>
          <t>التوسع في المواقع</t>
        </is>
      </c>
      <c r="O37" s="23" t="inlineStr">
        <is>
          <t>العمليات الداخلية</t>
        </is>
      </c>
      <c r="P37" s="23" t="inlineStr">
        <is>
          <t>مدير الامتياز</t>
        </is>
      </c>
      <c r="Q37" s="26" t="inlineStr">
        <is>
          <t>نظام إدارة العقود (CRM)</t>
        </is>
      </c>
      <c r="R37" s="23" t="inlineStr">
        <is>
          <t>شهري</t>
        </is>
      </c>
    </row>
    <row r="38">
      <c r="A38" s="22" t="inlineStr">
        <is>
          <t>الامتياز التجاري</t>
        </is>
      </c>
      <c r="B38" s="22" t="inlineStr">
        <is>
          <t>التوسع الإقليمي</t>
        </is>
      </c>
      <c r="C38" s="22" t="inlineStr">
        <is>
          <t>نسبة العقود على الطرق الإقليمية</t>
        </is>
      </c>
      <c r="D38" s="23" t="inlineStr">
        <is>
          <t>🔧 تشغيلي</t>
        </is>
      </c>
      <c r="E38" s="35" t="inlineStr">
        <is>
          <t>%</t>
        </is>
      </c>
      <c r="F38" s="35" t="inlineStr">
        <is>
          <t>↑</t>
        </is>
      </c>
      <c r="G38" s="23" t="inlineStr">
        <is>
          <t>🔴 رئيسي</t>
        </is>
      </c>
      <c r="H38" s="32" t="n">
        <v>0.03</v>
      </c>
      <c r="I38" s="35" t="n">
        <v>0.25</v>
      </c>
      <c r="J38" s="35" t="n">
        <v>0.236</v>
      </c>
      <c r="K38" s="32" t="n">
        <v>0.944</v>
      </c>
      <c r="L38" s="14" t="inlineStr">
        <is>
          <t>🟡 قريب</t>
        </is>
      </c>
      <c r="M38" s="14" t="inlineStr">
        <is>
          <t>النمو</t>
        </is>
      </c>
      <c r="N38" s="26" t="inlineStr">
        <is>
          <t>التوسع في المواقع</t>
        </is>
      </c>
      <c r="O38" s="23" t="inlineStr">
        <is>
          <t>العمليات الداخلية</t>
        </is>
      </c>
      <c r="P38" s="23" t="inlineStr">
        <is>
          <t>مدير الامتياز</t>
        </is>
      </c>
      <c r="Q38" s="26" t="inlineStr">
        <is>
          <t>نظام إدارة العقود (CRM)</t>
        </is>
      </c>
      <c r="R38" s="23" t="inlineStr">
        <is>
          <t>شهري</t>
        </is>
      </c>
    </row>
    <row r="39">
      <c r="A39" s="22" t="inlineStr">
        <is>
          <t>الامتياز التجاري</t>
        </is>
      </c>
      <c r="B39" s="22" t="inlineStr">
        <is>
          <t>تجربة العملاء والشركاء</t>
        </is>
      </c>
      <c r="C39" s="22" t="inlineStr">
        <is>
          <t>متوسط تقييم المحطات على خرائط قوقل</t>
        </is>
      </c>
      <c r="D39" s="23" t="inlineStr">
        <is>
          <t>🎯 نتيجة</t>
        </is>
      </c>
      <c r="E39" s="35" t="inlineStr">
        <is>
          <t>نجمة/5</t>
        </is>
      </c>
      <c r="F39" s="35" t="inlineStr">
        <is>
          <t>↑</t>
        </is>
      </c>
      <c r="G39" s="23" t="inlineStr">
        <is>
          <t>🔴 رئيسي</t>
        </is>
      </c>
      <c r="H39" s="32" t="n">
        <v>0.03</v>
      </c>
      <c r="I39" s="35" t="n">
        <v>4.7</v>
      </c>
      <c r="J39" s="35" t="n">
        <v>3.474</v>
      </c>
      <c r="K39" s="32" t="n">
        <v>0.7391489361702128</v>
      </c>
      <c r="L39" s="14" t="inlineStr">
        <is>
          <t>🔴 تحت الهدف</t>
        </is>
      </c>
      <c r="M39" s="14" t="inlineStr">
        <is>
          <t>الاستدامة</t>
        </is>
      </c>
      <c r="N39" s="26" t="inlineStr">
        <is>
          <t>تعزيز تجربة العملاء</t>
        </is>
      </c>
      <c r="O39" s="23" t="inlineStr">
        <is>
          <t>العملاء</t>
        </is>
      </c>
      <c r="P39" s="23" t="inlineStr">
        <is>
          <t>مدير الامتياز</t>
        </is>
      </c>
      <c r="Q39" s="26" t="inlineStr">
        <is>
          <t>تقييمات خرائط قوقل</t>
        </is>
      </c>
      <c r="R39" s="23" t="inlineStr">
        <is>
          <t>شهري</t>
        </is>
      </c>
    </row>
    <row r="40">
      <c r="A40" s="22" t="inlineStr">
        <is>
          <t>الامتياز التجاري</t>
        </is>
      </c>
      <c r="B40" s="22" t="inlineStr">
        <is>
          <t>تجربة العملاء والشركاء</t>
        </is>
      </c>
      <c r="C40" s="22" t="inlineStr">
        <is>
          <t>معدل رضا شركاء الامتياز (CSAT)</t>
        </is>
      </c>
      <c r="D40" s="23" t="inlineStr">
        <is>
          <t>🎯 نتيجة</t>
        </is>
      </c>
      <c r="E40" s="35" t="inlineStr">
        <is>
          <t>%</t>
        </is>
      </c>
      <c r="F40" s="35" t="inlineStr">
        <is>
          <t>↑</t>
        </is>
      </c>
      <c r="G40" s="23" t="inlineStr">
        <is>
          <t>🔴 رئيسي</t>
        </is>
      </c>
      <c r="H40" s="32" t="n">
        <v>0.03</v>
      </c>
      <c r="I40" s="35" t="n">
        <v>0.9</v>
      </c>
      <c r="J40" s="35" t="n">
        <v>0.837</v>
      </c>
      <c r="K40" s="32" t="n">
        <v>0.9299999999999999</v>
      </c>
      <c r="L40" s="14" t="inlineStr">
        <is>
          <t>🟡 قريب</t>
        </is>
      </c>
      <c r="M40" s="14" t="inlineStr">
        <is>
          <t>الاستدامة</t>
        </is>
      </c>
      <c r="N40" s="26" t="inlineStr">
        <is>
          <t>تعزيز تجربة العملاء</t>
        </is>
      </c>
      <c r="O40" s="23" t="inlineStr">
        <is>
          <t>العملاء</t>
        </is>
      </c>
      <c r="P40" s="23" t="inlineStr">
        <is>
          <t>مدير الامتياز</t>
        </is>
      </c>
      <c r="Q40" s="26" t="inlineStr">
        <is>
          <t>استبيان دوري</t>
        </is>
      </c>
      <c r="R40" s="23" t="inlineStr">
        <is>
          <t>ربعي</t>
        </is>
      </c>
    </row>
    <row r="41">
      <c r="A41" s="22" t="inlineStr">
        <is>
          <t>الامتياز التجاري</t>
        </is>
      </c>
      <c r="B41" s="22" t="inlineStr">
        <is>
          <t>تجربة العملاء والشركاء</t>
        </is>
      </c>
      <c r="C41" s="22" t="inlineStr">
        <is>
          <t>نسبة حل الشكاوى خلال المدة المحددة</t>
        </is>
      </c>
      <c r="D41" s="23" t="inlineStr">
        <is>
          <t>🎯 نتيجة</t>
        </is>
      </c>
      <c r="E41" s="35" t="inlineStr">
        <is>
          <t>%</t>
        </is>
      </c>
      <c r="F41" s="35" t="inlineStr">
        <is>
          <t>↑</t>
        </is>
      </c>
      <c r="G41" s="23" t="inlineStr">
        <is>
          <t>🟠 مهم</t>
        </is>
      </c>
      <c r="H41" s="32" t="n">
        <v>0.02</v>
      </c>
      <c r="I41" s="35" t="n">
        <v>0.95</v>
      </c>
      <c r="J41" s="35" t="n">
        <v>0.922</v>
      </c>
      <c r="K41" s="32" t="n">
        <v>0.9705263157894738</v>
      </c>
      <c r="L41" s="14" t="inlineStr">
        <is>
          <t>🟡 قريب</t>
        </is>
      </c>
      <c r="M41" s="14" t="inlineStr">
        <is>
          <t>الاستدامة</t>
        </is>
      </c>
      <c r="N41" s="26" t="inlineStr">
        <is>
          <t>تعزيز تجربة العملاء</t>
        </is>
      </c>
      <c r="O41" s="23" t="inlineStr">
        <is>
          <t>العملاء</t>
        </is>
      </c>
      <c r="P41" s="23" t="inlineStr">
        <is>
          <t>مدير الامتياز</t>
        </is>
      </c>
      <c r="Q41" s="26" t="inlineStr">
        <is>
          <t>سجلات الإدارة</t>
        </is>
      </c>
      <c r="R41" s="23" t="inlineStr">
        <is>
          <t>شهري</t>
        </is>
      </c>
    </row>
    <row r="42">
      <c r="A42" s="22" t="inlineStr">
        <is>
          <t>الامتياز التجاري</t>
        </is>
      </c>
      <c r="B42" s="22" t="inlineStr">
        <is>
          <t>تجربة العملاء والشركاء</t>
        </is>
      </c>
      <c r="C42" s="22" t="inlineStr">
        <is>
          <t>نسبة انخفاض الشكاوى التشغيلية والإدارية</t>
        </is>
      </c>
      <c r="D42" s="23" t="inlineStr">
        <is>
          <t>🎯 نتيجة</t>
        </is>
      </c>
      <c r="E42" s="35" t="inlineStr">
        <is>
          <t>%</t>
        </is>
      </c>
      <c r="F42" s="35" t="inlineStr">
        <is>
          <t>↑</t>
        </is>
      </c>
      <c r="G42" s="23" t="inlineStr">
        <is>
          <t>🟠 مهم</t>
        </is>
      </c>
      <c r="H42" s="32" t="n">
        <v>0.02</v>
      </c>
      <c r="I42" s="35" t="n"/>
      <c r="J42" s="35" t="n"/>
      <c r="K42" s="32" t="n"/>
      <c r="L42" s="14" t="inlineStr">
        <is>
          <t>⏳ بانتظار هدف</t>
        </is>
      </c>
      <c r="M42" s="14" t="inlineStr">
        <is>
          <t>الاستدامة</t>
        </is>
      </c>
      <c r="N42" s="26" t="inlineStr">
        <is>
          <t>تعزيز تجربة العملاء</t>
        </is>
      </c>
      <c r="O42" s="23" t="inlineStr">
        <is>
          <t>العملاء</t>
        </is>
      </c>
      <c r="P42" s="23" t="inlineStr">
        <is>
          <t>مدير الامتياز</t>
        </is>
      </c>
      <c r="Q42" s="26" t="inlineStr">
        <is>
          <t>سجلات الإدارة</t>
        </is>
      </c>
      <c r="R42" s="23" t="inlineStr">
        <is>
          <t>شهري</t>
        </is>
      </c>
    </row>
    <row r="43">
      <c r="A43" s="22" t="inlineStr">
        <is>
          <t>الامتياز التجاري</t>
        </is>
      </c>
      <c r="B43" s="22" t="inlineStr">
        <is>
          <t>استدامة الشراكة والامتثال</t>
        </is>
      </c>
      <c r="C43" s="22" t="inlineStr">
        <is>
          <t>نسبة استدامة أصحاب الامتياز (Retention)</t>
        </is>
      </c>
      <c r="D43" s="23" t="inlineStr">
        <is>
          <t>🔧 تشغيلي</t>
        </is>
      </c>
      <c r="E43" s="35" t="inlineStr">
        <is>
          <t>%</t>
        </is>
      </c>
      <c r="F43" s="35" t="inlineStr">
        <is>
          <t>↑</t>
        </is>
      </c>
      <c r="G43" s="23" t="inlineStr">
        <is>
          <t>🟠 مهم</t>
        </is>
      </c>
      <c r="H43" s="32" t="n">
        <v>0.02</v>
      </c>
      <c r="I43" s="35" t="n">
        <v>0.9</v>
      </c>
      <c r="J43" s="35" t="n">
        <v>0.853</v>
      </c>
      <c r="K43" s="32" t="n">
        <v>0.9477777777777777</v>
      </c>
      <c r="L43" s="14" t="inlineStr">
        <is>
          <t>🟡 قريب</t>
        </is>
      </c>
      <c r="M43" s="14" t="inlineStr">
        <is>
          <t>الاستدامة</t>
        </is>
      </c>
      <c r="N43" s="26" t="inlineStr">
        <is>
          <t>تعزيز تجربة العملاء</t>
        </is>
      </c>
      <c r="O43" s="23" t="inlineStr">
        <is>
          <t>العمليات الداخلية</t>
        </is>
      </c>
      <c r="P43" s="23" t="inlineStr">
        <is>
          <t>مدير الامتياز</t>
        </is>
      </c>
      <c r="Q43" s="26" t="inlineStr">
        <is>
          <t>نظام إدارة الجودة (QMS)</t>
        </is>
      </c>
      <c r="R43" s="23" t="inlineStr">
        <is>
          <t>شهري</t>
        </is>
      </c>
    </row>
    <row r="44">
      <c r="A44" s="22" t="inlineStr">
        <is>
          <t>الامتياز التجاري</t>
        </is>
      </c>
      <c r="B44" s="22" t="inlineStr">
        <is>
          <t>استدامة الشراكة والامتثال</t>
        </is>
      </c>
      <c r="C44" s="22" t="inlineStr">
        <is>
          <t>نسبة زيادة عدد أصحاب الامتياز</t>
        </is>
      </c>
      <c r="D44" s="23" t="inlineStr">
        <is>
          <t>⚙️ نشاط</t>
        </is>
      </c>
      <c r="E44" s="35" t="inlineStr">
        <is>
          <t>%</t>
        </is>
      </c>
      <c r="F44" s="35" t="inlineStr">
        <is>
          <t>↑</t>
        </is>
      </c>
      <c r="G44" s="23" t="inlineStr">
        <is>
          <t>🟠 مهم</t>
        </is>
      </c>
      <c r="H44" s="32" t="n">
        <v>0.02</v>
      </c>
      <c r="I44" s="35" t="n">
        <v>1</v>
      </c>
      <c r="J44" s="35" t="n">
        <v>0.8100000000000001</v>
      </c>
      <c r="K44" s="32" t="n">
        <v>0.8100000000000001</v>
      </c>
      <c r="L44" s="14" t="inlineStr">
        <is>
          <t>🔴 تحت الهدف</t>
        </is>
      </c>
      <c r="M44" s="14" t="inlineStr">
        <is>
          <t>الاستدامة</t>
        </is>
      </c>
      <c r="N44" s="26" t="inlineStr">
        <is>
          <t>تعزيز تجربة العملاء</t>
        </is>
      </c>
      <c r="O44" s="23" t="inlineStr">
        <is>
          <t>العمليات الداخلية</t>
        </is>
      </c>
      <c r="P44" s="23" t="inlineStr">
        <is>
          <t>مدير الامتياز</t>
        </is>
      </c>
      <c r="Q44" s="26" t="inlineStr">
        <is>
          <t>نظام إدارة الجودة (QMS)</t>
        </is>
      </c>
      <c r="R44" s="23" t="inlineStr">
        <is>
          <t>شهري</t>
        </is>
      </c>
    </row>
    <row r="45">
      <c r="A45" s="22" t="inlineStr">
        <is>
          <t>الامتياز التجاري</t>
        </is>
      </c>
      <c r="B45" s="22" t="inlineStr">
        <is>
          <t>استدامة الشراكة والامتثال</t>
        </is>
      </c>
      <c r="C45" s="22" t="inlineStr">
        <is>
          <t>نسبة اكتمال المستندات النظامية قبل التوقيع</t>
        </is>
      </c>
      <c r="D45" s="23" t="inlineStr">
        <is>
          <t>⚙️ نشاط</t>
        </is>
      </c>
      <c r="E45" s="35" t="inlineStr">
        <is>
          <t>%</t>
        </is>
      </c>
      <c r="F45" s="35" t="inlineStr">
        <is>
          <t>↑</t>
        </is>
      </c>
      <c r="G45" s="23" t="inlineStr">
        <is>
          <t>🏁 معلم</t>
        </is>
      </c>
      <c r="H45" s="32" t="n">
        <v>0.01</v>
      </c>
      <c r="I45" s="35" t="n">
        <v>1</v>
      </c>
      <c r="J45" s="35" t="n">
        <v>0.751</v>
      </c>
      <c r="K45" s="32" t="n">
        <v>0.751</v>
      </c>
      <c r="L45" s="14" t="inlineStr">
        <is>
          <t>🔴 تحت الهدف</t>
        </is>
      </c>
      <c r="M45" s="14" t="inlineStr">
        <is>
          <t>الاستدامة</t>
        </is>
      </c>
      <c r="N45" s="26" t="inlineStr">
        <is>
          <t>جودة التشغيل</t>
        </is>
      </c>
      <c r="O45" s="23" t="inlineStr">
        <is>
          <t>العمليات الداخلية</t>
        </is>
      </c>
      <c r="P45" s="23" t="inlineStr">
        <is>
          <t>مدير الامتياز</t>
        </is>
      </c>
      <c r="Q45" s="26" t="inlineStr">
        <is>
          <t>نظام إدارة الجودة (QMS)</t>
        </is>
      </c>
      <c r="R45" s="23" t="inlineStr">
        <is>
          <t>شهري</t>
        </is>
      </c>
    </row>
    <row r="46">
      <c r="A46" s="22" t="inlineStr">
        <is>
          <t>الامتياز التجاري</t>
        </is>
      </c>
      <c r="B46" s="22" t="inlineStr">
        <is>
          <t>استدامة الشراكة والامتثال</t>
        </is>
      </c>
      <c r="C46" s="22" t="inlineStr">
        <is>
          <t>متوسط مدة إغلاق عقد الامتياز</t>
        </is>
      </c>
      <c r="D46" s="23" t="inlineStr">
        <is>
          <t>🔧 تشغيلي</t>
        </is>
      </c>
      <c r="E46" s="35" t="inlineStr">
        <is>
          <t>أسبوع</t>
        </is>
      </c>
      <c r="F46" s="35" t="inlineStr">
        <is>
          <t>↓</t>
        </is>
      </c>
      <c r="G46" s="23" t="inlineStr">
        <is>
          <t>🔴 رئيسي</t>
        </is>
      </c>
      <c r="H46" s="32" t="n">
        <v>0.03</v>
      </c>
      <c r="I46" s="35" t="n">
        <v>1</v>
      </c>
      <c r="J46" s="35" t="n">
        <v>0.899</v>
      </c>
      <c r="K46" s="32" t="n">
        <v>1</v>
      </c>
      <c r="L46" s="14" t="inlineStr">
        <is>
          <t>✅ محقق</t>
        </is>
      </c>
      <c r="M46" s="14" t="inlineStr">
        <is>
          <t>النمو</t>
        </is>
      </c>
      <c r="N46" s="26" t="inlineStr">
        <is>
          <t>الامتياز التجاري</t>
        </is>
      </c>
      <c r="O46" s="23" t="inlineStr">
        <is>
          <t>العمليات الداخلية</t>
        </is>
      </c>
      <c r="P46" s="23" t="inlineStr">
        <is>
          <t>مدير الامتياز</t>
        </is>
      </c>
      <c r="Q46" s="26" t="inlineStr">
        <is>
          <t>نظام إدارة الجودة (QMS)</t>
        </is>
      </c>
      <c r="R46" s="23" t="inlineStr">
        <is>
          <t>شهري</t>
        </is>
      </c>
    </row>
    <row r="47">
      <c r="A47" s="22" t="inlineStr">
        <is>
          <t>الامتياز التجاري</t>
        </is>
      </c>
      <c r="B47" s="22" t="inlineStr">
        <is>
          <t>استدامة الشراكة والامتثال</t>
        </is>
      </c>
      <c r="C47" s="22" t="inlineStr">
        <is>
          <t>نسبة إنجاز التقارير الدورية في موعدها</t>
        </is>
      </c>
      <c r="D47" s="23" t="inlineStr">
        <is>
          <t>⚙️ نشاط</t>
        </is>
      </c>
      <c r="E47" s="35" t="inlineStr">
        <is>
          <t>%</t>
        </is>
      </c>
      <c r="F47" s="35" t="inlineStr">
        <is>
          <t>↑</t>
        </is>
      </c>
      <c r="G47" s="23" t="inlineStr">
        <is>
          <t>🟡 متابعة</t>
        </is>
      </c>
      <c r="H47" s="32" t="n">
        <v>0.01</v>
      </c>
      <c r="I47" s="35" t="n">
        <v>1</v>
      </c>
      <c r="J47" s="35" t="n">
        <v>0.961</v>
      </c>
      <c r="K47" s="32" t="n">
        <v>0.961</v>
      </c>
      <c r="L47" s="14" t="inlineStr">
        <is>
          <t>🟡 قريب</t>
        </is>
      </c>
      <c r="M47" s="14" t="inlineStr">
        <is>
          <t>الاستدامة</t>
        </is>
      </c>
      <c r="N47" s="26" t="inlineStr">
        <is>
          <t>جودة التشغيل</t>
        </is>
      </c>
      <c r="O47" s="23" t="inlineStr">
        <is>
          <t>العمليات الداخلية</t>
        </is>
      </c>
      <c r="P47" s="23" t="inlineStr">
        <is>
          <t>مدير الامتياز</t>
        </is>
      </c>
      <c r="Q47" s="26" t="inlineStr">
        <is>
          <t>نظام إدارة الجودة (QMS)</t>
        </is>
      </c>
      <c r="R47" s="23" t="inlineStr">
        <is>
          <t>شهري</t>
        </is>
      </c>
    </row>
    <row r="48">
      <c r="A48" s="22" t="inlineStr">
        <is>
          <t>التشغيل والمحطات</t>
        </is>
      </c>
      <c r="B48" s="22" t="inlineStr">
        <is>
          <t>النمو</t>
        </is>
      </c>
      <c r="C48" s="22" t="inlineStr">
        <is>
          <t>عدد المحطات المشغّلة (تراكمي)</t>
        </is>
      </c>
      <c r="D48" s="23" t="inlineStr">
        <is>
          <t>⚙️ نشاط</t>
        </is>
      </c>
      <c r="E48" s="35" t="inlineStr">
        <is>
          <t>محطة</t>
        </is>
      </c>
      <c r="F48" s="35" t="inlineStr">
        <is>
          <t>↑</t>
        </is>
      </c>
      <c r="G48" s="23" t="inlineStr">
        <is>
          <t>🔴 رئيسي</t>
        </is>
      </c>
      <c r="H48" s="32" t="n">
        <v>0.08</v>
      </c>
      <c r="I48" s="35" t="n">
        <v>85</v>
      </c>
      <c r="J48" s="35" t="n">
        <v>78.5</v>
      </c>
      <c r="K48" s="32" t="n">
        <v>0.9235294117647059</v>
      </c>
      <c r="L48" s="14" t="inlineStr">
        <is>
          <t>🟡 قريب</t>
        </is>
      </c>
      <c r="M48" s="14" t="inlineStr">
        <is>
          <t>النمو</t>
        </is>
      </c>
      <c r="N48" s="26" t="inlineStr">
        <is>
          <t>التوسع في المواقع</t>
        </is>
      </c>
      <c r="O48" s="23" t="inlineStr">
        <is>
          <t>العمليات الداخلية</t>
        </is>
      </c>
      <c r="P48" s="23" t="inlineStr">
        <is>
          <t>مدير التشغيل</t>
        </is>
      </c>
      <c r="Q48" s="26" t="inlineStr">
        <is>
          <t>نظام تشغيل المحطات</t>
        </is>
      </c>
      <c r="R48" s="23" t="inlineStr">
        <is>
          <t>شهري</t>
        </is>
      </c>
    </row>
    <row r="49">
      <c r="A49" s="22" t="inlineStr">
        <is>
          <t>التشغيل والمحطات</t>
        </is>
      </c>
      <c r="B49" s="22" t="inlineStr">
        <is>
          <t>الربحية</t>
        </is>
      </c>
      <c r="C49" s="22" t="inlineStr">
        <is>
          <t>نمو مبيعات بنزين 91 مقارنة بالعام السابق</t>
        </is>
      </c>
      <c r="D49" s="23" t="inlineStr">
        <is>
          <t>🎯 نتيجة</t>
        </is>
      </c>
      <c r="E49" s="35" t="inlineStr">
        <is>
          <t>%</t>
        </is>
      </c>
      <c r="F49" s="35" t="inlineStr">
        <is>
          <t>↑</t>
        </is>
      </c>
      <c r="G49" s="23" t="inlineStr">
        <is>
          <t>🔴 رئيسي</t>
        </is>
      </c>
      <c r="H49" s="32" t="n">
        <v>0.08</v>
      </c>
      <c r="I49" s="35" t="n"/>
      <c r="J49" s="35" t="n"/>
      <c r="K49" s="32" t="n"/>
      <c r="L49" s="14" t="inlineStr">
        <is>
          <t>⏳ بانتظار هدف</t>
        </is>
      </c>
      <c r="M49" s="14" t="inlineStr">
        <is>
          <t>النمو</t>
        </is>
      </c>
      <c r="N49" s="26" t="inlineStr">
        <is>
          <t>زيادة وصول العملاء</t>
        </is>
      </c>
      <c r="O49" s="23" t="inlineStr">
        <is>
          <t>مالي</t>
        </is>
      </c>
      <c r="P49" s="23" t="inlineStr">
        <is>
          <t>مدير التشغيل</t>
        </is>
      </c>
      <c r="Q49" s="26" t="inlineStr">
        <is>
          <t>نظام المحاسبة / ERP (D365)</t>
        </is>
      </c>
      <c r="R49" s="23" t="inlineStr">
        <is>
          <t>شهري</t>
        </is>
      </c>
    </row>
    <row r="50">
      <c r="A50" s="22" t="inlineStr">
        <is>
          <t>التشغيل والمحطات</t>
        </is>
      </c>
      <c r="B50" s="22" t="inlineStr">
        <is>
          <t>الربحية</t>
        </is>
      </c>
      <c r="C50" s="22" t="inlineStr">
        <is>
          <t>نمو مبيعات بنزين 95 مقارنة بالعام السابق</t>
        </is>
      </c>
      <c r="D50" s="23" t="inlineStr">
        <is>
          <t>🎯 نتيجة</t>
        </is>
      </c>
      <c r="E50" s="35" t="inlineStr">
        <is>
          <t>%</t>
        </is>
      </c>
      <c r="F50" s="35" t="inlineStr">
        <is>
          <t>↑</t>
        </is>
      </c>
      <c r="G50" s="23" t="inlineStr">
        <is>
          <t>🔴 رئيسي</t>
        </is>
      </c>
      <c r="H50" s="32" t="n">
        <v>0.08</v>
      </c>
      <c r="I50" s="35" t="n"/>
      <c r="J50" s="35" t="n"/>
      <c r="K50" s="32" t="n"/>
      <c r="L50" s="14" t="inlineStr">
        <is>
          <t>⏳ بانتظار هدف</t>
        </is>
      </c>
      <c r="M50" s="14" t="inlineStr">
        <is>
          <t>النمو</t>
        </is>
      </c>
      <c r="N50" s="26" t="inlineStr">
        <is>
          <t>زيادة وصول العملاء</t>
        </is>
      </c>
      <c r="O50" s="23" t="inlineStr">
        <is>
          <t>مالي</t>
        </is>
      </c>
      <c r="P50" s="23" t="inlineStr">
        <is>
          <t>مدير التشغيل</t>
        </is>
      </c>
      <c r="Q50" s="26" t="inlineStr">
        <is>
          <t>نظام المحاسبة / ERP (D365)</t>
        </is>
      </c>
      <c r="R50" s="23" t="inlineStr">
        <is>
          <t>شهري</t>
        </is>
      </c>
    </row>
    <row r="51">
      <c r="A51" s="22" t="inlineStr">
        <is>
          <t>التشغيل والمحطات</t>
        </is>
      </c>
      <c r="B51" s="22" t="inlineStr">
        <is>
          <t>الربحية</t>
        </is>
      </c>
      <c r="C51" s="22" t="inlineStr">
        <is>
          <t>نمو مبيعات بنزين 98 مقارنة بالعام السابق</t>
        </is>
      </c>
      <c r="D51" s="23" t="inlineStr">
        <is>
          <t>🎯 نتيجة</t>
        </is>
      </c>
      <c r="E51" s="35" t="inlineStr">
        <is>
          <t>%</t>
        </is>
      </c>
      <c r="F51" s="35" t="inlineStr">
        <is>
          <t>↑</t>
        </is>
      </c>
      <c r="G51" s="23" t="inlineStr">
        <is>
          <t>🔴 رئيسي</t>
        </is>
      </c>
      <c r="H51" s="32" t="n">
        <v>0.08</v>
      </c>
      <c r="I51" s="35" t="n"/>
      <c r="J51" s="35" t="n"/>
      <c r="K51" s="32" t="n"/>
      <c r="L51" s="14" t="inlineStr">
        <is>
          <t>⏳ بانتظار هدف</t>
        </is>
      </c>
      <c r="M51" s="14" t="inlineStr">
        <is>
          <t>النمو</t>
        </is>
      </c>
      <c r="N51" s="26" t="inlineStr">
        <is>
          <t>زيادة وصول العملاء</t>
        </is>
      </c>
      <c r="O51" s="23" t="inlineStr">
        <is>
          <t>مالي</t>
        </is>
      </c>
      <c r="P51" s="23" t="inlineStr">
        <is>
          <t>مدير التشغيل</t>
        </is>
      </c>
      <c r="Q51" s="26" t="inlineStr">
        <is>
          <t>نظام المحاسبة / ERP (D365)</t>
        </is>
      </c>
      <c r="R51" s="23" t="inlineStr">
        <is>
          <t>شهري</t>
        </is>
      </c>
    </row>
    <row r="52">
      <c r="A52" s="22" t="inlineStr">
        <is>
          <t>التشغيل والمحطات</t>
        </is>
      </c>
      <c r="B52" s="22" t="inlineStr">
        <is>
          <t>الربحية</t>
        </is>
      </c>
      <c r="C52" s="22" t="inlineStr">
        <is>
          <t>نمو مبيعات الديزل مقارنة بالعام السابق</t>
        </is>
      </c>
      <c r="D52" s="23" t="inlineStr">
        <is>
          <t>🎯 نتيجة</t>
        </is>
      </c>
      <c r="E52" s="35" t="inlineStr">
        <is>
          <t>%</t>
        </is>
      </c>
      <c r="F52" s="35" t="inlineStr">
        <is>
          <t>↑</t>
        </is>
      </c>
      <c r="G52" s="23" t="inlineStr">
        <is>
          <t>🔴 رئيسي</t>
        </is>
      </c>
      <c r="H52" s="32" t="n">
        <v>0.08</v>
      </c>
      <c r="I52" s="35" t="n"/>
      <c r="J52" s="35" t="n"/>
      <c r="K52" s="32" t="n"/>
      <c r="L52" s="14" t="inlineStr">
        <is>
          <t>⏳ بانتظار هدف</t>
        </is>
      </c>
      <c r="M52" s="14" t="inlineStr">
        <is>
          <t>النمو</t>
        </is>
      </c>
      <c r="N52" s="26" t="inlineStr">
        <is>
          <t>زيادة وصول العملاء</t>
        </is>
      </c>
      <c r="O52" s="23" t="inlineStr">
        <is>
          <t>مالي</t>
        </is>
      </c>
      <c r="P52" s="23" t="inlineStr">
        <is>
          <t>مدير التشغيل</t>
        </is>
      </c>
      <c r="Q52" s="26" t="inlineStr">
        <is>
          <t>نظام المحاسبة / ERP (D365)</t>
        </is>
      </c>
      <c r="R52" s="23" t="inlineStr">
        <is>
          <t>شهري</t>
        </is>
      </c>
    </row>
    <row r="53">
      <c r="A53" s="22" t="inlineStr">
        <is>
          <t>التشغيل والمحطات</t>
        </is>
      </c>
      <c r="B53" s="22" t="inlineStr">
        <is>
          <t>حماية الإيراد</t>
        </is>
      </c>
      <c r="C53" s="22" t="inlineStr">
        <is>
          <t>نسبة جاهزية المحطة الشاملة (Uptime)</t>
        </is>
      </c>
      <c r="D53" s="23" t="inlineStr">
        <is>
          <t>🔧 تشغيلي</t>
        </is>
      </c>
      <c r="E53" s="35" t="inlineStr">
        <is>
          <t>%</t>
        </is>
      </c>
      <c r="F53" s="35" t="inlineStr">
        <is>
          <t>↑</t>
        </is>
      </c>
      <c r="G53" s="23" t="inlineStr">
        <is>
          <t>🔴 رئيسي</t>
        </is>
      </c>
      <c r="H53" s="32" t="n">
        <v>0.07000000000000001</v>
      </c>
      <c r="I53" s="35" t="n">
        <v>0.99</v>
      </c>
      <c r="J53" s="35" t="n">
        <v>0.831</v>
      </c>
      <c r="K53" s="32" t="n">
        <v>0.8393939393939394</v>
      </c>
      <c r="L53" s="14" t="inlineStr">
        <is>
          <t>🔴 تحت الهدف</t>
        </is>
      </c>
      <c r="M53" s="14" t="inlineStr">
        <is>
          <t>الاستدامة</t>
        </is>
      </c>
      <c r="N53" s="26" t="inlineStr">
        <is>
          <t>جودة التشغيل</t>
        </is>
      </c>
      <c r="O53" s="23" t="inlineStr">
        <is>
          <t>العمليات الداخلية</t>
        </is>
      </c>
      <c r="P53" s="23" t="inlineStr">
        <is>
          <t>مدير التشغيل</t>
        </is>
      </c>
      <c r="Q53" s="26" t="inlineStr">
        <is>
          <t>نظام المحاسبة / ERP (D365)</t>
        </is>
      </c>
      <c r="R53" s="23" t="inlineStr">
        <is>
          <t>شهري</t>
        </is>
      </c>
    </row>
    <row r="54">
      <c r="A54" s="22" t="inlineStr">
        <is>
          <t>التشغيل والمحطات</t>
        </is>
      </c>
      <c r="B54" s="22" t="inlineStr">
        <is>
          <t>حماية الإيراد</t>
        </is>
      </c>
      <c r="C54" s="22" t="inlineStr">
        <is>
          <t>نسبة المضخات العاملة</t>
        </is>
      </c>
      <c r="D54" s="23" t="inlineStr">
        <is>
          <t>🔧 تشغيلي</t>
        </is>
      </c>
      <c r="E54" s="35" t="inlineStr">
        <is>
          <t>%</t>
        </is>
      </c>
      <c r="F54" s="35" t="inlineStr">
        <is>
          <t>↑</t>
        </is>
      </c>
      <c r="G54" s="23" t="inlineStr">
        <is>
          <t>🟠 مهم</t>
        </is>
      </c>
      <c r="H54" s="32" t="n">
        <v>0.05</v>
      </c>
      <c r="I54" s="35" t="n">
        <v>0.97</v>
      </c>
      <c r="J54" s="35" t="n">
        <v>0.953</v>
      </c>
      <c r="K54" s="32" t="n">
        <v>0.9824742268041237</v>
      </c>
      <c r="L54" s="14" t="inlineStr">
        <is>
          <t>🟡 قريب</t>
        </is>
      </c>
      <c r="M54" s="14" t="inlineStr">
        <is>
          <t>الاستدامة</t>
        </is>
      </c>
      <c r="N54" s="26" t="inlineStr">
        <is>
          <t>جودة التشغيل</t>
        </is>
      </c>
      <c r="O54" s="23" t="inlineStr">
        <is>
          <t>العمليات الداخلية</t>
        </is>
      </c>
      <c r="P54" s="23" t="inlineStr">
        <is>
          <t>مدير التشغيل</t>
        </is>
      </c>
      <c r="Q54" s="26" t="inlineStr">
        <is>
          <t>نظام المحاسبة / ERP (D365)</t>
        </is>
      </c>
      <c r="R54" s="23" t="inlineStr">
        <is>
          <t>شهري</t>
        </is>
      </c>
    </row>
    <row r="55">
      <c r="A55" s="22" t="inlineStr">
        <is>
          <t>التشغيل والمحطات</t>
        </is>
      </c>
      <c r="B55" s="22" t="inlineStr">
        <is>
          <t>ضغط التكلفة</t>
        </is>
      </c>
      <c r="C55" s="22" t="inlineStr">
        <is>
          <t>تكلفة التشغيل لكل لتر مباع</t>
        </is>
      </c>
      <c r="D55" s="23" t="inlineStr">
        <is>
          <t>🔧 تشغيلي</t>
        </is>
      </c>
      <c r="E55" s="35" t="inlineStr">
        <is>
          <t>هللة/لتر</t>
        </is>
      </c>
      <c r="F55" s="35" t="inlineStr">
        <is>
          <t>↓</t>
        </is>
      </c>
      <c r="G55" s="23" t="inlineStr">
        <is>
          <t>🟠 مهم</t>
        </is>
      </c>
      <c r="H55" s="32" t="n">
        <v>0.05</v>
      </c>
      <c r="I55" s="35" t="n"/>
      <c r="J55" s="35" t="n"/>
      <c r="K55" s="32" t="n"/>
      <c r="L55" s="14" t="inlineStr">
        <is>
          <t>⏳ بانتظار هدف</t>
        </is>
      </c>
      <c r="M55" s="14" t="inlineStr">
        <is>
          <t>الاستدامة</t>
        </is>
      </c>
      <c r="N55" s="26" t="inlineStr">
        <is>
          <t>جودة التشغيل</t>
        </is>
      </c>
      <c r="O55" s="23" t="inlineStr">
        <is>
          <t>مالي</t>
        </is>
      </c>
      <c r="P55" s="23" t="inlineStr">
        <is>
          <t>مدير التشغيل</t>
        </is>
      </c>
      <c r="Q55" s="26" t="inlineStr">
        <is>
          <t>نظام تشغيل المحطات</t>
        </is>
      </c>
      <c r="R55" s="23" t="inlineStr">
        <is>
          <t>ربعي</t>
        </is>
      </c>
    </row>
    <row r="56">
      <c r="A56" s="22" t="inlineStr">
        <is>
          <t>التشغيل والمحطات</t>
        </is>
      </c>
      <c r="B56" s="22" t="inlineStr">
        <is>
          <t>حماية الأصول</t>
        </is>
      </c>
      <c r="C56" s="22" t="inlineStr">
        <is>
          <t>نسبة الصيانة الوقائية المنفذة في موعدها</t>
        </is>
      </c>
      <c r="D56" s="23" t="inlineStr">
        <is>
          <t>🔧 تشغيلي</t>
        </is>
      </c>
      <c r="E56" s="35" t="inlineStr">
        <is>
          <t>%</t>
        </is>
      </c>
      <c r="F56" s="35" t="inlineStr">
        <is>
          <t>↑</t>
        </is>
      </c>
      <c r="G56" s="23" t="inlineStr">
        <is>
          <t>🟠 مهم</t>
        </is>
      </c>
      <c r="H56" s="32" t="n">
        <v>0.05</v>
      </c>
      <c r="I56" s="35" t="n">
        <v>0.95</v>
      </c>
      <c r="J56" s="35" t="n">
        <v>0.758</v>
      </c>
      <c r="K56" s="32" t="n">
        <v>0.7978947368421053</v>
      </c>
      <c r="L56" s="14" t="inlineStr">
        <is>
          <t>🔴 تحت الهدف</t>
        </is>
      </c>
      <c r="M56" s="14" t="inlineStr">
        <is>
          <t>الاستدامة</t>
        </is>
      </c>
      <c r="N56" s="26" t="inlineStr">
        <is>
          <t>جودة التشغيل</t>
        </is>
      </c>
      <c r="O56" s="23" t="inlineStr">
        <is>
          <t>العمليات الداخلية</t>
        </is>
      </c>
      <c r="P56" s="23" t="inlineStr">
        <is>
          <t>مدير التشغيل</t>
        </is>
      </c>
      <c r="Q56" s="26" t="inlineStr">
        <is>
          <t>نظام تشغيل المحطات</t>
        </is>
      </c>
      <c r="R56" s="23" t="inlineStr">
        <is>
          <t>شهري</t>
        </is>
      </c>
    </row>
    <row r="57">
      <c r="A57" s="22" t="inlineStr">
        <is>
          <t>التشغيل والمحطات</t>
        </is>
      </c>
      <c r="B57" s="22" t="inlineStr">
        <is>
          <t>تجربة العميل</t>
        </is>
      </c>
      <c r="C57" s="22" t="inlineStr">
        <is>
          <t>نسبة انخفاض الشكاوى مقارنة بالشهر السابق</t>
        </is>
      </c>
      <c r="D57" s="23" t="inlineStr">
        <is>
          <t>🎯 نتيجة</t>
        </is>
      </c>
      <c r="E57" s="35" t="inlineStr">
        <is>
          <t>%</t>
        </is>
      </c>
      <c r="F57" s="35" t="inlineStr">
        <is>
          <t>↑</t>
        </is>
      </c>
      <c r="G57" s="23" t="inlineStr">
        <is>
          <t>🟠 مهم</t>
        </is>
      </c>
      <c r="H57" s="32" t="n">
        <v>0.05</v>
      </c>
      <c r="I57" s="35" t="n"/>
      <c r="J57" s="35" t="n"/>
      <c r="K57" s="32" t="n"/>
      <c r="L57" s="14" t="inlineStr">
        <is>
          <t>⏳ بانتظار هدف</t>
        </is>
      </c>
      <c r="M57" s="14" t="inlineStr">
        <is>
          <t>الاستدامة</t>
        </is>
      </c>
      <c r="N57" s="26" t="inlineStr">
        <is>
          <t>تعزيز تجربة العملاء</t>
        </is>
      </c>
      <c r="O57" s="23" t="inlineStr">
        <is>
          <t>العملاء</t>
        </is>
      </c>
      <c r="P57" s="23" t="inlineStr">
        <is>
          <t>مدير التشغيل</t>
        </is>
      </c>
      <c r="Q57" s="26" t="inlineStr">
        <is>
          <t>سجلات الإدارة</t>
        </is>
      </c>
      <c r="R57" s="23" t="inlineStr">
        <is>
          <t>شهري</t>
        </is>
      </c>
    </row>
    <row r="58">
      <c r="A58" s="22" t="inlineStr">
        <is>
          <t>التشغيل والمحطات</t>
        </is>
      </c>
      <c r="B58" s="22" t="inlineStr">
        <is>
          <t>تجربة العميل</t>
        </is>
      </c>
      <c r="C58" s="22" t="inlineStr">
        <is>
          <t>تقييم Google Maps للمحطات</t>
        </is>
      </c>
      <c r="D58" s="23" t="inlineStr">
        <is>
          <t>🎯 نتيجة</t>
        </is>
      </c>
      <c r="E58" s="35" t="inlineStr">
        <is>
          <t>نجمة/5</t>
        </is>
      </c>
      <c r="F58" s="35" t="inlineStr">
        <is>
          <t>↑</t>
        </is>
      </c>
      <c r="G58" s="23" t="inlineStr">
        <is>
          <t>🔴 رئيسي</t>
        </is>
      </c>
      <c r="H58" s="32" t="n">
        <v>0.07000000000000001</v>
      </c>
      <c r="I58" s="35" t="n">
        <v>4.5</v>
      </c>
      <c r="J58" s="35" t="n">
        <v>4.048</v>
      </c>
      <c r="K58" s="32" t="n">
        <v>0.8995555555555556</v>
      </c>
      <c r="L58" s="14" t="inlineStr">
        <is>
          <t>🟡 قريب</t>
        </is>
      </c>
      <c r="M58" s="14" t="inlineStr">
        <is>
          <t>الاستدامة</t>
        </is>
      </c>
      <c r="N58" s="26" t="inlineStr">
        <is>
          <t>تعزيز تجربة العملاء</t>
        </is>
      </c>
      <c r="O58" s="23" t="inlineStr">
        <is>
          <t>العمليات الداخلية</t>
        </is>
      </c>
      <c r="P58" s="23" t="inlineStr">
        <is>
          <t>مدير التشغيل</t>
        </is>
      </c>
      <c r="Q58" s="26" t="inlineStr">
        <is>
          <t>تقييمات خرائط قوقل</t>
        </is>
      </c>
      <c r="R58" s="23" t="inlineStr">
        <is>
          <t>شهري</t>
        </is>
      </c>
    </row>
    <row r="59">
      <c r="A59" s="22" t="inlineStr">
        <is>
          <t>التشغيل والمحطات</t>
        </is>
      </c>
      <c r="B59" s="22" t="inlineStr">
        <is>
          <t>تجربة العميل</t>
        </is>
      </c>
      <c r="C59" s="22" t="inlineStr">
        <is>
          <t>سرعة تعبئة الوقود</t>
        </is>
      </c>
      <c r="D59" s="23" t="inlineStr">
        <is>
          <t>🔧 تشغيلي</t>
        </is>
      </c>
      <c r="E59" s="35" t="inlineStr">
        <is>
          <t>دقيقة</t>
        </is>
      </c>
      <c r="F59" s="35" t="inlineStr">
        <is>
          <t>↓</t>
        </is>
      </c>
      <c r="G59" s="23" t="inlineStr">
        <is>
          <t>🟠 مهم</t>
        </is>
      </c>
      <c r="H59" s="32" t="n">
        <v>0.05</v>
      </c>
      <c r="I59" s="35" t="n">
        <v>3</v>
      </c>
      <c r="J59" s="35" t="n">
        <v>3.352</v>
      </c>
      <c r="K59" s="32" t="n">
        <v>0.8949880668257757</v>
      </c>
      <c r="L59" s="14" t="inlineStr">
        <is>
          <t>🟡 قريب</t>
        </is>
      </c>
      <c r="M59" s="14" t="inlineStr">
        <is>
          <t>الاستدامة</t>
        </is>
      </c>
      <c r="N59" s="26" t="inlineStr">
        <is>
          <t>تعزيز تجربة العملاء</t>
        </is>
      </c>
      <c r="O59" s="23" t="inlineStr">
        <is>
          <t>العمليات الداخلية</t>
        </is>
      </c>
      <c r="P59" s="23" t="inlineStr">
        <is>
          <t>مدير التشغيل</t>
        </is>
      </c>
      <c r="Q59" s="26" t="inlineStr">
        <is>
          <t>نظام تشغيل المحطات</t>
        </is>
      </c>
      <c r="R59" s="23" t="inlineStr">
        <is>
          <t>شهري</t>
        </is>
      </c>
    </row>
    <row r="60">
      <c r="A60" s="22" t="inlineStr">
        <is>
          <t>التشغيل والمحطات</t>
        </is>
      </c>
      <c r="B60" s="22" t="inlineStr">
        <is>
          <t>تجربة العميل</t>
        </is>
      </c>
      <c r="C60" s="22" t="inlineStr">
        <is>
          <t>دقة التعبئة بدون أخطاء</t>
        </is>
      </c>
      <c r="D60" s="23" t="inlineStr">
        <is>
          <t>🔧 تشغيلي</t>
        </is>
      </c>
      <c r="E60" s="35" t="inlineStr">
        <is>
          <t>%</t>
        </is>
      </c>
      <c r="F60" s="35" t="inlineStr">
        <is>
          <t>↑</t>
        </is>
      </c>
      <c r="G60" s="23" t="inlineStr">
        <is>
          <t>🟠 مهم</t>
        </is>
      </c>
      <c r="H60" s="32" t="n">
        <v>0.05</v>
      </c>
      <c r="I60" s="35" t="n">
        <v>0.99</v>
      </c>
      <c r="J60" s="35" t="n">
        <v>0.831</v>
      </c>
      <c r="K60" s="32" t="n">
        <v>0.8393939393939394</v>
      </c>
      <c r="L60" s="14" t="inlineStr">
        <is>
          <t>🔴 تحت الهدف</t>
        </is>
      </c>
      <c r="M60" s="14" t="inlineStr">
        <is>
          <t>الاستدامة</t>
        </is>
      </c>
      <c r="N60" s="26" t="inlineStr">
        <is>
          <t>جودة التشغيل</t>
        </is>
      </c>
      <c r="O60" s="23" t="inlineStr">
        <is>
          <t>العمليات الداخلية</t>
        </is>
      </c>
      <c r="P60" s="23" t="inlineStr">
        <is>
          <t>مدير التشغيل</t>
        </is>
      </c>
      <c r="Q60" s="26" t="inlineStr">
        <is>
          <t>نظام تشغيل المحطات</t>
        </is>
      </c>
      <c r="R60" s="23" t="inlineStr">
        <is>
          <t>شهري</t>
        </is>
      </c>
    </row>
    <row r="61">
      <c r="A61" s="22" t="inlineStr">
        <is>
          <t>التشغيل والمحطات</t>
        </is>
      </c>
      <c r="B61" s="22" t="inlineStr">
        <is>
          <t>تجربة العميل</t>
        </is>
      </c>
      <c r="C61" s="22" t="inlineStr">
        <is>
          <t>تطبيق المعيار الشامل في المحطات</t>
        </is>
      </c>
      <c r="D61" s="23" t="inlineStr">
        <is>
          <t>🔧 تشغيلي</t>
        </is>
      </c>
      <c r="E61" s="35" t="inlineStr">
        <is>
          <t>%</t>
        </is>
      </c>
      <c r="F61" s="35" t="inlineStr">
        <is>
          <t>↑</t>
        </is>
      </c>
      <c r="G61" s="23" t="inlineStr">
        <is>
          <t>🟡 متابعة</t>
        </is>
      </c>
      <c r="H61" s="32" t="n">
        <v>0.02</v>
      </c>
      <c r="I61" s="35" t="n">
        <v>0.8</v>
      </c>
      <c r="J61" s="35" t="n">
        <v>0.787</v>
      </c>
      <c r="K61" s="32" t="n">
        <v>0.98375</v>
      </c>
      <c r="L61" s="14" t="inlineStr">
        <is>
          <t>🟡 قريب</t>
        </is>
      </c>
      <c r="M61" s="14" t="inlineStr">
        <is>
          <t>الابتكار</t>
        </is>
      </c>
      <c r="N61" s="26" t="inlineStr">
        <is>
          <t>التحول التقني</t>
        </is>
      </c>
      <c r="O61" s="23" t="inlineStr">
        <is>
          <t>العمليات الداخلية</t>
        </is>
      </c>
      <c r="P61" s="23" t="inlineStr">
        <is>
          <t>مدير التشغيل</t>
        </is>
      </c>
      <c r="Q61" s="26" t="inlineStr">
        <is>
          <t>نظام تشغيل المحطات</t>
        </is>
      </c>
      <c r="R61" s="23" t="inlineStr">
        <is>
          <t>شهري</t>
        </is>
      </c>
    </row>
    <row r="62">
      <c r="A62" s="22" t="inlineStr">
        <is>
          <t>التشغيل والمحطات</t>
        </is>
      </c>
      <c r="B62" s="22" t="inlineStr">
        <is>
          <t>السلامة</t>
        </is>
      </c>
      <c r="C62" s="22" t="inlineStr">
        <is>
          <t>الالتزام بمعايير السلامة داخل المحطة</t>
        </is>
      </c>
      <c r="D62" s="23" t="inlineStr">
        <is>
          <t>🔧 تشغيلي</t>
        </is>
      </c>
      <c r="E62" s="35" t="inlineStr">
        <is>
          <t>%</t>
        </is>
      </c>
      <c r="F62" s="35" t="inlineStr">
        <is>
          <t>↑</t>
        </is>
      </c>
      <c r="G62" s="23" t="inlineStr">
        <is>
          <t>🔴 رئيسي</t>
        </is>
      </c>
      <c r="H62" s="32" t="n">
        <v>0.07000000000000001</v>
      </c>
      <c r="I62" s="35" t="n">
        <v>1</v>
      </c>
      <c r="J62" s="35" t="n">
        <v>0.837</v>
      </c>
      <c r="K62" s="32" t="n">
        <v>0.837</v>
      </c>
      <c r="L62" s="14" t="inlineStr">
        <is>
          <t>🔴 تحت الهدف</t>
        </is>
      </c>
      <c r="M62" s="14" t="inlineStr">
        <is>
          <t>الاستدامة</t>
        </is>
      </c>
      <c r="N62" s="26" t="inlineStr">
        <is>
          <t>جودة التشغيل</t>
        </is>
      </c>
      <c r="O62" s="23" t="inlineStr">
        <is>
          <t>العمليات الداخلية</t>
        </is>
      </c>
      <c r="P62" s="23" t="inlineStr">
        <is>
          <t>مدير التشغيل</t>
        </is>
      </c>
      <c r="Q62" s="26" t="inlineStr">
        <is>
          <t>نظام تشغيل المحطات</t>
        </is>
      </c>
      <c r="R62" s="23" t="inlineStr">
        <is>
          <t>شهري</t>
        </is>
      </c>
    </row>
    <row r="63">
      <c r="A63" s="22" t="inlineStr">
        <is>
          <t>التشغيل والمحطات</t>
        </is>
      </c>
      <c r="B63" s="22" t="inlineStr">
        <is>
          <t>البيئة</t>
        </is>
      </c>
      <c r="C63" s="22" t="inlineStr">
        <is>
          <t>التشجير داخل المحطة (معيار الوزارة)</t>
        </is>
      </c>
      <c r="D63" s="23" t="inlineStr">
        <is>
          <t>🔧 تشغيلي</t>
        </is>
      </c>
      <c r="E63" s="35" t="inlineStr">
        <is>
          <t>%</t>
        </is>
      </c>
      <c r="F63" s="35" t="inlineStr">
        <is>
          <t>↑</t>
        </is>
      </c>
      <c r="G63" s="23" t="inlineStr">
        <is>
          <t>🔴 رئيسي</t>
        </is>
      </c>
      <c r="H63" s="32" t="n">
        <v>0.07000000000000001</v>
      </c>
      <c r="I63" s="35" t="n">
        <v>1</v>
      </c>
      <c r="J63" s="35" t="n">
        <v>0.747</v>
      </c>
      <c r="K63" s="32" t="n">
        <v>0.747</v>
      </c>
      <c r="L63" s="14" t="inlineStr">
        <is>
          <t>🔴 تحت الهدف</t>
        </is>
      </c>
      <c r="M63" s="14" t="inlineStr">
        <is>
          <t>الاستدامة</t>
        </is>
      </c>
      <c r="N63" s="26" t="inlineStr">
        <is>
          <t>جودة التشغيل</t>
        </is>
      </c>
      <c r="O63" s="23" t="inlineStr">
        <is>
          <t>العمليات الداخلية</t>
        </is>
      </c>
      <c r="P63" s="23" t="inlineStr">
        <is>
          <t>مدير التشغيل</t>
        </is>
      </c>
      <c r="Q63" s="26" t="inlineStr">
        <is>
          <t>نظام تشغيل المحطات</t>
        </is>
      </c>
      <c r="R63" s="23" t="inlineStr">
        <is>
          <t>شهري</t>
        </is>
      </c>
    </row>
    <row r="64">
      <c r="A64" s="22" t="inlineStr">
        <is>
          <t>الاستثمار</t>
        </is>
      </c>
      <c r="B64" s="22" t="inlineStr">
        <is>
          <t>نمو المحفظة</t>
        </is>
      </c>
      <c r="C64" s="22" t="inlineStr">
        <is>
          <t>إجمالي عقود الاستثمار الجديدة (جميع النماذج)</t>
        </is>
      </c>
      <c r="D64" s="23" t="inlineStr">
        <is>
          <t>🔧 تشغيلي</t>
        </is>
      </c>
      <c r="E64" s="35" t="inlineStr">
        <is>
          <t>عقد</t>
        </is>
      </c>
      <c r="F64" s="35" t="inlineStr">
        <is>
          <t>↑</t>
        </is>
      </c>
      <c r="G64" s="23" t="inlineStr">
        <is>
          <t>🔴 رئيسي</t>
        </is>
      </c>
      <c r="H64" s="32" t="n">
        <v>0.05</v>
      </c>
      <c r="I64" s="35" t="n">
        <v>190</v>
      </c>
      <c r="J64" s="35" t="n">
        <v>165.7</v>
      </c>
      <c r="K64" s="32" t="n">
        <v>0.8721052631578947</v>
      </c>
      <c r="L64" s="14" t="inlineStr">
        <is>
          <t>🟡 قريب</t>
        </is>
      </c>
      <c r="M64" s="14" t="inlineStr">
        <is>
          <t>النمو</t>
        </is>
      </c>
      <c r="N64" s="26" t="inlineStr">
        <is>
          <t>التوسع في المواقع</t>
        </is>
      </c>
      <c r="O64" s="23" t="inlineStr">
        <is>
          <t>العمليات الداخلية</t>
        </is>
      </c>
      <c r="P64" s="23" t="inlineStr">
        <is>
          <t>مدير الاستثمار</t>
        </is>
      </c>
      <c r="Q64" s="26" t="inlineStr">
        <is>
          <t>نظام إدارة العقود (CRM)</t>
        </is>
      </c>
      <c r="R64" s="23" t="inlineStr">
        <is>
          <t>شهري</t>
        </is>
      </c>
    </row>
    <row r="65">
      <c r="A65" s="22" t="inlineStr">
        <is>
          <t>الاستثمار</t>
        </is>
      </c>
      <c r="B65" s="22" t="inlineStr">
        <is>
          <t>نمو المحفظة</t>
        </is>
      </c>
      <c r="C65" s="22" t="inlineStr">
        <is>
          <t>عقود الاستثمار العادي الجديدة</t>
        </is>
      </c>
      <c r="D65" s="23" t="inlineStr">
        <is>
          <t>🔧 تشغيلي</t>
        </is>
      </c>
      <c r="E65" s="35" t="inlineStr">
        <is>
          <t>عقد</t>
        </is>
      </c>
      <c r="F65" s="35" t="inlineStr">
        <is>
          <t>↑</t>
        </is>
      </c>
      <c r="G65" s="23" t="inlineStr">
        <is>
          <t>🔴 رئيسي</t>
        </is>
      </c>
      <c r="H65" s="32" t="n">
        <v>0.05</v>
      </c>
      <c r="I65" s="35" t="n">
        <v>90</v>
      </c>
      <c r="J65" s="35" t="n">
        <v>76.3</v>
      </c>
      <c r="K65" s="32" t="n">
        <v>0.8477777777777777</v>
      </c>
      <c r="L65" s="14" t="inlineStr">
        <is>
          <t>🔴 تحت الهدف</t>
        </is>
      </c>
      <c r="M65" s="14" t="inlineStr">
        <is>
          <t>النمو</t>
        </is>
      </c>
      <c r="N65" s="26" t="inlineStr">
        <is>
          <t>التوسع في المواقع</t>
        </is>
      </c>
      <c r="O65" s="23" t="inlineStr">
        <is>
          <t>العمليات الداخلية</t>
        </is>
      </c>
      <c r="P65" s="23" t="inlineStr">
        <is>
          <t>مدير الاستثمار</t>
        </is>
      </c>
      <c r="Q65" s="26" t="inlineStr">
        <is>
          <t>نظام إدارة العقود (CRM)</t>
        </is>
      </c>
      <c r="R65" s="23" t="inlineStr">
        <is>
          <t>شهري</t>
        </is>
      </c>
    </row>
    <row r="66">
      <c r="A66" s="22" t="inlineStr">
        <is>
          <t>الاستثمار</t>
        </is>
      </c>
      <c r="B66" s="22" t="inlineStr">
        <is>
          <t>نمو المحفظة</t>
        </is>
      </c>
      <c r="C66" s="22" t="inlineStr">
        <is>
          <t>عقود الاستحواذ الجديدة</t>
        </is>
      </c>
      <c r="D66" s="23" t="inlineStr">
        <is>
          <t>🔧 تشغيلي</t>
        </is>
      </c>
      <c r="E66" s="35" t="inlineStr">
        <is>
          <t>عقد</t>
        </is>
      </c>
      <c r="F66" s="35" t="inlineStr">
        <is>
          <t>↑</t>
        </is>
      </c>
      <c r="G66" s="23" t="inlineStr">
        <is>
          <t>🔴 رئيسي</t>
        </is>
      </c>
      <c r="H66" s="32" t="n">
        <v>0.05</v>
      </c>
      <c r="I66" s="35" t="n">
        <v>100</v>
      </c>
      <c r="J66" s="35" t="n">
        <v>82.2</v>
      </c>
      <c r="K66" s="32" t="n">
        <v>0.8220000000000001</v>
      </c>
      <c r="L66" s="14" t="inlineStr">
        <is>
          <t>🔴 تحت الهدف</t>
        </is>
      </c>
      <c r="M66" s="14" t="inlineStr">
        <is>
          <t>النمو</t>
        </is>
      </c>
      <c r="N66" s="26" t="inlineStr">
        <is>
          <t>التوسع في المواقع</t>
        </is>
      </c>
      <c r="O66" s="23" t="inlineStr">
        <is>
          <t>العمليات الداخلية</t>
        </is>
      </c>
      <c r="P66" s="23" t="inlineStr">
        <is>
          <t>مدير الاستثمار</t>
        </is>
      </c>
      <c r="Q66" s="26" t="inlineStr">
        <is>
          <t>نظام إدارة العقود (CRM)</t>
        </is>
      </c>
      <c r="R66" s="23" t="inlineStr">
        <is>
          <t>شهري</t>
        </is>
      </c>
    </row>
    <row r="67">
      <c r="A67" s="22" t="inlineStr">
        <is>
          <t>الاستثمار</t>
        </is>
      </c>
      <c r="B67" s="22" t="inlineStr">
        <is>
          <t>نمو المحفظة</t>
        </is>
      </c>
      <c r="C67" s="22" t="inlineStr">
        <is>
          <t>المحطات المستحوَذ عليها المشغّلة (تراكمي)</t>
        </is>
      </c>
      <c r="D67" s="23" t="inlineStr">
        <is>
          <t>🔧 تشغيلي</t>
        </is>
      </c>
      <c r="E67" s="35" t="inlineStr">
        <is>
          <t>محطة</t>
        </is>
      </c>
      <c r="F67" s="35" t="inlineStr">
        <is>
          <t>↑</t>
        </is>
      </c>
      <c r="G67" s="23" t="inlineStr">
        <is>
          <t>🔴 رئيسي</t>
        </is>
      </c>
      <c r="H67" s="32" t="n">
        <v>0.05</v>
      </c>
      <c r="I67" s="35" t="n">
        <v>120</v>
      </c>
      <c r="J67" s="35" t="n">
        <v>125.8</v>
      </c>
      <c r="K67" s="32" t="n">
        <v>1</v>
      </c>
      <c r="L67" s="14" t="inlineStr">
        <is>
          <t>✅ محقق</t>
        </is>
      </c>
      <c r="M67" s="14" t="inlineStr">
        <is>
          <t>النمو</t>
        </is>
      </c>
      <c r="N67" s="26" t="inlineStr">
        <is>
          <t>التوسع في المواقع</t>
        </is>
      </c>
      <c r="O67" s="23" t="inlineStr">
        <is>
          <t>العمليات الداخلية</t>
        </is>
      </c>
      <c r="P67" s="23" t="inlineStr">
        <is>
          <t>مدير الاستثمار</t>
        </is>
      </c>
      <c r="Q67" s="26" t="inlineStr">
        <is>
          <t>نظام تشغيل المحطات</t>
        </is>
      </c>
      <c r="R67" s="23" t="inlineStr">
        <is>
          <t>شهري</t>
        </is>
      </c>
    </row>
    <row r="68">
      <c r="A68" s="22" t="inlineStr">
        <is>
          <t>الاستثمار</t>
        </is>
      </c>
      <c r="B68" s="22" t="inlineStr">
        <is>
          <t>نمو المحفظة</t>
        </is>
      </c>
      <c r="C68" s="22" t="inlineStr">
        <is>
          <t>عقود تأجير الأرض الجديدة</t>
        </is>
      </c>
      <c r="D68" s="23" t="inlineStr">
        <is>
          <t>🔧 تشغيلي</t>
        </is>
      </c>
      <c r="E68" s="35" t="inlineStr">
        <is>
          <t>عقد</t>
        </is>
      </c>
      <c r="F68" s="35" t="inlineStr">
        <is>
          <t>↑</t>
        </is>
      </c>
      <c r="G68" s="23" t="inlineStr">
        <is>
          <t>🔴 رئيسي</t>
        </is>
      </c>
      <c r="H68" s="32" t="n">
        <v>0.05</v>
      </c>
      <c r="I68" s="35" t="n">
        <v>11</v>
      </c>
      <c r="J68" s="35" t="n">
        <v>8.1</v>
      </c>
      <c r="K68" s="32" t="n">
        <v>0.7363636363636363</v>
      </c>
      <c r="L68" s="14" t="inlineStr">
        <is>
          <t>🔴 تحت الهدف</t>
        </is>
      </c>
      <c r="M68" s="14" t="inlineStr">
        <is>
          <t>النمو</t>
        </is>
      </c>
      <c r="N68" s="26" t="inlineStr">
        <is>
          <t>التوسع في المواقع</t>
        </is>
      </c>
      <c r="O68" s="23" t="inlineStr">
        <is>
          <t>العمليات الداخلية</t>
        </is>
      </c>
      <c r="P68" s="23" t="inlineStr">
        <is>
          <t>مدير الاستثمار</t>
        </is>
      </c>
      <c r="Q68" s="26" t="inlineStr">
        <is>
          <t>نظام إدارة العقود (CRM)</t>
        </is>
      </c>
      <c r="R68" s="23" t="inlineStr">
        <is>
          <t>شهري</t>
        </is>
      </c>
    </row>
    <row r="69">
      <c r="A69" s="22" t="inlineStr">
        <is>
          <t>الاستثمار</t>
        </is>
      </c>
      <c r="B69" s="22" t="inlineStr">
        <is>
          <t>نمو المحفظة</t>
        </is>
      </c>
      <c r="C69" s="22" t="inlineStr">
        <is>
          <t>عقود إيجار المحطة الجديدة</t>
        </is>
      </c>
      <c r="D69" s="23" t="inlineStr">
        <is>
          <t>🔧 تشغيلي</t>
        </is>
      </c>
      <c r="E69" s="35" t="inlineStr">
        <is>
          <t>عقد</t>
        </is>
      </c>
      <c r="F69" s="35" t="inlineStr">
        <is>
          <t>↑</t>
        </is>
      </c>
      <c r="G69" s="23" t="inlineStr">
        <is>
          <t>🔴 رئيسي</t>
        </is>
      </c>
      <c r="H69" s="32" t="n">
        <v>0.05</v>
      </c>
      <c r="I69" s="35" t="n">
        <v>12</v>
      </c>
      <c r="J69" s="35" t="n">
        <v>12.2</v>
      </c>
      <c r="K69" s="32" t="n">
        <v>1</v>
      </c>
      <c r="L69" s="14" t="inlineStr">
        <is>
          <t>✅ محقق</t>
        </is>
      </c>
      <c r="M69" s="14" t="inlineStr">
        <is>
          <t>النمو</t>
        </is>
      </c>
      <c r="N69" s="26" t="inlineStr">
        <is>
          <t>التوسع في المواقع</t>
        </is>
      </c>
      <c r="O69" s="23" t="inlineStr">
        <is>
          <t>العمليات الداخلية</t>
        </is>
      </c>
      <c r="P69" s="23" t="inlineStr">
        <is>
          <t>مدير الاستثمار</t>
        </is>
      </c>
      <c r="Q69" s="26" t="inlineStr">
        <is>
          <t>نظام إدارة العقود (CRM)</t>
        </is>
      </c>
      <c r="R69" s="23" t="inlineStr">
        <is>
          <t>شهري</t>
        </is>
      </c>
    </row>
    <row r="70">
      <c r="A70" s="22" t="inlineStr">
        <is>
          <t>الاستثمار</t>
        </is>
      </c>
      <c r="B70" s="22" t="inlineStr">
        <is>
          <t>نمو المحفظة</t>
        </is>
      </c>
      <c r="C70" s="22" t="inlineStr">
        <is>
          <t>عقود تشغيل المحطة الجديدة</t>
        </is>
      </c>
      <c r="D70" s="23" t="inlineStr">
        <is>
          <t>🔧 تشغيلي</t>
        </is>
      </c>
      <c r="E70" s="35" t="inlineStr">
        <is>
          <t>عقد</t>
        </is>
      </c>
      <c r="F70" s="35" t="inlineStr">
        <is>
          <t>↑</t>
        </is>
      </c>
      <c r="G70" s="23" t="inlineStr">
        <is>
          <t>🔴 رئيسي</t>
        </is>
      </c>
      <c r="H70" s="32" t="n">
        <v>0.05</v>
      </c>
      <c r="I70" s="35" t="n">
        <v>68</v>
      </c>
      <c r="J70" s="35" t="n">
        <v>49.4</v>
      </c>
      <c r="K70" s="32" t="n">
        <v>0.7264705882352941</v>
      </c>
      <c r="L70" s="14" t="inlineStr">
        <is>
          <t>🔴 تحت الهدف</t>
        </is>
      </c>
      <c r="M70" s="14" t="inlineStr">
        <is>
          <t>النمو</t>
        </is>
      </c>
      <c r="N70" s="26" t="inlineStr">
        <is>
          <t>التوسع في المواقع</t>
        </is>
      </c>
      <c r="O70" s="23" t="inlineStr">
        <is>
          <t>العمليات الداخلية</t>
        </is>
      </c>
      <c r="P70" s="23" t="inlineStr">
        <is>
          <t>مدير الاستثمار</t>
        </is>
      </c>
      <c r="Q70" s="26" t="inlineStr">
        <is>
          <t>نظام إدارة العقود (CRM)</t>
        </is>
      </c>
      <c r="R70" s="23" t="inlineStr">
        <is>
          <t>شهري</t>
        </is>
      </c>
    </row>
    <row r="71">
      <c r="A71" s="22" t="inlineStr">
        <is>
          <t>الاستثمار</t>
        </is>
      </c>
      <c r="B71" s="22" t="inlineStr">
        <is>
          <t>الربحية وجودة الموقع</t>
        </is>
      </c>
      <c r="C71" s="22" t="inlineStr">
        <is>
          <t>نسبة المواقع المعتمدة ذات العائد المجدي</t>
        </is>
      </c>
      <c r="D71" s="23" t="inlineStr">
        <is>
          <t>🎯 نتيجة</t>
        </is>
      </c>
      <c r="E71" s="35" t="inlineStr">
        <is>
          <t>%</t>
        </is>
      </c>
      <c r="F71" s="35" t="inlineStr">
        <is>
          <t>↑</t>
        </is>
      </c>
      <c r="G71" s="23" t="inlineStr">
        <is>
          <t>🔴 رئيسي</t>
        </is>
      </c>
      <c r="H71" s="32" t="n">
        <v>0.05</v>
      </c>
      <c r="I71" s="35" t="n">
        <v>0.8</v>
      </c>
      <c r="J71" s="35" t="n">
        <v>0.649</v>
      </c>
      <c r="K71" s="32" t="n">
        <v>0.81125</v>
      </c>
      <c r="L71" s="14" t="inlineStr">
        <is>
          <t>🔴 تحت الهدف</t>
        </is>
      </c>
      <c r="M71" s="14" t="inlineStr">
        <is>
          <t>الاستدامة</t>
        </is>
      </c>
      <c r="N71" s="26" t="inlineStr">
        <is>
          <t>جودة التشغيل</t>
        </is>
      </c>
      <c r="O71" s="23" t="inlineStr">
        <is>
          <t>مالي</t>
        </is>
      </c>
      <c r="P71" s="23" t="inlineStr">
        <is>
          <t>مدير الاستثمار</t>
        </is>
      </c>
      <c r="Q71" s="26" t="inlineStr">
        <is>
          <t>نظام المحاسبة / ERP (D365)</t>
        </is>
      </c>
      <c r="R71" s="23" t="inlineStr">
        <is>
          <t>شهري</t>
        </is>
      </c>
    </row>
    <row r="72">
      <c r="A72" s="22" t="inlineStr">
        <is>
          <t>الاستثمار</t>
        </is>
      </c>
      <c r="B72" s="22" t="inlineStr">
        <is>
          <t>الربحية وجودة الموقع</t>
        </is>
      </c>
      <c r="C72" s="22" t="inlineStr">
        <is>
          <t>متوسط فترة استرداد رأس المال</t>
        </is>
      </c>
      <c r="D72" s="23" t="inlineStr">
        <is>
          <t>🔧 تشغيلي</t>
        </is>
      </c>
      <c r="E72" s="35" t="inlineStr">
        <is>
          <t>سنة</t>
        </is>
      </c>
      <c r="F72" s="35" t="inlineStr">
        <is>
          <t>↓</t>
        </is>
      </c>
      <c r="G72" s="23" t="inlineStr">
        <is>
          <t>🟠 مهم</t>
        </is>
      </c>
      <c r="H72" s="32" t="n">
        <v>0.03</v>
      </c>
      <c r="I72" s="35" t="n">
        <v>5</v>
      </c>
      <c r="J72" s="35" t="n">
        <v>4.983</v>
      </c>
      <c r="K72" s="32" t="n">
        <v>1</v>
      </c>
      <c r="L72" s="14" t="inlineStr">
        <is>
          <t>✅ محقق</t>
        </is>
      </c>
      <c r="M72" s="14" t="inlineStr">
        <is>
          <t>الاستدامة</t>
        </is>
      </c>
      <c r="N72" s="26" t="inlineStr">
        <is>
          <t>جودة التشغيل</t>
        </is>
      </c>
      <c r="O72" s="23" t="inlineStr">
        <is>
          <t>مالي</t>
        </is>
      </c>
      <c r="P72" s="23" t="inlineStr">
        <is>
          <t>مدير الاستثمار</t>
        </is>
      </c>
      <c r="Q72" s="26" t="inlineStr">
        <is>
          <t>نظام المحاسبة / ERP (D365)</t>
        </is>
      </c>
      <c r="R72" s="23" t="inlineStr">
        <is>
          <t>شهري</t>
        </is>
      </c>
    </row>
    <row r="73">
      <c r="A73" s="22" t="inlineStr">
        <is>
          <t>الاستثمار</t>
        </is>
      </c>
      <c r="B73" s="22" t="inlineStr">
        <is>
          <t>الربحية وجودة الموقع</t>
        </is>
      </c>
      <c r="C73" s="22" t="inlineStr">
        <is>
          <t>متوسط قيمة عقد الإيجار السنوي (أرض)</t>
        </is>
      </c>
      <c r="D73" s="23" t="inlineStr">
        <is>
          <t>🎯 نتيجة</t>
        </is>
      </c>
      <c r="E73" s="35" t="inlineStr">
        <is>
          <t>ر.س</t>
        </is>
      </c>
      <c r="F73" s="35" t="inlineStr">
        <is>
          <t>↑</t>
        </is>
      </c>
      <c r="G73" s="23" t="inlineStr">
        <is>
          <t>🔴 رئيسي</t>
        </is>
      </c>
      <c r="H73" s="32" t="n">
        <v>0.05</v>
      </c>
      <c r="I73" s="35" t="n"/>
      <c r="J73" s="35" t="n"/>
      <c r="K73" s="32" t="n"/>
      <c r="L73" s="14" t="inlineStr">
        <is>
          <t>⏳ بانتظار هدف</t>
        </is>
      </c>
      <c r="M73" s="14" t="inlineStr">
        <is>
          <t>النمو</t>
        </is>
      </c>
      <c r="N73" s="26" t="inlineStr">
        <is>
          <t>التوسع في المواقع</t>
        </is>
      </c>
      <c r="O73" s="23" t="inlineStr">
        <is>
          <t>مالي</t>
        </is>
      </c>
      <c r="P73" s="23" t="inlineStr">
        <is>
          <t>مدير الاستثمار</t>
        </is>
      </c>
      <c r="Q73" s="26" t="inlineStr">
        <is>
          <t>نظام المحاسبة / ERP (D365)</t>
        </is>
      </c>
      <c r="R73" s="23" t="inlineStr">
        <is>
          <t>شهري</t>
        </is>
      </c>
    </row>
    <row r="74">
      <c r="A74" s="22" t="inlineStr">
        <is>
          <t>الاستثمار</t>
        </is>
      </c>
      <c r="B74" s="22" t="inlineStr">
        <is>
          <t>التوسع الإقليمي</t>
        </is>
      </c>
      <c r="C74" s="22" t="inlineStr">
        <is>
          <t>نسبة العقود التي تغطي المناطق الـ13</t>
        </is>
      </c>
      <c r="D74" s="23" t="inlineStr">
        <is>
          <t>🔧 تشغيلي</t>
        </is>
      </c>
      <c r="E74" s="35" t="inlineStr">
        <is>
          <t>%</t>
        </is>
      </c>
      <c r="F74" s="35" t="inlineStr">
        <is>
          <t>↑</t>
        </is>
      </c>
      <c r="G74" s="23" t="inlineStr">
        <is>
          <t>🔴 رئيسي</t>
        </is>
      </c>
      <c r="H74" s="32" t="n">
        <v>0.05</v>
      </c>
      <c r="I74" s="35" t="n">
        <v>1</v>
      </c>
      <c r="J74" s="35" t="n">
        <v>1.028</v>
      </c>
      <c r="K74" s="32" t="n">
        <v>1</v>
      </c>
      <c r="L74" s="14" t="inlineStr">
        <is>
          <t>✅ محقق</t>
        </is>
      </c>
      <c r="M74" s="14" t="inlineStr">
        <is>
          <t>النمو</t>
        </is>
      </c>
      <c r="N74" s="26" t="inlineStr">
        <is>
          <t>التوسع في المواقع</t>
        </is>
      </c>
      <c r="O74" s="23" t="inlineStr">
        <is>
          <t>العمليات الداخلية</t>
        </is>
      </c>
      <c r="P74" s="23" t="inlineStr">
        <is>
          <t>مدير الاستثمار</t>
        </is>
      </c>
      <c r="Q74" s="26" t="inlineStr">
        <is>
          <t>نظام إدارة العقود (CRM)</t>
        </is>
      </c>
      <c r="R74" s="23" t="inlineStr">
        <is>
          <t>شهري</t>
        </is>
      </c>
    </row>
    <row r="75">
      <c r="A75" s="22" t="inlineStr">
        <is>
          <t>الاستثمار</t>
        </is>
      </c>
      <c r="B75" s="22" t="inlineStr">
        <is>
          <t>التوسع الإقليمي</t>
        </is>
      </c>
      <c r="C75" s="22" t="inlineStr">
        <is>
          <t>نسبة العقود خارج المدن الرئيسية</t>
        </is>
      </c>
      <c r="D75" s="23" t="inlineStr">
        <is>
          <t>🔧 تشغيلي</t>
        </is>
      </c>
      <c r="E75" s="35" t="inlineStr">
        <is>
          <t>%</t>
        </is>
      </c>
      <c r="F75" s="35" t="inlineStr">
        <is>
          <t>↑</t>
        </is>
      </c>
      <c r="G75" s="23" t="inlineStr">
        <is>
          <t>🔴 رئيسي</t>
        </is>
      </c>
      <c r="H75" s="32" t="n">
        <v>0.05</v>
      </c>
      <c r="I75" s="35" t="n">
        <v>0.6</v>
      </c>
      <c r="J75" s="35" t="n">
        <v>0.516</v>
      </c>
      <c r="K75" s="32" t="n">
        <v>0.8600000000000001</v>
      </c>
      <c r="L75" s="14" t="inlineStr">
        <is>
          <t>🟡 قريب</t>
        </is>
      </c>
      <c r="M75" s="14" t="inlineStr">
        <is>
          <t>النمو</t>
        </is>
      </c>
      <c r="N75" s="26" t="inlineStr">
        <is>
          <t>التوسع في المواقع</t>
        </is>
      </c>
      <c r="O75" s="23" t="inlineStr">
        <is>
          <t>العمليات الداخلية</t>
        </is>
      </c>
      <c r="P75" s="23" t="inlineStr">
        <is>
          <t>مدير الاستثمار</t>
        </is>
      </c>
      <c r="Q75" s="26" t="inlineStr">
        <is>
          <t>نظام إدارة العقود (CRM)</t>
        </is>
      </c>
      <c r="R75" s="23" t="inlineStr">
        <is>
          <t>شهري</t>
        </is>
      </c>
    </row>
    <row r="76">
      <c r="A76" s="22" t="inlineStr">
        <is>
          <t>الاستثمار</t>
        </is>
      </c>
      <c r="B76" s="22" t="inlineStr">
        <is>
          <t>التوسع الإقليمي</t>
        </is>
      </c>
      <c r="C76" s="22" t="inlineStr">
        <is>
          <t>نسبة العقود في الـ12 مدينة الرئيسية</t>
        </is>
      </c>
      <c r="D76" s="23" t="inlineStr">
        <is>
          <t>🔧 تشغيلي</t>
        </is>
      </c>
      <c r="E76" s="35" t="inlineStr">
        <is>
          <t>%</t>
        </is>
      </c>
      <c r="F76" s="35" t="inlineStr">
        <is>
          <t>↓</t>
        </is>
      </c>
      <c r="G76" s="23" t="inlineStr">
        <is>
          <t>🔴 رئيسي</t>
        </is>
      </c>
      <c r="H76" s="32" t="n">
        <v>0.05</v>
      </c>
      <c r="I76" s="35" t="n">
        <v>0.4</v>
      </c>
      <c r="J76" s="35" t="n">
        <v>0.415</v>
      </c>
      <c r="K76" s="32" t="n">
        <v>0.9638554216867471</v>
      </c>
      <c r="L76" s="14" t="inlineStr">
        <is>
          <t>🟡 قريب</t>
        </is>
      </c>
      <c r="M76" s="14" t="inlineStr">
        <is>
          <t>النمو</t>
        </is>
      </c>
      <c r="N76" s="26" t="inlineStr">
        <is>
          <t>التوسع في المواقع</t>
        </is>
      </c>
      <c r="O76" s="23" t="inlineStr">
        <is>
          <t>العمليات الداخلية</t>
        </is>
      </c>
      <c r="P76" s="23" t="inlineStr">
        <is>
          <t>مدير الاستثمار</t>
        </is>
      </c>
      <c r="Q76" s="26" t="inlineStr">
        <is>
          <t>نظام المحاسبة / ERP (D365)</t>
        </is>
      </c>
      <c r="R76" s="23" t="inlineStr">
        <is>
          <t>شهري</t>
        </is>
      </c>
    </row>
    <row r="77">
      <c r="A77" s="22" t="inlineStr">
        <is>
          <t>الاستثمار</t>
        </is>
      </c>
      <c r="B77" s="22" t="inlineStr">
        <is>
          <t>التوسع الإقليمي</t>
        </is>
      </c>
      <c r="C77" s="22" t="inlineStr">
        <is>
          <t>نسبة العقود على الطرق الإقليمية</t>
        </is>
      </c>
      <c r="D77" s="23" t="inlineStr">
        <is>
          <t>🔧 تشغيلي</t>
        </is>
      </c>
      <c r="E77" s="35" t="inlineStr">
        <is>
          <t>%</t>
        </is>
      </c>
      <c r="F77" s="35" t="inlineStr">
        <is>
          <t>↑</t>
        </is>
      </c>
      <c r="G77" s="23" t="inlineStr">
        <is>
          <t>🔴 رئيسي</t>
        </is>
      </c>
      <c r="H77" s="32" t="n">
        <v>0.05</v>
      </c>
      <c r="I77" s="35" t="n">
        <v>0.25</v>
      </c>
      <c r="J77" s="35" t="n">
        <v>0.236</v>
      </c>
      <c r="K77" s="32" t="n">
        <v>0.944</v>
      </c>
      <c r="L77" s="14" t="inlineStr">
        <is>
          <t>🟡 قريب</t>
        </is>
      </c>
      <c r="M77" s="14" t="inlineStr">
        <is>
          <t>النمو</t>
        </is>
      </c>
      <c r="N77" s="26" t="inlineStr">
        <is>
          <t>التوسع في المواقع</t>
        </is>
      </c>
      <c r="O77" s="23" t="inlineStr">
        <is>
          <t>العمليات الداخلية</t>
        </is>
      </c>
      <c r="P77" s="23" t="inlineStr">
        <is>
          <t>مدير الاستثمار</t>
        </is>
      </c>
      <c r="Q77" s="26" t="inlineStr">
        <is>
          <t>نظام إدارة العقود (CRM)</t>
        </is>
      </c>
      <c r="R77" s="23" t="inlineStr">
        <is>
          <t>شهري</t>
        </is>
      </c>
    </row>
    <row r="78">
      <c r="A78" s="22" t="inlineStr">
        <is>
          <t>الاستثمار</t>
        </is>
      </c>
      <c r="B78" s="22" t="inlineStr">
        <is>
          <t>كفاءة الدورة</t>
        </is>
      </c>
      <c r="C78" s="22" t="inlineStr">
        <is>
          <t>متوسط مدة إغلاق عقد الاستثمار</t>
        </is>
      </c>
      <c r="D78" s="23" t="inlineStr">
        <is>
          <t>🔧 تشغيلي</t>
        </is>
      </c>
      <c r="E78" s="35" t="inlineStr">
        <is>
          <t>أسبوع</t>
        </is>
      </c>
      <c r="F78" s="35" t="inlineStr">
        <is>
          <t>↓</t>
        </is>
      </c>
      <c r="G78" s="23" t="inlineStr">
        <is>
          <t>🔴 رئيسي</t>
        </is>
      </c>
      <c r="H78" s="32" t="n">
        <v>0.05</v>
      </c>
      <c r="I78" s="35" t="n">
        <v>1</v>
      </c>
      <c r="J78" s="35" t="n">
        <v>0.912</v>
      </c>
      <c r="K78" s="32" t="n">
        <v>1</v>
      </c>
      <c r="L78" s="14" t="inlineStr">
        <is>
          <t>✅ محقق</t>
        </is>
      </c>
      <c r="M78" s="14" t="inlineStr">
        <is>
          <t>النمو</t>
        </is>
      </c>
      <c r="N78" s="26" t="inlineStr">
        <is>
          <t>التوسع في المواقع</t>
        </is>
      </c>
      <c r="O78" s="23" t="inlineStr">
        <is>
          <t>العمليات الداخلية</t>
        </is>
      </c>
      <c r="P78" s="23" t="inlineStr">
        <is>
          <t>مدير الاستثمار</t>
        </is>
      </c>
      <c r="Q78" s="26" t="inlineStr">
        <is>
          <t>نظام إدارة العقود (CRM)</t>
        </is>
      </c>
      <c r="R78" s="23" t="inlineStr">
        <is>
          <t>شهري</t>
        </is>
      </c>
    </row>
    <row r="79">
      <c r="A79" s="22" t="inlineStr">
        <is>
          <t>الاستثمار</t>
        </is>
      </c>
      <c r="B79" s="22" t="inlineStr">
        <is>
          <t>كفاءة الدورة</t>
        </is>
      </c>
      <c r="C79" s="22" t="inlineStr">
        <is>
          <t>نسبة العقود المتحوّلة لمحطات مشغّلة</t>
        </is>
      </c>
      <c r="D79" s="23" t="inlineStr">
        <is>
          <t>🔧 تشغيلي</t>
        </is>
      </c>
      <c r="E79" s="35" t="inlineStr">
        <is>
          <t>%</t>
        </is>
      </c>
      <c r="F79" s="35" t="inlineStr">
        <is>
          <t>↑</t>
        </is>
      </c>
      <c r="G79" s="23" t="inlineStr">
        <is>
          <t>🔴 رئيسي</t>
        </is>
      </c>
      <c r="H79" s="32" t="n">
        <v>0.05</v>
      </c>
      <c r="I79" s="35" t="n">
        <v>0.3</v>
      </c>
      <c r="J79" s="35" t="n">
        <v>0.308</v>
      </c>
      <c r="K79" s="32" t="n">
        <v>1</v>
      </c>
      <c r="L79" s="14" t="inlineStr">
        <is>
          <t>✅ محقق</t>
        </is>
      </c>
      <c r="M79" s="14" t="inlineStr">
        <is>
          <t>النمو</t>
        </is>
      </c>
      <c r="N79" s="26" t="inlineStr">
        <is>
          <t>التوسع في المواقع</t>
        </is>
      </c>
      <c r="O79" s="23" t="inlineStr">
        <is>
          <t>العمليات الداخلية</t>
        </is>
      </c>
      <c r="P79" s="23" t="inlineStr">
        <is>
          <t>مدير الاستثمار</t>
        </is>
      </c>
      <c r="Q79" s="26" t="inlineStr">
        <is>
          <t>نظام إدارة العقود (CRM)</t>
        </is>
      </c>
      <c r="R79" s="23" t="inlineStr">
        <is>
          <t>شهري</t>
        </is>
      </c>
    </row>
    <row r="80">
      <c r="A80" s="22" t="inlineStr">
        <is>
          <t>الاستثمار</t>
        </is>
      </c>
      <c r="B80" s="22" t="inlineStr">
        <is>
          <t>كفاءة الدورة</t>
        </is>
      </c>
      <c r="C80" s="22" t="inlineStr">
        <is>
          <t>نسبة تخفيض إيجار المواقع عالية التكاليف</t>
        </is>
      </c>
      <c r="D80" s="23" t="inlineStr">
        <is>
          <t>🔧 تشغيلي</t>
        </is>
      </c>
      <c r="E80" s="35" t="inlineStr">
        <is>
          <t>%</t>
        </is>
      </c>
      <c r="F80" s="35" t="inlineStr">
        <is>
          <t>↑</t>
        </is>
      </c>
      <c r="G80" s="23" t="inlineStr">
        <is>
          <t>🟠 مهم</t>
        </is>
      </c>
      <c r="H80" s="32" t="n">
        <v>0.03</v>
      </c>
      <c r="I80" s="35" t="n">
        <v>0.3</v>
      </c>
      <c r="J80" s="35" t="n">
        <v>0.221</v>
      </c>
      <c r="K80" s="32" t="n">
        <v>0.7366666666666667</v>
      </c>
      <c r="L80" s="14" t="inlineStr">
        <is>
          <t>🔴 تحت الهدف</t>
        </is>
      </c>
      <c r="M80" s="14" t="inlineStr">
        <is>
          <t>الاستدامة</t>
        </is>
      </c>
      <c r="N80" s="26" t="inlineStr">
        <is>
          <t>جودة التشغيل</t>
        </is>
      </c>
      <c r="O80" s="23" t="inlineStr">
        <is>
          <t>العمليات الداخلية</t>
        </is>
      </c>
      <c r="P80" s="23" t="inlineStr">
        <is>
          <t>مدير الاستثمار</t>
        </is>
      </c>
      <c r="Q80" s="26" t="inlineStr">
        <is>
          <t>نظام إدارة العقود (CRM)</t>
        </is>
      </c>
      <c r="R80" s="23" t="inlineStr">
        <is>
          <t>شهري</t>
        </is>
      </c>
    </row>
    <row r="81">
      <c r="A81" s="22" t="inlineStr">
        <is>
          <t>الاستثمار</t>
        </is>
      </c>
      <c r="B81" s="22" t="inlineStr">
        <is>
          <t>الامتثال</t>
        </is>
      </c>
      <c r="C81" s="22" t="inlineStr">
        <is>
          <t>نسبة اكتمال المستندات النظامية قبل التوقيع</t>
        </is>
      </c>
      <c r="D81" s="23" t="inlineStr">
        <is>
          <t>⚙️ نشاط</t>
        </is>
      </c>
      <c r="E81" s="35" t="inlineStr">
        <is>
          <t>%</t>
        </is>
      </c>
      <c r="F81" s="35" t="inlineStr">
        <is>
          <t>↑</t>
        </is>
      </c>
      <c r="G81" s="23" t="inlineStr">
        <is>
          <t>🏁 معلم</t>
        </is>
      </c>
      <c r="H81" s="32" t="n">
        <v>0.01</v>
      </c>
      <c r="I81" s="35" t="n">
        <v>1</v>
      </c>
      <c r="J81" s="35" t="n">
        <v>0.751</v>
      </c>
      <c r="K81" s="32" t="n">
        <v>0.751</v>
      </c>
      <c r="L81" s="14" t="inlineStr">
        <is>
          <t>🔴 تحت الهدف</t>
        </is>
      </c>
      <c r="M81" s="14" t="inlineStr">
        <is>
          <t>الاستدامة</t>
        </is>
      </c>
      <c r="N81" s="26" t="inlineStr">
        <is>
          <t>جودة التشغيل</t>
        </is>
      </c>
      <c r="O81" s="23" t="inlineStr">
        <is>
          <t>العمليات الداخلية</t>
        </is>
      </c>
      <c r="P81" s="23" t="inlineStr">
        <is>
          <t>مدير الاستثمار</t>
        </is>
      </c>
      <c r="Q81" s="26" t="inlineStr">
        <is>
          <t>نظام إدارة الجودة (QMS)</t>
        </is>
      </c>
      <c r="R81" s="23" t="inlineStr">
        <is>
          <t>شهري</t>
        </is>
      </c>
    </row>
    <row r="82">
      <c r="A82" s="22" t="inlineStr">
        <is>
          <t>الاستثمار</t>
        </is>
      </c>
      <c r="B82" s="22" t="inlineStr">
        <is>
          <t>الامتثال</t>
        </is>
      </c>
      <c r="C82" s="22" t="inlineStr">
        <is>
          <t>نسبة العقود المؤرشفة إلكترونياً خلال 48 ساعة</t>
        </is>
      </c>
      <c r="D82" s="23" t="inlineStr">
        <is>
          <t>🔧 تشغيلي</t>
        </is>
      </c>
      <c r="E82" s="35" t="inlineStr">
        <is>
          <t>%</t>
        </is>
      </c>
      <c r="F82" s="35" t="inlineStr">
        <is>
          <t>↑</t>
        </is>
      </c>
      <c r="G82" s="23" t="inlineStr">
        <is>
          <t>🔴 رئيسي</t>
        </is>
      </c>
      <c r="H82" s="32" t="n">
        <v>0.05</v>
      </c>
      <c r="I82" s="35" t="n">
        <v>0.95</v>
      </c>
      <c r="J82" s="35" t="n">
        <v>0.736</v>
      </c>
      <c r="K82" s="32" t="n">
        <v>0.7747368421052632</v>
      </c>
      <c r="L82" s="14" t="inlineStr">
        <is>
          <t>🔴 تحت الهدف</t>
        </is>
      </c>
      <c r="M82" s="14" t="inlineStr">
        <is>
          <t>الاستدامة</t>
        </is>
      </c>
      <c r="N82" s="26" t="inlineStr">
        <is>
          <t>جودة التشغيل</t>
        </is>
      </c>
      <c r="O82" s="23" t="inlineStr">
        <is>
          <t>العمليات الداخلية</t>
        </is>
      </c>
      <c r="P82" s="23" t="inlineStr">
        <is>
          <t>مدير الاستثمار</t>
        </is>
      </c>
      <c r="Q82" s="26" t="inlineStr">
        <is>
          <t>نظام إدارة الجودة (QMS)</t>
        </is>
      </c>
      <c r="R82" s="23" t="inlineStr">
        <is>
          <t>شهري</t>
        </is>
      </c>
    </row>
    <row r="83">
      <c r="A83" s="22" t="inlineStr">
        <is>
          <t>الاستثمار</t>
        </is>
      </c>
      <c r="B83" s="22" t="inlineStr">
        <is>
          <t>جودة التعاقد</t>
        </is>
      </c>
      <c r="C83" s="22" t="inlineStr">
        <is>
          <t>جودة التفاوض مع المستثمرين</t>
        </is>
      </c>
      <c r="D83" s="23" t="inlineStr">
        <is>
          <t>🔧 تشغيلي</t>
        </is>
      </c>
      <c r="E83" s="35" t="inlineStr">
        <is>
          <t>%</t>
        </is>
      </c>
      <c r="F83" s="35" t="inlineStr">
        <is>
          <t>↑</t>
        </is>
      </c>
      <c r="G83" s="23" t="inlineStr">
        <is>
          <t>🟠 مهم</t>
        </is>
      </c>
      <c r="H83" s="32" t="n">
        <v>0.03</v>
      </c>
      <c r="I83" s="35" t="n">
        <v>0.98</v>
      </c>
      <c r="J83" s="35" t="n">
        <v>1.009</v>
      </c>
      <c r="K83" s="32" t="n">
        <v>1</v>
      </c>
      <c r="L83" s="14" t="inlineStr">
        <is>
          <t>✅ محقق</t>
        </is>
      </c>
      <c r="M83" s="14" t="inlineStr">
        <is>
          <t>النمو</t>
        </is>
      </c>
      <c r="N83" s="26" t="inlineStr">
        <is>
          <t>التوسع في المواقع</t>
        </is>
      </c>
      <c r="O83" s="23" t="inlineStr">
        <is>
          <t>العمليات الداخلية</t>
        </is>
      </c>
      <c r="P83" s="23" t="inlineStr">
        <is>
          <t>مدير الاستثمار</t>
        </is>
      </c>
      <c r="Q83" s="26" t="inlineStr">
        <is>
          <t>نظام إدارة الجودة (QMS)</t>
        </is>
      </c>
      <c r="R83" s="23" t="inlineStr">
        <is>
          <t>شهري</t>
        </is>
      </c>
    </row>
    <row r="84">
      <c r="A84" s="22" t="inlineStr">
        <is>
          <t>الاستثمار</t>
        </is>
      </c>
      <c r="B84" s="22" t="inlineStr">
        <is>
          <t>جودة التعاقد</t>
        </is>
      </c>
      <c r="C84" s="22" t="inlineStr">
        <is>
          <t>سرعة إنجاز إجراءات التعاقد</t>
        </is>
      </c>
      <c r="D84" s="23" t="inlineStr">
        <is>
          <t>🔧 تشغيلي</t>
        </is>
      </c>
      <c r="E84" s="35" t="inlineStr">
        <is>
          <t>أسبوع</t>
        </is>
      </c>
      <c r="F84" s="35" t="inlineStr">
        <is>
          <t>↓</t>
        </is>
      </c>
      <c r="G84" s="23" t="inlineStr">
        <is>
          <t>🟠 مهم</t>
        </is>
      </c>
      <c r="H84" s="32" t="n">
        <v>0.03</v>
      </c>
      <c r="I84" s="35" t="n">
        <v>1</v>
      </c>
      <c r="J84" s="35" t="n">
        <v>1.061</v>
      </c>
      <c r="K84" s="32" t="n">
        <v>0.942507068803016</v>
      </c>
      <c r="L84" s="14" t="inlineStr">
        <is>
          <t>🟡 قريب</t>
        </is>
      </c>
      <c r="M84" s="14" t="inlineStr">
        <is>
          <t>النمو</t>
        </is>
      </c>
      <c r="N84" s="26" t="inlineStr">
        <is>
          <t>التوسع في المواقع</t>
        </is>
      </c>
      <c r="O84" s="23" t="inlineStr">
        <is>
          <t>العمليات الداخلية</t>
        </is>
      </c>
      <c r="P84" s="23" t="inlineStr">
        <is>
          <t>مدير الاستثمار</t>
        </is>
      </c>
      <c r="Q84" s="26" t="inlineStr">
        <is>
          <t>نظام إدارة الجودة (QMS)</t>
        </is>
      </c>
      <c r="R84" s="23" t="inlineStr">
        <is>
          <t>شهري</t>
        </is>
      </c>
    </row>
    <row r="85">
      <c r="A85" s="22" t="inlineStr">
        <is>
          <t>الاستثمار</t>
        </is>
      </c>
      <c r="B85" s="22" t="inlineStr">
        <is>
          <t>جودة التعاقد</t>
        </is>
      </c>
      <c r="C85" s="22" t="inlineStr">
        <is>
          <t>مدى رضا المستثمرين وشركاء الاستثمار</t>
        </is>
      </c>
      <c r="D85" s="23" t="inlineStr">
        <is>
          <t>🎯 نتيجة</t>
        </is>
      </c>
      <c r="E85" s="35" t="inlineStr">
        <is>
          <t>%</t>
        </is>
      </c>
      <c r="F85" s="35" t="inlineStr">
        <is>
          <t>↑</t>
        </is>
      </c>
      <c r="G85" s="23" t="inlineStr">
        <is>
          <t>🔴 رئيسي</t>
        </is>
      </c>
      <c r="H85" s="32" t="n">
        <v>0.05</v>
      </c>
      <c r="I85" s="35" t="n">
        <v>0.8</v>
      </c>
      <c r="J85" s="35" t="n">
        <v>0.786</v>
      </c>
      <c r="K85" s="32" t="n">
        <v>0.9825</v>
      </c>
      <c r="L85" s="14" t="inlineStr">
        <is>
          <t>🟡 قريب</t>
        </is>
      </c>
      <c r="M85" s="14" t="inlineStr">
        <is>
          <t>الاستدامة</t>
        </is>
      </c>
      <c r="N85" s="26" t="inlineStr">
        <is>
          <t>تعزيز تجربة العملاء</t>
        </is>
      </c>
      <c r="O85" s="23" t="inlineStr">
        <is>
          <t>العملاء</t>
        </is>
      </c>
      <c r="P85" s="23" t="inlineStr">
        <is>
          <t>مدير الاستثمار</t>
        </is>
      </c>
      <c r="Q85" s="26" t="inlineStr">
        <is>
          <t>استبيان دوري</t>
        </is>
      </c>
      <c r="R85" s="23" t="inlineStr">
        <is>
          <t>ربعي</t>
        </is>
      </c>
    </row>
    <row r="86">
      <c r="A86" s="22" t="inlineStr">
        <is>
          <t>الاستثمار</t>
        </is>
      </c>
      <c r="B86" s="22" t="inlineStr">
        <is>
          <t>جودة التعاقد</t>
        </is>
      </c>
      <c r="C86" s="22" t="inlineStr">
        <is>
          <t>نسبة اكتمال أرشفة ملفات العملاء</t>
        </is>
      </c>
      <c r="D86" s="23" t="inlineStr">
        <is>
          <t>⚙️ نشاط</t>
        </is>
      </c>
      <c r="E86" s="35" t="inlineStr">
        <is>
          <t>%</t>
        </is>
      </c>
      <c r="F86" s="35" t="inlineStr">
        <is>
          <t>↑</t>
        </is>
      </c>
      <c r="G86" s="23" t="inlineStr">
        <is>
          <t>🏁 معلم</t>
        </is>
      </c>
      <c r="H86" s="32" t="n">
        <v>0.01</v>
      </c>
      <c r="I86" s="35" t="n">
        <v>1</v>
      </c>
      <c r="J86" s="35" t="n">
        <v>0.972</v>
      </c>
      <c r="K86" s="32" t="n">
        <v>0.972</v>
      </c>
      <c r="L86" s="14" t="inlineStr">
        <is>
          <t>🟡 قريب</t>
        </is>
      </c>
      <c r="M86" s="14" t="inlineStr">
        <is>
          <t>الاستدامة</t>
        </is>
      </c>
      <c r="N86" s="26" t="inlineStr">
        <is>
          <t>جودة التشغيل</t>
        </is>
      </c>
      <c r="O86" s="23" t="inlineStr">
        <is>
          <t>العملاء</t>
        </is>
      </c>
      <c r="P86" s="23" t="inlineStr">
        <is>
          <t>مدير الاستثمار</t>
        </is>
      </c>
      <c r="Q86" s="26" t="inlineStr">
        <is>
          <t>نظام إدارة الجودة (QMS)</t>
        </is>
      </c>
      <c r="R86" s="23" t="inlineStr">
        <is>
          <t>شهري</t>
        </is>
      </c>
    </row>
    <row r="87">
      <c r="A87" s="22" t="inlineStr">
        <is>
          <t>الاستثمار</t>
        </is>
      </c>
      <c r="B87" s="22" t="inlineStr">
        <is>
          <t>جودة التعاقد</t>
        </is>
      </c>
      <c r="C87" s="22" t="inlineStr">
        <is>
          <t>نسبة إنجاز التقارير الدورية في موعدها</t>
        </is>
      </c>
      <c r="D87" s="23" t="inlineStr">
        <is>
          <t>⚙️ نشاط</t>
        </is>
      </c>
      <c r="E87" s="35" t="inlineStr">
        <is>
          <t>%</t>
        </is>
      </c>
      <c r="F87" s="35" t="inlineStr">
        <is>
          <t>↑</t>
        </is>
      </c>
      <c r="G87" s="23" t="inlineStr">
        <is>
          <t>🟡 متابعة</t>
        </is>
      </c>
      <c r="H87" s="32" t="n">
        <v>0.01</v>
      </c>
      <c r="I87" s="35" t="n">
        <v>1</v>
      </c>
      <c r="J87" s="35" t="n">
        <v>0.961</v>
      </c>
      <c r="K87" s="32" t="n">
        <v>0.961</v>
      </c>
      <c r="L87" s="14" t="inlineStr">
        <is>
          <t>🟡 قريب</t>
        </is>
      </c>
      <c r="M87" s="14" t="inlineStr">
        <is>
          <t>الاستدامة</t>
        </is>
      </c>
      <c r="N87" s="26" t="inlineStr">
        <is>
          <t>جودة التشغيل</t>
        </is>
      </c>
      <c r="O87" s="23" t="inlineStr">
        <is>
          <t>العمليات الداخلية</t>
        </is>
      </c>
      <c r="P87" s="23" t="inlineStr">
        <is>
          <t>مدير الاستثمار</t>
        </is>
      </c>
      <c r="Q87" s="26" t="inlineStr">
        <is>
          <t>نظام إدارة الجودة (QMS)</t>
        </is>
      </c>
      <c r="R87" s="23" t="inlineStr">
        <is>
          <t>شهري</t>
        </is>
      </c>
    </row>
    <row r="88">
      <c r="A88" s="22" t="inlineStr">
        <is>
          <t>العقار</t>
        </is>
      </c>
      <c r="B88" s="22" t="inlineStr">
        <is>
          <t>الإدارة</t>
        </is>
      </c>
      <c r="C88" s="22" t="inlineStr">
        <is>
          <t>نمو الإيرادات الإيجارية</t>
        </is>
      </c>
      <c r="D88" s="23" t="inlineStr">
        <is>
          <t>🎯 نتيجة</t>
        </is>
      </c>
      <c r="E88" s="35" t="inlineStr">
        <is>
          <t>%</t>
        </is>
      </c>
      <c r="F88" s="35" t="inlineStr">
        <is>
          <t>↑</t>
        </is>
      </c>
      <c r="G88" s="23" t="inlineStr">
        <is>
          <t>🔴 رئيسي</t>
        </is>
      </c>
      <c r="H88" s="32" t="n">
        <v>0.08</v>
      </c>
      <c r="I88" s="35" t="n">
        <v>0.08</v>
      </c>
      <c r="J88" s="35" t="n">
        <v>0.068</v>
      </c>
      <c r="K88" s="32" t="n">
        <v>0.8500000000000001</v>
      </c>
      <c r="L88" s="14" t="inlineStr">
        <is>
          <t>🟡 قريب</t>
        </is>
      </c>
      <c r="M88" s="14" t="inlineStr">
        <is>
          <t>الاستدامة</t>
        </is>
      </c>
      <c r="N88" s="26" t="inlineStr">
        <is>
          <t>منظومة التأجير</t>
        </is>
      </c>
      <c r="O88" s="23" t="inlineStr">
        <is>
          <t>مالي</t>
        </is>
      </c>
      <c r="P88" s="23" t="inlineStr">
        <is>
          <t>مدير العقار</t>
        </is>
      </c>
      <c r="Q88" s="26" t="inlineStr">
        <is>
          <t>نظام المحاسبة / ERP (D365)</t>
        </is>
      </c>
      <c r="R88" s="23" t="inlineStr">
        <is>
          <t>ربعي</t>
        </is>
      </c>
    </row>
    <row r="89">
      <c r="A89" s="22" t="inlineStr">
        <is>
          <t>العقار</t>
        </is>
      </c>
      <c r="B89" s="22" t="inlineStr">
        <is>
          <t>الإدارة</t>
        </is>
      </c>
      <c r="C89" s="22" t="inlineStr">
        <is>
          <t>نسبة الالتزام بالعقود</t>
        </is>
      </c>
      <c r="D89" s="23" t="inlineStr">
        <is>
          <t>🔧 تشغيلي</t>
        </is>
      </c>
      <c r="E89" s="35" t="inlineStr">
        <is>
          <t>%</t>
        </is>
      </c>
      <c r="F89" s="35" t="inlineStr">
        <is>
          <t>↑</t>
        </is>
      </c>
      <c r="G89" s="23" t="inlineStr">
        <is>
          <t>🔴 رئيسي</t>
        </is>
      </c>
      <c r="H89" s="32" t="n">
        <v>0.08</v>
      </c>
      <c r="I89" s="35" t="n">
        <v>1</v>
      </c>
      <c r="J89" s="35" t="n">
        <v>1.03</v>
      </c>
      <c r="K89" s="32" t="n">
        <v>1</v>
      </c>
      <c r="L89" s="14" t="inlineStr">
        <is>
          <t>✅ محقق</t>
        </is>
      </c>
      <c r="M89" s="14" t="inlineStr">
        <is>
          <t>الاستدامة</t>
        </is>
      </c>
      <c r="N89" s="26" t="inlineStr">
        <is>
          <t>منظومة التأجير</t>
        </is>
      </c>
      <c r="O89" s="23" t="inlineStr">
        <is>
          <t>العمليات الداخلية</t>
        </is>
      </c>
      <c r="P89" s="23" t="inlineStr">
        <is>
          <t>مدير العقار</t>
        </is>
      </c>
      <c r="Q89" s="26" t="inlineStr">
        <is>
          <t>نظام إدارة العقود (CRM)</t>
        </is>
      </c>
      <c r="R89" s="23" t="inlineStr">
        <is>
          <t>شهري</t>
        </is>
      </c>
    </row>
    <row r="90">
      <c r="A90" s="22" t="inlineStr">
        <is>
          <t>العقار</t>
        </is>
      </c>
      <c r="B90" s="22" t="inlineStr">
        <is>
          <t>الإدارة</t>
        </is>
      </c>
      <c r="C90" s="22" t="inlineStr">
        <is>
          <t>نسبة التحصيل</t>
        </is>
      </c>
      <c r="D90" s="23" t="inlineStr">
        <is>
          <t>🎯 نتيجة</t>
        </is>
      </c>
      <c r="E90" s="35" t="inlineStr">
        <is>
          <t>%</t>
        </is>
      </c>
      <c r="F90" s="35" t="inlineStr">
        <is>
          <t>↑</t>
        </is>
      </c>
      <c r="G90" s="23" t="inlineStr">
        <is>
          <t>🔴 رئيسي</t>
        </is>
      </c>
      <c r="H90" s="32" t="n">
        <v>0.08</v>
      </c>
      <c r="I90" s="35" t="n">
        <v>0.95</v>
      </c>
      <c r="J90" s="35" t="n">
        <v>0.716</v>
      </c>
      <c r="K90" s="32" t="n">
        <v>0.7536842105263158</v>
      </c>
      <c r="L90" s="14" t="inlineStr">
        <is>
          <t>🔴 تحت الهدف</t>
        </is>
      </c>
      <c r="M90" s="14" t="inlineStr">
        <is>
          <t>الاستدامة</t>
        </is>
      </c>
      <c r="N90" s="26" t="inlineStr">
        <is>
          <t>منظومة التأجير</t>
        </is>
      </c>
      <c r="O90" s="23" t="inlineStr">
        <is>
          <t>مالي</t>
        </is>
      </c>
      <c r="P90" s="23" t="inlineStr">
        <is>
          <t>مدير العقار</t>
        </is>
      </c>
      <c r="Q90" s="26" t="inlineStr">
        <is>
          <t>نظام المحاسبة / ERP (D365)</t>
        </is>
      </c>
      <c r="R90" s="23" t="inlineStr">
        <is>
          <t>شهري</t>
        </is>
      </c>
    </row>
    <row r="91">
      <c r="A91" s="22" t="inlineStr">
        <is>
          <t>العقار</t>
        </is>
      </c>
      <c r="B91" s="22" t="inlineStr">
        <is>
          <t>التأجير</t>
        </is>
      </c>
      <c r="C91" s="22" t="inlineStr">
        <is>
          <t>نسبة الإشغال</t>
        </is>
      </c>
      <c r="D91" s="23" t="inlineStr">
        <is>
          <t>🎯 نتيجة</t>
        </is>
      </c>
      <c r="E91" s="35" t="inlineStr">
        <is>
          <t>%</t>
        </is>
      </c>
      <c r="F91" s="35" t="inlineStr">
        <is>
          <t>↑</t>
        </is>
      </c>
      <c r="G91" s="23" t="inlineStr">
        <is>
          <t>🔴 رئيسي</t>
        </is>
      </c>
      <c r="H91" s="32" t="n">
        <v>0.08</v>
      </c>
      <c r="I91" s="35" t="n">
        <v>0.6</v>
      </c>
      <c r="J91" s="35" t="n">
        <v>0.611</v>
      </c>
      <c r="K91" s="32" t="n">
        <v>1</v>
      </c>
      <c r="L91" s="14" t="inlineStr">
        <is>
          <t>✅ محقق</t>
        </is>
      </c>
      <c r="M91" s="14" t="inlineStr">
        <is>
          <t>الاستدامة</t>
        </is>
      </c>
      <c r="N91" s="26" t="inlineStr">
        <is>
          <t>منظومة التأجير</t>
        </is>
      </c>
      <c r="O91" s="23" t="inlineStr">
        <is>
          <t>العمليات الداخلية</t>
        </is>
      </c>
      <c r="P91" s="23" t="inlineStr">
        <is>
          <t>مدير العقار</t>
        </is>
      </c>
      <c r="Q91" s="26" t="inlineStr">
        <is>
          <t>نظام إدارة العقود (CRM)</t>
        </is>
      </c>
      <c r="R91" s="23" t="inlineStr">
        <is>
          <t>شهري</t>
        </is>
      </c>
    </row>
    <row r="92">
      <c r="A92" s="22" t="inlineStr">
        <is>
          <t>العقار</t>
        </is>
      </c>
      <c r="B92" s="22" t="inlineStr">
        <is>
          <t>التأجير</t>
        </is>
      </c>
      <c r="C92" s="22" t="inlineStr">
        <is>
          <t>الوحدات المؤجَّرة شهرياً</t>
        </is>
      </c>
      <c r="D92" s="23" t="inlineStr">
        <is>
          <t>🔧 تشغيلي</t>
        </is>
      </c>
      <c r="E92" s="35" t="inlineStr">
        <is>
          <t>وحدة</t>
        </is>
      </c>
      <c r="F92" s="35" t="inlineStr">
        <is>
          <t>↑</t>
        </is>
      </c>
      <c r="G92" s="23" t="inlineStr">
        <is>
          <t>🟠 مهم</t>
        </is>
      </c>
      <c r="H92" s="32" t="n">
        <v>0.05</v>
      </c>
      <c r="I92" s="35" t="n">
        <v>68</v>
      </c>
      <c r="J92" s="35" t="n">
        <v>54.8</v>
      </c>
      <c r="K92" s="32" t="n">
        <v>0.8058823529411764</v>
      </c>
      <c r="L92" s="14" t="inlineStr">
        <is>
          <t>🔴 تحت الهدف</t>
        </is>
      </c>
      <c r="M92" s="14" t="inlineStr">
        <is>
          <t>الاستدامة</t>
        </is>
      </c>
      <c r="N92" s="26" t="inlineStr">
        <is>
          <t>منظومة التأجير</t>
        </is>
      </c>
      <c r="O92" s="23" t="inlineStr">
        <is>
          <t>العمليات الداخلية</t>
        </is>
      </c>
      <c r="P92" s="23" t="inlineStr">
        <is>
          <t>مدير العقار</t>
        </is>
      </c>
      <c r="Q92" s="26" t="inlineStr">
        <is>
          <t>نظام إدارة العقود (CRM)</t>
        </is>
      </c>
      <c r="R92" s="23" t="inlineStr">
        <is>
          <t>شهري</t>
        </is>
      </c>
    </row>
    <row r="93">
      <c r="A93" s="22" t="inlineStr">
        <is>
          <t>العقار</t>
        </is>
      </c>
      <c r="B93" s="22" t="inlineStr">
        <is>
          <t>التأجير</t>
        </is>
      </c>
      <c r="C93" s="22" t="inlineStr">
        <is>
          <t>العملاء المحتملون (LEADS)</t>
        </is>
      </c>
      <c r="D93" s="23" t="inlineStr">
        <is>
          <t>🔧 تشغيلي</t>
        </is>
      </c>
      <c r="E93" s="35" t="inlineStr">
        <is>
          <t>عميل</t>
        </is>
      </c>
      <c r="F93" s="35" t="inlineStr">
        <is>
          <t>↑</t>
        </is>
      </c>
      <c r="G93" s="23" t="inlineStr">
        <is>
          <t>🟠 مهم</t>
        </is>
      </c>
      <c r="H93" s="32" t="n">
        <v>0.05</v>
      </c>
      <c r="I93" s="35" t="n">
        <v>680</v>
      </c>
      <c r="J93" s="35" t="n">
        <v>531.8</v>
      </c>
      <c r="K93" s="32" t="n">
        <v>0.7820588235294117</v>
      </c>
      <c r="L93" s="14" t="inlineStr">
        <is>
          <t>🔴 تحت الهدف</t>
        </is>
      </c>
      <c r="M93" s="14" t="inlineStr">
        <is>
          <t>النمو</t>
        </is>
      </c>
      <c r="N93" s="26" t="inlineStr">
        <is>
          <t>زيادة وصول العملاء</t>
        </is>
      </c>
      <c r="O93" s="23" t="inlineStr">
        <is>
          <t>العملاء</t>
        </is>
      </c>
      <c r="P93" s="23" t="inlineStr">
        <is>
          <t>مدير العقار</t>
        </is>
      </c>
      <c r="Q93" s="26" t="inlineStr">
        <is>
          <t>نظام إدارة العقود (CRM)</t>
        </is>
      </c>
      <c r="R93" s="23" t="inlineStr">
        <is>
          <t>شهري</t>
        </is>
      </c>
    </row>
    <row r="94">
      <c r="A94" s="22" t="inlineStr">
        <is>
          <t>العقار</t>
        </is>
      </c>
      <c r="B94" s="22" t="inlineStr">
        <is>
          <t>التأجير</t>
        </is>
      </c>
      <c r="C94" s="22" t="inlineStr">
        <is>
          <t>معدل التحويل</t>
        </is>
      </c>
      <c r="D94" s="23" t="inlineStr">
        <is>
          <t>🔧 تشغيلي</t>
        </is>
      </c>
      <c r="E94" s="35" t="inlineStr">
        <is>
          <t>%</t>
        </is>
      </c>
      <c r="F94" s="35" t="inlineStr">
        <is>
          <t>↑</t>
        </is>
      </c>
      <c r="G94" s="23" t="inlineStr">
        <is>
          <t>🔴 رئيسي</t>
        </is>
      </c>
      <c r="H94" s="32" t="n">
        <v>0.08</v>
      </c>
      <c r="I94" s="35" t="n">
        <v>0.2</v>
      </c>
      <c r="J94" s="35" t="n">
        <v>0.208</v>
      </c>
      <c r="K94" s="32" t="n">
        <v>1</v>
      </c>
      <c r="L94" s="14" t="inlineStr">
        <is>
          <t>✅ محقق</t>
        </is>
      </c>
      <c r="M94" s="14" t="inlineStr">
        <is>
          <t>النمو</t>
        </is>
      </c>
      <c r="N94" s="26" t="inlineStr">
        <is>
          <t>زيادة وصول العملاء</t>
        </is>
      </c>
      <c r="O94" s="23" t="inlineStr">
        <is>
          <t>العمليات الداخلية</t>
        </is>
      </c>
      <c r="P94" s="23" t="inlineStr">
        <is>
          <t>مدير العقار</t>
        </is>
      </c>
      <c r="Q94" s="26" t="inlineStr">
        <is>
          <t>نظام إدارة العقود (CRM)</t>
        </is>
      </c>
      <c r="R94" s="23" t="inlineStr">
        <is>
          <t>شهري</t>
        </is>
      </c>
    </row>
    <row r="95">
      <c r="A95" s="22" t="inlineStr">
        <is>
          <t>العقار</t>
        </is>
      </c>
      <c r="B95" s="22" t="inlineStr">
        <is>
          <t>التأجير</t>
        </is>
      </c>
      <c r="C95" s="22" t="inlineStr">
        <is>
          <t>زيادة عدد العلامات التجارية</t>
        </is>
      </c>
      <c r="D95" s="23" t="inlineStr">
        <is>
          <t>⚙️ نشاط</t>
        </is>
      </c>
      <c r="E95" s="35" t="inlineStr">
        <is>
          <t>علامة</t>
        </is>
      </c>
      <c r="F95" s="35" t="inlineStr">
        <is>
          <t>↑</t>
        </is>
      </c>
      <c r="G95" s="23" t="inlineStr">
        <is>
          <t>🟠 مهم</t>
        </is>
      </c>
      <c r="H95" s="32" t="n">
        <v>0.05</v>
      </c>
      <c r="I95" s="35" t="n">
        <v>246</v>
      </c>
      <c r="J95" s="35" t="n">
        <v>202.6</v>
      </c>
      <c r="K95" s="32" t="n">
        <v>0.8235772357723578</v>
      </c>
      <c r="L95" s="14" t="inlineStr">
        <is>
          <t>🔴 تحت الهدف</t>
        </is>
      </c>
      <c r="M95" s="14" t="inlineStr">
        <is>
          <t>الاستدامة</t>
        </is>
      </c>
      <c r="N95" s="26" t="inlineStr">
        <is>
          <t>منظومة التأجير</t>
        </is>
      </c>
      <c r="O95" s="23" t="inlineStr">
        <is>
          <t>العمليات الداخلية</t>
        </is>
      </c>
      <c r="P95" s="23" t="inlineStr">
        <is>
          <t>مدير العقار</t>
        </is>
      </c>
      <c r="Q95" s="26" t="inlineStr">
        <is>
          <t>نظام إدارة العقود (CRM)</t>
        </is>
      </c>
      <c r="R95" s="23" t="inlineStr">
        <is>
          <t>شهري</t>
        </is>
      </c>
    </row>
    <row r="96">
      <c r="A96" s="22" t="inlineStr">
        <is>
          <t>العقار</t>
        </is>
      </c>
      <c r="B96" s="22" t="inlineStr">
        <is>
          <t>الإبداع والتكامل</t>
        </is>
      </c>
      <c r="C96" s="22" t="inlineStr">
        <is>
          <t>نسبة تأجير ساحة درب</t>
        </is>
      </c>
      <c r="D96" s="23" t="inlineStr">
        <is>
          <t>🔧 تشغيلي</t>
        </is>
      </c>
      <c r="E96" s="35" t="inlineStr">
        <is>
          <t>%</t>
        </is>
      </c>
      <c r="F96" s="35" t="inlineStr">
        <is>
          <t>↑</t>
        </is>
      </c>
      <c r="G96" s="23" t="inlineStr">
        <is>
          <t>🟠 مهم</t>
        </is>
      </c>
      <c r="H96" s="32" t="n">
        <v>0.05</v>
      </c>
      <c r="I96" s="35" t="n">
        <v>0.8</v>
      </c>
      <c r="J96" s="35" t="n">
        <v>0.671</v>
      </c>
      <c r="K96" s="32" t="n">
        <v>0.83875</v>
      </c>
      <c r="L96" s="14" t="inlineStr">
        <is>
          <t>🔴 تحت الهدف</t>
        </is>
      </c>
      <c r="M96" s="14" t="inlineStr">
        <is>
          <t>الابتكار</t>
        </is>
      </c>
      <c r="N96" s="26" t="inlineStr">
        <is>
          <t>ساحات درب</t>
        </is>
      </c>
      <c r="O96" s="23" t="inlineStr">
        <is>
          <t>العمليات الداخلية</t>
        </is>
      </c>
      <c r="P96" s="23" t="inlineStr">
        <is>
          <t>مدير العقار</t>
        </is>
      </c>
      <c r="Q96" s="26" t="inlineStr">
        <is>
          <t>مكتب إدارة المشاريع (PMO)</t>
        </is>
      </c>
      <c r="R96" s="23" t="inlineStr">
        <is>
          <t>شهري</t>
        </is>
      </c>
    </row>
    <row r="97">
      <c r="A97" s="22" t="inlineStr">
        <is>
          <t>العقار</t>
        </is>
      </c>
      <c r="B97" s="22" t="inlineStr">
        <is>
          <t>الإبداع والتكامل</t>
        </is>
      </c>
      <c r="C97" s="22" t="inlineStr">
        <is>
          <t>علامات تجارية جديدة (ساحة درب)</t>
        </is>
      </c>
      <c r="D97" s="23" t="inlineStr">
        <is>
          <t>🔧 تشغيلي</t>
        </is>
      </c>
      <c r="E97" s="35" t="inlineStr">
        <is>
          <t>علامة</t>
        </is>
      </c>
      <c r="F97" s="35" t="inlineStr">
        <is>
          <t>↑</t>
        </is>
      </c>
      <c r="G97" s="23" t="inlineStr">
        <is>
          <t>🟠 مهم</t>
        </is>
      </c>
      <c r="H97" s="32" t="n">
        <v>0.05</v>
      </c>
      <c r="I97" s="35" t="n">
        <v>6</v>
      </c>
      <c r="J97" s="35" t="n">
        <v>5.769</v>
      </c>
      <c r="K97" s="32" t="n">
        <v>0.9615</v>
      </c>
      <c r="L97" s="14" t="inlineStr">
        <is>
          <t>🟡 قريب</t>
        </is>
      </c>
      <c r="M97" s="14" t="inlineStr">
        <is>
          <t>الابتكار</t>
        </is>
      </c>
      <c r="N97" s="26" t="inlineStr">
        <is>
          <t>ساحات درب</t>
        </is>
      </c>
      <c r="O97" s="23" t="inlineStr">
        <is>
          <t>العمليات الداخلية</t>
        </is>
      </c>
      <c r="P97" s="23" t="inlineStr">
        <is>
          <t>مدير العقار</t>
        </is>
      </c>
      <c r="Q97" s="26" t="inlineStr">
        <is>
          <t>مكتب إدارة المشاريع (PMO)</t>
        </is>
      </c>
      <c r="R97" s="23" t="inlineStr">
        <is>
          <t>شهري</t>
        </is>
      </c>
    </row>
    <row r="98">
      <c r="A98" s="22" t="inlineStr">
        <is>
          <t>العقار</t>
        </is>
      </c>
      <c r="B98" s="22" t="inlineStr">
        <is>
          <t>الإبداع والتكامل</t>
        </is>
      </c>
      <c r="C98" s="22" t="inlineStr">
        <is>
          <t>الشراكات الاستراتيجية</t>
        </is>
      </c>
      <c r="D98" s="23" t="inlineStr">
        <is>
          <t>🔧 تشغيلي</t>
        </is>
      </c>
      <c r="E98" s="35" t="inlineStr">
        <is>
          <t>شراكة</t>
        </is>
      </c>
      <c r="F98" s="35" t="inlineStr">
        <is>
          <t>↑</t>
        </is>
      </c>
      <c r="G98" s="23" t="inlineStr">
        <is>
          <t>🟠 مهم</t>
        </is>
      </c>
      <c r="H98" s="32" t="n">
        <v>0.05</v>
      </c>
      <c r="I98" s="35" t="n">
        <v>5</v>
      </c>
      <c r="J98" s="35" t="n">
        <v>4.59</v>
      </c>
      <c r="K98" s="32" t="n">
        <v>0.9179999999999999</v>
      </c>
      <c r="L98" s="14" t="inlineStr">
        <is>
          <t>🟡 قريب</t>
        </is>
      </c>
      <c r="M98" s="14" t="inlineStr">
        <is>
          <t>الابتكار</t>
        </is>
      </c>
      <c r="N98" s="26" t="inlineStr">
        <is>
          <t>إطلاق مشاريع جديدة</t>
        </is>
      </c>
      <c r="O98" s="23" t="inlineStr">
        <is>
          <t>التعلّم والنمو</t>
        </is>
      </c>
      <c r="P98" s="23" t="inlineStr">
        <is>
          <t>مدير العقار</t>
        </is>
      </c>
      <c r="Q98" s="26" t="inlineStr">
        <is>
          <t>مكتب إدارة المشاريع (PMO)</t>
        </is>
      </c>
      <c r="R98" s="23" t="inlineStr">
        <is>
          <t>شهري</t>
        </is>
      </c>
    </row>
    <row r="99">
      <c r="A99" s="22" t="inlineStr">
        <is>
          <t>العقار</t>
        </is>
      </c>
      <c r="B99" s="22" t="inlineStr">
        <is>
          <t>إدارة الأملاك</t>
        </is>
      </c>
      <c r="C99" s="22" t="inlineStr">
        <is>
          <t>نسبة تجديد العقود</t>
        </is>
      </c>
      <c r="D99" s="23" t="inlineStr">
        <is>
          <t>🔧 تشغيلي</t>
        </is>
      </c>
      <c r="E99" s="35" t="inlineStr">
        <is>
          <t>%</t>
        </is>
      </c>
      <c r="F99" s="35" t="inlineStr">
        <is>
          <t>↑</t>
        </is>
      </c>
      <c r="G99" s="23" t="inlineStr">
        <is>
          <t>🔴 رئيسي</t>
        </is>
      </c>
      <c r="H99" s="32" t="n">
        <v>0.08</v>
      </c>
      <c r="I99" s="35" t="n">
        <v>1</v>
      </c>
      <c r="J99" s="35" t="n">
        <v>0.792</v>
      </c>
      <c r="K99" s="32" t="n">
        <v>0.792</v>
      </c>
      <c r="L99" s="14" t="inlineStr">
        <is>
          <t>🔴 تحت الهدف</t>
        </is>
      </c>
      <c r="M99" s="14" t="inlineStr">
        <is>
          <t>الاستدامة</t>
        </is>
      </c>
      <c r="N99" s="26" t="inlineStr">
        <is>
          <t>منظومة التأجير</t>
        </is>
      </c>
      <c r="O99" s="23" t="inlineStr">
        <is>
          <t>العمليات الداخلية</t>
        </is>
      </c>
      <c r="P99" s="23" t="inlineStr">
        <is>
          <t>مدير العقار</t>
        </is>
      </c>
      <c r="Q99" s="26" t="inlineStr">
        <is>
          <t>نظام إدارة العقود (CRM)</t>
        </is>
      </c>
      <c r="R99" s="23" t="inlineStr">
        <is>
          <t>شهري</t>
        </is>
      </c>
    </row>
    <row r="100">
      <c r="A100" s="22" t="inlineStr">
        <is>
          <t>العقار</t>
        </is>
      </c>
      <c r="B100" s="22" t="inlineStr">
        <is>
          <t>تنسيق المشاريع</t>
        </is>
      </c>
      <c r="C100" s="22" t="inlineStr">
        <is>
          <t>متوسط زمن تسليم الوحدة</t>
        </is>
      </c>
      <c r="D100" s="23" t="inlineStr">
        <is>
          <t>🔧 تشغيلي</t>
        </is>
      </c>
      <c r="E100" s="35" t="inlineStr">
        <is>
          <t>يوم</t>
        </is>
      </c>
      <c r="F100" s="35" t="inlineStr">
        <is>
          <t>↓</t>
        </is>
      </c>
      <c r="G100" s="23" t="inlineStr">
        <is>
          <t>🟠 مهم</t>
        </is>
      </c>
      <c r="H100" s="32" t="n">
        <v>0.05</v>
      </c>
      <c r="I100" s="35" t="n">
        <v>7</v>
      </c>
      <c r="J100" s="35" t="n">
        <v>7.983</v>
      </c>
      <c r="K100" s="32" t="n">
        <v>0.8768633345859953</v>
      </c>
      <c r="L100" s="14" t="inlineStr">
        <is>
          <t>🟡 قريب</t>
        </is>
      </c>
      <c r="M100" s="14" t="inlineStr">
        <is>
          <t>الاستدامة</t>
        </is>
      </c>
      <c r="N100" s="26" t="inlineStr">
        <is>
          <t>جودة التشغيل</t>
        </is>
      </c>
      <c r="O100" s="23" t="inlineStr">
        <is>
          <t>العمليات الداخلية</t>
        </is>
      </c>
      <c r="P100" s="23" t="inlineStr">
        <is>
          <t>مدير العقار</t>
        </is>
      </c>
      <c r="Q100" s="26" t="inlineStr">
        <is>
          <t>سجلات الإدارة</t>
        </is>
      </c>
      <c r="R100" s="23" t="inlineStr">
        <is>
          <t>شهري</t>
        </is>
      </c>
    </row>
    <row r="101">
      <c r="A101" s="22" t="inlineStr">
        <is>
          <t>العقار</t>
        </is>
      </c>
      <c r="B101" s="22" t="inlineStr">
        <is>
          <t>تنسيق المشاريع</t>
        </is>
      </c>
      <c r="C101" s="22" t="inlineStr">
        <is>
          <t>نسبة إغلاق الطلبات خلال 3 أسابيع</t>
        </is>
      </c>
      <c r="D101" s="23" t="inlineStr">
        <is>
          <t>🔧 تشغيلي</t>
        </is>
      </c>
      <c r="E101" s="35" t="inlineStr">
        <is>
          <t>%</t>
        </is>
      </c>
      <c r="F101" s="35" t="inlineStr">
        <is>
          <t>↑</t>
        </is>
      </c>
      <c r="G101" s="23" t="inlineStr">
        <is>
          <t>🟠 مهم</t>
        </is>
      </c>
      <c r="H101" s="32" t="n">
        <v>0.05</v>
      </c>
      <c r="I101" s="35" t="n">
        <v>0.9</v>
      </c>
      <c r="J101" s="35" t="n">
        <v>0.698</v>
      </c>
      <c r="K101" s="32" t="n">
        <v>0.7755555555555554</v>
      </c>
      <c r="L101" s="14" t="inlineStr">
        <is>
          <t>🔴 تحت الهدف</t>
        </is>
      </c>
      <c r="M101" s="14" t="inlineStr">
        <is>
          <t>الاستدامة</t>
        </is>
      </c>
      <c r="N101" s="26" t="inlineStr">
        <is>
          <t>جودة التشغيل</t>
        </is>
      </c>
      <c r="O101" s="23" t="inlineStr">
        <is>
          <t>العمليات الداخلية</t>
        </is>
      </c>
      <c r="P101" s="23" t="inlineStr">
        <is>
          <t>مدير العقار</t>
        </is>
      </c>
      <c r="Q101" s="26" t="inlineStr">
        <is>
          <t>سجلات الإدارة</t>
        </is>
      </c>
      <c r="R101" s="23" t="inlineStr">
        <is>
          <t>شهري</t>
        </is>
      </c>
    </row>
    <row r="102">
      <c r="A102" s="22" t="inlineStr">
        <is>
          <t>العقار</t>
        </is>
      </c>
      <c r="B102" s="22" t="inlineStr">
        <is>
          <t>الجودة والاستدامة</t>
        </is>
      </c>
      <c r="C102" s="22" t="inlineStr">
        <is>
          <t>استدامة المستأجرين (لم يُنهَ مبكراً)</t>
        </is>
      </c>
      <c r="D102" s="23" t="inlineStr">
        <is>
          <t>🔧 تشغيلي</t>
        </is>
      </c>
      <c r="E102" s="35" t="inlineStr">
        <is>
          <t>%</t>
        </is>
      </c>
      <c r="F102" s="35" t="inlineStr">
        <is>
          <t>↑</t>
        </is>
      </c>
      <c r="G102" s="23" t="inlineStr">
        <is>
          <t>🟠 مهم</t>
        </is>
      </c>
      <c r="H102" s="32" t="n">
        <v>0.05</v>
      </c>
      <c r="I102" s="35" t="n">
        <v>0.8</v>
      </c>
      <c r="J102" s="35" t="n">
        <v>0.695</v>
      </c>
      <c r="K102" s="32" t="n">
        <v>0.8687499999999999</v>
      </c>
      <c r="L102" s="14" t="inlineStr">
        <is>
          <t>🟡 قريب</t>
        </is>
      </c>
      <c r="M102" s="14" t="inlineStr">
        <is>
          <t>الاستدامة</t>
        </is>
      </c>
      <c r="N102" s="26" t="inlineStr">
        <is>
          <t>تعزيز تجربة العملاء</t>
        </is>
      </c>
      <c r="O102" s="23" t="inlineStr">
        <is>
          <t>العملاء</t>
        </is>
      </c>
      <c r="P102" s="23" t="inlineStr">
        <is>
          <t>مدير العقار</t>
        </is>
      </c>
      <c r="Q102" s="26" t="inlineStr">
        <is>
          <t>نظام إدارة الجودة (QMS)</t>
        </is>
      </c>
      <c r="R102" s="23" t="inlineStr">
        <is>
          <t>شهري</t>
        </is>
      </c>
    </row>
    <row r="103">
      <c r="A103" s="22" t="inlineStr">
        <is>
          <t>العقار</t>
        </is>
      </c>
      <c r="B103" s="22" t="inlineStr">
        <is>
          <t>الجودة والاستدامة</t>
        </is>
      </c>
      <c r="C103" s="22" t="inlineStr">
        <is>
          <t>معدل رضا المستأجرين (استبيان ربعي)</t>
        </is>
      </c>
      <c r="D103" s="23" t="inlineStr">
        <is>
          <t>🎯 نتيجة</t>
        </is>
      </c>
      <c r="E103" s="35" t="inlineStr">
        <is>
          <t>%</t>
        </is>
      </c>
      <c r="F103" s="35" t="inlineStr">
        <is>
          <t>↑</t>
        </is>
      </c>
      <c r="G103" s="23" t="inlineStr">
        <is>
          <t>🔴 رئيسي</t>
        </is>
      </c>
      <c r="H103" s="32" t="n">
        <v>0.07000000000000001</v>
      </c>
      <c r="I103" s="35" t="n">
        <v>0.9</v>
      </c>
      <c r="J103" s="35" t="n">
        <v>0.894</v>
      </c>
      <c r="K103" s="32" t="n">
        <v>0.9933333333333333</v>
      </c>
      <c r="L103" s="14" t="inlineStr">
        <is>
          <t>🟡 قريب</t>
        </is>
      </c>
      <c r="M103" s="14" t="inlineStr">
        <is>
          <t>الاستدامة</t>
        </is>
      </c>
      <c r="N103" s="26" t="inlineStr">
        <is>
          <t>تعزيز تجربة العملاء</t>
        </is>
      </c>
      <c r="O103" s="23" t="inlineStr">
        <is>
          <t>العملاء</t>
        </is>
      </c>
      <c r="P103" s="23" t="inlineStr">
        <is>
          <t>مدير العقار</t>
        </is>
      </c>
      <c r="Q103" s="26" t="inlineStr">
        <is>
          <t>استبيان دوري</t>
        </is>
      </c>
      <c r="R103" s="23" t="inlineStr">
        <is>
          <t>ربعي</t>
        </is>
      </c>
    </row>
    <row r="104">
      <c r="A104" s="22" t="inlineStr">
        <is>
          <t>التقنية الرقمية</t>
        </is>
      </c>
      <c r="B104" s="22" t="inlineStr">
        <is>
          <t>أداء المشاريع</t>
        </is>
      </c>
      <c r="C104" s="22" t="inlineStr">
        <is>
          <t>نسبة إنجاز محفظة مشاريع التحول الرقمي</t>
        </is>
      </c>
      <c r="D104" s="23" t="inlineStr">
        <is>
          <t>🔧 تشغيلي</t>
        </is>
      </c>
      <c r="E104" s="35" t="inlineStr">
        <is>
          <t>%</t>
        </is>
      </c>
      <c r="F104" s="35" t="inlineStr">
        <is>
          <t>↑</t>
        </is>
      </c>
      <c r="G104" s="23" t="inlineStr">
        <is>
          <t>🟠 مهم</t>
        </is>
      </c>
      <c r="H104" s="32" t="n">
        <v>0.1</v>
      </c>
      <c r="I104" s="35" t="n">
        <v>1</v>
      </c>
      <c r="J104" s="35" t="n">
        <v>0.06</v>
      </c>
      <c r="K104" s="32" t="n">
        <v>0.06</v>
      </c>
      <c r="L104" s="14" t="inlineStr">
        <is>
          <t>🔴 تحت الهدف</t>
        </is>
      </c>
      <c r="M104" s="14" t="inlineStr">
        <is>
          <t>الابتكار</t>
        </is>
      </c>
      <c r="N104" s="26" t="inlineStr">
        <is>
          <t>التحول التقني</t>
        </is>
      </c>
      <c r="O104" s="23" t="inlineStr">
        <is>
          <t>التعلّم والنمو</t>
        </is>
      </c>
      <c r="P104" s="23" t="inlineStr">
        <is>
          <t>مدير التقنية</t>
        </is>
      </c>
      <c r="Q104" s="26" t="inlineStr">
        <is>
          <t>سجلات الإدارة</t>
        </is>
      </c>
      <c r="R104" s="23" t="inlineStr">
        <is>
          <t>شهري</t>
        </is>
      </c>
    </row>
    <row r="105">
      <c r="A105" s="22" t="inlineStr">
        <is>
          <t>التقنية الرقمية</t>
        </is>
      </c>
      <c r="B105" s="22" t="inlineStr">
        <is>
          <t>أداء المشاريع</t>
        </is>
      </c>
      <c r="C105" s="22" t="inlineStr">
        <is>
          <t>معدل تسليم المشاريع في الموعد المحدد</t>
        </is>
      </c>
      <c r="D105" s="23" t="inlineStr">
        <is>
          <t>🔧 تشغيلي</t>
        </is>
      </c>
      <c r="E105" s="35" t="inlineStr">
        <is>
          <t>%</t>
        </is>
      </c>
      <c r="F105" s="35" t="inlineStr">
        <is>
          <t>↑</t>
        </is>
      </c>
      <c r="G105" s="23" t="inlineStr">
        <is>
          <t>🟠 مهم</t>
        </is>
      </c>
      <c r="H105" s="32" t="n">
        <v>0.1</v>
      </c>
      <c r="I105" s="35" t="n">
        <v>0.9</v>
      </c>
      <c r="J105" s="35" t="n">
        <v>0.83</v>
      </c>
      <c r="K105" s="32" t="n">
        <v>0.9222222222222222</v>
      </c>
      <c r="L105" s="14" t="inlineStr">
        <is>
          <t>🟡 قريب</t>
        </is>
      </c>
      <c r="M105" s="14" t="inlineStr">
        <is>
          <t>الابتكار</t>
        </is>
      </c>
      <c r="N105" s="26" t="inlineStr">
        <is>
          <t>التحول التقني</t>
        </is>
      </c>
      <c r="O105" s="23" t="inlineStr">
        <is>
          <t>العمليات الداخلية</t>
        </is>
      </c>
      <c r="P105" s="23" t="inlineStr">
        <is>
          <t>مدير التقنية</t>
        </is>
      </c>
      <c r="Q105" s="26" t="inlineStr">
        <is>
          <t>سجلات الإدارة</t>
        </is>
      </c>
      <c r="R105" s="23" t="inlineStr">
        <is>
          <t>شهري</t>
        </is>
      </c>
    </row>
    <row r="106">
      <c r="A106" s="22" t="inlineStr">
        <is>
          <t>التقنية الرقمية</t>
        </is>
      </c>
      <c r="B106" s="22" t="inlineStr">
        <is>
          <t>أداء المشاريع</t>
        </is>
      </c>
      <c r="C106" s="22" t="inlineStr">
        <is>
          <t>نسبة الالتزام بميزانية المشاريع</t>
        </is>
      </c>
      <c r="D106" s="23" t="inlineStr">
        <is>
          <t>🔧 تشغيلي</t>
        </is>
      </c>
      <c r="E106" s="35" t="inlineStr">
        <is>
          <t>%</t>
        </is>
      </c>
      <c r="F106" s="35" t="inlineStr">
        <is>
          <t>↑</t>
        </is>
      </c>
      <c r="G106" s="23" t="inlineStr">
        <is>
          <t>🟠 مهم</t>
        </is>
      </c>
      <c r="H106" s="32" t="n">
        <v>0.1</v>
      </c>
      <c r="I106" s="35" t="n">
        <v>0.95</v>
      </c>
      <c r="J106" s="35" t="n">
        <v>0.753</v>
      </c>
      <c r="K106" s="32" t="n">
        <v>0.7926315789473685</v>
      </c>
      <c r="L106" s="14" t="inlineStr">
        <is>
          <t>🔴 تحت الهدف</t>
        </is>
      </c>
      <c r="M106" s="14" t="inlineStr">
        <is>
          <t>الابتكار</t>
        </is>
      </c>
      <c r="N106" s="26" t="inlineStr">
        <is>
          <t>التحول التقني</t>
        </is>
      </c>
      <c r="O106" s="23" t="inlineStr">
        <is>
          <t>العمليات الداخلية</t>
        </is>
      </c>
      <c r="P106" s="23" t="inlineStr">
        <is>
          <t>مدير التقنية</t>
        </is>
      </c>
      <c r="Q106" s="26" t="inlineStr">
        <is>
          <t>نظام المحاسبة / ERP (D365)</t>
        </is>
      </c>
      <c r="R106" s="23" t="inlineStr">
        <is>
          <t>شهري</t>
        </is>
      </c>
    </row>
    <row r="107">
      <c r="A107" s="22" t="inlineStr">
        <is>
          <t>التقنية الرقمية</t>
        </is>
      </c>
      <c r="B107" s="22" t="inlineStr">
        <is>
          <t>أداء المشاريع</t>
        </is>
      </c>
      <c r="C107" s="22" t="inlineStr">
        <is>
          <t>نسبة الالتزام بنطاق العمل</t>
        </is>
      </c>
      <c r="D107" s="23" t="inlineStr">
        <is>
          <t>🔧 تشغيلي</t>
        </is>
      </c>
      <c r="E107" s="35" t="inlineStr">
        <is>
          <t>%</t>
        </is>
      </c>
      <c r="F107" s="35" t="inlineStr">
        <is>
          <t>↑</t>
        </is>
      </c>
      <c r="G107" s="23" t="inlineStr">
        <is>
          <t>🟠 مهم</t>
        </is>
      </c>
      <c r="H107" s="32" t="n">
        <v>0.1</v>
      </c>
      <c r="I107" s="35" t="n">
        <v>0.95</v>
      </c>
      <c r="J107" s="35" t="n">
        <v>0.703</v>
      </c>
      <c r="K107" s="32" t="n">
        <v>0.74</v>
      </c>
      <c r="L107" s="14" t="inlineStr">
        <is>
          <t>🔴 تحت الهدف</t>
        </is>
      </c>
      <c r="M107" s="14" t="inlineStr">
        <is>
          <t>الابتكار</t>
        </is>
      </c>
      <c r="N107" s="26" t="inlineStr">
        <is>
          <t>التحول التقني</t>
        </is>
      </c>
      <c r="O107" s="23" t="inlineStr">
        <is>
          <t>العمليات الداخلية</t>
        </is>
      </c>
      <c r="P107" s="23" t="inlineStr">
        <is>
          <t>مدير التقنية</t>
        </is>
      </c>
      <c r="Q107" s="26" t="inlineStr">
        <is>
          <t>سجلات الإدارة</t>
        </is>
      </c>
      <c r="R107" s="23" t="inlineStr">
        <is>
          <t>شهري</t>
        </is>
      </c>
    </row>
    <row r="108">
      <c r="A108" s="22" t="inlineStr">
        <is>
          <t>التقنية الرقمية</t>
        </is>
      </c>
      <c r="B108" s="22" t="inlineStr">
        <is>
          <t>الكفاءة التشغيلية</t>
        </is>
      </c>
      <c r="C108" s="22" t="inlineStr">
        <is>
          <t>نسبة تفعيل الأنظمة الأساسية بالمحطات</t>
        </is>
      </c>
      <c r="D108" s="23" t="inlineStr">
        <is>
          <t>🔧 تشغيلي</t>
        </is>
      </c>
      <c r="E108" s="35" t="inlineStr">
        <is>
          <t>%</t>
        </is>
      </c>
      <c r="F108" s="35" t="inlineStr">
        <is>
          <t>↑</t>
        </is>
      </c>
      <c r="G108" s="23" t="inlineStr">
        <is>
          <t>🏁 معلم</t>
        </is>
      </c>
      <c r="H108" s="32" t="n">
        <v>0.15</v>
      </c>
      <c r="I108" s="35" t="n">
        <v>1</v>
      </c>
      <c r="J108" s="35" t="n">
        <v>0.33</v>
      </c>
      <c r="K108" s="32" t="n">
        <v>0.33</v>
      </c>
      <c r="L108" s="14" t="inlineStr">
        <is>
          <t>🔴 تحت الهدف</t>
        </is>
      </c>
      <c r="M108" s="14" t="inlineStr">
        <is>
          <t>الاستدامة</t>
        </is>
      </c>
      <c r="N108" s="26" t="inlineStr">
        <is>
          <t>جودة التشغيل</t>
        </is>
      </c>
      <c r="O108" s="23" t="inlineStr">
        <is>
          <t>العمليات الداخلية</t>
        </is>
      </c>
      <c r="P108" s="23" t="inlineStr">
        <is>
          <t>مدير التقنية</t>
        </is>
      </c>
      <c r="Q108" s="26" t="inlineStr">
        <is>
          <t>مكتب إدارة المشاريع (PMO)</t>
        </is>
      </c>
      <c r="R108" s="23" t="inlineStr">
        <is>
          <t>شهري</t>
        </is>
      </c>
    </row>
    <row r="109">
      <c r="A109" s="22" t="inlineStr">
        <is>
          <t>التقنية الرقمية</t>
        </is>
      </c>
      <c r="B109" s="22" t="inlineStr">
        <is>
          <t>الكفاءة التشغيلية</t>
        </is>
      </c>
      <c r="C109" s="22" t="inlineStr">
        <is>
          <t>متوسط جاهزية أنظمة المركز الرئيسي (Uptime)</t>
        </is>
      </c>
      <c r="D109" s="23" t="inlineStr">
        <is>
          <t>🔧 تشغيلي</t>
        </is>
      </c>
      <c r="E109" s="35" t="inlineStr">
        <is>
          <t>%</t>
        </is>
      </c>
      <c r="F109" s="35" t="inlineStr">
        <is>
          <t>↑</t>
        </is>
      </c>
      <c r="G109" s="23" t="inlineStr">
        <is>
          <t>🔴 رئيسي</t>
        </is>
      </c>
      <c r="H109" s="32" t="n">
        <v>0.15</v>
      </c>
      <c r="I109" s="35" t="n">
        <v>0.99</v>
      </c>
      <c r="J109" s="35" t="n">
        <v>0.9</v>
      </c>
      <c r="K109" s="32" t="n">
        <v>0.9090909090909092</v>
      </c>
      <c r="L109" s="14" t="inlineStr">
        <is>
          <t>🟡 قريب</t>
        </is>
      </c>
      <c r="M109" s="14" t="inlineStr">
        <is>
          <t>الاستدامة</t>
        </is>
      </c>
      <c r="N109" s="26" t="inlineStr">
        <is>
          <t>جودة التشغيل</t>
        </is>
      </c>
      <c r="O109" s="23" t="inlineStr">
        <is>
          <t>العمليات الداخلية</t>
        </is>
      </c>
      <c r="P109" s="23" t="inlineStr">
        <is>
          <t>مدير التقنية</t>
        </is>
      </c>
      <c r="Q109" s="26" t="inlineStr">
        <is>
          <t>مكتب إدارة المشاريع (PMO)</t>
        </is>
      </c>
      <c r="R109" s="23" t="inlineStr">
        <is>
          <t>شهري</t>
        </is>
      </c>
    </row>
    <row r="110">
      <c r="A110" s="22" t="inlineStr">
        <is>
          <t>التقنية الرقمية</t>
        </is>
      </c>
      <c r="B110" s="22" t="inlineStr">
        <is>
          <t>الكفاءة التشغيلية</t>
        </is>
      </c>
      <c r="C110" s="22" t="inlineStr">
        <is>
          <t>نسبة الامتثال للأمن السيبراني</t>
        </is>
      </c>
      <c r="D110" s="23" t="inlineStr">
        <is>
          <t>🔧 تشغيلي</t>
        </is>
      </c>
      <c r="E110" s="35" t="inlineStr">
        <is>
          <t>%</t>
        </is>
      </c>
      <c r="F110" s="35" t="inlineStr">
        <is>
          <t>↑</t>
        </is>
      </c>
      <c r="G110" s="23" t="inlineStr">
        <is>
          <t>🟠 مهم</t>
        </is>
      </c>
      <c r="H110" s="32" t="n">
        <v>0.1</v>
      </c>
      <c r="I110" s="35" t="n">
        <v>1</v>
      </c>
      <c r="J110" s="35" t="n">
        <v>0.3</v>
      </c>
      <c r="K110" s="32" t="n">
        <v>0.3</v>
      </c>
      <c r="L110" s="14" t="inlineStr">
        <is>
          <t>🔴 تحت الهدف</t>
        </is>
      </c>
      <c r="M110" s="14" t="inlineStr">
        <is>
          <t>الاستدامة</t>
        </is>
      </c>
      <c r="N110" s="26" t="inlineStr">
        <is>
          <t>جودة التشغيل</t>
        </is>
      </c>
      <c r="O110" s="23" t="inlineStr">
        <is>
          <t>العمليات الداخلية</t>
        </is>
      </c>
      <c r="P110" s="23" t="inlineStr">
        <is>
          <t>مدير التقنية</t>
        </is>
      </c>
      <c r="Q110" s="26" t="inlineStr">
        <is>
          <t>مكتب إدارة المشاريع (PMO)</t>
        </is>
      </c>
      <c r="R110" s="23" t="inlineStr">
        <is>
          <t>شهري</t>
        </is>
      </c>
    </row>
    <row r="111">
      <c r="A111" s="22" t="inlineStr">
        <is>
          <t>التقنية الرقمية</t>
        </is>
      </c>
      <c r="B111" s="22" t="inlineStr">
        <is>
          <t>الكفاءة التشغيلية</t>
        </is>
      </c>
      <c r="C111" s="22" t="inlineStr">
        <is>
          <t>متوسط زمن استجابة الدعم الفني</t>
        </is>
      </c>
      <c r="D111" s="23" t="inlineStr">
        <is>
          <t>🔧 تشغيلي</t>
        </is>
      </c>
      <c r="E111" s="35" t="inlineStr">
        <is>
          <t>ساعة</t>
        </is>
      </c>
      <c r="F111" s="35" t="inlineStr">
        <is>
          <t>↓</t>
        </is>
      </c>
      <c r="G111" s="23" t="inlineStr">
        <is>
          <t>🟠 مهم</t>
        </is>
      </c>
      <c r="H111" s="32" t="n">
        <v>0.1</v>
      </c>
      <c r="I111" s="35" t="n">
        <v>1</v>
      </c>
      <c r="J111" s="35" t="n">
        <v>0.8</v>
      </c>
      <c r="K111" s="32" t="n">
        <v>1</v>
      </c>
      <c r="L111" s="14" t="inlineStr">
        <is>
          <t>✅ محقق</t>
        </is>
      </c>
      <c r="M111" s="14" t="inlineStr">
        <is>
          <t>الاستدامة</t>
        </is>
      </c>
      <c r="N111" s="26" t="inlineStr">
        <is>
          <t>جودة التشغيل</t>
        </is>
      </c>
      <c r="O111" s="23" t="inlineStr">
        <is>
          <t>العمليات الداخلية</t>
        </is>
      </c>
      <c r="P111" s="23" t="inlineStr">
        <is>
          <t>مدير التقنية</t>
        </is>
      </c>
      <c r="Q111" s="26" t="inlineStr">
        <is>
          <t>سجلات الإدارة</t>
        </is>
      </c>
      <c r="R111" s="23" t="inlineStr">
        <is>
          <t>شهري</t>
        </is>
      </c>
    </row>
    <row r="112">
      <c r="A112" s="22" t="inlineStr">
        <is>
          <t>التقنية الرقمية</t>
        </is>
      </c>
      <c r="B112" s="22" t="inlineStr">
        <is>
          <t>الكفاءة التشغيلية</t>
        </is>
      </c>
      <c r="C112" s="22" t="inlineStr">
        <is>
          <t>نسبة التكامل الرقمي (ERP/واثق/الولاء)</t>
        </is>
      </c>
      <c r="D112" s="23" t="inlineStr">
        <is>
          <t>🔧 تشغيلي</t>
        </is>
      </c>
      <c r="E112" s="35" t="inlineStr">
        <is>
          <t>%</t>
        </is>
      </c>
      <c r="F112" s="35" t="inlineStr">
        <is>
          <t>↑</t>
        </is>
      </c>
      <c r="G112" s="23" t="inlineStr">
        <is>
          <t>🟠 مهم</t>
        </is>
      </c>
      <c r="H112" s="32" t="n">
        <v>0.1</v>
      </c>
      <c r="I112" s="35" t="n">
        <v>1</v>
      </c>
      <c r="J112" s="35" t="n">
        <v>0.2</v>
      </c>
      <c r="K112" s="32" t="n">
        <v>0.2</v>
      </c>
      <c r="L112" s="14" t="inlineStr">
        <is>
          <t>🔴 تحت الهدف</t>
        </is>
      </c>
      <c r="M112" s="14" t="inlineStr">
        <is>
          <t>الاستدامة</t>
        </is>
      </c>
      <c r="N112" s="26" t="inlineStr">
        <is>
          <t>جودة التشغيل</t>
        </is>
      </c>
      <c r="O112" s="23" t="inlineStr">
        <is>
          <t>التعلّم والنمو</t>
        </is>
      </c>
      <c r="P112" s="23" t="inlineStr">
        <is>
          <t>مدير التقنية</t>
        </is>
      </c>
      <c r="Q112" s="26" t="inlineStr">
        <is>
          <t>أنظمة التسويق الرقمي / تانكي</t>
        </is>
      </c>
      <c r="R112" s="23" t="inlineStr">
        <is>
          <t>شهري</t>
        </is>
      </c>
    </row>
    <row r="113">
      <c r="A113" s="22" t="inlineStr">
        <is>
          <t>الموارد البشرية</t>
        </is>
      </c>
      <c r="B113" s="22" t="inlineStr">
        <is>
          <t>التوظيف والتوطين</t>
        </is>
      </c>
      <c r="C113" s="22" t="inlineStr">
        <is>
          <t>نسبة السعودة / التوطين</t>
        </is>
      </c>
      <c r="D113" s="23" t="inlineStr">
        <is>
          <t>🔧 تشغيلي</t>
        </is>
      </c>
      <c r="E113" s="35" t="inlineStr">
        <is>
          <t>%</t>
        </is>
      </c>
      <c r="F113" s="35" t="inlineStr">
        <is>
          <t>↑</t>
        </is>
      </c>
      <c r="G113" s="23" t="inlineStr">
        <is>
          <t>🟠 مهم</t>
        </is>
      </c>
      <c r="H113" s="32" t="n">
        <v>0.06</v>
      </c>
      <c r="I113" s="35" t="n"/>
      <c r="J113" s="35" t="n"/>
      <c r="K113" s="32" t="n"/>
      <c r="L113" s="14" t="inlineStr">
        <is>
          <t>⏳ بانتظار هدف</t>
        </is>
      </c>
      <c r="M113" s="14" t="inlineStr">
        <is>
          <t>الاستدامة</t>
        </is>
      </c>
      <c r="N113" s="26" t="inlineStr">
        <is>
          <t>الاستثمار في الموظفين</t>
        </is>
      </c>
      <c r="O113" s="23" t="inlineStr">
        <is>
          <t>التعلّم والنمو</t>
        </is>
      </c>
      <c r="P113" s="23" t="inlineStr">
        <is>
          <t>مدير الموارد البشرية</t>
        </is>
      </c>
      <c r="Q113" s="26" t="inlineStr">
        <is>
          <t>نظام الموارد البشرية (HRMS)</t>
        </is>
      </c>
      <c r="R113" s="23" t="inlineStr">
        <is>
          <t>شهري</t>
        </is>
      </c>
    </row>
    <row r="114">
      <c r="A114" s="22" t="inlineStr">
        <is>
          <t>الموارد البشرية</t>
        </is>
      </c>
      <c r="B114" s="22" t="inlineStr">
        <is>
          <t>التوظيف والتوطين</t>
        </is>
      </c>
      <c r="C114" s="22" t="inlineStr">
        <is>
          <t>الارتقاء بآليات اختيار المرشحين</t>
        </is>
      </c>
      <c r="D114" s="23" t="inlineStr">
        <is>
          <t>🔧 تشغيلي</t>
        </is>
      </c>
      <c r="E114" s="35" t="inlineStr">
        <is>
          <t>%</t>
        </is>
      </c>
      <c r="F114" s="35" t="inlineStr">
        <is>
          <t>↑</t>
        </is>
      </c>
      <c r="G114" s="23" t="inlineStr">
        <is>
          <t>🟠 مهم</t>
        </is>
      </c>
      <c r="H114" s="32" t="n">
        <v>0.06</v>
      </c>
      <c r="I114" s="35" t="n">
        <v>1</v>
      </c>
      <c r="J114" s="35" t="n">
        <v>0.723</v>
      </c>
      <c r="K114" s="32" t="n">
        <v>0.723</v>
      </c>
      <c r="L114" s="14" t="inlineStr">
        <is>
          <t>🔴 تحت الهدف</t>
        </is>
      </c>
      <c r="M114" s="14" t="inlineStr">
        <is>
          <t>الاستدامة</t>
        </is>
      </c>
      <c r="N114" s="26" t="inlineStr">
        <is>
          <t>الاستثمار في الموظفين</t>
        </is>
      </c>
      <c r="O114" s="23" t="inlineStr">
        <is>
          <t>العمليات الداخلية</t>
        </is>
      </c>
      <c r="P114" s="23" t="inlineStr">
        <is>
          <t>مدير الموارد البشرية</t>
        </is>
      </c>
      <c r="Q114" s="26" t="inlineStr">
        <is>
          <t>نظام الموارد البشرية (HRMS)</t>
        </is>
      </c>
      <c r="R114" s="23" t="inlineStr">
        <is>
          <t>شهري</t>
        </is>
      </c>
    </row>
    <row r="115">
      <c r="A115" s="22" t="inlineStr">
        <is>
          <t>الموارد البشرية</t>
        </is>
      </c>
      <c r="B115" s="22" t="inlineStr">
        <is>
          <t>التوظيف والتوطين</t>
        </is>
      </c>
      <c r="C115" s="22" t="inlineStr">
        <is>
          <t>نسبة شغل الشواغر خلال 30 يوم</t>
        </is>
      </c>
      <c r="D115" s="23" t="inlineStr">
        <is>
          <t>🔧 تشغيلي</t>
        </is>
      </c>
      <c r="E115" s="35" t="inlineStr">
        <is>
          <t>%</t>
        </is>
      </c>
      <c r="F115" s="35" t="inlineStr">
        <is>
          <t>↑</t>
        </is>
      </c>
      <c r="G115" s="23" t="inlineStr">
        <is>
          <t>🟠 مهم</t>
        </is>
      </c>
      <c r="H115" s="32" t="n">
        <v>0.06</v>
      </c>
      <c r="I115" s="35" t="n">
        <v>0.85</v>
      </c>
      <c r="J115" s="35" t="n">
        <v>0.73</v>
      </c>
      <c r="K115" s="32" t="n">
        <v>0.8588235294117647</v>
      </c>
      <c r="L115" s="14" t="inlineStr">
        <is>
          <t>🟡 قريب</t>
        </is>
      </c>
      <c r="M115" s="14" t="inlineStr">
        <is>
          <t>الاستدامة</t>
        </is>
      </c>
      <c r="N115" s="26" t="inlineStr">
        <is>
          <t>الاستثمار في الموظفين</t>
        </is>
      </c>
      <c r="O115" s="23" t="inlineStr">
        <is>
          <t>العمليات الداخلية</t>
        </is>
      </c>
      <c r="P115" s="23" t="inlineStr">
        <is>
          <t>مدير الموارد البشرية</t>
        </is>
      </c>
      <c r="Q115" s="26" t="inlineStr">
        <is>
          <t>نظام الموارد البشرية (HRMS)</t>
        </is>
      </c>
      <c r="R115" s="23" t="inlineStr">
        <is>
          <t>شهري</t>
        </is>
      </c>
    </row>
    <row r="116">
      <c r="A116" s="22" t="inlineStr">
        <is>
          <t>الموارد البشرية</t>
        </is>
      </c>
      <c r="B116" s="22" t="inlineStr">
        <is>
          <t>الاستبقاء</t>
        </is>
      </c>
      <c r="C116" s="22" t="inlineStr">
        <is>
          <t>معدل استبقاء الموظفين (Retention)</t>
        </is>
      </c>
      <c r="D116" s="23" t="inlineStr">
        <is>
          <t>🎯 نتيجة</t>
        </is>
      </c>
      <c r="E116" s="35" t="inlineStr">
        <is>
          <t>%</t>
        </is>
      </c>
      <c r="F116" s="35" t="inlineStr">
        <is>
          <t>↑</t>
        </is>
      </c>
      <c r="G116" s="23" t="inlineStr">
        <is>
          <t>🔴 رئيسي</t>
        </is>
      </c>
      <c r="H116" s="32" t="n">
        <v>0.08</v>
      </c>
      <c r="I116" s="35" t="n">
        <v>0.9</v>
      </c>
      <c r="J116" s="35" t="n">
        <v>0.795</v>
      </c>
      <c r="K116" s="32" t="n">
        <v>0.8833333333333333</v>
      </c>
      <c r="L116" s="14" t="inlineStr">
        <is>
          <t>🟡 قريب</t>
        </is>
      </c>
      <c r="M116" s="14" t="inlineStr">
        <is>
          <t>الاستدامة</t>
        </is>
      </c>
      <c r="N116" s="26" t="inlineStr">
        <is>
          <t>الاستثمار في الموظفين</t>
        </is>
      </c>
      <c r="O116" s="23" t="inlineStr">
        <is>
          <t>التعلّم والنمو</t>
        </is>
      </c>
      <c r="P116" s="23" t="inlineStr">
        <is>
          <t>مدير الموارد البشرية</t>
        </is>
      </c>
      <c r="Q116" s="26" t="inlineStr">
        <is>
          <t>نظام الموارد البشرية (HRMS)</t>
        </is>
      </c>
      <c r="R116" s="23" t="inlineStr">
        <is>
          <t>شهري</t>
        </is>
      </c>
    </row>
    <row r="117">
      <c r="A117" s="22" t="inlineStr">
        <is>
          <t>الموارد البشرية</t>
        </is>
      </c>
      <c r="B117" s="22" t="inlineStr">
        <is>
          <t>الاستبقاء</t>
        </is>
      </c>
      <c r="C117" s="22" t="inlineStr">
        <is>
          <t>معدل دوران الموظفين (Turnover)</t>
        </is>
      </c>
      <c r="D117" s="23" t="inlineStr">
        <is>
          <t>🔧 تشغيلي</t>
        </is>
      </c>
      <c r="E117" s="35" t="inlineStr">
        <is>
          <t>%</t>
        </is>
      </c>
      <c r="F117" s="35" t="inlineStr">
        <is>
          <t>↓</t>
        </is>
      </c>
      <c r="G117" s="23" t="inlineStr">
        <is>
          <t>🟠 مهم</t>
        </is>
      </c>
      <c r="H117" s="32" t="n">
        <v>0.06</v>
      </c>
      <c r="I117" s="35" t="n">
        <v>0.1</v>
      </c>
      <c r="J117" s="35" t="n">
        <v>0.111</v>
      </c>
      <c r="K117" s="32" t="n">
        <v>0.9009009009009009</v>
      </c>
      <c r="L117" s="14" t="inlineStr">
        <is>
          <t>🟡 قريب</t>
        </is>
      </c>
      <c r="M117" s="14" t="inlineStr">
        <is>
          <t>الاستدامة</t>
        </is>
      </c>
      <c r="N117" s="26" t="inlineStr">
        <is>
          <t>الاستثمار في الموظفين</t>
        </is>
      </c>
      <c r="O117" s="23" t="inlineStr">
        <is>
          <t>التعلّم والنمو</t>
        </is>
      </c>
      <c r="P117" s="23" t="inlineStr">
        <is>
          <t>مدير الموارد البشرية</t>
        </is>
      </c>
      <c r="Q117" s="26" t="inlineStr">
        <is>
          <t>نظام الموارد البشرية (HRMS)</t>
        </is>
      </c>
      <c r="R117" s="23" t="inlineStr">
        <is>
          <t>شهري</t>
        </is>
      </c>
    </row>
    <row r="118">
      <c r="A118" s="22" t="inlineStr">
        <is>
          <t>الموارد البشرية</t>
        </is>
      </c>
      <c r="B118" s="22" t="inlineStr">
        <is>
          <t>التدريب والتطوير</t>
        </is>
      </c>
      <c r="C118" s="22" t="inlineStr">
        <is>
          <t>عدد الدورات الإدارية المنعقدة</t>
        </is>
      </c>
      <c r="D118" s="23" t="inlineStr">
        <is>
          <t>⚙️ نشاط</t>
        </is>
      </c>
      <c r="E118" s="35" t="inlineStr">
        <is>
          <t>دورة</t>
        </is>
      </c>
      <c r="F118" s="35" t="inlineStr">
        <is>
          <t>↑</t>
        </is>
      </c>
      <c r="G118" s="23" t="inlineStr">
        <is>
          <t>🔴 رئيسي</t>
        </is>
      </c>
      <c r="H118" s="32" t="n">
        <v>0.08</v>
      </c>
      <c r="I118" s="35" t="n">
        <v>6</v>
      </c>
      <c r="J118" s="35" t="n">
        <v>4.53</v>
      </c>
      <c r="K118" s="32" t="n">
        <v>0.755</v>
      </c>
      <c r="L118" s="14" t="inlineStr">
        <is>
          <t>🔴 تحت الهدف</t>
        </is>
      </c>
      <c r="M118" s="14" t="inlineStr">
        <is>
          <t>الاستدامة</t>
        </is>
      </c>
      <c r="N118" s="26" t="inlineStr">
        <is>
          <t>الاستثمار في الموظفين</t>
        </is>
      </c>
      <c r="O118" s="23" t="inlineStr">
        <is>
          <t>العمليات الداخلية</t>
        </is>
      </c>
      <c r="P118" s="23" t="inlineStr">
        <is>
          <t>مدير الموارد البشرية</t>
        </is>
      </c>
      <c r="Q118" s="26" t="inlineStr">
        <is>
          <t>نظام الموارد البشرية (HRMS)</t>
        </is>
      </c>
      <c r="R118" s="23" t="inlineStr">
        <is>
          <t>شهري</t>
        </is>
      </c>
    </row>
    <row r="119">
      <c r="A119" s="22" t="inlineStr">
        <is>
          <t>الموارد البشرية</t>
        </is>
      </c>
      <c r="B119" s="22" t="inlineStr">
        <is>
          <t>التدريب والتطوير</t>
        </is>
      </c>
      <c r="C119" s="22" t="inlineStr">
        <is>
          <t>متوسط ساعات التدريب لكل موظف</t>
        </is>
      </c>
      <c r="D119" s="23" t="inlineStr">
        <is>
          <t>⚙️ نشاط</t>
        </is>
      </c>
      <c r="E119" s="35" t="inlineStr">
        <is>
          <t>ساعة</t>
        </is>
      </c>
      <c r="F119" s="35" t="inlineStr">
        <is>
          <t>↑</t>
        </is>
      </c>
      <c r="G119" s="23" t="inlineStr">
        <is>
          <t>🟠 مهم</t>
        </is>
      </c>
      <c r="H119" s="32" t="n">
        <v>0.06</v>
      </c>
      <c r="I119" s="35" t="n">
        <v>40</v>
      </c>
      <c r="J119" s="35" t="n">
        <v>33.6</v>
      </c>
      <c r="K119" s="32" t="n">
        <v>0.8400000000000001</v>
      </c>
      <c r="L119" s="14" t="inlineStr">
        <is>
          <t>🔴 تحت الهدف</t>
        </is>
      </c>
      <c r="M119" s="14" t="inlineStr">
        <is>
          <t>الاستدامة</t>
        </is>
      </c>
      <c r="N119" s="26" t="inlineStr">
        <is>
          <t>الاستثمار في الموظفين</t>
        </is>
      </c>
      <c r="O119" s="23" t="inlineStr">
        <is>
          <t>التعلّم والنمو</t>
        </is>
      </c>
      <c r="P119" s="23" t="inlineStr">
        <is>
          <t>مدير الموارد البشرية</t>
        </is>
      </c>
      <c r="Q119" s="26" t="inlineStr">
        <is>
          <t>نظام الموارد البشرية (HRMS)</t>
        </is>
      </c>
      <c r="R119" s="23" t="inlineStr">
        <is>
          <t>شهري</t>
        </is>
      </c>
    </row>
    <row r="120">
      <c r="A120" s="22" t="inlineStr">
        <is>
          <t>الموارد البشرية</t>
        </is>
      </c>
      <c r="B120" s="22" t="inlineStr">
        <is>
          <t>التدريب والتطوير</t>
        </is>
      </c>
      <c r="C120" s="22" t="inlineStr">
        <is>
          <t>نسبة الموظفين المشمولين بخطة تطوير</t>
        </is>
      </c>
      <c r="D120" s="23" t="inlineStr">
        <is>
          <t>🔧 تشغيلي</t>
        </is>
      </c>
      <c r="E120" s="35" t="inlineStr">
        <is>
          <t>%</t>
        </is>
      </c>
      <c r="F120" s="35" t="inlineStr">
        <is>
          <t>↑</t>
        </is>
      </c>
      <c r="G120" s="23" t="inlineStr">
        <is>
          <t>🟠 مهم</t>
        </is>
      </c>
      <c r="H120" s="32" t="n">
        <v>0.05</v>
      </c>
      <c r="I120" s="35" t="n">
        <v>0.8</v>
      </c>
      <c r="J120" s="35" t="n">
        <v>0.644</v>
      </c>
      <c r="K120" s="32" t="n">
        <v>0.8049999999999999</v>
      </c>
      <c r="L120" s="14" t="inlineStr">
        <is>
          <t>🔴 تحت الهدف</t>
        </is>
      </c>
      <c r="M120" s="14" t="inlineStr">
        <is>
          <t>الاستدامة</t>
        </is>
      </c>
      <c r="N120" s="26" t="inlineStr">
        <is>
          <t>الاستثمار في الموظفين</t>
        </is>
      </c>
      <c r="O120" s="23" t="inlineStr">
        <is>
          <t>التعلّم والنمو</t>
        </is>
      </c>
      <c r="P120" s="23" t="inlineStr">
        <is>
          <t>مدير الموارد البشرية</t>
        </is>
      </c>
      <c r="Q120" s="26" t="inlineStr">
        <is>
          <t>نظام الموارد البشرية (HRMS)</t>
        </is>
      </c>
      <c r="R120" s="23" t="inlineStr">
        <is>
          <t>شهري</t>
        </is>
      </c>
    </row>
    <row r="121">
      <c r="A121" s="22" t="inlineStr">
        <is>
          <t>الموارد البشرية</t>
        </is>
      </c>
      <c r="B121" s="22" t="inlineStr">
        <is>
          <t>الرضا والثقافة</t>
        </is>
      </c>
      <c r="C121" s="22" t="inlineStr">
        <is>
          <t>مؤشر رضا الموظفين (eNPS)</t>
        </is>
      </c>
      <c r="D121" s="23" t="inlineStr">
        <is>
          <t>🎯 نتيجة</t>
        </is>
      </c>
      <c r="E121" s="35" t="inlineStr">
        <is>
          <t>نقطة</t>
        </is>
      </c>
      <c r="F121" s="35" t="inlineStr">
        <is>
          <t>↑</t>
        </is>
      </c>
      <c r="G121" s="23" t="inlineStr">
        <is>
          <t>🔴 رئيسي</t>
        </is>
      </c>
      <c r="H121" s="32" t="n">
        <v>0.08</v>
      </c>
      <c r="I121" s="35" t="n">
        <v>30</v>
      </c>
      <c r="J121" s="35" t="n">
        <v>27.5</v>
      </c>
      <c r="K121" s="32" t="n">
        <v>0.9166666666666666</v>
      </c>
      <c r="L121" s="14" t="inlineStr">
        <is>
          <t>🟡 قريب</t>
        </is>
      </c>
      <c r="M121" s="14" t="inlineStr">
        <is>
          <t>الاستدامة</t>
        </is>
      </c>
      <c r="N121" s="26" t="inlineStr">
        <is>
          <t>الاستثمار في الموظفين</t>
        </is>
      </c>
      <c r="O121" s="23" t="inlineStr">
        <is>
          <t>التعلّم والنمو</t>
        </is>
      </c>
      <c r="P121" s="23" t="inlineStr">
        <is>
          <t>مدير الموارد البشرية</t>
        </is>
      </c>
      <c r="Q121" s="26" t="inlineStr">
        <is>
          <t>استبيان دوري</t>
        </is>
      </c>
      <c r="R121" s="23" t="inlineStr">
        <is>
          <t>ربعي</t>
        </is>
      </c>
    </row>
    <row r="122">
      <c r="A122" s="22" t="inlineStr">
        <is>
          <t>الموارد البشرية</t>
        </is>
      </c>
      <c r="B122" s="22" t="inlineStr">
        <is>
          <t>الرضا والثقافة</t>
        </is>
      </c>
      <c r="C122" s="22" t="inlineStr">
        <is>
          <t>تحسين مستوى الرضا الوظيفي</t>
        </is>
      </c>
      <c r="D122" s="23" t="inlineStr">
        <is>
          <t>🎯 نتيجة</t>
        </is>
      </c>
      <c r="E122" s="35" t="inlineStr">
        <is>
          <t>%</t>
        </is>
      </c>
      <c r="F122" s="35" t="inlineStr">
        <is>
          <t>↑</t>
        </is>
      </c>
      <c r="G122" s="23" t="inlineStr">
        <is>
          <t>🔴 رئيسي</t>
        </is>
      </c>
      <c r="H122" s="32" t="n">
        <v>0.08</v>
      </c>
      <c r="I122" s="35" t="n"/>
      <c r="J122" s="35" t="n"/>
      <c r="K122" s="32" t="n"/>
      <c r="L122" s="14" t="inlineStr">
        <is>
          <t>⏳ بانتظار هدف</t>
        </is>
      </c>
      <c r="M122" s="14" t="inlineStr">
        <is>
          <t>الاستدامة</t>
        </is>
      </c>
      <c r="N122" s="26" t="inlineStr">
        <is>
          <t>الاستثمار في الموظفين</t>
        </is>
      </c>
      <c r="O122" s="23" t="inlineStr">
        <is>
          <t>العملاء</t>
        </is>
      </c>
      <c r="P122" s="23" t="inlineStr">
        <is>
          <t>مدير الموارد البشرية</t>
        </is>
      </c>
      <c r="Q122" s="26" t="inlineStr">
        <is>
          <t>استبيان دوري</t>
        </is>
      </c>
      <c r="R122" s="23" t="inlineStr">
        <is>
          <t>ربعي</t>
        </is>
      </c>
    </row>
    <row r="123">
      <c r="A123" s="22" t="inlineStr">
        <is>
          <t>الموارد البشرية</t>
        </is>
      </c>
      <c r="B123" s="22" t="inlineStr">
        <is>
          <t>الرضا والثقافة</t>
        </is>
      </c>
      <c r="C123" s="22" t="inlineStr">
        <is>
          <t>ترسيخ القيم والثقافة المؤسسية</t>
        </is>
      </c>
      <c r="D123" s="23" t="inlineStr">
        <is>
          <t>🔧 تشغيلي</t>
        </is>
      </c>
      <c r="E123" s="35" t="inlineStr">
        <is>
          <t>%</t>
        </is>
      </c>
      <c r="F123" s="35" t="inlineStr">
        <is>
          <t>↑</t>
        </is>
      </c>
      <c r="G123" s="23" t="inlineStr">
        <is>
          <t>🏁 معلم</t>
        </is>
      </c>
      <c r="H123" s="32" t="n">
        <v>0.05</v>
      </c>
      <c r="I123" s="35" t="n">
        <v>1</v>
      </c>
      <c r="J123" s="35" t="n">
        <v>0.742</v>
      </c>
      <c r="K123" s="32" t="n">
        <v>0.742</v>
      </c>
      <c r="L123" s="14" t="inlineStr">
        <is>
          <t>🔴 تحت الهدف</t>
        </is>
      </c>
      <c r="M123" s="14" t="inlineStr">
        <is>
          <t>الاستدامة</t>
        </is>
      </c>
      <c r="N123" s="26" t="inlineStr">
        <is>
          <t>الاستثمار في الموظفين</t>
        </is>
      </c>
      <c r="O123" s="23" t="inlineStr">
        <is>
          <t>العمليات الداخلية</t>
        </is>
      </c>
      <c r="P123" s="23" t="inlineStr">
        <is>
          <t>مدير الموارد البشرية</t>
        </is>
      </c>
      <c r="Q123" s="26" t="inlineStr">
        <is>
          <t>استبيان دوري</t>
        </is>
      </c>
      <c r="R123" s="23" t="inlineStr">
        <is>
          <t>شهري</t>
        </is>
      </c>
    </row>
    <row r="124">
      <c r="A124" s="22" t="inlineStr">
        <is>
          <t>الموارد البشرية</t>
        </is>
      </c>
      <c r="B124" s="22" t="inlineStr">
        <is>
          <t>الأتمتة والتوثيق</t>
        </is>
      </c>
      <c r="C124" s="22" t="inlineStr">
        <is>
          <t>نسبة أتمتة عمليات الموارد البشرية</t>
        </is>
      </c>
      <c r="D124" s="23" t="inlineStr">
        <is>
          <t>🔧 تشغيلي</t>
        </is>
      </c>
      <c r="E124" s="35" t="inlineStr">
        <is>
          <t>%</t>
        </is>
      </c>
      <c r="F124" s="35" t="inlineStr">
        <is>
          <t>↑</t>
        </is>
      </c>
      <c r="G124" s="23" t="inlineStr">
        <is>
          <t>🏁 معلم</t>
        </is>
      </c>
      <c r="H124" s="32" t="n">
        <v>0.05</v>
      </c>
      <c r="I124" s="35" t="n">
        <v>1</v>
      </c>
      <c r="J124" s="35" t="n">
        <v>0.84</v>
      </c>
      <c r="K124" s="32" t="n">
        <v>0.84</v>
      </c>
      <c r="L124" s="14" t="inlineStr">
        <is>
          <t>🔴 تحت الهدف</t>
        </is>
      </c>
      <c r="M124" s="14" t="inlineStr">
        <is>
          <t>الابتكار</t>
        </is>
      </c>
      <c r="N124" s="26" t="inlineStr">
        <is>
          <t>التحول التقني</t>
        </is>
      </c>
      <c r="O124" s="23" t="inlineStr">
        <is>
          <t>التعلّم والنمو</t>
        </is>
      </c>
      <c r="P124" s="23" t="inlineStr">
        <is>
          <t>مدير الموارد البشرية</t>
        </is>
      </c>
      <c r="Q124" s="26" t="inlineStr">
        <is>
          <t>مكتب إدارة المشاريع (PMO)</t>
        </is>
      </c>
      <c r="R124" s="23" t="inlineStr">
        <is>
          <t>شهري</t>
        </is>
      </c>
    </row>
    <row r="125">
      <c r="A125" s="22" t="inlineStr">
        <is>
          <t>الموارد البشرية</t>
        </is>
      </c>
      <c r="B125" s="22" t="inlineStr">
        <is>
          <t>الأتمتة والتوثيق</t>
        </is>
      </c>
      <c r="C125" s="22" t="inlineStr">
        <is>
          <t>نسبة توثيق أنظمة العمل</t>
        </is>
      </c>
      <c r="D125" s="23" t="inlineStr">
        <is>
          <t>🔧 تشغيلي</t>
        </is>
      </c>
      <c r="E125" s="35" t="inlineStr">
        <is>
          <t>%</t>
        </is>
      </c>
      <c r="F125" s="35" t="inlineStr">
        <is>
          <t>↑</t>
        </is>
      </c>
      <c r="G125" s="23" t="inlineStr">
        <is>
          <t>🟡 متابعة</t>
        </is>
      </c>
      <c r="H125" s="32" t="n">
        <v>0.03</v>
      </c>
      <c r="I125" s="35" t="n">
        <v>0.8</v>
      </c>
      <c r="J125" s="35" t="n">
        <v>0.775</v>
      </c>
      <c r="K125" s="32" t="n">
        <v>0.96875</v>
      </c>
      <c r="L125" s="14" t="inlineStr">
        <is>
          <t>🟡 قريب</t>
        </is>
      </c>
      <c r="M125" s="14" t="inlineStr">
        <is>
          <t>الاستدامة</t>
        </is>
      </c>
      <c r="N125" s="26" t="inlineStr">
        <is>
          <t>جودة التشغيل</t>
        </is>
      </c>
      <c r="O125" s="23" t="inlineStr">
        <is>
          <t>العمليات الداخلية</t>
        </is>
      </c>
      <c r="P125" s="23" t="inlineStr">
        <is>
          <t>مدير الموارد البشرية</t>
        </is>
      </c>
      <c r="Q125" s="26" t="inlineStr">
        <is>
          <t>مكتب إدارة المشاريع (PMO)</t>
        </is>
      </c>
      <c r="R125" s="23" t="inlineStr">
        <is>
          <t>شهري</t>
        </is>
      </c>
    </row>
    <row r="126">
      <c r="A126" s="22" t="inlineStr">
        <is>
          <t>الموارد البشرية</t>
        </is>
      </c>
      <c r="B126" s="22" t="inlineStr">
        <is>
          <t>الأتمتة والتوثيق</t>
        </is>
      </c>
      <c r="C126" s="22" t="inlineStr">
        <is>
          <t>ترسيخ الأنظمة الإدارية</t>
        </is>
      </c>
      <c r="D126" s="23" t="inlineStr">
        <is>
          <t>🔧 تشغيلي</t>
        </is>
      </c>
      <c r="E126" s="35" t="inlineStr">
        <is>
          <t>%</t>
        </is>
      </c>
      <c r="F126" s="35" t="inlineStr">
        <is>
          <t>↑</t>
        </is>
      </c>
      <c r="G126" s="23" t="inlineStr">
        <is>
          <t>🟠 مهم</t>
        </is>
      </c>
      <c r="H126" s="32" t="n">
        <v>0.05</v>
      </c>
      <c r="I126" s="35" t="n">
        <v>0.8</v>
      </c>
      <c r="J126" s="35" t="n">
        <v>0.671</v>
      </c>
      <c r="K126" s="32" t="n">
        <v>0.83875</v>
      </c>
      <c r="L126" s="14" t="inlineStr">
        <is>
          <t>🔴 تحت الهدف</t>
        </is>
      </c>
      <c r="M126" s="14" t="inlineStr">
        <is>
          <t>الاستدامة</t>
        </is>
      </c>
      <c r="N126" s="26" t="inlineStr">
        <is>
          <t>جودة التشغيل</t>
        </is>
      </c>
      <c r="O126" s="23" t="inlineStr">
        <is>
          <t>العمليات الداخلية</t>
        </is>
      </c>
      <c r="P126" s="23" t="inlineStr">
        <is>
          <t>مدير الموارد البشرية</t>
        </is>
      </c>
      <c r="Q126" s="26" t="inlineStr">
        <is>
          <t>مكتب إدارة المشاريع (PMO)</t>
        </is>
      </c>
      <c r="R126" s="23" t="inlineStr">
        <is>
          <t>شهري</t>
        </is>
      </c>
    </row>
    <row r="127">
      <c r="A127" s="22" t="inlineStr">
        <is>
          <t>الموارد البشرية</t>
        </is>
      </c>
      <c r="B127" s="22" t="inlineStr">
        <is>
          <t>الهيكلة</t>
        </is>
      </c>
      <c r="C127" s="22" t="inlineStr">
        <is>
          <t>اعتماد الهيكل التنظيمي</t>
        </is>
      </c>
      <c r="D127" s="23" t="inlineStr">
        <is>
          <t>🔧 تشغيلي</t>
        </is>
      </c>
      <c r="E127" s="35" t="inlineStr">
        <is>
          <t>%</t>
        </is>
      </c>
      <c r="F127" s="35" t="inlineStr">
        <is>
          <t>↑</t>
        </is>
      </c>
      <c r="G127" s="23" t="inlineStr">
        <is>
          <t>🏁 معلم</t>
        </is>
      </c>
      <c r="H127" s="32" t="n">
        <v>0.05</v>
      </c>
      <c r="I127" s="35" t="n">
        <v>1</v>
      </c>
      <c r="J127" s="35" t="n">
        <v>0.984</v>
      </c>
      <c r="K127" s="32" t="n">
        <v>0.984</v>
      </c>
      <c r="L127" s="14" t="inlineStr">
        <is>
          <t>🟡 قريب</t>
        </is>
      </c>
      <c r="M127" s="14" t="inlineStr">
        <is>
          <t>الاستدامة</t>
        </is>
      </c>
      <c r="N127" s="26" t="inlineStr">
        <is>
          <t>جودة التشغيل</t>
        </is>
      </c>
      <c r="O127" s="23" t="inlineStr">
        <is>
          <t>العمليات الداخلية</t>
        </is>
      </c>
      <c r="P127" s="23" t="inlineStr">
        <is>
          <t>مدير الموارد البشرية</t>
        </is>
      </c>
      <c r="Q127" s="26" t="inlineStr">
        <is>
          <t>نظام الموارد البشرية (HRMS)</t>
        </is>
      </c>
      <c r="R127" s="23" t="inlineStr">
        <is>
          <t>شهري</t>
        </is>
      </c>
    </row>
    <row r="128">
      <c r="A128" s="22" t="inlineStr">
        <is>
          <t>الموارد البشرية</t>
        </is>
      </c>
      <c r="B128" s="22" t="inlineStr">
        <is>
          <t>الهيكلة</t>
        </is>
      </c>
      <c r="C128" s="22" t="inlineStr">
        <is>
          <t>اكتمال الأوصاف الوظيفية (+KPI)</t>
        </is>
      </c>
      <c r="D128" s="23" t="inlineStr">
        <is>
          <t>⚙️ نشاط</t>
        </is>
      </c>
      <c r="E128" s="35" t="inlineStr">
        <is>
          <t>%</t>
        </is>
      </c>
      <c r="F128" s="35" t="inlineStr">
        <is>
          <t>↑</t>
        </is>
      </c>
      <c r="G128" s="23" t="inlineStr">
        <is>
          <t>🏁 معلم</t>
        </is>
      </c>
      <c r="H128" s="32" t="n">
        <v>0.05</v>
      </c>
      <c r="I128" s="35" t="n">
        <v>1</v>
      </c>
      <c r="J128" s="35" t="n">
        <v>0.926</v>
      </c>
      <c r="K128" s="32" t="n">
        <v>0.926</v>
      </c>
      <c r="L128" s="14" t="inlineStr">
        <is>
          <t>🟡 قريب</t>
        </is>
      </c>
      <c r="M128" s="14" t="inlineStr">
        <is>
          <t>الاستدامة</t>
        </is>
      </c>
      <c r="N128" s="26" t="inlineStr">
        <is>
          <t>جودة التشغيل</t>
        </is>
      </c>
      <c r="O128" s="23" t="inlineStr">
        <is>
          <t>العمليات الداخلية</t>
        </is>
      </c>
      <c r="P128" s="23" t="inlineStr">
        <is>
          <t>مدير الموارد البشرية</t>
        </is>
      </c>
      <c r="Q128" s="26" t="inlineStr">
        <is>
          <t>نظام الموارد البشرية (HRMS)</t>
        </is>
      </c>
      <c r="R128" s="23" t="inlineStr">
        <is>
          <t>شهري</t>
        </is>
      </c>
    </row>
    <row r="129">
      <c r="A129" s="22" t="inlineStr">
        <is>
          <t>الموارد البشرية</t>
        </is>
      </c>
      <c r="B129" s="22" t="inlineStr">
        <is>
          <t>الأداء</t>
        </is>
      </c>
      <c r="C129" s="22" t="inlineStr">
        <is>
          <t>نسبة إنجاز تقييمات الأداء في موعدها</t>
        </is>
      </c>
      <c r="D129" s="23" t="inlineStr">
        <is>
          <t>🎯 نتيجة</t>
        </is>
      </c>
      <c r="E129" s="35" t="inlineStr">
        <is>
          <t>%</t>
        </is>
      </c>
      <c r="F129" s="35" t="inlineStr">
        <is>
          <t>↑</t>
        </is>
      </c>
      <c r="G129" s="23" t="inlineStr">
        <is>
          <t>🟠 مهم</t>
        </is>
      </c>
      <c r="H129" s="32" t="n">
        <v>0.05</v>
      </c>
      <c r="I129" s="35" t="n">
        <v>1</v>
      </c>
      <c r="J129" s="35" t="n">
        <v>0.8080000000000001</v>
      </c>
      <c r="K129" s="32" t="n">
        <v>0.8080000000000001</v>
      </c>
      <c r="L129" s="14" t="inlineStr">
        <is>
          <t>🔴 تحت الهدف</t>
        </is>
      </c>
      <c r="M129" s="14" t="inlineStr">
        <is>
          <t>الاستدامة</t>
        </is>
      </c>
      <c r="N129" s="26" t="inlineStr">
        <is>
          <t>الاستثمار في الموظفين</t>
        </is>
      </c>
      <c r="O129" s="23" t="inlineStr">
        <is>
          <t>العمليات الداخلية</t>
        </is>
      </c>
      <c r="P129" s="23" t="inlineStr">
        <is>
          <t>مدير الموارد البشرية</t>
        </is>
      </c>
      <c r="Q129" s="26" t="inlineStr">
        <is>
          <t>سجلات الإدارة</t>
        </is>
      </c>
      <c r="R129" s="23" t="inlineStr">
        <is>
          <t>شهري</t>
        </is>
      </c>
    </row>
    <row r="130">
      <c r="A130" s="22" t="inlineStr">
        <is>
          <t>التسويق</t>
        </is>
      </c>
      <c r="B130" s="22" t="inlineStr">
        <is>
          <t>الإدارة العامة</t>
        </is>
      </c>
      <c r="C130" s="22" t="inlineStr">
        <is>
          <t>الوصول الكلي (Total Reach)</t>
        </is>
      </c>
      <c r="D130" s="23" t="inlineStr">
        <is>
          <t>🎯 نتيجة</t>
        </is>
      </c>
      <c r="E130" s="35" t="inlineStr">
        <is>
          <t>وصول</t>
        </is>
      </c>
      <c r="F130" s="35" t="inlineStr">
        <is>
          <t>↑</t>
        </is>
      </c>
      <c r="G130" s="23" t="inlineStr">
        <is>
          <t>🔴 رئيسي</t>
        </is>
      </c>
      <c r="H130" s="32" t="n">
        <v>0.08</v>
      </c>
      <c r="I130" s="35" t="n">
        <v>50000000</v>
      </c>
      <c r="J130" s="35" t="n">
        <v>5000000</v>
      </c>
      <c r="K130" s="32" t="n">
        <v>0.1</v>
      </c>
      <c r="L130" s="14" t="inlineStr">
        <is>
          <t>🔴 تحت الهدف</t>
        </is>
      </c>
      <c r="M130" s="14" t="inlineStr">
        <is>
          <t>النمو</t>
        </is>
      </c>
      <c r="N130" s="26" t="inlineStr">
        <is>
          <t>زيادة وصول العملاء</t>
        </is>
      </c>
      <c r="O130" s="23" t="inlineStr">
        <is>
          <t>العملاء</t>
        </is>
      </c>
      <c r="P130" s="23" t="inlineStr">
        <is>
          <t>مدير التسويق</t>
        </is>
      </c>
      <c r="Q130" s="26" t="inlineStr">
        <is>
          <t>أنظمة التسويق الرقمي / تانكي</t>
        </is>
      </c>
      <c r="R130" s="23" t="inlineStr">
        <is>
          <t>شهري</t>
        </is>
      </c>
    </row>
    <row r="131">
      <c r="A131" s="22" t="inlineStr">
        <is>
          <t>التسويق</t>
        </is>
      </c>
      <c r="B131" s="22" t="inlineStr">
        <is>
          <t>الإدارة العامة</t>
        </is>
      </c>
      <c r="C131" s="22" t="inlineStr">
        <is>
          <t>عملاء تجاريون جدد</t>
        </is>
      </c>
      <c r="D131" s="23" t="inlineStr">
        <is>
          <t>🔧 تشغيلي</t>
        </is>
      </c>
      <c r="E131" s="35" t="inlineStr">
        <is>
          <t>عميل</t>
        </is>
      </c>
      <c r="F131" s="35" t="inlineStr">
        <is>
          <t>↑</t>
        </is>
      </c>
      <c r="G131" s="23" t="inlineStr">
        <is>
          <t>🟠 مهم</t>
        </is>
      </c>
      <c r="H131" s="32" t="n">
        <v>0.06</v>
      </c>
      <c r="I131" s="35" t="n">
        <v>200</v>
      </c>
      <c r="J131" s="35" t="n">
        <v>1</v>
      </c>
      <c r="K131" s="32" t="n">
        <v>0.005</v>
      </c>
      <c r="L131" s="14" t="inlineStr">
        <is>
          <t>🔴 تحت الهدف</t>
        </is>
      </c>
      <c r="M131" s="14" t="inlineStr">
        <is>
          <t>النمو</t>
        </is>
      </c>
      <c r="N131" s="26" t="inlineStr">
        <is>
          <t>زيادة وصول العملاء</t>
        </is>
      </c>
      <c r="O131" s="23" t="inlineStr">
        <is>
          <t>العملاء</t>
        </is>
      </c>
      <c r="P131" s="23" t="inlineStr">
        <is>
          <t>مدير التسويق</t>
        </is>
      </c>
      <c r="Q131" s="26" t="inlineStr">
        <is>
          <t>سجلات الإدارة</t>
        </is>
      </c>
      <c r="R131" s="23" t="inlineStr">
        <is>
          <t>شهري</t>
        </is>
      </c>
    </row>
    <row r="132">
      <c r="A132" s="22" t="inlineStr">
        <is>
          <t>التسويق</t>
        </is>
      </c>
      <c r="B132" s="22" t="inlineStr">
        <is>
          <t>الفريق الإبداعي</t>
        </is>
      </c>
      <c r="C132" s="22" t="inlineStr">
        <is>
          <t>إجمالي المتابعين (كل المنصات)</t>
        </is>
      </c>
      <c r="D132" s="23" t="inlineStr">
        <is>
          <t>🔧 تشغيلي</t>
        </is>
      </c>
      <c r="E132" s="35" t="inlineStr">
        <is>
          <t>متابع</t>
        </is>
      </c>
      <c r="F132" s="35" t="inlineStr">
        <is>
          <t>↑</t>
        </is>
      </c>
      <c r="G132" s="23" t="inlineStr">
        <is>
          <t>🔴 رئيسي</t>
        </is>
      </c>
      <c r="H132" s="32" t="n">
        <v>0.08</v>
      </c>
      <c r="I132" s="35" t="n">
        <v>380000</v>
      </c>
      <c r="J132" s="35" t="n">
        <v>253000</v>
      </c>
      <c r="K132" s="32" t="n">
        <v>0.6657894736842105</v>
      </c>
      <c r="L132" s="14" t="inlineStr">
        <is>
          <t>🔴 تحت الهدف</t>
        </is>
      </c>
      <c r="M132" s="14" t="inlineStr">
        <is>
          <t>النمو</t>
        </is>
      </c>
      <c r="N132" s="26" t="inlineStr">
        <is>
          <t>زيادة وصول العملاء</t>
        </is>
      </c>
      <c r="O132" s="23" t="inlineStr">
        <is>
          <t>العمليات الداخلية</t>
        </is>
      </c>
      <c r="P132" s="23" t="inlineStr">
        <is>
          <t>مدير التسويق</t>
        </is>
      </c>
      <c r="Q132" s="26" t="inlineStr">
        <is>
          <t>أنظمة التسويق الرقمي / تانكي</t>
        </is>
      </c>
      <c r="R132" s="23" t="inlineStr">
        <is>
          <t>شهري</t>
        </is>
      </c>
    </row>
    <row r="133">
      <c r="A133" s="22" t="inlineStr">
        <is>
          <t>التسويق</t>
        </is>
      </c>
      <c r="B133" s="22" t="inlineStr">
        <is>
          <t>الفريق الإبداعي</t>
        </is>
      </c>
      <c r="C133" s="22" t="inlineStr">
        <is>
          <t>معدل التفاعل (Engagement)</t>
        </is>
      </c>
      <c r="D133" s="23" t="inlineStr">
        <is>
          <t>🔧 تشغيلي</t>
        </is>
      </c>
      <c r="E133" s="35" t="inlineStr">
        <is>
          <t>%</t>
        </is>
      </c>
      <c r="F133" s="35" t="inlineStr">
        <is>
          <t>↑</t>
        </is>
      </c>
      <c r="G133" s="23" t="inlineStr">
        <is>
          <t>🔴 رئيسي</t>
        </is>
      </c>
      <c r="H133" s="32" t="n">
        <v>0.08</v>
      </c>
      <c r="I133" s="35" t="n">
        <v>0.5</v>
      </c>
      <c r="J133" s="35" t="n">
        <v>0</v>
      </c>
      <c r="K133" s="32" t="n">
        <v>0</v>
      </c>
      <c r="L133" s="14" t="inlineStr">
        <is>
          <t>🔴 تحت الهدف</t>
        </is>
      </c>
      <c r="M133" s="14" t="inlineStr">
        <is>
          <t>النمو</t>
        </is>
      </c>
      <c r="N133" s="26" t="inlineStr">
        <is>
          <t>زيادة وصول العملاء</t>
        </is>
      </c>
      <c r="O133" s="23" t="inlineStr">
        <is>
          <t>العمليات الداخلية</t>
        </is>
      </c>
      <c r="P133" s="23" t="inlineStr">
        <is>
          <t>مدير التسويق</t>
        </is>
      </c>
      <c r="Q133" s="26" t="inlineStr">
        <is>
          <t>أنظمة التسويق الرقمي / تانكي</t>
        </is>
      </c>
      <c r="R133" s="23" t="inlineStr">
        <is>
          <t>شهري</t>
        </is>
      </c>
    </row>
    <row r="134">
      <c r="A134" s="22" t="inlineStr">
        <is>
          <t>التسويق</t>
        </is>
      </c>
      <c r="B134" s="22" t="inlineStr">
        <is>
          <t>الحملات التسويقية</t>
        </is>
      </c>
      <c r="C134" s="22" t="inlineStr">
        <is>
          <t>حملات تسويقية منجزة</t>
        </is>
      </c>
      <c r="D134" s="23" t="inlineStr">
        <is>
          <t>⚙️ نشاط</t>
        </is>
      </c>
      <c r="E134" s="35" t="inlineStr">
        <is>
          <t>حملة</t>
        </is>
      </c>
      <c r="F134" s="35" t="inlineStr">
        <is>
          <t>↑</t>
        </is>
      </c>
      <c r="G134" s="23" t="inlineStr">
        <is>
          <t>🟠 مهم</t>
        </is>
      </c>
      <c r="H134" s="32" t="n">
        <v>0.06</v>
      </c>
      <c r="I134" s="35" t="n">
        <v>48</v>
      </c>
      <c r="J134" s="35" t="n">
        <v>11</v>
      </c>
      <c r="K134" s="32" t="n">
        <v>0.2291666666666667</v>
      </c>
      <c r="L134" s="14" t="inlineStr">
        <is>
          <t>🔴 تحت الهدف</t>
        </is>
      </c>
      <c r="M134" s="14" t="inlineStr">
        <is>
          <t>النمو</t>
        </is>
      </c>
      <c r="N134" s="26" t="inlineStr">
        <is>
          <t>زيادة وصول العملاء</t>
        </is>
      </c>
      <c r="O134" s="23" t="inlineStr">
        <is>
          <t>العمليات الداخلية</t>
        </is>
      </c>
      <c r="P134" s="23" t="inlineStr">
        <is>
          <t>مدير التسويق</t>
        </is>
      </c>
      <c r="Q134" s="26" t="inlineStr">
        <is>
          <t>أنظمة التسويق الرقمي / تانكي</t>
        </is>
      </c>
      <c r="R134" s="23" t="inlineStr">
        <is>
          <t>شهري</t>
        </is>
      </c>
    </row>
    <row r="135">
      <c r="A135" s="22" t="inlineStr">
        <is>
          <t>التسويق</t>
        </is>
      </c>
      <c r="B135" s="22" t="inlineStr">
        <is>
          <t>الحملات التسويقية</t>
        </is>
      </c>
      <c r="C135" s="22" t="inlineStr">
        <is>
          <t>تحويل الفرص إلى عقود</t>
        </is>
      </c>
      <c r="D135" s="23" t="inlineStr">
        <is>
          <t>🔧 تشغيلي</t>
        </is>
      </c>
      <c r="E135" s="35" t="inlineStr">
        <is>
          <t>%</t>
        </is>
      </c>
      <c r="F135" s="35" t="inlineStr">
        <is>
          <t>↑</t>
        </is>
      </c>
      <c r="G135" s="23" t="inlineStr">
        <is>
          <t>🔴 رئيسي</t>
        </is>
      </c>
      <c r="H135" s="32" t="n">
        <v>0.08</v>
      </c>
      <c r="I135" s="35" t="n">
        <v>0.25</v>
      </c>
      <c r="J135" s="35" t="n">
        <v>0.17</v>
      </c>
      <c r="K135" s="32" t="n">
        <v>0.68</v>
      </c>
      <c r="L135" s="14" t="inlineStr">
        <is>
          <t>🔴 تحت الهدف</t>
        </is>
      </c>
      <c r="M135" s="14" t="inlineStr">
        <is>
          <t>النمو</t>
        </is>
      </c>
      <c r="N135" s="26" t="inlineStr">
        <is>
          <t>زيادة وصول العملاء</t>
        </is>
      </c>
      <c r="O135" s="23" t="inlineStr">
        <is>
          <t>العمليات الداخلية</t>
        </is>
      </c>
      <c r="P135" s="23" t="inlineStr">
        <is>
          <t>مدير التسويق</t>
        </is>
      </c>
      <c r="Q135" s="26" t="inlineStr">
        <is>
          <t>أنظمة التسويق الرقمي / تانكي</t>
        </is>
      </c>
      <c r="R135" s="23" t="inlineStr">
        <is>
          <t>شهري</t>
        </is>
      </c>
    </row>
    <row r="136">
      <c r="A136" s="22" t="inlineStr">
        <is>
          <t>التسويق</t>
        </is>
      </c>
      <c r="B136" s="22" t="inlineStr">
        <is>
          <t>الحملات التسويقية</t>
        </is>
      </c>
      <c r="C136" s="22" t="inlineStr">
        <is>
          <t>نسبة المبيعات لكل حملة</t>
        </is>
      </c>
      <c r="D136" s="23" t="inlineStr">
        <is>
          <t>🎯 نتيجة</t>
        </is>
      </c>
      <c r="E136" s="35" t="inlineStr">
        <is>
          <t>%</t>
        </is>
      </c>
      <c r="F136" s="35" t="inlineStr">
        <is>
          <t>↑</t>
        </is>
      </c>
      <c r="G136" s="23" t="inlineStr">
        <is>
          <t>🔴 رئيسي</t>
        </is>
      </c>
      <c r="H136" s="32" t="n">
        <v>0.08</v>
      </c>
      <c r="I136" s="35" t="n">
        <v>1</v>
      </c>
      <c r="J136" s="35" t="n">
        <v>0.16</v>
      </c>
      <c r="K136" s="32" t="n">
        <v>0.16</v>
      </c>
      <c r="L136" s="14" t="inlineStr">
        <is>
          <t>🔴 تحت الهدف</t>
        </is>
      </c>
      <c r="M136" s="14" t="inlineStr">
        <is>
          <t>النمو</t>
        </is>
      </c>
      <c r="N136" s="26" t="inlineStr">
        <is>
          <t>زيادة وصول العملاء</t>
        </is>
      </c>
      <c r="O136" s="23" t="inlineStr">
        <is>
          <t>مالي</t>
        </is>
      </c>
      <c r="P136" s="23" t="inlineStr">
        <is>
          <t>مدير التسويق</t>
        </is>
      </c>
      <c r="Q136" s="26" t="inlineStr">
        <is>
          <t>أنظمة التسويق الرقمي / تانكي</t>
        </is>
      </c>
      <c r="R136" s="23" t="inlineStr">
        <is>
          <t>شهري</t>
        </is>
      </c>
    </row>
    <row r="137">
      <c r="A137" s="22" t="inlineStr">
        <is>
          <t>التسويق</t>
        </is>
      </c>
      <c r="B137" s="22" t="inlineStr">
        <is>
          <t>الدعاية والإعلان</t>
        </is>
      </c>
      <c r="C137" s="22" t="inlineStr">
        <is>
          <t>نسبة التزام الهوية البصرية</t>
        </is>
      </c>
      <c r="D137" s="23" t="inlineStr">
        <is>
          <t>🔧 تشغيلي</t>
        </is>
      </c>
      <c r="E137" s="35" t="inlineStr">
        <is>
          <t>%</t>
        </is>
      </c>
      <c r="F137" s="35" t="inlineStr">
        <is>
          <t>↑</t>
        </is>
      </c>
      <c r="G137" s="23" t="inlineStr">
        <is>
          <t>🔴 رئيسي</t>
        </is>
      </c>
      <c r="H137" s="32" t="n">
        <v>0.08</v>
      </c>
      <c r="I137" s="35" t="n">
        <v>1</v>
      </c>
      <c r="J137" s="35" t="n">
        <v>0.1</v>
      </c>
      <c r="K137" s="32" t="n">
        <v>0.1</v>
      </c>
      <c r="L137" s="14" t="inlineStr">
        <is>
          <t>🔴 تحت الهدف</t>
        </is>
      </c>
      <c r="M137" s="14" t="inlineStr">
        <is>
          <t>الابتكار</t>
        </is>
      </c>
      <c r="N137" s="26" t="inlineStr">
        <is>
          <t>تطوير التصاميم والهوية</t>
        </is>
      </c>
      <c r="O137" s="23" t="inlineStr">
        <is>
          <t>التعلّم والنمو</t>
        </is>
      </c>
      <c r="P137" s="23" t="inlineStr">
        <is>
          <t>مدير التسويق</t>
        </is>
      </c>
      <c r="Q137" s="26" t="inlineStr">
        <is>
          <t>سجلات الإدارة</t>
        </is>
      </c>
      <c r="R137" s="23" t="inlineStr">
        <is>
          <t>شهري</t>
        </is>
      </c>
    </row>
    <row r="138">
      <c r="A138" s="22" t="inlineStr">
        <is>
          <t>التسويق</t>
        </is>
      </c>
      <c r="B138" s="22" t="inlineStr">
        <is>
          <t>العلاقات والشراكات</t>
        </is>
      </c>
      <c r="C138" s="22" t="inlineStr">
        <is>
          <t>وصول العلاقات العامة (PR)</t>
        </is>
      </c>
      <c r="D138" s="23" t="inlineStr">
        <is>
          <t>🔧 تشغيلي</t>
        </is>
      </c>
      <c r="E138" s="35" t="inlineStr">
        <is>
          <t>وصول</t>
        </is>
      </c>
      <c r="F138" s="35" t="inlineStr">
        <is>
          <t>↑</t>
        </is>
      </c>
      <c r="G138" s="23" t="inlineStr">
        <is>
          <t>🟠 مهم</t>
        </is>
      </c>
      <c r="H138" s="32" t="n">
        <v>0.06</v>
      </c>
      <c r="I138" s="35" t="n">
        <v>7000000</v>
      </c>
      <c r="J138" s="35" t="n">
        <v>1500000</v>
      </c>
      <c r="K138" s="32" t="n">
        <v>0.2142857142857143</v>
      </c>
      <c r="L138" s="14" t="inlineStr">
        <is>
          <t>🔴 تحت الهدف</t>
        </is>
      </c>
      <c r="M138" s="14" t="inlineStr">
        <is>
          <t>النمو</t>
        </is>
      </c>
      <c r="N138" s="26" t="inlineStr">
        <is>
          <t>زيادة وصول العملاء</t>
        </is>
      </c>
      <c r="O138" s="23" t="inlineStr">
        <is>
          <t>العملاء</t>
        </is>
      </c>
      <c r="P138" s="23" t="inlineStr">
        <is>
          <t>مدير التسويق</t>
        </is>
      </c>
      <c r="Q138" s="26" t="inlineStr">
        <is>
          <t>أنظمة التسويق الرقمي / تانكي</t>
        </is>
      </c>
      <c r="R138" s="23" t="inlineStr">
        <is>
          <t>شهري</t>
        </is>
      </c>
    </row>
    <row r="139">
      <c r="A139" s="22" t="inlineStr">
        <is>
          <t>التسويق</t>
        </is>
      </c>
      <c r="B139" s="22" t="inlineStr">
        <is>
          <t>العلاقات والشراكات</t>
        </is>
      </c>
      <c r="C139" s="22" t="inlineStr">
        <is>
          <t>عدد المعارض بالسنة</t>
        </is>
      </c>
      <c r="D139" s="23" t="inlineStr">
        <is>
          <t>⚙️ نشاط</t>
        </is>
      </c>
      <c r="E139" s="35" t="inlineStr">
        <is>
          <t>معرض</t>
        </is>
      </c>
      <c r="F139" s="35" t="inlineStr">
        <is>
          <t>↑</t>
        </is>
      </c>
      <c r="G139" s="23" t="inlineStr">
        <is>
          <t>🟠 مهم</t>
        </is>
      </c>
      <c r="H139" s="32" t="n">
        <v>0.06</v>
      </c>
      <c r="I139" s="35" t="n">
        <v>3</v>
      </c>
      <c r="J139" s="35" t="n">
        <v>0</v>
      </c>
      <c r="K139" s="32" t="n">
        <v>0</v>
      </c>
      <c r="L139" s="14" t="inlineStr">
        <is>
          <t>🔴 تحت الهدف</t>
        </is>
      </c>
      <c r="M139" s="14" t="inlineStr">
        <is>
          <t>الابتكار</t>
        </is>
      </c>
      <c r="N139" s="26" t="inlineStr">
        <is>
          <t>إطلاق مشاريع جديدة</t>
        </is>
      </c>
      <c r="O139" s="23" t="inlineStr">
        <is>
          <t>العمليات الداخلية</t>
        </is>
      </c>
      <c r="P139" s="23" t="inlineStr">
        <is>
          <t>مدير التسويق</t>
        </is>
      </c>
      <c r="Q139" s="26" t="inlineStr">
        <is>
          <t>سجلات الإدارة</t>
        </is>
      </c>
      <c r="R139" s="23" t="inlineStr">
        <is>
          <t>شهري</t>
        </is>
      </c>
    </row>
    <row r="140">
      <c r="A140" s="22" t="inlineStr">
        <is>
          <t>التسويق</t>
        </is>
      </c>
      <c r="B140" s="22" t="inlineStr">
        <is>
          <t>العلاقات والشراكات</t>
        </is>
      </c>
      <c r="C140" s="22" t="inlineStr">
        <is>
          <t>اتفاقيات استراتيجية</t>
        </is>
      </c>
      <c r="D140" s="23" t="inlineStr">
        <is>
          <t>🔧 تشغيلي</t>
        </is>
      </c>
      <c r="E140" s="35" t="inlineStr">
        <is>
          <t>اتفاقية</t>
        </is>
      </c>
      <c r="F140" s="35" t="inlineStr">
        <is>
          <t>↑</t>
        </is>
      </c>
      <c r="G140" s="23" t="inlineStr">
        <is>
          <t>🟠 مهم</t>
        </is>
      </c>
      <c r="H140" s="32" t="n">
        <v>0.06</v>
      </c>
      <c r="I140" s="35" t="n">
        <v>3</v>
      </c>
      <c r="J140" s="35" t="n">
        <v>0</v>
      </c>
      <c r="K140" s="32" t="n">
        <v>0</v>
      </c>
      <c r="L140" s="14" t="inlineStr">
        <is>
          <t>🔴 تحت الهدف</t>
        </is>
      </c>
      <c r="M140" s="14" t="inlineStr">
        <is>
          <t>الابتكار</t>
        </is>
      </c>
      <c r="N140" s="26" t="inlineStr">
        <is>
          <t>إطلاق مشاريع جديدة</t>
        </is>
      </c>
      <c r="O140" s="23" t="inlineStr">
        <is>
          <t>العمليات الداخلية</t>
        </is>
      </c>
      <c r="P140" s="23" t="inlineStr">
        <is>
          <t>مدير التسويق</t>
        </is>
      </c>
      <c r="Q140" s="26" t="inlineStr">
        <is>
          <t>سجلات الإدارة</t>
        </is>
      </c>
      <c r="R140" s="23" t="inlineStr">
        <is>
          <t>شهري</t>
        </is>
      </c>
    </row>
    <row r="141">
      <c r="A141" s="22" t="inlineStr">
        <is>
          <t>التسويق</t>
        </is>
      </c>
      <c r="B141" s="22" t="inlineStr">
        <is>
          <t>خدمة العملاء والدعم</t>
        </is>
      </c>
      <c r="C141" s="22" t="inlineStr">
        <is>
          <t>تقييم خرائط قوقل</t>
        </is>
      </c>
      <c r="D141" s="23" t="inlineStr">
        <is>
          <t>🎯 نتيجة</t>
        </is>
      </c>
      <c r="E141" s="35" t="inlineStr">
        <is>
          <t>نجمة/5</t>
        </is>
      </c>
      <c r="F141" s="35" t="inlineStr">
        <is>
          <t>↑</t>
        </is>
      </c>
      <c r="G141" s="23" t="inlineStr">
        <is>
          <t>🟠 مهم</t>
        </is>
      </c>
      <c r="H141" s="32" t="n">
        <v>0.06</v>
      </c>
      <c r="I141" s="35" t="n">
        <v>4.7</v>
      </c>
      <c r="J141" s="35" t="n">
        <v>4</v>
      </c>
      <c r="K141" s="32" t="n">
        <v>0.851063829787234</v>
      </c>
      <c r="L141" s="14" t="inlineStr">
        <is>
          <t>🟡 قريب</t>
        </is>
      </c>
      <c r="M141" s="14" t="inlineStr">
        <is>
          <t>الاستدامة</t>
        </is>
      </c>
      <c r="N141" s="26" t="inlineStr">
        <is>
          <t>تعزيز تجربة العملاء</t>
        </is>
      </c>
      <c r="O141" s="23" t="inlineStr">
        <is>
          <t>العملاء</t>
        </is>
      </c>
      <c r="P141" s="23" t="inlineStr">
        <is>
          <t>مدير التسويق</t>
        </is>
      </c>
      <c r="Q141" s="26" t="inlineStr">
        <is>
          <t>تقييمات خرائط قوقل</t>
        </is>
      </c>
      <c r="R141" s="23" t="inlineStr">
        <is>
          <t>شهري</t>
        </is>
      </c>
    </row>
    <row r="142">
      <c r="A142" s="22" t="inlineStr">
        <is>
          <t>التسويق</t>
        </is>
      </c>
      <c r="B142" s="22" t="inlineStr">
        <is>
          <t>خدمة العملاء والدعم</t>
        </is>
      </c>
      <c r="C142" s="22" t="inlineStr">
        <is>
          <t>معدل خفض الشكاوى</t>
        </is>
      </c>
      <c r="D142" s="23" t="inlineStr">
        <is>
          <t>🎯 نتيجة</t>
        </is>
      </c>
      <c r="E142" s="35" t="inlineStr">
        <is>
          <t>%</t>
        </is>
      </c>
      <c r="F142" s="35" t="inlineStr">
        <is>
          <t>↑</t>
        </is>
      </c>
      <c r="G142" s="23" t="inlineStr">
        <is>
          <t>🟠 مهم</t>
        </is>
      </c>
      <c r="H142" s="32" t="n">
        <v>0.06</v>
      </c>
      <c r="I142" s="35" t="n">
        <v>0.3</v>
      </c>
      <c r="J142" s="35" t="n">
        <v>0.21</v>
      </c>
      <c r="K142" s="32" t="n">
        <v>0.7</v>
      </c>
      <c r="L142" s="14" t="inlineStr">
        <is>
          <t>🔴 تحت الهدف</t>
        </is>
      </c>
      <c r="M142" s="14" t="inlineStr">
        <is>
          <t>الاستدامة</t>
        </is>
      </c>
      <c r="N142" s="26" t="inlineStr">
        <is>
          <t>تعزيز تجربة العملاء</t>
        </is>
      </c>
      <c r="O142" s="23" t="inlineStr">
        <is>
          <t>العملاء</t>
        </is>
      </c>
      <c r="P142" s="23" t="inlineStr">
        <is>
          <t>مدير التسويق</t>
        </is>
      </c>
      <c r="Q142" s="26" t="inlineStr">
        <is>
          <t>سجلات الإدارة</t>
        </is>
      </c>
      <c r="R142" s="23" t="inlineStr">
        <is>
          <t>شهري</t>
        </is>
      </c>
    </row>
    <row r="143">
      <c r="A143" s="22" t="inlineStr">
        <is>
          <t>التسويق</t>
        </is>
      </c>
      <c r="B143" s="22" t="inlineStr">
        <is>
          <t>تطبيق تانكي</t>
        </is>
      </c>
      <c r="C143" s="22" t="inlineStr">
        <is>
          <t>وصول محتوى تطبيق تانكي</t>
        </is>
      </c>
      <c r="D143" s="23" t="inlineStr">
        <is>
          <t>🔧 تشغيلي</t>
        </is>
      </c>
      <c r="E143" s="35" t="inlineStr">
        <is>
          <t>وصول</t>
        </is>
      </c>
      <c r="F143" s="35" t="inlineStr">
        <is>
          <t>↑</t>
        </is>
      </c>
      <c r="G143" s="23" t="inlineStr">
        <is>
          <t>🟠 مهم</t>
        </is>
      </c>
      <c r="H143" s="32" t="n">
        <v>0.05</v>
      </c>
      <c r="I143" s="35" t="n">
        <v>1000000</v>
      </c>
      <c r="J143" s="35" t="n">
        <v>946380</v>
      </c>
      <c r="K143" s="32" t="n">
        <v>0.94638</v>
      </c>
      <c r="L143" s="14" t="inlineStr">
        <is>
          <t>🟡 قريب</t>
        </is>
      </c>
      <c r="M143" s="14" t="inlineStr">
        <is>
          <t>الابتكار</t>
        </is>
      </c>
      <c r="N143" s="26" t="inlineStr">
        <is>
          <t>تطبيق «تانكي»</t>
        </is>
      </c>
      <c r="O143" s="23" t="inlineStr">
        <is>
          <t>العملاء</t>
        </is>
      </c>
      <c r="P143" s="23" t="inlineStr">
        <is>
          <t>مدير التسويق</t>
        </is>
      </c>
      <c r="Q143" s="26" t="inlineStr">
        <is>
          <t>أنظمة التسويق الرقمي / تانكي</t>
        </is>
      </c>
      <c r="R143" s="23" t="inlineStr">
        <is>
          <t>شهري</t>
        </is>
      </c>
    </row>
    <row r="144">
      <c r="A144" s="22" t="inlineStr">
        <is>
          <t>التسويق</t>
        </is>
      </c>
      <c r="B144" s="22" t="inlineStr">
        <is>
          <t>تطبيق تانكي</t>
        </is>
      </c>
      <c r="C144" s="22" t="inlineStr">
        <is>
          <t>مشاركات تطبيق تانكي</t>
        </is>
      </c>
      <c r="D144" s="23" t="inlineStr">
        <is>
          <t>🔧 تشغيلي</t>
        </is>
      </c>
      <c r="E144" s="35" t="inlineStr">
        <is>
          <t>مشاركة</t>
        </is>
      </c>
      <c r="F144" s="35" t="inlineStr">
        <is>
          <t>↑</t>
        </is>
      </c>
      <c r="G144" s="23" t="inlineStr">
        <is>
          <t>🟠 مهم</t>
        </is>
      </c>
      <c r="H144" s="32" t="n">
        <v>0.05</v>
      </c>
      <c r="I144" s="35" t="n">
        <v>250</v>
      </c>
      <c r="J144" s="35" t="n">
        <v>180.7</v>
      </c>
      <c r="K144" s="32" t="n">
        <v>0.7228</v>
      </c>
      <c r="L144" s="14" t="inlineStr">
        <is>
          <t>🔴 تحت الهدف</t>
        </is>
      </c>
      <c r="M144" s="14" t="inlineStr">
        <is>
          <t>الابتكار</t>
        </is>
      </c>
      <c r="N144" s="26" t="inlineStr">
        <is>
          <t>تطبيق «تانكي»</t>
        </is>
      </c>
      <c r="O144" s="23" t="inlineStr">
        <is>
          <t>العمليات الداخلية</t>
        </is>
      </c>
      <c r="P144" s="23" t="inlineStr">
        <is>
          <t>مدير التسويق</t>
        </is>
      </c>
      <c r="Q144" s="26" t="inlineStr">
        <is>
          <t>أنظمة التسويق الرقمي / تانكي</t>
        </is>
      </c>
      <c r="R144" s="23" t="inlineStr">
        <is>
          <t>شهري</t>
        </is>
      </c>
    </row>
    <row r="145">
      <c r="A145" s="22" t="inlineStr">
        <is>
          <t>الجودة</t>
        </is>
      </c>
      <c r="B145" s="22" t="inlineStr">
        <is>
          <t>مخاطر الجودة</t>
        </is>
      </c>
      <c r="C145" s="22" t="inlineStr">
        <is>
          <t>نسبة المحطات الحرجة</t>
        </is>
      </c>
      <c r="D145" s="23" t="inlineStr">
        <is>
          <t>🔧 تشغيلي</t>
        </is>
      </c>
      <c r="E145" s="35" t="inlineStr">
        <is>
          <t>%</t>
        </is>
      </c>
      <c r="F145" s="35" t="inlineStr">
        <is>
          <t>↓</t>
        </is>
      </c>
      <c r="G145" s="23" t="inlineStr">
        <is>
          <t>🔴 رئيسي</t>
        </is>
      </c>
      <c r="H145" s="32" t="n">
        <v>0.1</v>
      </c>
      <c r="I145" s="35" t="n">
        <v>0.05</v>
      </c>
      <c r="J145" s="35" t="n">
        <v>0.054</v>
      </c>
      <c r="K145" s="32" t="n">
        <v>0.925925925925926</v>
      </c>
      <c r="L145" s="14" t="inlineStr">
        <is>
          <t>🟡 قريب</t>
        </is>
      </c>
      <c r="M145" s="14" t="inlineStr">
        <is>
          <t>الاستدامة</t>
        </is>
      </c>
      <c r="N145" s="26" t="inlineStr">
        <is>
          <t>جودة التشغيل</t>
        </is>
      </c>
      <c r="O145" s="23" t="inlineStr">
        <is>
          <t>العمليات الداخلية</t>
        </is>
      </c>
      <c r="P145" s="23" t="inlineStr">
        <is>
          <t>مدير الجودة</t>
        </is>
      </c>
      <c r="Q145" s="26" t="inlineStr">
        <is>
          <t>نظام إدارة الجودة (QMS)</t>
        </is>
      </c>
      <c r="R145" s="23" t="inlineStr">
        <is>
          <t>شهري</t>
        </is>
      </c>
    </row>
    <row r="146">
      <c r="A146" s="22" t="inlineStr">
        <is>
          <t>الجودة</t>
        </is>
      </c>
      <c r="B146" s="22" t="inlineStr">
        <is>
          <t>جودة الوقود</t>
        </is>
      </c>
      <c r="C146" s="22" t="inlineStr">
        <is>
          <t>نسبة مطابقة جودة الوقود</t>
        </is>
      </c>
      <c r="D146" s="23" t="inlineStr">
        <is>
          <t>🔧 تشغيلي</t>
        </is>
      </c>
      <c r="E146" s="35" t="inlineStr">
        <is>
          <t>%</t>
        </is>
      </c>
      <c r="F146" s="35" t="inlineStr">
        <is>
          <t>↑</t>
        </is>
      </c>
      <c r="G146" s="23" t="inlineStr">
        <is>
          <t>🟠 مهم</t>
        </is>
      </c>
      <c r="H146" s="32" t="n">
        <v>0.07000000000000001</v>
      </c>
      <c r="I146" s="35" t="n">
        <v>0.995</v>
      </c>
      <c r="J146" s="35" t="n">
        <v>0.804</v>
      </c>
      <c r="K146" s="32" t="n">
        <v>0.8080402010050252</v>
      </c>
      <c r="L146" s="14" t="inlineStr">
        <is>
          <t>🔴 تحت الهدف</t>
        </is>
      </c>
      <c r="M146" s="14" t="inlineStr">
        <is>
          <t>الاستدامة</t>
        </is>
      </c>
      <c r="N146" s="26" t="inlineStr">
        <is>
          <t>جودة التشغيل</t>
        </is>
      </c>
      <c r="O146" s="23" t="inlineStr">
        <is>
          <t>العمليات الداخلية</t>
        </is>
      </c>
      <c r="P146" s="23" t="inlineStr">
        <is>
          <t>مدير الجودة</t>
        </is>
      </c>
      <c r="Q146" s="26" t="inlineStr">
        <is>
          <t>نظام إدارة الجودة (QMS)</t>
        </is>
      </c>
      <c r="R146" s="23" t="inlineStr">
        <is>
          <t>شهري</t>
        </is>
      </c>
    </row>
    <row r="147">
      <c r="A147" s="22" t="inlineStr">
        <is>
          <t>الجودة</t>
        </is>
      </c>
      <c r="B147" s="22" t="inlineStr">
        <is>
          <t>معالجة وتصحيح</t>
        </is>
      </c>
      <c r="C147" s="22" t="inlineStr">
        <is>
          <t>نسبة إغلاق الملاحظات في الوقت المحدد</t>
        </is>
      </c>
      <c r="D147" s="23" t="inlineStr">
        <is>
          <t>🔧 تشغيلي</t>
        </is>
      </c>
      <c r="E147" s="35" t="inlineStr">
        <is>
          <t>%</t>
        </is>
      </c>
      <c r="F147" s="35" t="inlineStr">
        <is>
          <t>↑</t>
        </is>
      </c>
      <c r="G147" s="23" t="inlineStr">
        <is>
          <t>🟠 مهم</t>
        </is>
      </c>
      <c r="H147" s="32" t="n">
        <v>0.07000000000000001</v>
      </c>
      <c r="I147" s="35" t="n">
        <v>0.9</v>
      </c>
      <c r="J147" s="35" t="n">
        <v>0.6870000000000001</v>
      </c>
      <c r="K147" s="32" t="n">
        <v>0.7633333333333334</v>
      </c>
      <c r="L147" s="14" t="inlineStr">
        <is>
          <t>🔴 تحت الهدف</t>
        </is>
      </c>
      <c r="M147" s="14" t="inlineStr">
        <is>
          <t>الاستدامة</t>
        </is>
      </c>
      <c r="N147" s="26" t="inlineStr">
        <is>
          <t>جودة التشغيل</t>
        </is>
      </c>
      <c r="O147" s="23" t="inlineStr">
        <is>
          <t>العمليات الداخلية</t>
        </is>
      </c>
      <c r="P147" s="23" t="inlineStr">
        <is>
          <t>مدير الجودة</t>
        </is>
      </c>
      <c r="Q147" s="26" t="inlineStr">
        <is>
          <t>نظام إدارة الجودة (QMS)</t>
        </is>
      </c>
      <c r="R147" s="23" t="inlineStr">
        <is>
          <t>شهري</t>
        </is>
      </c>
    </row>
    <row r="148">
      <c r="A148" s="22" t="inlineStr">
        <is>
          <t>الجودة</t>
        </is>
      </c>
      <c r="B148" s="22" t="inlineStr">
        <is>
          <t>تحسين ووقاية</t>
        </is>
      </c>
      <c r="C148" s="22" t="inlineStr">
        <is>
          <t>نسبة فعالية الإجراءات التصحيحية</t>
        </is>
      </c>
      <c r="D148" s="23" t="inlineStr">
        <is>
          <t>🔧 تشغيلي</t>
        </is>
      </c>
      <c r="E148" s="35" t="inlineStr">
        <is>
          <t>%</t>
        </is>
      </c>
      <c r="F148" s="35" t="inlineStr">
        <is>
          <t>↑</t>
        </is>
      </c>
      <c r="G148" s="23" t="inlineStr">
        <is>
          <t>🟠 مهم</t>
        </is>
      </c>
      <c r="H148" s="32" t="n">
        <v>0.07000000000000001</v>
      </c>
      <c r="I148" s="35" t="n">
        <v>0.85</v>
      </c>
      <c r="J148" s="35" t="n">
        <v>0.648</v>
      </c>
      <c r="K148" s="32" t="n">
        <v>0.7623529411764707</v>
      </c>
      <c r="L148" s="14" t="inlineStr">
        <is>
          <t>🔴 تحت الهدف</t>
        </is>
      </c>
      <c r="M148" s="14" t="inlineStr">
        <is>
          <t>الاستدامة</t>
        </is>
      </c>
      <c r="N148" s="26" t="inlineStr">
        <is>
          <t>جودة التشغيل</t>
        </is>
      </c>
      <c r="O148" s="23" t="inlineStr">
        <is>
          <t>العمليات الداخلية</t>
        </is>
      </c>
      <c r="P148" s="23" t="inlineStr">
        <is>
          <t>مدير الجودة</t>
        </is>
      </c>
      <c r="Q148" s="26" t="inlineStr">
        <is>
          <t>سجلات الإدارة</t>
        </is>
      </c>
      <c r="R148" s="23" t="inlineStr">
        <is>
          <t>شهري</t>
        </is>
      </c>
    </row>
    <row r="149">
      <c r="A149" s="22" t="inlineStr">
        <is>
          <t>الجودة</t>
        </is>
      </c>
      <c r="B149" s="22" t="inlineStr">
        <is>
          <t>منع التكرار</t>
        </is>
      </c>
      <c r="C149" s="22" t="inlineStr">
        <is>
          <t>نسبة تكرار الملاحظات</t>
        </is>
      </c>
      <c r="D149" s="23" t="inlineStr">
        <is>
          <t>🔧 تشغيلي</t>
        </is>
      </c>
      <c r="E149" s="35" t="inlineStr">
        <is>
          <t>%</t>
        </is>
      </c>
      <c r="F149" s="35" t="inlineStr">
        <is>
          <t>↓</t>
        </is>
      </c>
      <c r="G149" s="23" t="inlineStr">
        <is>
          <t>🟠 مهم</t>
        </is>
      </c>
      <c r="H149" s="32" t="n">
        <v>0.07000000000000001</v>
      </c>
      <c r="I149" s="35" t="n">
        <v>0.1</v>
      </c>
      <c r="J149" s="35" t="n">
        <v>0.114</v>
      </c>
      <c r="K149" s="32" t="n">
        <v>0.8771929824561404</v>
      </c>
      <c r="L149" s="14" t="inlineStr">
        <is>
          <t>🟡 قريب</t>
        </is>
      </c>
      <c r="M149" s="14" t="inlineStr">
        <is>
          <t>الاستدامة</t>
        </is>
      </c>
      <c r="N149" s="26" t="inlineStr">
        <is>
          <t>جودة التشغيل</t>
        </is>
      </c>
      <c r="O149" s="23" t="inlineStr">
        <is>
          <t>العمليات الداخلية</t>
        </is>
      </c>
      <c r="P149" s="23" t="inlineStr">
        <is>
          <t>مدير الجودة</t>
        </is>
      </c>
      <c r="Q149" s="26" t="inlineStr">
        <is>
          <t>نظام إدارة الجودة (QMS)</t>
        </is>
      </c>
      <c r="R149" s="23" t="inlineStr">
        <is>
          <t>شهري</t>
        </is>
      </c>
    </row>
    <row r="150">
      <c r="A150" s="22" t="inlineStr">
        <is>
          <t>الجودة</t>
        </is>
      </c>
      <c r="B150" s="22" t="inlineStr">
        <is>
          <t>تفتيش وتدقيق</t>
        </is>
      </c>
      <c r="C150" s="22" t="inlineStr">
        <is>
          <t>نسبة تنفيذ خطة التفتيش والتدقيق</t>
        </is>
      </c>
      <c r="D150" s="23" t="inlineStr">
        <is>
          <t>⚙️ نشاط</t>
        </is>
      </c>
      <c r="E150" s="35" t="inlineStr">
        <is>
          <t>%</t>
        </is>
      </c>
      <c r="F150" s="35" t="inlineStr">
        <is>
          <t>↑</t>
        </is>
      </c>
      <c r="G150" s="23" t="inlineStr">
        <is>
          <t>🟠 مهم</t>
        </is>
      </c>
      <c r="H150" s="32" t="n">
        <v>0.07000000000000001</v>
      </c>
      <c r="I150" s="35" t="n">
        <v>0.95</v>
      </c>
      <c r="J150" s="35" t="n">
        <v>0.728</v>
      </c>
      <c r="K150" s="32" t="n">
        <v>0.7663157894736842</v>
      </c>
      <c r="L150" s="14" t="inlineStr">
        <is>
          <t>🔴 تحت الهدف</t>
        </is>
      </c>
      <c r="M150" s="14" t="inlineStr">
        <is>
          <t>الاستدامة</t>
        </is>
      </c>
      <c r="N150" s="26" t="inlineStr">
        <is>
          <t>جودة التشغيل</t>
        </is>
      </c>
      <c r="O150" s="23" t="inlineStr">
        <is>
          <t>العمليات الداخلية</t>
        </is>
      </c>
      <c r="P150" s="23" t="inlineStr">
        <is>
          <t>مدير الجودة</t>
        </is>
      </c>
      <c r="Q150" s="26" t="inlineStr">
        <is>
          <t>نظام المحاسبة / ERP (D365)</t>
        </is>
      </c>
      <c r="R150" s="23" t="inlineStr">
        <is>
          <t>ربعي</t>
        </is>
      </c>
    </row>
    <row r="151">
      <c r="A151" s="22" t="inlineStr">
        <is>
          <t>الجودة</t>
        </is>
      </c>
      <c r="B151" s="22" t="inlineStr">
        <is>
          <t>حوكمة الجودة</t>
        </is>
      </c>
      <c r="C151" s="22" t="inlineStr">
        <is>
          <t>نسبة جاهزية نظام إدارة الجودة QMS</t>
        </is>
      </c>
      <c r="D151" s="23" t="inlineStr">
        <is>
          <t>🔧 تشغيلي</t>
        </is>
      </c>
      <c r="E151" s="35" t="inlineStr">
        <is>
          <t>%</t>
        </is>
      </c>
      <c r="F151" s="35" t="inlineStr">
        <is>
          <t>↑</t>
        </is>
      </c>
      <c r="G151" s="23" t="inlineStr">
        <is>
          <t>🔴 رئيسي</t>
        </is>
      </c>
      <c r="H151" s="32" t="n">
        <v>0.1</v>
      </c>
      <c r="I151" s="35" t="n">
        <v>0.9</v>
      </c>
      <c r="J151" s="35" t="n">
        <v>0.754</v>
      </c>
      <c r="K151" s="32" t="n">
        <v>0.8377777777777777</v>
      </c>
      <c r="L151" s="14" t="inlineStr">
        <is>
          <t>🔴 تحت الهدف</t>
        </is>
      </c>
      <c r="M151" s="14" t="inlineStr">
        <is>
          <t>الاستدامة</t>
        </is>
      </c>
      <c r="N151" s="26" t="inlineStr">
        <is>
          <t>جودة التشغيل</t>
        </is>
      </c>
      <c r="O151" s="23" t="inlineStr">
        <is>
          <t>العمليات الداخلية</t>
        </is>
      </c>
      <c r="P151" s="23" t="inlineStr">
        <is>
          <t>مدير الجودة</t>
        </is>
      </c>
      <c r="Q151" s="26" t="inlineStr">
        <is>
          <t>نظام إدارة الجودة (QMS)</t>
        </is>
      </c>
      <c r="R151" s="23" t="inlineStr">
        <is>
          <t>شهري</t>
        </is>
      </c>
    </row>
    <row r="152">
      <c r="A152" s="22" t="inlineStr">
        <is>
          <t>الجودة</t>
        </is>
      </c>
      <c r="B152" s="22" t="inlineStr">
        <is>
          <t>مخاطر الجودة</t>
        </is>
      </c>
      <c r="C152" s="22" t="inlineStr">
        <is>
          <t>عدد مخاطر الجودة الحرجة المفتوحة</t>
        </is>
      </c>
      <c r="D152" s="23" t="inlineStr">
        <is>
          <t>⚙️ نشاط</t>
        </is>
      </c>
      <c r="E152" s="35" t="inlineStr">
        <is>
          <t>خطر</t>
        </is>
      </c>
      <c r="F152" s="35" t="inlineStr">
        <is>
          <t>↓</t>
        </is>
      </c>
      <c r="G152" s="23" t="inlineStr">
        <is>
          <t>🟠 مهم</t>
        </is>
      </c>
      <c r="H152" s="32" t="n">
        <v>0.07000000000000001</v>
      </c>
      <c r="I152" s="35" t="n">
        <v>0</v>
      </c>
      <c r="J152" s="35" t="n"/>
      <c r="K152" s="32" t="n"/>
      <c r="L152" s="14" t="inlineStr">
        <is>
          <t>⏳ بانتظار هدف</t>
        </is>
      </c>
      <c r="M152" s="14" t="inlineStr">
        <is>
          <t>الاستدامة</t>
        </is>
      </c>
      <c r="N152" s="26" t="inlineStr">
        <is>
          <t>جودة التشغيل</t>
        </is>
      </c>
      <c r="O152" s="23" t="inlineStr">
        <is>
          <t>العمليات الداخلية</t>
        </is>
      </c>
      <c r="P152" s="23" t="inlineStr">
        <is>
          <t>مدير الجودة</t>
        </is>
      </c>
      <c r="Q152" s="26" t="inlineStr">
        <is>
          <t>نظام إدارة الجودة (QMS)</t>
        </is>
      </c>
      <c r="R152" s="23" t="inlineStr">
        <is>
          <t>شهري</t>
        </is>
      </c>
    </row>
    <row r="153">
      <c r="A153" s="22" t="inlineStr">
        <is>
          <t>الجودة</t>
        </is>
      </c>
      <c r="B153" s="22" t="inlineStr">
        <is>
          <t>مخاطر الجودة</t>
        </is>
      </c>
      <c r="C153" s="22" t="inlineStr">
        <is>
          <t>نسبة إغلاق مخاطر الجودة في الوقت المحدد</t>
        </is>
      </c>
      <c r="D153" s="23" t="inlineStr">
        <is>
          <t>🔧 تشغيلي</t>
        </is>
      </c>
      <c r="E153" s="35" t="inlineStr">
        <is>
          <t>%</t>
        </is>
      </c>
      <c r="F153" s="35" t="inlineStr">
        <is>
          <t>↑</t>
        </is>
      </c>
      <c r="G153" s="23" t="inlineStr">
        <is>
          <t>🟠 مهم</t>
        </is>
      </c>
      <c r="H153" s="32" t="n">
        <v>0.07000000000000001</v>
      </c>
      <c r="I153" s="35" t="n">
        <v>0.9</v>
      </c>
      <c r="J153" s="35" t="n">
        <v>0.908</v>
      </c>
      <c r="K153" s="32" t="n">
        <v>1</v>
      </c>
      <c r="L153" s="14" t="inlineStr">
        <is>
          <t>✅ محقق</t>
        </is>
      </c>
      <c r="M153" s="14" t="inlineStr">
        <is>
          <t>الاستدامة</t>
        </is>
      </c>
      <c r="N153" s="26" t="inlineStr">
        <is>
          <t>جودة التشغيل</t>
        </is>
      </c>
      <c r="O153" s="23" t="inlineStr">
        <is>
          <t>العمليات الداخلية</t>
        </is>
      </c>
      <c r="P153" s="23" t="inlineStr">
        <is>
          <t>مدير الجودة</t>
        </is>
      </c>
      <c r="Q153" s="26" t="inlineStr">
        <is>
          <t>نظام إدارة الجودة (QMS)</t>
        </is>
      </c>
      <c r="R153" s="23" t="inlineStr">
        <is>
          <t>شهري</t>
        </is>
      </c>
    </row>
    <row r="154">
      <c r="A154" s="22" t="inlineStr">
        <is>
          <t>الجودة</t>
        </is>
      </c>
      <c r="B154" s="22" t="inlineStr">
        <is>
          <t>تجربة العميل</t>
        </is>
      </c>
      <c r="C154" s="22" t="inlineStr">
        <is>
          <t>نسبة انخفاض الشكاوى المتكررة ذات العلاقة بالجودة</t>
        </is>
      </c>
      <c r="D154" s="23" t="inlineStr">
        <is>
          <t>🎯 نتيجة</t>
        </is>
      </c>
      <c r="E154" s="35" t="inlineStr">
        <is>
          <t>%</t>
        </is>
      </c>
      <c r="F154" s="35" t="inlineStr">
        <is>
          <t>↑</t>
        </is>
      </c>
      <c r="G154" s="23" t="inlineStr">
        <is>
          <t>🟠 مهم</t>
        </is>
      </c>
      <c r="H154" s="32" t="n">
        <v>0.07000000000000001</v>
      </c>
      <c r="I154" s="35" t="n">
        <v>0.15</v>
      </c>
      <c r="J154" s="35" t="n">
        <v>0.126</v>
      </c>
      <c r="K154" s="32" t="n">
        <v>0.8400000000000001</v>
      </c>
      <c r="L154" s="14" t="inlineStr">
        <is>
          <t>🔴 تحت الهدف</t>
        </is>
      </c>
      <c r="M154" s="14" t="inlineStr">
        <is>
          <t>الاستدامة</t>
        </is>
      </c>
      <c r="N154" s="26" t="inlineStr">
        <is>
          <t>تعزيز تجربة العملاء</t>
        </is>
      </c>
      <c r="O154" s="23" t="inlineStr">
        <is>
          <t>العملاء</t>
        </is>
      </c>
      <c r="P154" s="23" t="inlineStr">
        <is>
          <t>مدير الجودة</t>
        </is>
      </c>
      <c r="Q154" s="26" t="inlineStr">
        <is>
          <t>نظام إدارة الجودة (QMS)</t>
        </is>
      </c>
      <c r="R154" s="23" t="inlineStr">
        <is>
          <t>شهري</t>
        </is>
      </c>
    </row>
    <row r="155">
      <c r="A155" s="22" t="inlineStr">
        <is>
          <t>الجودة</t>
        </is>
      </c>
      <c r="B155" s="22" t="inlineStr">
        <is>
          <t>الجودة الإدارية</t>
        </is>
      </c>
      <c r="C155" s="22" t="inlineStr">
        <is>
          <t>نسبة اكتمال وتحديث الإجراءات المعتمدة</t>
        </is>
      </c>
      <c r="D155" s="23" t="inlineStr">
        <is>
          <t>⚙️ نشاط</t>
        </is>
      </c>
      <c r="E155" s="35" t="inlineStr">
        <is>
          <t>%</t>
        </is>
      </c>
      <c r="F155" s="35" t="inlineStr">
        <is>
          <t>↑</t>
        </is>
      </c>
      <c r="G155" s="23" t="inlineStr">
        <is>
          <t>🟡 متابعة</t>
        </is>
      </c>
      <c r="H155" s="32" t="n">
        <v>0.03</v>
      </c>
      <c r="I155" s="35" t="n">
        <v>0.95</v>
      </c>
      <c r="J155" s="35" t="n">
        <v>0.944</v>
      </c>
      <c r="K155" s="32" t="n">
        <v>0.9936842105263158</v>
      </c>
      <c r="L155" s="14" t="inlineStr">
        <is>
          <t>🟡 قريب</t>
        </is>
      </c>
      <c r="M155" s="14" t="inlineStr">
        <is>
          <t>الاستدامة</t>
        </is>
      </c>
      <c r="N155" s="26" t="inlineStr">
        <is>
          <t>جودة التشغيل</t>
        </is>
      </c>
      <c r="O155" s="23" t="inlineStr">
        <is>
          <t>العمليات الداخلية</t>
        </is>
      </c>
      <c r="P155" s="23" t="inlineStr">
        <is>
          <t>مدير الجودة</t>
        </is>
      </c>
      <c r="Q155" s="26" t="inlineStr">
        <is>
          <t>نظام إدارة الجودة (QMS)</t>
        </is>
      </c>
      <c r="R155" s="23" t="inlineStr">
        <is>
          <t>شهري</t>
        </is>
      </c>
    </row>
    <row r="156">
      <c r="A156" s="22" t="inlineStr">
        <is>
          <t>الجودة</t>
        </is>
      </c>
      <c r="B156" s="22" t="inlineStr">
        <is>
          <t>توثيق وحوكمة</t>
        </is>
      </c>
      <c r="C156" s="22" t="inlineStr">
        <is>
          <t>نسبة اكتمال سجلات الجودة</t>
        </is>
      </c>
      <c r="D156" s="23" t="inlineStr">
        <is>
          <t>⚙️ نشاط</t>
        </is>
      </c>
      <c r="E156" s="35" t="inlineStr">
        <is>
          <t>%</t>
        </is>
      </c>
      <c r="F156" s="35" t="inlineStr">
        <is>
          <t>↑</t>
        </is>
      </c>
      <c r="G156" s="23" t="inlineStr">
        <is>
          <t>🟠 مهم</t>
        </is>
      </c>
      <c r="H156" s="32" t="n">
        <v>0.07000000000000001</v>
      </c>
      <c r="I156" s="35" t="n">
        <v>0.95</v>
      </c>
      <c r="J156" s="35" t="n">
        <v>0.982</v>
      </c>
      <c r="K156" s="32" t="n">
        <v>1</v>
      </c>
      <c r="L156" s="14" t="inlineStr">
        <is>
          <t>✅ محقق</t>
        </is>
      </c>
      <c r="M156" s="14" t="inlineStr">
        <is>
          <t>الاستدامة</t>
        </is>
      </c>
      <c r="N156" s="26" t="inlineStr">
        <is>
          <t>جودة التشغيل</t>
        </is>
      </c>
      <c r="O156" s="23" t="inlineStr">
        <is>
          <t>العمليات الداخلية</t>
        </is>
      </c>
      <c r="P156" s="23" t="inlineStr">
        <is>
          <t>مدير الجودة</t>
        </is>
      </c>
      <c r="Q156" s="26" t="inlineStr">
        <is>
          <t>نظام إدارة الجودة (QMS)</t>
        </is>
      </c>
      <c r="R156" s="23" t="inlineStr">
        <is>
          <t>شهري</t>
        </is>
      </c>
    </row>
    <row r="157">
      <c r="A157" s="22" t="inlineStr">
        <is>
          <t>الجودة</t>
        </is>
      </c>
      <c r="B157" s="22" t="inlineStr">
        <is>
          <t>الابتكار والرقمنة</t>
        </is>
      </c>
      <c r="C157" s="22" t="inlineStr">
        <is>
          <t>نسبة رقمنة عمليات الجودة</t>
        </is>
      </c>
      <c r="D157" s="23" t="inlineStr">
        <is>
          <t>🔧 تشغيلي</t>
        </is>
      </c>
      <c r="E157" s="35" t="inlineStr">
        <is>
          <t>%</t>
        </is>
      </c>
      <c r="F157" s="35" t="inlineStr">
        <is>
          <t>↑</t>
        </is>
      </c>
      <c r="G157" s="23" t="inlineStr">
        <is>
          <t>🟠 مهم</t>
        </is>
      </c>
      <c r="H157" s="32" t="n">
        <v>0.07000000000000001</v>
      </c>
      <c r="I157" s="35" t="n">
        <v>0.8</v>
      </c>
      <c r="J157" s="35" t="n">
        <v>0.834</v>
      </c>
      <c r="K157" s="32" t="n">
        <v>1</v>
      </c>
      <c r="L157" s="14" t="inlineStr">
        <is>
          <t>✅ محقق</t>
        </is>
      </c>
      <c r="M157" s="14" t="inlineStr">
        <is>
          <t>الابتكار</t>
        </is>
      </c>
      <c r="N157" s="26" t="inlineStr">
        <is>
          <t>التحول التقني</t>
        </is>
      </c>
      <c r="O157" s="23" t="inlineStr">
        <is>
          <t>العمليات الداخلية</t>
        </is>
      </c>
      <c r="P157" s="23" t="inlineStr">
        <is>
          <t>مدير الجودة</t>
        </is>
      </c>
      <c r="Q157" s="26" t="inlineStr">
        <is>
          <t>نظام إدارة الجودة (QMS)</t>
        </is>
      </c>
      <c r="R157" s="23" t="inlineStr">
        <is>
          <t>شهري</t>
        </is>
      </c>
    </row>
    <row r="158">
      <c r="A158" s="22" t="inlineStr">
        <is>
          <t>الجودة</t>
        </is>
      </c>
      <c r="B158" s="22" t="inlineStr">
        <is>
          <t>التحسين المستمر</t>
        </is>
      </c>
      <c r="C158" s="22" t="inlineStr">
        <is>
          <t>عدد مبادرات التحسين المؤثرة</t>
        </is>
      </c>
      <c r="D158" s="23" t="inlineStr">
        <is>
          <t>⚙️ نشاط</t>
        </is>
      </c>
      <c r="E158" s="35" t="inlineStr">
        <is>
          <t>مبادرة</t>
        </is>
      </c>
      <c r="F158" s="35" t="inlineStr">
        <is>
          <t>↑</t>
        </is>
      </c>
      <c r="G158" s="23" t="inlineStr">
        <is>
          <t>🟠 مهم</t>
        </is>
      </c>
      <c r="H158" s="32" t="n">
        <v>0.07000000000000001</v>
      </c>
      <c r="I158" s="35" t="n">
        <v>8</v>
      </c>
      <c r="J158" s="35" t="n">
        <v>6.827</v>
      </c>
      <c r="K158" s="32" t="n">
        <v>0.853375</v>
      </c>
      <c r="L158" s="14" t="inlineStr">
        <is>
          <t>🟡 قريب</t>
        </is>
      </c>
      <c r="M158" s="14" t="inlineStr">
        <is>
          <t>الاستدامة</t>
        </is>
      </c>
      <c r="N158" s="26" t="inlineStr">
        <is>
          <t>جودة التشغيل</t>
        </is>
      </c>
      <c r="O158" s="23" t="inlineStr">
        <is>
          <t>العمليات الداخلية</t>
        </is>
      </c>
      <c r="P158" s="23" t="inlineStr">
        <is>
          <t>مدير الجودة</t>
        </is>
      </c>
      <c r="Q158" s="26" t="inlineStr">
        <is>
          <t>سجلات الإدارة</t>
        </is>
      </c>
      <c r="R158" s="23" t="inlineStr">
        <is>
          <t>ربعي</t>
        </is>
      </c>
    </row>
    <row r="159">
      <c r="A159" s="22" t="inlineStr">
        <is>
          <t>الإدارة القانونية</t>
        </is>
      </c>
      <c r="B159" s="22" t="inlineStr">
        <is>
          <t>أعمال العقود</t>
        </is>
      </c>
      <c r="C159" s="22" t="inlineStr">
        <is>
          <t>نسبة العقود المُراجَعة قانونياً قبل التوقيع</t>
        </is>
      </c>
      <c r="D159" s="23" t="inlineStr">
        <is>
          <t>🔧 تشغيلي</t>
        </is>
      </c>
      <c r="E159" s="35" t="inlineStr">
        <is>
          <t>%</t>
        </is>
      </c>
      <c r="F159" s="35" t="inlineStr">
        <is>
          <t>↑</t>
        </is>
      </c>
      <c r="G159" s="23" t="inlineStr">
        <is>
          <t>🔴 رئيسي</t>
        </is>
      </c>
      <c r="H159" s="32" t="n">
        <v>0.15</v>
      </c>
      <c r="I159" s="35" t="n">
        <v>1</v>
      </c>
      <c r="J159" s="35" t="n">
        <v>1.013</v>
      </c>
      <c r="K159" s="32" t="n">
        <v>1</v>
      </c>
      <c r="L159" s="14" t="inlineStr">
        <is>
          <t>✅ محقق</t>
        </is>
      </c>
      <c r="M159" s="14" t="inlineStr">
        <is>
          <t>الاستدامة</t>
        </is>
      </c>
      <c r="N159" s="26" t="inlineStr">
        <is>
          <t>جودة التشغيل</t>
        </is>
      </c>
      <c r="O159" s="23" t="inlineStr">
        <is>
          <t>العمليات الداخلية</t>
        </is>
      </c>
      <c r="P159" s="23" t="inlineStr">
        <is>
          <t>المدير القانوني</t>
        </is>
      </c>
      <c r="Q159" s="26" t="inlineStr">
        <is>
          <t>نظام إدارة العقود (CRM)</t>
        </is>
      </c>
      <c r="R159" s="23" t="inlineStr">
        <is>
          <t>شهري</t>
        </is>
      </c>
    </row>
    <row r="160">
      <c r="A160" s="22" t="inlineStr">
        <is>
          <t>الإدارة القانونية</t>
        </is>
      </c>
      <c r="B160" s="22" t="inlineStr">
        <is>
          <t>أعمال العقود</t>
        </is>
      </c>
      <c r="C160" s="22" t="inlineStr">
        <is>
          <t>متوسط زمن صياغة ومراجعة العقد</t>
        </is>
      </c>
      <c r="D160" s="23" t="inlineStr">
        <is>
          <t>🔧 تشغيلي</t>
        </is>
      </c>
      <c r="E160" s="35" t="inlineStr">
        <is>
          <t>يوم</t>
        </is>
      </c>
      <c r="F160" s="35" t="inlineStr">
        <is>
          <t>↓</t>
        </is>
      </c>
      <c r="G160" s="23" t="inlineStr">
        <is>
          <t>🔴 رئيسي</t>
        </is>
      </c>
      <c r="H160" s="32" t="n">
        <v>0.15</v>
      </c>
      <c r="I160" s="35" t="n">
        <v>3</v>
      </c>
      <c r="J160" s="35" t="n">
        <v>2.994</v>
      </c>
      <c r="K160" s="32" t="n">
        <v>1</v>
      </c>
      <c r="L160" s="14" t="inlineStr">
        <is>
          <t>✅ محقق</t>
        </is>
      </c>
      <c r="M160" s="14" t="inlineStr">
        <is>
          <t>الاستدامة</t>
        </is>
      </c>
      <c r="N160" s="26" t="inlineStr">
        <is>
          <t>جودة التشغيل</t>
        </is>
      </c>
      <c r="O160" s="23" t="inlineStr">
        <is>
          <t>العمليات الداخلية</t>
        </is>
      </c>
      <c r="P160" s="23" t="inlineStr">
        <is>
          <t>المدير القانوني</t>
        </is>
      </c>
      <c r="Q160" s="26" t="inlineStr">
        <is>
          <t>نظام إدارة العقود/القضايا</t>
        </is>
      </c>
      <c r="R160" s="23" t="inlineStr">
        <is>
          <t>شهري</t>
        </is>
      </c>
    </row>
    <row r="161">
      <c r="A161" s="22" t="inlineStr">
        <is>
          <t>الإدارة القانونية</t>
        </is>
      </c>
      <c r="B161" s="22" t="inlineStr">
        <is>
          <t>أعمال العقود</t>
        </is>
      </c>
      <c r="C161" s="22" t="inlineStr">
        <is>
          <t>نسبة العقود الخالية من الملاحظات والمخاطر القانونية</t>
        </is>
      </c>
      <c r="D161" s="23" t="inlineStr">
        <is>
          <t>🔧 تشغيلي</t>
        </is>
      </c>
      <c r="E161" s="35" t="inlineStr">
        <is>
          <t>%</t>
        </is>
      </c>
      <c r="F161" s="35" t="inlineStr">
        <is>
          <t>↑</t>
        </is>
      </c>
      <c r="G161" s="23" t="inlineStr">
        <is>
          <t>🔴 رئيسي</t>
        </is>
      </c>
      <c r="H161" s="32" t="n">
        <v>0.15</v>
      </c>
      <c r="I161" s="35" t="n">
        <v>0.95</v>
      </c>
      <c r="J161" s="35" t="n">
        <v>0.924</v>
      </c>
      <c r="K161" s="32" t="n">
        <v>0.9726315789473685</v>
      </c>
      <c r="L161" s="14" t="inlineStr">
        <is>
          <t>🟡 قريب</t>
        </is>
      </c>
      <c r="M161" s="14" t="inlineStr">
        <is>
          <t>الاستدامة</t>
        </is>
      </c>
      <c r="N161" s="26" t="inlineStr">
        <is>
          <t>جودة التشغيل</t>
        </is>
      </c>
      <c r="O161" s="23" t="inlineStr">
        <is>
          <t>العمليات الداخلية</t>
        </is>
      </c>
      <c r="P161" s="23" t="inlineStr">
        <is>
          <t>المدير القانوني</t>
        </is>
      </c>
      <c r="Q161" s="26" t="inlineStr">
        <is>
          <t>نظام إدارة الجودة (QMS)</t>
        </is>
      </c>
      <c r="R161" s="23" t="inlineStr">
        <is>
          <t>شهري</t>
        </is>
      </c>
    </row>
    <row r="162">
      <c r="A162" s="22" t="inlineStr">
        <is>
          <t>الإدارة القانونية</t>
        </is>
      </c>
      <c r="B162" s="22" t="inlineStr">
        <is>
          <t>أعمال القضايا</t>
        </is>
      </c>
      <c r="C162" s="22" t="inlineStr">
        <is>
          <t>نسبة القضايا المُغلقة لصالح الشركة</t>
        </is>
      </c>
      <c r="D162" s="23" t="inlineStr">
        <is>
          <t>🔧 تشغيلي</t>
        </is>
      </c>
      <c r="E162" s="35" t="inlineStr">
        <is>
          <t>%</t>
        </is>
      </c>
      <c r="F162" s="35" t="inlineStr">
        <is>
          <t>↑</t>
        </is>
      </c>
      <c r="G162" s="23" t="inlineStr">
        <is>
          <t>🟠 مهم</t>
        </is>
      </c>
      <c r="H162" s="32" t="n">
        <v>0.1</v>
      </c>
      <c r="I162" s="35" t="n">
        <v>0.8</v>
      </c>
      <c r="J162" s="35" t="n">
        <v>0.664</v>
      </c>
      <c r="K162" s="32" t="n">
        <v>0.83</v>
      </c>
      <c r="L162" s="14" t="inlineStr">
        <is>
          <t>🔴 تحت الهدف</t>
        </is>
      </c>
      <c r="M162" s="14" t="inlineStr">
        <is>
          <t>الاستدامة</t>
        </is>
      </c>
      <c r="N162" s="26" t="inlineStr">
        <is>
          <t>جودة التشغيل</t>
        </is>
      </c>
      <c r="O162" s="23" t="inlineStr">
        <is>
          <t>العمليات الداخلية</t>
        </is>
      </c>
      <c r="P162" s="23" t="inlineStr">
        <is>
          <t>المدير القانوني</t>
        </is>
      </c>
      <c r="Q162" s="26" t="inlineStr">
        <is>
          <t>نظام إدارة العقود/القضايا</t>
        </is>
      </c>
      <c r="R162" s="23" t="inlineStr">
        <is>
          <t>شهري</t>
        </is>
      </c>
    </row>
    <row r="163">
      <c r="A163" s="22" t="inlineStr">
        <is>
          <t>الإدارة القانونية</t>
        </is>
      </c>
      <c r="B163" s="22" t="inlineStr">
        <is>
          <t>أعمال القضايا</t>
        </is>
      </c>
      <c r="C163" s="22" t="inlineStr">
        <is>
          <t>نسبة تقديم المذكرات والردود في المواعيد النظامية</t>
        </is>
      </c>
      <c r="D163" s="23" t="inlineStr">
        <is>
          <t>🔧 تشغيلي</t>
        </is>
      </c>
      <c r="E163" s="35" t="inlineStr">
        <is>
          <t>%</t>
        </is>
      </c>
      <c r="F163" s="35" t="inlineStr">
        <is>
          <t>↑</t>
        </is>
      </c>
      <c r="G163" s="23" t="inlineStr">
        <is>
          <t>🟠 مهم</t>
        </is>
      </c>
      <c r="H163" s="32" t="n">
        <v>0.1</v>
      </c>
      <c r="I163" s="35" t="n">
        <v>1</v>
      </c>
      <c r="J163" s="35" t="n">
        <v>0.797</v>
      </c>
      <c r="K163" s="32" t="n">
        <v>0.797</v>
      </c>
      <c r="L163" s="14" t="inlineStr">
        <is>
          <t>🔴 تحت الهدف</t>
        </is>
      </c>
      <c r="M163" s="14" t="inlineStr">
        <is>
          <t>الاستدامة</t>
        </is>
      </c>
      <c r="N163" s="26" t="inlineStr">
        <is>
          <t>جودة التشغيل</t>
        </is>
      </c>
      <c r="O163" s="23" t="inlineStr">
        <is>
          <t>العمليات الداخلية</t>
        </is>
      </c>
      <c r="P163" s="23" t="inlineStr">
        <is>
          <t>المدير القانوني</t>
        </is>
      </c>
      <c r="Q163" s="26" t="inlineStr">
        <is>
          <t>نظام إدارة العقود/القضايا</t>
        </is>
      </c>
      <c r="R163" s="23" t="inlineStr">
        <is>
          <t>شهري</t>
        </is>
      </c>
    </row>
    <row r="164">
      <c r="A164" s="22" t="inlineStr">
        <is>
          <t>الإدارة القانونية</t>
        </is>
      </c>
      <c r="B164" s="22" t="inlineStr">
        <is>
          <t>أعمال القضايا</t>
        </is>
      </c>
      <c r="C164" s="22" t="inlineStr">
        <is>
          <t>متوسط زمن إعداد المذكرة القانونية</t>
        </is>
      </c>
      <c r="D164" s="23" t="inlineStr">
        <is>
          <t>⚙️ نشاط</t>
        </is>
      </c>
      <c r="E164" s="35" t="inlineStr">
        <is>
          <t>يوم</t>
        </is>
      </c>
      <c r="F164" s="35" t="inlineStr">
        <is>
          <t>↓</t>
        </is>
      </c>
      <c r="G164" s="23" t="inlineStr">
        <is>
          <t>🟠 مهم</t>
        </is>
      </c>
      <c r="H164" s="32" t="n">
        <v>0.1</v>
      </c>
      <c r="I164" s="35" t="n">
        <v>5</v>
      </c>
      <c r="J164" s="35" t="n">
        <v>4.545</v>
      </c>
      <c r="K164" s="32" t="n">
        <v>1</v>
      </c>
      <c r="L164" s="14" t="inlineStr">
        <is>
          <t>✅ محقق</t>
        </is>
      </c>
      <c r="M164" s="14" t="inlineStr">
        <is>
          <t>الاستدامة</t>
        </is>
      </c>
      <c r="N164" s="26" t="inlineStr">
        <is>
          <t>جودة التشغيل</t>
        </is>
      </c>
      <c r="O164" s="23" t="inlineStr">
        <is>
          <t>العمليات الداخلية</t>
        </is>
      </c>
      <c r="P164" s="23" t="inlineStr">
        <is>
          <t>المدير القانوني</t>
        </is>
      </c>
      <c r="Q164" s="26" t="inlineStr">
        <is>
          <t>نظام إدارة العقود/القضايا</t>
        </is>
      </c>
      <c r="R164" s="23" t="inlineStr">
        <is>
          <t>شهري</t>
        </is>
      </c>
    </row>
    <row r="165">
      <c r="A165" s="22" t="inlineStr">
        <is>
          <t>الإدارة القانونية</t>
        </is>
      </c>
      <c r="B165" s="22" t="inlineStr">
        <is>
          <t>الاستشارات القانونية</t>
        </is>
      </c>
      <c r="C165" s="22" t="inlineStr">
        <is>
          <t>نسبة الاستشارات المُنجزة ضمن المدة المستهدفة (SLA)</t>
        </is>
      </c>
      <c r="D165" s="23" t="inlineStr">
        <is>
          <t>🔧 تشغيلي</t>
        </is>
      </c>
      <c r="E165" s="35" t="inlineStr">
        <is>
          <t>%</t>
        </is>
      </c>
      <c r="F165" s="35" t="inlineStr">
        <is>
          <t>↑</t>
        </is>
      </c>
      <c r="G165" s="23" t="inlineStr">
        <is>
          <t>🟠 مهم</t>
        </is>
      </c>
      <c r="H165" s="32" t="n">
        <v>0.1</v>
      </c>
      <c r="I165" s="35" t="n">
        <v>0.9</v>
      </c>
      <c r="J165" s="35" t="n">
        <v>0.659</v>
      </c>
      <c r="K165" s="32" t="n">
        <v>0.7322222222222222</v>
      </c>
      <c r="L165" s="14" t="inlineStr">
        <is>
          <t>🔴 تحت الهدف</t>
        </is>
      </c>
      <c r="M165" s="14" t="inlineStr">
        <is>
          <t>الاستدامة</t>
        </is>
      </c>
      <c r="N165" s="26" t="inlineStr">
        <is>
          <t>جودة التشغيل</t>
        </is>
      </c>
      <c r="O165" s="23" t="inlineStr">
        <is>
          <t>العمليات الداخلية</t>
        </is>
      </c>
      <c r="P165" s="23" t="inlineStr">
        <is>
          <t>المدير القانوني</t>
        </is>
      </c>
      <c r="Q165" s="26" t="inlineStr">
        <is>
          <t>نظام إدارة العقود/القضايا</t>
        </is>
      </c>
      <c r="R165" s="23" t="inlineStr">
        <is>
          <t>شهري</t>
        </is>
      </c>
    </row>
    <row r="166">
      <c r="A166" s="22" t="inlineStr">
        <is>
          <t>الإدارة القانونية</t>
        </is>
      </c>
      <c r="B166" s="22" t="inlineStr">
        <is>
          <t>الاستشارات القانونية</t>
        </is>
      </c>
      <c r="C166" s="22" t="inlineStr">
        <is>
          <t>مستوى رضا الإدارات عن الدعم القانوني</t>
        </is>
      </c>
      <c r="D166" s="23" t="inlineStr">
        <is>
          <t>🎯 نتيجة</t>
        </is>
      </c>
      <c r="E166" s="35" t="inlineStr">
        <is>
          <t>%</t>
        </is>
      </c>
      <c r="F166" s="35" t="inlineStr">
        <is>
          <t>↑</t>
        </is>
      </c>
      <c r="G166" s="23" t="inlineStr">
        <is>
          <t>🔴 رئيسي</t>
        </is>
      </c>
      <c r="H166" s="32" t="n">
        <v>0.15</v>
      </c>
      <c r="I166" s="35" t="n">
        <v>0.85</v>
      </c>
      <c r="J166" s="35" t="n">
        <v>0.674</v>
      </c>
      <c r="K166" s="32" t="n">
        <v>0.7929411764705883</v>
      </c>
      <c r="L166" s="14" t="inlineStr">
        <is>
          <t>🔴 تحت الهدف</t>
        </is>
      </c>
      <c r="M166" s="14" t="inlineStr">
        <is>
          <t>الاستدامة</t>
        </is>
      </c>
      <c r="N166" s="26" t="inlineStr">
        <is>
          <t>جودة التشغيل</t>
        </is>
      </c>
      <c r="O166" s="23" t="inlineStr">
        <is>
          <t>العملاء</t>
        </is>
      </c>
      <c r="P166" s="23" t="inlineStr">
        <is>
          <t>المدير القانوني</t>
        </is>
      </c>
      <c r="Q166" s="26" t="inlineStr">
        <is>
          <t>استبيان دوري</t>
        </is>
      </c>
      <c r="R166" s="23" t="inlineStr">
        <is>
          <t>ربعي</t>
        </is>
      </c>
    </row>
    <row r="167">
      <c r="A167" s="22" t="inlineStr">
        <is>
          <t>الإدارة المالية</t>
        </is>
      </c>
      <c r="B167" s="22" t="inlineStr">
        <is>
          <t>المالية الاستراتيجية</t>
        </is>
      </c>
      <c r="C167" s="22" t="inlineStr">
        <is>
          <t>نمو الإيرادات السنوي</t>
        </is>
      </c>
      <c r="D167" s="23" t="inlineStr">
        <is>
          <t>🎯 نتيجة</t>
        </is>
      </c>
      <c r="E167" s="35" t="inlineStr">
        <is>
          <t>%</t>
        </is>
      </c>
      <c r="F167" s="35" t="inlineStr">
        <is>
          <t>↑</t>
        </is>
      </c>
      <c r="G167" s="23" t="inlineStr">
        <is>
          <t>🔴 رئيسي</t>
        </is>
      </c>
      <c r="H167" s="32" t="n">
        <v>0.05</v>
      </c>
      <c r="I167" s="35" t="n">
        <v>0.2</v>
      </c>
      <c r="J167" s="35" t="n">
        <v>0.169</v>
      </c>
      <c r="K167" s="32" t="n">
        <v>0.845</v>
      </c>
      <c r="L167" s="14" t="inlineStr">
        <is>
          <t>🔴 تحت الهدف</t>
        </is>
      </c>
      <c r="M167" s="14" t="inlineStr">
        <is>
          <t>النمو</t>
        </is>
      </c>
      <c r="N167" s="26" t="inlineStr">
        <is>
          <t>زيادة وصول العملاء</t>
        </is>
      </c>
      <c r="O167" s="23" t="inlineStr">
        <is>
          <t>مالي</t>
        </is>
      </c>
      <c r="P167" s="23" t="inlineStr">
        <is>
          <t>المدير المالي</t>
        </is>
      </c>
      <c r="Q167" s="26" t="inlineStr">
        <is>
          <t>نظام المحاسبة / ERP (D365)</t>
        </is>
      </c>
      <c r="R167" s="23" t="inlineStr">
        <is>
          <t>ربعي</t>
        </is>
      </c>
    </row>
    <row r="168">
      <c r="A168" s="22" t="inlineStr">
        <is>
          <t>الإدارة المالية</t>
        </is>
      </c>
      <c r="B168" s="22" t="inlineStr">
        <is>
          <t>المالية الاستراتيجية</t>
        </is>
      </c>
      <c r="C168" s="22" t="inlineStr">
        <is>
          <t>هامش EBITDA</t>
        </is>
      </c>
      <c r="D168" s="23" t="inlineStr">
        <is>
          <t>🎯 نتيجة</t>
        </is>
      </c>
      <c r="E168" s="35" t="inlineStr">
        <is>
          <t>%</t>
        </is>
      </c>
      <c r="F168" s="35" t="inlineStr">
        <is>
          <t>↑</t>
        </is>
      </c>
      <c r="G168" s="23" t="inlineStr">
        <is>
          <t>🟠 مهم</t>
        </is>
      </c>
      <c r="H168" s="32" t="n">
        <v>0.04</v>
      </c>
      <c r="I168" s="35" t="n">
        <v>0.08</v>
      </c>
      <c r="J168" s="35" t="n">
        <v>0.062</v>
      </c>
      <c r="K168" s="32" t="n">
        <v>0.775</v>
      </c>
      <c r="L168" s="14" t="inlineStr">
        <is>
          <t>🔴 تحت الهدف</t>
        </is>
      </c>
      <c r="M168" s="14" t="inlineStr">
        <is>
          <t>النمو</t>
        </is>
      </c>
      <c r="N168" s="26" t="inlineStr">
        <is>
          <t>زيادة وصول العملاء</t>
        </is>
      </c>
      <c r="O168" s="23" t="inlineStr">
        <is>
          <t>مالي</t>
        </is>
      </c>
      <c r="P168" s="23" t="inlineStr">
        <is>
          <t>المدير المالي</t>
        </is>
      </c>
      <c r="Q168" s="26" t="inlineStr">
        <is>
          <t>نظام المحاسبة / ERP (D365)</t>
        </is>
      </c>
      <c r="R168" s="23" t="inlineStr">
        <is>
          <t>شهري</t>
        </is>
      </c>
    </row>
    <row r="169">
      <c r="A169" s="22" t="inlineStr">
        <is>
          <t>الإدارة المالية</t>
        </is>
      </c>
      <c r="B169" s="22" t="inlineStr">
        <is>
          <t>المالية الاستراتيجية</t>
        </is>
      </c>
      <c r="C169" s="22" t="inlineStr">
        <is>
          <t>هامش صافي الربح</t>
        </is>
      </c>
      <c r="D169" s="23" t="inlineStr">
        <is>
          <t>🎯 نتيجة</t>
        </is>
      </c>
      <c r="E169" s="35" t="inlineStr">
        <is>
          <t>%</t>
        </is>
      </c>
      <c r="F169" s="35" t="inlineStr">
        <is>
          <t>↑</t>
        </is>
      </c>
      <c r="G169" s="23" t="inlineStr">
        <is>
          <t>🟠 مهم</t>
        </is>
      </c>
      <c r="H169" s="32" t="n">
        <v>0.04</v>
      </c>
      <c r="I169" s="35" t="n">
        <v>0.01</v>
      </c>
      <c r="J169" s="35" t="n">
        <v>0.008</v>
      </c>
      <c r="K169" s="32" t="n">
        <v>0.8</v>
      </c>
      <c r="L169" s="14" t="inlineStr">
        <is>
          <t>🔴 تحت الهدف</t>
        </is>
      </c>
      <c r="M169" s="14" t="inlineStr">
        <is>
          <t>النمو</t>
        </is>
      </c>
      <c r="N169" s="26" t="inlineStr">
        <is>
          <t>زيادة وصول العملاء</t>
        </is>
      </c>
      <c r="O169" s="23" t="inlineStr">
        <is>
          <t>مالي</t>
        </is>
      </c>
      <c r="P169" s="23" t="inlineStr">
        <is>
          <t>المدير المالي</t>
        </is>
      </c>
      <c r="Q169" s="26" t="inlineStr">
        <is>
          <t>نظام المحاسبة / ERP (D365)</t>
        </is>
      </c>
      <c r="R169" s="23" t="inlineStr">
        <is>
          <t>شهري</t>
        </is>
      </c>
    </row>
    <row r="170">
      <c r="A170" s="22" t="inlineStr">
        <is>
          <t>الإدارة المالية</t>
        </is>
      </c>
      <c r="B170" s="22" t="inlineStr">
        <is>
          <t>المالية الاستراتيجية</t>
        </is>
      </c>
      <c r="C170" s="22" t="inlineStr">
        <is>
          <t>العائد على حقوق الملكية (ROE)</t>
        </is>
      </c>
      <c r="D170" s="23" t="inlineStr">
        <is>
          <t>🎯 نتيجة</t>
        </is>
      </c>
      <c r="E170" s="35" t="inlineStr">
        <is>
          <t>%</t>
        </is>
      </c>
      <c r="F170" s="35" t="inlineStr">
        <is>
          <t>↑</t>
        </is>
      </c>
      <c r="G170" s="23" t="inlineStr">
        <is>
          <t>🔴 رئيسي</t>
        </is>
      </c>
      <c r="H170" s="32" t="n">
        <v>0.05</v>
      </c>
      <c r="I170" s="35" t="n">
        <v>0.1</v>
      </c>
      <c r="J170" s="35" t="n">
        <v>0.074</v>
      </c>
      <c r="K170" s="32" t="n">
        <v>0.7399999999999999</v>
      </c>
      <c r="L170" s="14" t="inlineStr">
        <is>
          <t>🔴 تحت الهدف</t>
        </is>
      </c>
      <c r="M170" s="14" t="inlineStr">
        <is>
          <t>النمو</t>
        </is>
      </c>
      <c r="N170" s="26" t="inlineStr">
        <is>
          <t>زيادة وصول العملاء</t>
        </is>
      </c>
      <c r="O170" s="23" t="inlineStr">
        <is>
          <t>مالي</t>
        </is>
      </c>
      <c r="P170" s="23" t="inlineStr">
        <is>
          <t>المدير المالي</t>
        </is>
      </c>
      <c r="Q170" s="26" t="inlineStr">
        <is>
          <t>نظام المحاسبة / ERP (D365)</t>
        </is>
      </c>
      <c r="R170" s="23" t="inlineStr">
        <is>
          <t>ربعي</t>
        </is>
      </c>
    </row>
    <row r="171">
      <c r="A171" s="22" t="inlineStr">
        <is>
          <t>الإدارة المالية</t>
        </is>
      </c>
      <c r="B171" s="22" t="inlineStr">
        <is>
          <t>المالية الاستراتيجية</t>
        </is>
      </c>
      <c r="C171" s="22" t="inlineStr">
        <is>
          <t>نسبة التدفق النقدي التشغيلي</t>
        </is>
      </c>
      <c r="D171" s="23" t="inlineStr">
        <is>
          <t>🔧 تشغيلي</t>
        </is>
      </c>
      <c r="E171" s="35" t="inlineStr">
        <is>
          <t>نسبة</t>
        </is>
      </c>
      <c r="F171" s="35" t="inlineStr">
        <is>
          <t>↑</t>
        </is>
      </c>
      <c r="G171" s="23" t="inlineStr">
        <is>
          <t>🟠 مهم</t>
        </is>
      </c>
      <c r="H171" s="32" t="n">
        <v>0.04</v>
      </c>
      <c r="I171" s="35" t="n">
        <v>1</v>
      </c>
      <c r="J171" s="35" t="n">
        <v>0.902</v>
      </c>
      <c r="K171" s="32" t="n">
        <v>0.902</v>
      </c>
      <c r="L171" s="14" t="inlineStr">
        <is>
          <t>🟡 قريب</t>
        </is>
      </c>
      <c r="M171" s="14" t="inlineStr">
        <is>
          <t>الاستدامة</t>
        </is>
      </c>
      <c r="N171" s="26" t="inlineStr">
        <is>
          <t>جودة التشغيل</t>
        </is>
      </c>
      <c r="O171" s="23" t="inlineStr">
        <is>
          <t>العمليات الداخلية</t>
        </is>
      </c>
      <c r="P171" s="23" t="inlineStr">
        <is>
          <t>المدير المالي</t>
        </is>
      </c>
      <c r="Q171" s="26" t="inlineStr">
        <is>
          <t>نظام المحاسبة / ERP (D365)</t>
        </is>
      </c>
      <c r="R171" s="23" t="inlineStr">
        <is>
          <t>شهري</t>
        </is>
      </c>
    </row>
    <row r="172">
      <c r="A172" s="22" t="inlineStr">
        <is>
          <t>الإدارة المالية</t>
        </is>
      </c>
      <c r="B172" s="22" t="inlineStr">
        <is>
          <t>السيولة ورأس المال</t>
        </is>
      </c>
      <c r="C172" s="22" t="inlineStr">
        <is>
          <t>النسبة الجارية (Current Ratio)</t>
        </is>
      </c>
      <c r="D172" s="23" t="inlineStr">
        <is>
          <t>🔧 تشغيلي</t>
        </is>
      </c>
      <c r="E172" s="35" t="inlineStr">
        <is>
          <t>نسبة</t>
        </is>
      </c>
      <c r="F172" s="35" t="inlineStr">
        <is>
          <t>↑</t>
        </is>
      </c>
      <c r="G172" s="23" t="inlineStr">
        <is>
          <t>🟠 مهم</t>
        </is>
      </c>
      <c r="H172" s="32" t="n">
        <v>0.04</v>
      </c>
      <c r="I172" s="35" t="n">
        <v>1</v>
      </c>
      <c r="J172" s="35" t="n">
        <v>0.852</v>
      </c>
      <c r="K172" s="32" t="n">
        <v>0.852</v>
      </c>
      <c r="L172" s="14" t="inlineStr">
        <is>
          <t>🟡 قريب</t>
        </is>
      </c>
      <c r="M172" s="14" t="inlineStr">
        <is>
          <t>الاستدامة</t>
        </is>
      </c>
      <c r="N172" s="26" t="inlineStr">
        <is>
          <t>جودة التشغيل</t>
        </is>
      </c>
      <c r="O172" s="23" t="inlineStr">
        <is>
          <t>العمليات الداخلية</t>
        </is>
      </c>
      <c r="P172" s="23" t="inlineStr">
        <is>
          <t>المدير المالي</t>
        </is>
      </c>
      <c r="Q172" s="26" t="inlineStr">
        <is>
          <t>سجلات الإدارة</t>
        </is>
      </c>
      <c r="R172" s="23" t="inlineStr">
        <is>
          <t>شهري</t>
        </is>
      </c>
    </row>
    <row r="173">
      <c r="A173" s="22" t="inlineStr">
        <is>
          <t>الإدارة المالية</t>
        </is>
      </c>
      <c r="B173" s="22" t="inlineStr">
        <is>
          <t>السيولة ورأس المال</t>
        </is>
      </c>
      <c r="C173" s="22" t="inlineStr">
        <is>
          <t>دورة التحويل النقدي</t>
        </is>
      </c>
      <c r="D173" s="23" t="inlineStr">
        <is>
          <t>🔧 تشغيلي</t>
        </is>
      </c>
      <c r="E173" s="35" t="inlineStr">
        <is>
          <t>يوم</t>
        </is>
      </c>
      <c r="F173" s="35" t="inlineStr">
        <is>
          <t>↓</t>
        </is>
      </c>
      <c r="G173" s="23" t="inlineStr">
        <is>
          <t>🔴 رئيسي</t>
        </is>
      </c>
      <c r="H173" s="32" t="n">
        <v>0.05</v>
      </c>
      <c r="I173" s="35" t="n">
        <v>20</v>
      </c>
      <c r="J173" s="35" t="n">
        <v>19.3</v>
      </c>
      <c r="K173" s="32" t="n">
        <v>1</v>
      </c>
      <c r="L173" s="14" t="inlineStr">
        <is>
          <t>✅ محقق</t>
        </is>
      </c>
      <c r="M173" s="14" t="inlineStr">
        <is>
          <t>الاستدامة</t>
        </is>
      </c>
      <c r="N173" s="26" t="inlineStr">
        <is>
          <t>جودة التشغيل</t>
        </is>
      </c>
      <c r="O173" s="23" t="inlineStr">
        <is>
          <t>العمليات الداخلية</t>
        </is>
      </c>
      <c r="P173" s="23" t="inlineStr">
        <is>
          <t>المدير المالي</t>
        </is>
      </c>
      <c r="Q173" s="26" t="inlineStr">
        <is>
          <t>نظام المحاسبة / ERP (D365)</t>
        </is>
      </c>
      <c r="R173" s="23" t="inlineStr">
        <is>
          <t>شهري</t>
        </is>
      </c>
    </row>
    <row r="174">
      <c r="A174" s="22" t="inlineStr">
        <is>
          <t>الإدارة المالية</t>
        </is>
      </c>
      <c r="B174" s="22" t="inlineStr">
        <is>
          <t>الذمم المدينة</t>
        </is>
      </c>
      <c r="C174" s="22" t="inlineStr">
        <is>
          <t>متوسط أيام التحصيل (DSO)</t>
        </is>
      </c>
      <c r="D174" s="23" t="inlineStr">
        <is>
          <t>🎯 نتيجة</t>
        </is>
      </c>
      <c r="E174" s="35" t="inlineStr">
        <is>
          <t>يوم</t>
        </is>
      </c>
      <c r="F174" s="35" t="inlineStr">
        <is>
          <t>↓</t>
        </is>
      </c>
      <c r="G174" s="23" t="inlineStr">
        <is>
          <t>🔴 رئيسي</t>
        </is>
      </c>
      <c r="H174" s="32" t="n">
        <v>0.05</v>
      </c>
      <c r="I174" s="35" t="n">
        <v>30</v>
      </c>
      <c r="J174" s="35" t="n">
        <v>26</v>
      </c>
      <c r="K174" s="32" t="n">
        <v>1</v>
      </c>
      <c r="L174" s="14" t="inlineStr">
        <is>
          <t>✅ محقق</t>
        </is>
      </c>
      <c r="M174" s="14" t="inlineStr">
        <is>
          <t>الاستدامة</t>
        </is>
      </c>
      <c r="N174" s="26" t="inlineStr">
        <is>
          <t>جودة التشغيل</t>
        </is>
      </c>
      <c r="O174" s="23" t="inlineStr">
        <is>
          <t>مالي</t>
        </is>
      </c>
      <c r="P174" s="23" t="inlineStr">
        <is>
          <t>المدير المالي</t>
        </is>
      </c>
      <c r="Q174" s="26" t="inlineStr">
        <is>
          <t>نظام المحاسبة / ERP (D365)</t>
        </is>
      </c>
      <c r="R174" s="23" t="inlineStr">
        <is>
          <t>شهري</t>
        </is>
      </c>
    </row>
    <row r="175">
      <c r="A175" s="22" t="inlineStr">
        <is>
          <t>الإدارة المالية</t>
        </is>
      </c>
      <c r="B175" s="22" t="inlineStr">
        <is>
          <t>الذمم المدينة</t>
        </is>
      </c>
      <c r="C175" s="22" t="inlineStr">
        <is>
          <t>نسبة التحصيل</t>
        </is>
      </c>
      <c r="D175" s="23" t="inlineStr">
        <is>
          <t>🎯 نتيجة</t>
        </is>
      </c>
      <c r="E175" s="35" t="inlineStr">
        <is>
          <t>%</t>
        </is>
      </c>
      <c r="F175" s="35" t="inlineStr">
        <is>
          <t>↑</t>
        </is>
      </c>
      <c r="G175" s="23" t="inlineStr">
        <is>
          <t>🔴 رئيسي</t>
        </is>
      </c>
      <c r="H175" s="32" t="n">
        <v>0.05</v>
      </c>
      <c r="I175" s="35" t="n">
        <v>0.95</v>
      </c>
      <c r="J175" s="35" t="n">
        <v>0.716</v>
      </c>
      <c r="K175" s="32" t="n">
        <v>0.7536842105263158</v>
      </c>
      <c r="L175" s="14" t="inlineStr">
        <is>
          <t>🔴 تحت الهدف</t>
        </is>
      </c>
      <c r="M175" s="14" t="inlineStr">
        <is>
          <t>الاستدامة</t>
        </is>
      </c>
      <c r="N175" s="26" t="inlineStr">
        <is>
          <t>جودة التشغيل</t>
        </is>
      </c>
      <c r="O175" s="23" t="inlineStr">
        <is>
          <t>مالي</t>
        </is>
      </c>
      <c r="P175" s="23" t="inlineStr">
        <is>
          <t>المدير المالي</t>
        </is>
      </c>
      <c r="Q175" s="26" t="inlineStr">
        <is>
          <t>نظام المحاسبة / ERP (D365)</t>
        </is>
      </c>
      <c r="R175" s="23" t="inlineStr">
        <is>
          <t>شهري</t>
        </is>
      </c>
    </row>
    <row r="176">
      <c r="A176" s="22" t="inlineStr">
        <is>
          <t>الإدارة المالية</t>
        </is>
      </c>
      <c r="B176" s="22" t="inlineStr">
        <is>
          <t>الذمم المدينة</t>
        </is>
      </c>
      <c r="C176" s="22" t="inlineStr">
        <is>
          <t>نسبة الذمم المتأخرة</t>
        </is>
      </c>
      <c r="D176" s="23" t="inlineStr">
        <is>
          <t>🔧 تشغيلي</t>
        </is>
      </c>
      <c r="E176" s="35" t="inlineStr">
        <is>
          <t>%</t>
        </is>
      </c>
      <c r="F176" s="35" t="inlineStr">
        <is>
          <t>↓</t>
        </is>
      </c>
      <c r="G176" s="23" t="inlineStr">
        <is>
          <t>🟠 مهم</t>
        </is>
      </c>
      <c r="H176" s="32" t="n">
        <v>0.04</v>
      </c>
      <c r="I176" s="35" t="n">
        <v>0.1</v>
      </c>
      <c r="J176" s="35" t="n">
        <v>0.099</v>
      </c>
      <c r="K176" s="32" t="n">
        <v>1</v>
      </c>
      <c r="L176" s="14" t="inlineStr">
        <is>
          <t>✅ محقق</t>
        </is>
      </c>
      <c r="M176" s="14" t="inlineStr">
        <is>
          <t>الاستدامة</t>
        </is>
      </c>
      <c r="N176" s="26" t="inlineStr">
        <is>
          <t>جودة التشغيل</t>
        </is>
      </c>
      <c r="O176" s="23" t="inlineStr">
        <is>
          <t>العمليات الداخلية</t>
        </is>
      </c>
      <c r="P176" s="23" t="inlineStr">
        <is>
          <t>المدير المالي</t>
        </is>
      </c>
      <c r="Q176" s="26" t="inlineStr">
        <is>
          <t>نظام المحاسبة / ERP (D365)</t>
        </is>
      </c>
      <c r="R176" s="23" t="inlineStr">
        <is>
          <t>شهري</t>
        </is>
      </c>
    </row>
    <row r="177">
      <c r="A177" s="22" t="inlineStr">
        <is>
          <t>الإدارة المالية</t>
        </is>
      </c>
      <c r="B177" s="22" t="inlineStr">
        <is>
          <t>الذمم المدينة</t>
        </is>
      </c>
      <c r="C177" s="22" t="inlineStr">
        <is>
          <t>نسبة الديون المعدومة</t>
        </is>
      </c>
      <c r="D177" s="23" t="inlineStr">
        <is>
          <t>🔧 تشغيلي</t>
        </is>
      </c>
      <c r="E177" s="35" t="inlineStr">
        <is>
          <t>%</t>
        </is>
      </c>
      <c r="F177" s="35" t="inlineStr">
        <is>
          <t>↓</t>
        </is>
      </c>
      <c r="G177" s="23" t="inlineStr">
        <is>
          <t>🟠 مهم</t>
        </is>
      </c>
      <c r="H177" s="32" t="n">
        <v>0.04</v>
      </c>
      <c r="I177" s="35" t="n">
        <v>0.01</v>
      </c>
      <c r="J177" s="35" t="n">
        <v>0.008999999999999999</v>
      </c>
      <c r="K177" s="32" t="n">
        <v>1</v>
      </c>
      <c r="L177" s="14" t="inlineStr">
        <is>
          <t>✅ محقق</t>
        </is>
      </c>
      <c r="M177" s="14" t="inlineStr">
        <is>
          <t>الاستدامة</t>
        </is>
      </c>
      <c r="N177" s="26" t="inlineStr">
        <is>
          <t>جودة التشغيل</t>
        </is>
      </c>
      <c r="O177" s="23" t="inlineStr">
        <is>
          <t>العمليات الداخلية</t>
        </is>
      </c>
      <c r="P177" s="23" t="inlineStr">
        <is>
          <t>المدير المالي</t>
        </is>
      </c>
      <c r="Q177" s="26" t="inlineStr">
        <is>
          <t>نظام المحاسبة / ERP (D365)</t>
        </is>
      </c>
      <c r="R177" s="23" t="inlineStr">
        <is>
          <t>شهري</t>
        </is>
      </c>
    </row>
    <row r="178">
      <c r="A178" s="22" t="inlineStr">
        <is>
          <t>الإدارة المالية</t>
        </is>
      </c>
      <c r="B178" s="22" t="inlineStr">
        <is>
          <t>الذمم الدائنة</t>
        </is>
      </c>
      <c r="C178" s="22" t="inlineStr">
        <is>
          <t>سداد الموردين في الموعد</t>
        </is>
      </c>
      <c r="D178" s="23" t="inlineStr">
        <is>
          <t>🔧 تشغيلي</t>
        </is>
      </c>
      <c r="E178" s="35" t="inlineStr">
        <is>
          <t>%</t>
        </is>
      </c>
      <c r="F178" s="35" t="inlineStr">
        <is>
          <t>↑</t>
        </is>
      </c>
      <c r="G178" s="23" t="inlineStr">
        <is>
          <t>🟠 مهم</t>
        </is>
      </c>
      <c r="H178" s="32" t="n">
        <v>0.04</v>
      </c>
      <c r="I178" s="35" t="n">
        <v>0.98</v>
      </c>
      <c r="J178" s="35" t="n">
        <v>0.754</v>
      </c>
      <c r="K178" s="32" t="n">
        <v>0.7693877551020408</v>
      </c>
      <c r="L178" s="14" t="inlineStr">
        <is>
          <t>🔴 تحت الهدف</t>
        </is>
      </c>
      <c r="M178" s="14" t="inlineStr">
        <is>
          <t>الاستدامة</t>
        </is>
      </c>
      <c r="N178" s="26" t="inlineStr">
        <is>
          <t>جودة التشغيل</t>
        </is>
      </c>
      <c r="O178" s="23" t="inlineStr">
        <is>
          <t>مالي</t>
        </is>
      </c>
      <c r="P178" s="23" t="inlineStr">
        <is>
          <t>المدير المالي</t>
        </is>
      </c>
      <c r="Q178" s="26" t="inlineStr">
        <is>
          <t>نظام المحاسبة / ERP (D365)</t>
        </is>
      </c>
      <c r="R178" s="23" t="inlineStr">
        <is>
          <t>شهري</t>
        </is>
      </c>
    </row>
    <row r="179">
      <c r="A179" s="22" t="inlineStr">
        <is>
          <t>الإدارة المالية</t>
        </is>
      </c>
      <c r="B179" s="22" t="inlineStr">
        <is>
          <t>الذمم الدائنة</t>
        </is>
      </c>
      <c r="C179" s="22" t="inlineStr">
        <is>
          <t>اكتمال مطابقة حسابات الموردين</t>
        </is>
      </c>
      <c r="D179" s="23" t="inlineStr">
        <is>
          <t>⚙️ نشاط</t>
        </is>
      </c>
      <c r="E179" s="35" t="inlineStr">
        <is>
          <t>%</t>
        </is>
      </c>
      <c r="F179" s="35" t="inlineStr">
        <is>
          <t>↑</t>
        </is>
      </c>
      <c r="G179" s="23" t="inlineStr">
        <is>
          <t>🟠 مهم</t>
        </is>
      </c>
      <c r="H179" s="32" t="n">
        <v>0.04</v>
      </c>
      <c r="I179" s="35" t="n">
        <v>0.95</v>
      </c>
      <c r="J179" s="35" t="n">
        <v>0.926</v>
      </c>
      <c r="K179" s="32" t="n">
        <v>0.9747368421052632</v>
      </c>
      <c r="L179" s="14" t="inlineStr">
        <is>
          <t>🟡 قريب</t>
        </is>
      </c>
      <c r="M179" s="14" t="inlineStr">
        <is>
          <t>الاستدامة</t>
        </is>
      </c>
      <c r="N179" s="26" t="inlineStr">
        <is>
          <t>جودة التشغيل</t>
        </is>
      </c>
      <c r="O179" s="23" t="inlineStr">
        <is>
          <t>العمليات الداخلية</t>
        </is>
      </c>
      <c r="P179" s="23" t="inlineStr">
        <is>
          <t>المدير المالي</t>
        </is>
      </c>
      <c r="Q179" s="26" t="inlineStr">
        <is>
          <t>نظام المحاسبة / ERP (D365)</t>
        </is>
      </c>
      <c r="R179" s="23" t="inlineStr">
        <is>
          <t>شهري</t>
        </is>
      </c>
    </row>
    <row r="180">
      <c r="A180" s="22" t="inlineStr">
        <is>
          <t>الإدارة المالية</t>
        </is>
      </c>
      <c r="B180" s="22" t="inlineStr">
        <is>
          <t>الخزينة</t>
        </is>
      </c>
      <c r="C180" s="22" t="inlineStr">
        <is>
          <t>دقة التنبؤ النقدي</t>
        </is>
      </c>
      <c r="D180" s="23" t="inlineStr">
        <is>
          <t>🔧 تشغيلي</t>
        </is>
      </c>
      <c r="E180" s="35" t="inlineStr">
        <is>
          <t>%</t>
        </is>
      </c>
      <c r="F180" s="35" t="inlineStr">
        <is>
          <t>↑</t>
        </is>
      </c>
      <c r="G180" s="23" t="inlineStr">
        <is>
          <t>🟠 مهم</t>
        </is>
      </c>
      <c r="H180" s="32" t="n">
        <v>0.04</v>
      </c>
      <c r="I180" s="35" t="n">
        <v>0.9</v>
      </c>
      <c r="J180" s="35" t="n">
        <v>0.9</v>
      </c>
      <c r="K180" s="32" t="n">
        <v>1</v>
      </c>
      <c r="L180" s="14" t="inlineStr">
        <is>
          <t>✅ محقق</t>
        </is>
      </c>
      <c r="M180" s="14" t="inlineStr">
        <is>
          <t>الاستدامة</t>
        </is>
      </c>
      <c r="N180" s="26" t="inlineStr">
        <is>
          <t>جودة التشغيل</t>
        </is>
      </c>
      <c r="O180" s="23" t="inlineStr">
        <is>
          <t>العمليات الداخلية</t>
        </is>
      </c>
      <c r="P180" s="23" t="inlineStr">
        <is>
          <t>المدير المالي</t>
        </is>
      </c>
      <c r="Q180" s="26" t="inlineStr">
        <is>
          <t>نظام المحاسبة / ERP (D365)</t>
        </is>
      </c>
      <c r="R180" s="23" t="inlineStr">
        <is>
          <t>شهري</t>
        </is>
      </c>
    </row>
    <row r="181">
      <c r="A181" s="22" t="inlineStr">
        <is>
          <t>الإدارة المالية</t>
        </is>
      </c>
      <c r="B181" s="22" t="inlineStr">
        <is>
          <t>صناعة الوقود</t>
        </is>
      </c>
      <c r="C181" s="22" t="inlineStr">
        <is>
          <t>تباين مخزون الوقود</t>
        </is>
      </c>
      <c r="D181" s="23" t="inlineStr">
        <is>
          <t>🔧 تشغيلي</t>
        </is>
      </c>
      <c r="E181" s="35" t="inlineStr">
        <is>
          <t>%</t>
        </is>
      </c>
      <c r="F181" s="35" t="inlineStr">
        <is>
          <t>↓</t>
        </is>
      </c>
      <c r="G181" s="23" t="inlineStr">
        <is>
          <t>🟠 مهم</t>
        </is>
      </c>
      <c r="H181" s="32" t="n">
        <v>0.04</v>
      </c>
      <c r="I181" s="35" t="n">
        <v>0.001</v>
      </c>
      <c r="J181" s="35" t="n">
        <v>0.001</v>
      </c>
      <c r="K181" s="32" t="n">
        <v>1</v>
      </c>
      <c r="L181" s="14" t="inlineStr">
        <is>
          <t>✅ محقق</t>
        </is>
      </c>
      <c r="M181" s="14" t="inlineStr">
        <is>
          <t>الاستدامة</t>
        </is>
      </c>
      <c r="N181" s="26" t="inlineStr">
        <is>
          <t>جودة التشغيل</t>
        </is>
      </c>
      <c r="O181" s="23" t="inlineStr">
        <is>
          <t>العمليات الداخلية</t>
        </is>
      </c>
      <c r="P181" s="23" t="inlineStr">
        <is>
          <t>المدير المالي</t>
        </is>
      </c>
      <c r="Q181" s="26" t="inlineStr">
        <is>
          <t>نظام تشغيل المحطات</t>
        </is>
      </c>
      <c r="R181" s="23" t="inlineStr">
        <is>
          <t>شهري</t>
        </is>
      </c>
    </row>
    <row r="182">
      <c r="A182" s="22" t="inlineStr">
        <is>
          <t>الإدارة المالية</t>
        </is>
      </c>
      <c r="B182" s="22" t="inlineStr">
        <is>
          <t>صناعة الوقود</t>
        </is>
      </c>
      <c r="C182" s="22" t="inlineStr">
        <is>
          <t>دقة مطابقة المخزون</t>
        </is>
      </c>
      <c r="D182" s="23" t="inlineStr">
        <is>
          <t>🔧 تشغيلي</t>
        </is>
      </c>
      <c r="E182" s="35" t="inlineStr">
        <is>
          <t>%</t>
        </is>
      </c>
      <c r="F182" s="35" t="inlineStr">
        <is>
          <t>↑</t>
        </is>
      </c>
      <c r="G182" s="23" t="inlineStr">
        <is>
          <t>🟠 مهم</t>
        </is>
      </c>
      <c r="H182" s="32" t="n">
        <v>0.03</v>
      </c>
      <c r="I182" s="35" t="n">
        <v>0.995</v>
      </c>
      <c r="J182" s="35" t="n">
        <v>0.776</v>
      </c>
      <c r="K182" s="32" t="n">
        <v>0.7798994974874373</v>
      </c>
      <c r="L182" s="14" t="inlineStr">
        <is>
          <t>🔴 تحت الهدف</t>
        </is>
      </c>
      <c r="M182" s="14" t="inlineStr">
        <is>
          <t>الاستدامة</t>
        </is>
      </c>
      <c r="N182" s="26" t="inlineStr">
        <is>
          <t>جودة التشغيل</t>
        </is>
      </c>
      <c r="O182" s="23" t="inlineStr">
        <is>
          <t>العمليات الداخلية</t>
        </is>
      </c>
      <c r="P182" s="23" t="inlineStr">
        <is>
          <t>المدير المالي</t>
        </is>
      </c>
      <c r="Q182" s="26" t="inlineStr">
        <is>
          <t>نظام إدارة الجودة (QMS)</t>
        </is>
      </c>
      <c r="R182" s="23" t="inlineStr">
        <is>
          <t>شهري</t>
        </is>
      </c>
    </row>
    <row r="183">
      <c r="A183" s="22" t="inlineStr">
        <is>
          <t>الإدارة المالية</t>
        </is>
      </c>
      <c r="B183" s="22" t="inlineStr">
        <is>
          <t>صناعة الوقود</t>
        </is>
      </c>
      <c r="C183" s="22" t="inlineStr">
        <is>
          <t>دقة تسوية أرامكو</t>
        </is>
      </c>
      <c r="D183" s="23" t="inlineStr">
        <is>
          <t>🔧 تشغيلي</t>
        </is>
      </c>
      <c r="E183" s="35" t="inlineStr">
        <is>
          <t>%</t>
        </is>
      </c>
      <c r="F183" s="35" t="inlineStr">
        <is>
          <t>↑</t>
        </is>
      </c>
      <c r="G183" s="23" t="inlineStr">
        <is>
          <t>🟠 مهم</t>
        </is>
      </c>
      <c r="H183" s="32" t="n">
        <v>0.03</v>
      </c>
      <c r="I183" s="35" t="n">
        <v>1</v>
      </c>
      <c r="J183" s="35" t="n">
        <v>0.76</v>
      </c>
      <c r="K183" s="32" t="n">
        <v>0.76</v>
      </c>
      <c r="L183" s="14" t="inlineStr">
        <is>
          <t>🔴 تحت الهدف</t>
        </is>
      </c>
      <c r="M183" s="14" t="inlineStr">
        <is>
          <t>الاستدامة</t>
        </is>
      </c>
      <c r="N183" s="26" t="inlineStr">
        <is>
          <t>جودة التشغيل</t>
        </is>
      </c>
      <c r="O183" s="23" t="inlineStr">
        <is>
          <t>العمليات الداخلية</t>
        </is>
      </c>
      <c r="P183" s="23" t="inlineStr">
        <is>
          <t>المدير المالي</t>
        </is>
      </c>
      <c r="Q183" s="26" t="inlineStr">
        <is>
          <t>نظام تشغيل المحطات</t>
        </is>
      </c>
      <c r="R183" s="23" t="inlineStr">
        <is>
          <t>شهري</t>
        </is>
      </c>
    </row>
    <row r="184">
      <c r="A184" s="22" t="inlineStr">
        <is>
          <t>الإدارة المالية</t>
        </is>
      </c>
      <c r="B184" s="22" t="inlineStr">
        <is>
          <t>تمويل الامتياز</t>
        </is>
      </c>
      <c r="C184" s="22" t="inlineStr">
        <is>
          <t>نسبة تحصيل الامتياز</t>
        </is>
      </c>
      <c r="D184" s="23" t="inlineStr">
        <is>
          <t>🎯 نتيجة</t>
        </is>
      </c>
      <c r="E184" s="35" t="inlineStr">
        <is>
          <t>%</t>
        </is>
      </c>
      <c r="F184" s="35" t="inlineStr">
        <is>
          <t>↑</t>
        </is>
      </c>
      <c r="G184" s="23" t="inlineStr">
        <is>
          <t>🔴 رئيسي</t>
        </is>
      </c>
      <c r="H184" s="32" t="n">
        <v>0.05</v>
      </c>
      <c r="I184" s="35" t="n">
        <v>0.98</v>
      </c>
      <c r="J184" s="35" t="n">
        <v>0.91</v>
      </c>
      <c r="K184" s="32" t="n">
        <v>0.9285714285714286</v>
      </c>
      <c r="L184" s="14" t="inlineStr">
        <is>
          <t>🟡 قريب</t>
        </is>
      </c>
      <c r="M184" s="14" t="inlineStr">
        <is>
          <t>النمو</t>
        </is>
      </c>
      <c r="N184" s="26" t="inlineStr">
        <is>
          <t>الامتياز التجاري</t>
        </is>
      </c>
      <c r="O184" s="23" t="inlineStr">
        <is>
          <t>مالي</t>
        </is>
      </c>
      <c r="P184" s="23" t="inlineStr">
        <is>
          <t>المدير المالي</t>
        </is>
      </c>
      <c r="Q184" s="26" t="inlineStr">
        <is>
          <t>نظام المحاسبة / ERP (D365)</t>
        </is>
      </c>
      <c r="R184" s="23" t="inlineStr">
        <is>
          <t>شهري</t>
        </is>
      </c>
    </row>
    <row r="185">
      <c r="A185" s="22" t="inlineStr">
        <is>
          <t>الإدارة المالية</t>
        </is>
      </c>
      <c r="B185" s="22" t="inlineStr">
        <is>
          <t>تمويل الامتياز</t>
        </is>
      </c>
      <c r="C185" s="22" t="inlineStr">
        <is>
          <t>أيام تحصيل رسوم الامتياز</t>
        </is>
      </c>
      <c r="D185" s="23" t="inlineStr">
        <is>
          <t>🎯 نتيجة</t>
        </is>
      </c>
      <c r="E185" s="35" t="inlineStr">
        <is>
          <t>يوم</t>
        </is>
      </c>
      <c r="F185" s="35" t="inlineStr">
        <is>
          <t>↓</t>
        </is>
      </c>
      <c r="G185" s="23" t="inlineStr">
        <is>
          <t>🔴 رئيسي</t>
        </is>
      </c>
      <c r="H185" s="32" t="n">
        <v>0.05</v>
      </c>
      <c r="I185" s="35" t="n">
        <v>15</v>
      </c>
      <c r="J185" s="35" t="n">
        <v>15.8</v>
      </c>
      <c r="K185" s="32" t="n">
        <v>0.9493670886075949</v>
      </c>
      <c r="L185" s="14" t="inlineStr">
        <is>
          <t>🟡 قريب</t>
        </is>
      </c>
      <c r="M185" s="14" t="inlineStr">
        <is>
          <t>النمو</t>
        </is>
      </c>
      <c r="N185" s="26" t="inlineStr">
        <is>
          <t>الامتياز التجاري</t>
        </is>
      </c>
      <c r="O185" s="23" t="inlineStr">
        <is>
          <t>مالي</t>
        </is>
      </c>
      <c r="P185" s="23" t="inlineStr">
        <is>
          <t>المدير المالي</t>
        </is>
      </c>
      <c r="Q185" s="26" t="inlineStr">
        <is>
          <t>نظام المحاسبة / ERP (D365)</t>
        </is>
      </c>
      <c r="R185" s="23" t="inlineStr">
        <is>
          <t>شهري</t>
        </is>
      </c>
    </row>
    <row r="186">
      <c r="A186" s="22" t="inlineStr">
        <is>
          <t>الإدارة المالية</t>
        </is>
      </c>
      <c r="B186" s="22" t="inlineStr">
        <is>
          <t>العقار والإيجار</t>
        </is>
      </c>
      <c r="C186" s="22" t="inlineStr">
        <is>
          <t>نسبة تحصيل الإيجار</t>
        </is>
      </c>
      <c r="D186" s="23" t="inlineStr">
        <is>
          <t>🎯 نتيجة</t>
        </is>
      </c>
      <c r="E186" s="35" t="inlineStr">
        <is>
          <t>%</t>
        </is>
      </c>
      <c r="F186" s="35" t="inlineStr">
        <is>
          <t>↑</t>
        </is>
      </c>
      <c r="G186" s="23" t="inlineStr">
        <is>
          <t>🔴 رئيسي</t>
        </is>
      </c>
      <c r="H186" s="32" t="n">
        <v>0.05</v>
      </c>
      <c r="I186" s="35" t="n">
        <v>0.98</v>
      </c>
      <c r="J186" s="35" t="n">
        <v>1.027</v>
      </c>
      <c r="K186" s="32" t="n">
        <v>1</v>
      </c>
      <c r="L186" s="14" t="inlineStr">
        <is>
          <t>✅ محقق</t>
        </is>
      </c>
      <c r="M186" s="14" t="inlineStr">
        <is>
          <t>الاستدامة</t>
        </is>
      </c>
      <c r="N186" s="26" t="inlineStr">
        <is>
          <t>منظومة التأجير</t>
        </is>
      </c>
      <c r="O186" s="23" t="inlineStr">
        <is>
          <t>مالي</t>
        </is>
      </c>
      <c r="P186" s="23" t="inlineStr">
        <is>
          <t>المدير المالي</t>
        </is>
      </c>
      <c r="Q186" s="26" t="inlineStr">
        <is>
          <t>نظام المحاسبة / ERP (D365)</t>
        </is>
      </c>
      <c r="R186" s="23" t="inlineStr">
        <is>
          <t>شهري</t>
        </is>
      </c>
    </row>
    <row r="187">
      <c r="A187" s="22" t="inlineStr">
        <is>
          <t>الإدارة المالية</t>
        </is>
      </c>
      <c r="B187" s="22" t="inlineStr">
        <is>
          <t>العقار والإيجار</t>
        </is>
      </c>
      <c r="C187" s="22" t="inlineStr">
        <is>
          <t>معدل تجديد عقود الإيجار</t>
        </is>
      </c>
      <c r="D187" s="23" t="inlineStr">
        <is>
          <t>🔧 تشغيلي</t>
        </is>
      </c>
      <c r="E187" s="35" t="inlineStr">
        <is>
          <t>%</t>
        </is>
      </c>
      <c r="F187" s="35" t="inlineStr">
        <is>
          <t>↑</t>
        </is>
      </c>
      <c r="G187" s="23" t="inlineStr">
        <is>
          <t>🔴 رئيسي</t>
        </is>
      </c>
      <c r="H187" s="32" t="n">
        <v>0.05</v>
      </c>
      <c r="I187" s="35" t="n">
        <v>0.9</v>
      </c>
      <c r="J187" s="35" t="n">
        <v>0.702</v>
      </c>
      <c r="K187" s="32" t="n">
        <v>0.7799999999999999</v>
      </c>
      <c r="L187" s="14" t="inlineStr">
        <is>
          <t>🔴 تحت الهدف</t>
        </is>
      </c>
      <c r="M187" s="14" t="inlineStr">
        <is>
          <t>الاستدامة</t>
        </is>
      </c>
      <c r="N187" s="26" t="inlineStr">
        <is>
          <t>منظومة التأجير</t>
        </is>
      </c>
      <c r="O187" s="23" t="inlineStr">
        <is>
          <t>العمليات الداخلية</t>
        </is>
      </c>
      <c r="P187" s="23" t="inlineStr">
        <is>
          <t>المدير المالي</t>
        </is>
      </c>
      <c r="Q187" s="26" t="inlineStr">
        <is>
          <t>نظام إدارة العقود (CRM)</t>
        </is>
      </c>
      <c r="R187" s="23" t="inlineStr">
        <is>
          <t>شهري</t>
        </is>
      </c>
    </row>
    <row r="188">
      <c r="A188" s="22" t="inlineStr">
        <is>
          <t>الإدارة المالية</t>
        </is>
      </c>
      <c r="B188" s="22" t="inlineStr">
        <is>
          <t>الموازنة والتقارير</t>
        </is>
      </c>
      <c r="C188" s="22" t="inlineStr">
        <is>
          <t>انحراف الموازنة</t>
        </is>
      </c>
      <c r="D188" s="23" t="inlineStr">
        <is>
          <t>🔧 تشغيلي</t>
        </is>
      </c>
      <c r="E188" s="35" t="inlineStr">
        <is>
          <t>%</t>
        </is>
      </c>
      <c r="F188" s="35" t="inlineStr">
        <is>
          <t>↓</t>
        </is>
      </c>
      <c r="G188" s="23" t="inlineStr">
        <is>
          <t>🟠 مهم</t>
        </is>
      </c>
      <c r="H188" s="32" t="n">
        <v>0.03</v>
      </c>
      <c r="I188" s="35" t="n">
        <v>0.1</v>
      </c>
      <c r="J188" s="35" t="n">
        <v>0.101</v>
      </c>
      <c r="K188" s="32" t="n">
        <v>0.9900990099009901</v>
      </c>
      <c r="L188" s="14" t="inlineStr">
        <is>
          <t>🟡 قريب</t>
        </is>
      </c>
      <c r="M188" s="14" t="inlineStr">
        <is>
          <t>الاستدامة</t>
        </is>
      </c>
      <c r="N188" s="26" t="inlineStr">
        <is>
          <t>جودة التشغيل</t>
        </is>
      </c>
      <c r="O188" s="23" t="inlineStr">
        <is>
          <t>العمليات الداخلية</t>
        </is>
      </c>
      <c r="P188" s="23" t="inlineStr">
        <is>
          <t>المدير المالي</t>
        </is>
      </c>
      <c r="Q188" s="26" t="inlineStr">
        <is>
          <t>نظام المحاسبة / ERP (D365)</t>
        </is>
      </c>
      <c r="R188" s="23" t="inlineStr">
        <is>
          <t>ربعي</t>
        </is>
      </c>
    </row>
    <row r="189">
      <c r="A189" s="22" t="inlineStr">
        <is>
          <t>الإدارة المالية</t>
        </is>
      </c>
      <c r="B189" s="22" t="inlineStr">
        <is>
          <t>الموازنة والتقارير</t>
        </is>
      </c>
      <c r="C189" s="22" t="inlineStr">
        <is>
          <t>أيام الإقفال الشهري</t>
        </is>
      </c>
      <c r="D189" s="23" t="inlineStr">
        <is>
          <t>🔧 تشغيلي</t>
        </is>
      </c>
      <c r="E189" s="35" t="inlineStr">
        <is>
          <t>يوم</t>
        </is>
      </c>
      <c r="F189" s="35" t="inlineStr">
        <is>
          <t>↓</t>
        </is>
      </c>
      <c r="G189" s="23" t="inlineStr">
        <is>
          <t>🟠 مهم</t>
        </is>
      </c>
      <c r="H189" s="32" t="n">
        <v>0.03</v>
      </c>
      <c r="I189" s="35" t="n">
        <v>6</v>
      </c>
      <c r="J189" s="35" t="n">
        <v>7.044</v>
      </c>
      <c r="K189" s="32" t="n">
        <v>0.8517887563884157</v>
      </c>
      <c r="L189" s="14" t="inlineStr">
        <is>
          <t>🟡 قريب</t>
        </is>
      </c>
      <c r="M189" s="14" t="inlineStr">
        <is>
          <t>الاستدامة</t>
        </is>
      </c>
      <c r="N189" s="26" t="inlineStr">
        <is>
          <t>جودة التشغيل</t>
        </is>
      </c>
      <c r="O189" s="23" t="inlineStr">
        <is>
          <t>العمليات الداخلية</t>
        </is>
      </c>
      <c r="P189" s="23" t="inlineStr">
        <is>
          <t>المدير المالي</t>
        </is>
      </c>
      <c r="Q189" s="26" t="inlineStr">
        <is>
          <t>نظام المحاسبة / ERP (D365)</t>
        </is>
      </c>
      <c r="R189" s="23" t="inlineStr">
        <is>
          <t>شهري</t>
        </is>
      </c>
    </row>
    <row r="190">
      <c r="A190" s="22" t="inlineStr">
        <is>
          <t>الإدارة المالية</t>
        </is>
      </c>
      <c r="B190" s="22" t="inlineStr">
        <is>
          <t>الموازنة والتقارير</t>
        </is>
      </c>
      <c r="C190" s="22" t="inlineStr">
        <is>
          <t>نسبة تسويات التدقيق</t>
        </is>
      </c>
      <c r="D190" s="23" t="inlineStr">
        <is>
          <t>🔧 تشغيلي</t>
        </is>
      </c>
      <c r="E190" s="35" t="inlineStr">
        <is>
          <t>%</t>
        </is>
      </c>
      <c r="F190" s="35" t="inlineStr">
        <is>
          <t>↓</t>
        </is>
      </c>
      <c r="G190" s="23" t="inlineStr">
        <is>
          <t>🟠 مهم</t>
        </is>
      </c>
      <c r="H190" s="32" t="n">
        <v>0.03</v>
      </c>
      <c r="I190" s="35" t="n">
        <v>0.02</v>
      </c>
      <c r="J190" s="35" t="n">
        <v>0.02</v>
      </c>
      <c r="K190" s="32" t="n">
        <v>1</v>
      </c>
      <c r="L190" s="14" t="inlineStr">
        <is>
          <t>✅ محقق</t>
        </is>
      </c>
      <c r="M190" s="14" t="inlineStr">
        <is>
          <t>الاستدامة</t>
        </is>
      </c>
      <c r="N190" s="26" t="inlineStr">
        <is>
          <t>جودة التشغيل</t>
        </is>
      </c>
      <c r="O190" s="23" t="inlineStr">
        <is>
          <t>العمليات الداخلية</t>
        </is>
      </c>
      <c r="P190" s="23" t="inlineStr">
        <is>
          <t>المدير المالي</t>
        </is>
      </c>
      <c r="Q190" s="26" t="inlineStr">
        <is>
          <t>نظام المحاسبة / ERP (D365)</t>
        </is>
      </c>
      <c r="R190" s="23" t="inlineStr">
        <is>
          <t>ربعي</t>
        </is>
      </c>
    </row>
  </sheetData>
  <autoFilter ref="A1:R190"/>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13"/>
  <sheetViews>
    <sheetView showGridLines="0" rightToLeft="1" workbookViewId="0">
      <pane ySplit="3" topLeftCell="A4" activePane="bottomLeft" state="frozen"/>
      <selection pane="bottomLeft" activeCell="A1" sqref="A1"/>
    </sheetView>
  </sheetViews>
  <sheetFormatPr baseColWidth="8" defaultRowHeight="15"/>
  <cols>
    <col width="4" customWidth="1" min="1" max="1"/>
    <col width="16" customWidth="1" min="2" max="2"/>
    <col width="40" customWidth="1" min="3" max="3"/>
    <col width="9" customWidth="1" min="4" max="4"/>
    <col width="7" customWidth="1" min="5" max="5"/>
    <col width="12" customWidth="1" min="6" max="6"/>
    <col width="8" customWidth="1" min="7" max="7"/>
    <col width="12" customWidth="1" min="8" max="8"/>
    <col width="16" customWidth="1" min="9" max="9"/>
    <col width="12" customWidth="1" min="10" max="10"/>
    <col width="22" customWidth="1" min="11" max="11"/>
    <col width="15" customWidth="1" min="12" max="12"/>
    <col width="12" customWidth="1" min="13" max="13"/>
    <col width="12" customWidth="1" min="14" max="14"/>
    <col width="14" customWidth="1" min="15" max="15"/>
  </cols>
  <sheetData>
    <row r="1" ht="24" customHeight="1">
      <c r="A1" s="17" t="inlineStr">
        <is>
          <t>إدارة الإدارة التنفيذية · مؤشرات الأداء 2026</t>
        </is>
      </c>
    </row>
    <row r="2">
      <c r="A2" s="36" t="inlineStr">
        <is>
          <t>🟩 عمود «المُحقَّق» أرقام تجريبية — استبدلها بالفعلية · نسبة التحقيق والحالة دلّات تُحسب تلقائياً</t>
        </is>
      </c>
    </row>
    <row r="3" ht="28" customHeight="1">
      <c r="A3" s="25" t="inlineStr">
        <is>
          <t>#</t>
        </is>
      </c>
      <c r="B3" s="25" t="inlineStr">
        <is>
          <t>المحور</t>
        </is>
      </c>
      <c r="C3" s="25" t="inlineStr">
        <is>
          <t>المؤشر</t>
        </is>
      </c>
      <c r="D3" s="25" t="inlineStr">
        <is>
          <t>الوحدة</t>
        </is>
      </c>
      <c r="E3" s="25" t="inlineStr">
        <is>
          <t>القطبية</t>
        </is>
      </c>
      <c r="F3" s="25" t="inlineStr">
        <is>
          <t>الأولوية</t>
        </is>
      </c>
      <c r="G3" s="25" t="inlineStr">
        <is>
          <t>الوزن %</t>
        </is>
      </c>
      <c r="H3" s="25" t="inlineStr">
        <is>
          <t>المستهدف</t>
        </is>
      </c>
      <c r="I3" s="25" t="inlineStr">
        <is>
          <t>نص المستهدف</t>
        </is>
      </c>
      <c r="J3" s="25" t="inlineStr">
        <is>
          <t>الركيزة</t>
        </is>
      </c>
      <c r="K3" s="25" t="inlineStr">
        <is>
          <t>المشروع</t>
        </is>
      </c>
      <c r="L3" s="25" t="inlineStr">
        <is>
          <t>منظور BSC</t>
        </is>
      </c>
      <c r="M3" s="25" t="inlineStr">
        <is>
          <t>المُحقَّق</t>
        </is>
      </c>
      <c r="N3" s="25" t="inlineStr">
        <is>
          <t>نسبة التحقيق</t>
        </is>
      </c>
      <c r="O3" s="25" t="inlineStr">
        <is>
          <t>الحالة</t>
        </is>
      </c>
    </row>
    <row r="4" ht="24" customHeight="1">
      <c r="A4" s="15" t="n">
        <v>1</v>
      </c>
      <c r="B4" s="9" t="inlineStr">
        <is>
          <t>النمو</t>
        </is>
      </c>
      <c r="C4" s="9" t="inlineStr">
        <is>
          <t>إجمالي المحطات المشغّلة — الشركة (تراكمي)</t>
        </is>
      </c>
      <c r="D4" s="35" t="inlineStr">
        <is>
          <t>محطة</t>
        </is>
      </c>
      <c r="E4" s="35" t="inlineStr">
        <is>
          <t>↑</t>
        </is>
      </c>
      <c r="F4" s="23" t="inlineStr">
        <is>
          <t>🔴 رئيسي</t>
        </is>
      </c>
      <c r="G4" s="32" t="n">
        <v>0.12</v>
      </c>
      <c r="H4" s="37" t="n">
        <v>235</v>
      </c>
      <c r="I4" s="38" t="inlineStr">
        <is>
          <t>≥ 235 محطة</t>
        </is>
      </c>
      <c r="J4" s="39" t="inlineStr">
        <is>
          <t>النمو</t>
        </is>
      </c>
      <c r="K4" s="31" t="inlineStr">
        <is>
          <t>التوسع في المواقع</t>
        </is>
      </c>
      <c r="L4" s="23" t="inlineStr">
        <is>
          <t>العمليات الداخلية</t>
        </is>
      </c>
      <c r="M4" s="40" t="n">
        <v>206.1</v>
      </c>
      <c r="N4" s="16">
        <f>IF($H4="","",IF($M4="","",MIN(1,IF($H4=0,IF($M4&lt;=0,1,0),IF($E4="↓",IFERROR($H4/$M4,0),IFERROR($M4/$H4,0))))))</f>
        <v/>
      </c>
      <c r="O4" s="15">
        <f>IF($N4="","⏳ بانتظار هدف",IF($N4&gt;=1,"✅ محقق",IF($N4&gt;=0.85,"🟡 قريب","🔴 تحت الهدف")))</f>
        <v/>
      </c>
    </row>
    <row r="5" ht="24" customHeight="1">
      <c r="A5" s="15" t="n">
        <v>2</v>
      </c>
      <c r="B5" s="9" t="inlineStr">
        <is>
          <t>النمو</t>
        </is>
      </c>
      <c r="C5" s="9" t="inlineStr">
        <is>
          <t>إجمالي العقود الجديدة — الشركة</t>
        </is>
      </c>
      <c r="D5" s="35" t="inlineStr">
        <is>
          <t>عقد</t>
        </is>
      </c>
      <c r="E5" s="35" t="inlineStr">
        <is>
          <t>↑</t>
        </is>
      </c>
      <c r="F5" s="23" t="inlineStr">
        <is>
          <t>🔴 رئيسي</t>
        </is>
      </c>
      <c r="G5" s="32" t="n">
        <v>0.12</v>
      </c>
      <c r="H5" s="37" t="n">
        <v>357</v>
      </c>
      <c r="I5" s="38" t="inlineStr">
        <is>
          <t>357 عقد</t>
        </is>
      </c>
      <c r="J5" s="39" t="inlineStr">
        <is>
          <t>النمو</t>
        </is>
      </c>
      <c r="K5" s="31" t="inlineStr">
        <is>
          <t>الامتياز التجاري</t>
        </is>
      </c>
      <c r="L5" s="23" t="inlineStr">
        <is>
          <t>العمليات الداخلية</t>
        </is>
      </c>
      <c r="M5" s="40" t="n">
        <v>346.6</v>
      </c>
      <c r="N5" s="16">
        <f>IF($H5="","",IF($M5="","",MIN(1,IF($H5=0,IF($M5&lt;=0,1,0),IF($E5="↓",IFERROR($H5/$M5,0),IFERROR($M5/$H5,0))))))</f>
        <v/>
      </c>
      <c r="O5" s="15">
        <f>IF($N5="","⏳ بانتظار هدف",IF($N5&gt;=1,"✅ محقق",IF($N5&gt;=0.85,"🟡 قريب","🔴 تحت الهدف")))</f>
        <v/>
      </c>
    </row>
    <row r="6" ht="24" customHeight="1">
      <c r="A6" s="15" t="n">
        <v>3</v>
      </c>
      <c r="B6" s="9" t="inlineStr">
        <is>
          <t>النمو</t>
        </is>
      </c>
      <c r="C6" s="9" t="inlineStr">
        <is>
          <t>إجمالي إيرادات الشركة السنوية</t>
        </is>
      </c>
      <c r="D6" s="35" t="inlineStr">
        <is>
          <t>ر.س</t>
        </is>
      </c>
      <c r="E6" s="35" t="inlineStr">
        <is>
          <t>↑</t>
        </is>
      </c>
      <c r="F6" s="23" t="inlineStr">
        <is>
          <t>🔴 رئيسي</t>
        </is>
      </c>
      <c r="G6" s="32" t="n">
        <v>0.11</v>
      </c>
      <c r="H6" s="35" t="inlineStr"/>
      <c r="I6" s="38" t="inlineStr">
        <is>
          <t>تصاعدي مستمر</t>
        </is>
      </c>
      <c r="J6" s="39" t="inlineStr">
        <is>
          <t>النمو</t>
        </is>
      </c>
      <c r="K6" s="31" t="inlineStr">
        <is>
          <t>زيادة وصول العملاء</t>
        </is>
      </c>
      <c r="L6" s="23" t="inlineStr">
        <is>
          <t>مالي</t>
        </is>
      </c>
      <c r="M6" s="41" t="n"/>
      <c r="N6" s="16">
        <f>IF($H6="","",IF($M6="","",MIN(1,IF($H6=0,IF($M6&lt;=0,1,0),IF($E6="↓",IFERROR($H6/$M6,0),IFERROR($M6/$H6,0))))))</f>
        <v/>
      </c>
      <c r="O6" s="15">
        <f>IF($N6="","⏳ بانتظار هدف",IF($N6&gt;=1,"✅ محقق",IF($N6&gt;=0.85,"🟡 قريب","🔴 تحت الهدف")))</f>
        <v/>
      </c>
    </row>
    <row r="7" ht="24" customHeight="1">
      <c r="A7" s="15" t="n">
        <v>4</v>
      </c>
      <c r="B7" s="9" t="inlineStr">
        <is>
          <t>النمو</t>
        </is>
      </c>
      <c r="C7" s="9" t="inlineStr">
        <is>
          <t>نسبة نمو إيرادات الشركة (سنوي)</t>
        </is>
      </c>
      <c r="D7" s="35" t="inlineStr">
        <is>
          <t>%</t>
        </is>
      </c>
      <c r="E7" s="35" t="inlineStr">
        <is>
          <t>↑</t>
        </is>
      </c>
      <c r="F7" s="23" t="inlineStr">
        <is>
          <t>🔴 رئيسي</t>
        </is>
      </c>
      <c r="G7" s="32" t="n">
        <v>0.11</v>
      </c>
      <c r="H7" s="35" t="inlineStr"/>
      <c r="I7" s="38" t="inlineStr">
        <is>
          <t>مستهدف تنفيذي</t>
        </is>
      </c>
      <c r="J7" s="39" t="inlineStr">
        <is>
          <t>النمو</t>
        </is>
      </c>
      <c r="K7" s="31" t="inlineStr">
        <is>
          <t>زيادة وصول العملاء</t>
        </is>
      </c>
      <c r="L7" s="23" t="inlineStr">
        <is>
          <t>مالي</t>
        </is>
      </c>
      <c r="M7" s="42" t="n"/>
      <c r="N7" s="16">
        <f>IF($H7="","",IF($M7="","",MIN(1,IF($H7=0,IF($M7&lt;=0,1,0),IF($E7="↓",IFERROR($H7/$M7,0),IFERROR($M7/$H7,0))))))</f>
        <v/>
      </c>
      <c r="O7" s="15">
        <f>IF($N7="","⏳ بانتظار هدف",IF($N7&gt;=1,"✅ محقق",IF($N7&gt;=0.85,"🟡 قريب","🔴 تحت الهدف")))</f>
        <v/>
      </c>
    </row>
    <row r="8" ht="24" customHeight="1">
      <c r="A8" s="15" t="n">
        <v>5</v>
      </c>
      <c r="B8" s="9" t="inlineStr">
        <is>
          <t>الابتكار</t>
        </is>
      </c>
      <c r="C8" s="9" t="inlineStr">
        <is>
          <t>نسبة إنجاز مشاريع الخارطة التنفيذية</t>
        </is>
      </c>
      <c r="D8" s="35" t="inlineStr">
        <is>
          <t>%</t>
        </is>
      </c>
      <c r="E8" s="35" t="inlineStr">
        <is>
          <t>↑</t>
        </is>
      </c>
      <c r="F8" s="23" t="inlineStr">
        <is>
          <t>🟠 مهم</t>
        </is>
      </c>
      <c r="G8" s="32" t="n">
        <v>0.08</v>
      </c>
      <c r="H8" s="32" t="n">
        <v>1</v>
      </c>
      <c r="I8" s="38" t="inlineStr">
        <is>
          <t>100%</t>
        </is>
      </c>
      <c r="J8" s="39" t="inlineStr">
        <is>
          <t>الابتكار</t>
        </is>
      </c>
      <c r="K8" s="31" t="inlineStr">
        <is>
          <t>إطلاق مشاريع جديدة</t>
        </is>
      </c>
      <c r="L8" s="23" t="inlineStr">
        <is>
          <t>العمليات الداخلية</t>
        </is>
      </c>
      <c r="M8" s="42" t="n">
        <v>0.906</v>
      </c>
      <c r="N8" s="16">
        <f>IF($H8="","",IF($M8="","",MIN(1,IF($H8=0,IF($M8&lt;=0,1,0),IF($E8="↓",IFERROR($H8/$M8,0),IFERROR($M8/$H8,0))))))</f>
        <v/>
      </c>
      <c r="O8" s="15">
        <f>IF($N8="","⏳ بانتظار هدف",IF($N8&gt;=1,"✅ محقق",IF($N8&gt;=0.85,"🟡 قريب","🔴 تحت الهدف")))</f>
        <v/>
      </c>
    </row>
    <row r="9" ht="24" customHeight="1">
      <c r="A9" s="15" t="n">
        <v>6</v>
      </c>
      <c r="B9" s="9" t="inlineStr">
        <is>
          <t>الابتكار</t>
        </is>
      </c>
      <c r="C9" s="9" t="inlineStr">
        <is>
          <t>نسبة التحول الرقمي على مستوى الشركة</t>
        </is>
      </c>
      <c r="D9" s="35" t="inlineStr">
        <is>
          <t>%</t>
        </is>
      </c>
      <c r="E9" s="35" t="inlineStr">
        <is>
          <t>↑</t>
        </is>
      </c>
      <c r="F9" s="23" t="inlineStr">
        <is>
          <t>🟠 مهم</t>
        </is>
      </c>
      <c r="G9" s="32" t="n">
        <v>0.08</v>
      </c>
      <c r="H9" s="32" t="n">
        <v>0.9</v>
      </c>
      <c r="I9" s="38" t="inlineStr">
        <is>
          <t>≥ 90%</t>
        </is>
      </c>
      <c r="J9" s="39" t="inlineStr">
        <is>
          <t>الابتكار</t>
        </is>
      </c>
      <c r="K9" s="31" t="inlineStr">
        <is>
          <t>التحول التقني</t>
        </is>
      </c>
      <c r="L9" s="23" t="inlineStr">
        <is>
          <t>التعلّم والنمو</t>
        </is>
      </c>
      <c r="M9" s="42" t="n">
        <v>0.9389999999999999</v>
      </c>
      <c r="N9" s="16">
        <f>IF($H9="","",IF($M9="","",MIN(1,IF($H9=0,IF($M9&lt;=0,1,0),IF($E9="↓",IFERROR($H9/$M9,0),IFERROR($M9/$H9,0))))))</f>
        <v/>
      </c>
      <c r="O9" s="15">
        <f>IF($N9="","⏳ بانتظار هدف",IF($N9&gt;=1,"✅ محقق",IF($N9&gt;=0.85,"🟡 قريب","🔴 تحت الهدف")))</f>
        <v/>
      </c>
    </row>
    <row r="10" ht="24" customHeight="1">
      <c r="A10" s="15" t="n">
        <v>7</v>
      </c>
      <c r="B10" s="9" t="inlineStr">
        <is>
          <t>الاستدامة</t>
        </is>
      </c>
      <c r="C10" s="9" t="inlineStr">
        <is>
          <t>مؤشر رضا العملاء العام (الشركة)</t>
        </is>
      </c>
      <c r="D10" s="35" t="inlineStr">
        <is>
          <t>%</t>
        </is>
      </c>
      <c r="E10" s="35" t="inlineStr">
        <is>
          <t>↑</t>
        </is>
      </c>
      <c r="F10" s="23" t="inlineStr">
        <is>
          <t>🔴 رئيسي</t>
        </is>
      </c>
      <c r="G10" s="32" t="n">
        <v>0.11</v>
      </c>
      <c r="H10" s="32" t="n">
        <v>0.9</v>
      </c>
      <c r="I10" s="38" t="inlineStr">
        <is>
          <t>≥ 90%</t>
        </is>
      </c>
      <c r="J10" s="39" t="inlineStr">
        <is>
          <t>الاستدامة</t>
        </is>
      </c>
      <c r="K10" s="31" t="inlineStr">
        <is>
          <t>تعزيز تجربة العملاء</t>
        </is>
      </c>
      <c r="L10" s="23" t="inlineStr">
        <is>
          <t>العملاء</t>
        </is>
      </c>
      <c r="M10" s="42" t="n">
        <v>0.922</v>
      </c>
      <c r="N10" s="16">
        <f>IF($H10="","",IF($M10="","",MIN(1,IF($H10=0,IF($M10&lt;=0,1,0),IF($E10="↓",IFERROR($H10/$M10,0),IFERROR($M10/$H10,0))))))</f>
        <v/>
      </c>
      <c r="O10" s="15">
        <f>IF($N10="","⏳ بانتظار هدف",IF($N10&gt;=1,"✅ محقق",IF($N10&gt;=0.85,"🟡 قريب","🔴 تحت الهدف")))</f>
        <v/>
      </c>
    </row>
    <row r="11" ht="24" customHeight="1">
      <c r="A11" s="15" t="n">
        <v>8</v>
      </c>
      <c r="B11" s="9" t="inlineStr">
        <is>
          <t>الاستدامة</t>
        </is>
      </c>
      <c r="C11" s="9" t="inlineStr">
        <is>
          <t>مؤشر رضا الموظفين العام (eNPS)</t>
        </is>
      </c>
      <c r="D11" s="35" t="inlineStr">
        <is>
          <t>نقطة</t>
        </is>
      </c>
      <c r="E11" s="35" t="inlineStr">
        <is>
          <t>↑</t>
        </is>
      </c>
      <c r="F11" s="23" t="inlineStr">
        <is>
          <t>🔴 رئيسي</t>
        </is>
      </c>
      <c r="G11" s="32" t="n">
        <v>0.11</v>
      </c>
      <c r="H11" s="43" t="n">
        <v>30</v>
      </c>
      <c r="I11" s="38" t="inlineStr">
        <is>
          <t>≥ 30</t>
        </is>
      </c>
      <c r="J11" s="39" t="inlineStr">
        <is>
          <t>الاستدامة</t>
        </is>
      </c>
      <c r="K11" s="31" t="inlineStr">
        <is>
          <t>الاستثمار في الموظفين</t>
        </is>
      </c>
      <c r="L11" s="23" t="inlineStr">
        <is>
          <t>التعلّم والنمو</t>
        </is>
      </c>
      <c r="M11" s="44" t="n">
        <v>22.5</v>
      </c>
      <c r="N11" s="16">
        <f>IF($H11="","",IF($M11="","",MIN(1,IF($H11=0,IF($M11&lt;=0,1,0),IF($E11="↓",IFERROR($H11/$M11,0),IFERROR($M11/$H11,0))))))</f>
        <v/>
      </c>
      <c r="O11" s="15">
        <f>IF($N11="","⏳ بانتظار هدف",IF($N11&gt;=1,"✅ محقق",IF($N11&gt;=0.85,"🟡 قريب","🔴 تحت الهدف")))</f>
        <v/>
      </c>
    </row>
    <row r="12" ht="24" customHeight="1">
      <c r="A12" s="15" t="n">
        <v>9</v>
      </c>
      <c r="B12" s="9" t="inlineStr">
        <is>
          <t>الاستدامة</t>
        </is>
      </c>
      <c r="C12" s="9" t="inlineStr">
        <is>
          <t>نسبة تحقيق المستهدفات الاستراتيجية العامة</t>
        </is>
      </c>
      <c r="D12" s="35" t="inlineStr">
        <is>
          <t>%</t>
        </is>
      </c>
      <c r="E12" s="35" t="inlineStr">
        <is>
          <t>↑</t>
        </is>
      </c>
      <c r="F12" s="23" t="inlineStr">
        <is>
          <t>🟠 مهم</t>
        </is>
      </c>
      <c r="G12" s="32" t="n">
        <v>0.08</v>
      </c>
      <c r="H12" s="32" t="n">
        <v>1</v>
      </c>
      <c r="I12" s="38" t="inlineStr">
        <is>
          <t>100%</t>
        </is>
      </c>
      <c r="J12" s="39" t="inlineStr">
        <is>
          <t>الاستدامة</t>
        </is>
      </c>
      <c r="K12" s="31" t="inlineStr">
        <is>
          <t>جودة التشغيل</t>
        </is>
      </c>
      <c r="L12" s="23" t="inlineStr">
        <is>
          <t>العمليات الداخلية</t>
        </is>
      </c>
      <c r="M12" s="42" t="n">
        <v>0.85</v>
      </c>
      <c r="N12" s="16">
        <f>IF($H12="","",IF($M12="","",MIN(1,IF($H12=0,IF($M12&lt;=0,1,0),IF($E12="↓",IFERROR($H12/$M12,0),IFERROR($M12/$H12,0))))))</f>
        <v/>
      </c>
      <c r="O12" s="15">
        <f>IF($N12="","⏳ بانتظار هدف",IF($N12&gt;=1,"✅ محقق",IF($N12&gt;=0.85,"🟡 قريب","🔴 تحت الهدف")))</f>
        <v/>
      </c>
    </row>
    <row r="13" ht="24" customHeight="1">
      <c r="A13" s="15" t="n">
        <v>10</v>
      </c>
      <c r="B13" s="9" t="inlineStr">
        <is>
          <t>النمو</t>
        </is>
      </c>
      <c r="C13" s="9" t="inlineStr">
        <is>
          <t>الالتزام بمعايير وزارة الطاقة (تغطية 13 منطقة)</t>
        </is>
      </c>
      <c r="D13" s="35" t="inlineStr">
        <is>
          <t>%</t>
        </is>
      </c>
      <c r="E13" s="35" t="inlineStr">
        <is>
          <t>↑</t>
        </is>
      </c>
      <c r="F13" s="23" t="inlineStr">
        <is>
          <t>🟠 مهم</t>
        </is>
      </c>
      <c r="G13" s="32" t="n">
        <v>0.08</v>
      </c>
      <c r="H13" s="32" t="n">
        <v>1</v>
      </c>
      <c r="I13" s="38" t="inlineStr">
        <is>
          <t>100%</t>
        </is>
      </c>
      <c r="J13" s="39" t="inlineStr">
        <is>
          <t>النمو</t>
        </is>
      </c>
      <c r="K13" s="31" t="inlineStr">
        <is>
          <t>التوسع في المواقع</t>
        </is>
      </c>
      <c r="L13" s="23" t="inlineStr">
        <is>
          <t>العمليات الداخلية</t>
        </is>
      </c>
      <c r="M13" s="42" t="n">
        <v>0.749</v>
      </c>
      <c r="N13" s="16">
        <f>IF($H13="","",IF($M13="","",MIN(1,IF($H13=0,IF($M13&lt;=0,1,0),IF($E13="↓",IFERROR($H13/$M13,0),IFERROR($M13/$H13,0))))))</f>
        <v/>
      </c>
      <c r="O13" s="15">
        <f>IF($N13="","⏳ بانتظار هدف",IF($N13&gt;=1,"✅ محقق",IF($N13&gt;=0.85,"🟡 قريب","🔴 تحت الهدف")))</f>
        <v/>
      </c>
    </row>
  </sheetData>
  <autoFilter ref="A3:O13"/>
  <mergeCells count="2">
    <mergeCell ref="A1:O1"/>
    <mergeCell ref="A2:O2"/>
  </mergeCells>
  <dataValidations count="1">
    <dataValidation sqref="M4 M5 M6 M7 M8 M9 M10 M11 M12 M13" showDropDown="0" showInputMessage="0" showErrorMessage="0" allowBlank="1" type="decimal" operator="greaterThanOrEqual">
      <formula1>0</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39"/>
  <sheetViews>
    <sheetView showGridLines="0" rightToLeft="1" workbookViewId="0">
      <pane ySplit="3" topLeftCell="A4" activePane="bottomLeft" state="frozen"/>
      <selection pane="bottomLeft" activeCell="A1" sqref="A1"/>
    </sheetView>
  </sheetViews>
  <sheetFormatPr baseColWidth="8" defaultRowHeight="15"/>
  <cols>
    <col width="4" customWidth="1" min="1" max="1"/>
    <col width="16" customWidth="1" min="2" max="2"/>
    <col width="40" customWidth="1" min="3" max="3"/>
    <col width="9" customWidth="1" min="4" max="4"/>
    <col width="7" customWidth="1" min="5" max="5"/>
    <col width="12" customWidth="1" min="6" max="6"/>
    <col width="8" customWidth="1" min="7" max="7"/>
    <col width="12" customWidth="1" min="8" max="8"/>
    <col width="16" customWidth="1" min="9" max="9"/>
    <col width="12" customWidth="1" min="10" max="10"/>
    <col width="22" customWidth="1" min="11" max="11"/>
    <col width="15" customWidth="1" min="12" max="12"/>
    <col width="12" customWidth="1" min="13" max="13"/>
    <col width="12" customWidth="1" min="14" max="14"/>
    <col width="14" customWidth="1" min="15" max="15"/>
  </cols>
  <sheetData>
    <row r="1" ht="24" customHeight="1">
      <c r="A1" s="17" t="inlineStr">
        <is>
          <t>إدارة الامتياز التجاري · مؤشرات الأداء 2026</t>
        </is>
      </c>
    </row>
    <row r="2">
      <c r="A2" s="36" t="inlineStr">
        <is>
          <t>🟩 عمود «المُحقَّق» أرقام تجريبية — استبدلها بالفعلية · نسبة التحقيق والحالة دلّات تُحسب تلقائياً</t>
        </is>
      </c>
    </row>
    <row r="3" ht="28" customHeight="1">
      <c r="A3" s="25" t="inlineStr">
        <is>
          <t>#</t>
        </is>
      </c>
      <c r="B3" s="25" t="inlineStr">
        <is>
          <t>المحور</t>
        </is>
      </c>
      <c r="C3" s="25" t="inlineStr">
        <is>
          <t>المؤشر</t>
        </is>
      </c>
      <c r="D3" s="25" t="inlineStr">
        <is>
          <t>الوحدة</t>
        </is>
      </c>
      <c r="E3" s="25" t="inlineStr">
        <is>
          <t>القطبية</t>
        </is>
      </c>
      <c r="F3" s="25" t="inlineStr">
        <is>
          <t>الأولوية</t>
        </is>
      </c>
      <c r="G3" s="25" t="inlineStr">
        <is>
          <t>الوزن %</t>
        </is>
      </c>
      <c r="H3" s="25" t="inlineStr">
        <is>
          <t>المستهدف</t>
        </is>
      </c>
      <c r="I3" s="25" t="inlineStr">
        <is>
          <t>نص المستهدف</t>
        </is>
      </c>
      <c r="J3" s="25" t="inlineStr">
        <is>
          <t>الركيزة</t>
        </is>
      </c>
      <c r="K3" s="25" t="inlineStr">
        <is>
          <t>المشروع</t>
        </is>
      </c>
      <c r="L3" s="25" t="inlineStr">
        <is>
          <t>منظور BSC</t>
        </is>
      </c>
      <c r="M3" s="25" t="inlineStr">
        <is>
          <t>المُحقَّق</t>
        </is>
      </c>
      <c r="N3" s="25" t="inlineStr">
        <is>
          <t>نسبة التحقيق</t>
        </is>
      </c>
      <c r="O3" s="25" t="inlineStr">
        <is>
          <t>الحالة</t>
        </is>
      </c>
    </row>
    <row r="4" ht="24" customHeight="1">
      <c r="A4" s="15" t="n">
        <v>1</v>
      </c>
      <c r="B4" s="9" t="inlineStr">
        <is>
          <t>النمو والتوسع</t>
        </is>
      </c>
      <c r="C4" s="9" t="inlineStr">
        <is>
          <t>عدد محطات الامتياز المشغّلة (تراكمي)</t>
        </is>
      </c>
      <c r="D4" s="35" t="inlineStr">
        <is>
          <t>محطة</t>
        </is>
      </c>
      <c r="E4" s="35" t="inlineStr">
        <is>
          <t>↑</t>
        </is>
      </c>
      <c r="F4" s="23" t="inlineStr">
        <is>
          <t>🔴 رئيسي</t>
        </is>
      </c>
      <c r="G4" s="32" t="n">
        <v>0.04</v>
      </c>
      <c r="H4" s="37" t="n">
        <v>150</v>
      </c>
      <c r="I4" s="38" t="inlineStr">
        <is>
          <t>150 محطة</t>
        </is>
      </c>
      <c r="J4" s="39" t="inlineStr">
        <is>
          <t>النمو</t>
        </is>
      </c>
      <c r="K4" s="31" t="inlineStr">
        <is>
          <t>التوسع في المواقع</t>
        </is>
      </c>
      <c r="L4" s="23" t="inlineStr">
        <is>
          <t>العمليات الداخلية</t>
        </is>
      </c>
      <c r="M4" s="40" t="n">
        <v>110</v>
      </c>
      <c r="N4" s="16">
        <f>IF($H4="","",IF($M4="","",MIN(1,IF($H4=0,IF($M4&lt;=0,1,0),IF($E4="↓",IFERROR($H4/$M4,0),IFERROR($M4/$H4,0))))))</f>
        <v/>
      </c>
      <c r="O4" s="15">
        <f>IF($N4="","⏳ بانتظار هدف",IF($N4&gt;=1,"✅ محقق",IF($N4&gt;=0.85,"🟡 قريب","🔴 تحت الهدف")))</f>
        <v/>
      </c>
    </row>
    <row r="5" ht="24" customHeight="1">
      <c r="A5" s="15" t="n">
        <v>2</v>
      </c>
      <c r="B5" s="9" t="inlineStr">
        <is>
          <t>النمو والتوسع</t>
        </is>
      </c>
      <c r="C5" s="9" t="inlineStr">
        <is>
          <t>عدد عقود الامتياز الجديدة الموقّعة</t>
        </is>
      </c>
      <c r="D5" s="35" t="inlineStr">
        <is>
          <t>عقد</t>
        </is>
      </c>
      <c r="E5" s="35" t="inlineStr">
        <is>
          <t>↑</t>
        </is>
      </c>
      <c r="F5" s="23" t="inlineStr">
        <is>
          <t>🔴 رئيسي</t>
        </is>
      </c>
      <c r="G5" s="32" t="n">
        <v>0.04</v>
      </c>
      <c r="H5" s="37" t="n">
        <v>167</v>
      </c>
      <c r="I5" s="38" t="inlineStr">
        <is>
          <t>167 عقد</t>
        </is>
      </c>
      <c r="J5" s="39" t="inlineStr">
        <is>
          <t>النمو</t>
        </is>
      </c>
      <c r="K5" s="31" t="inlineStr">
        <is>
          <t>الامتياز التجاري</t>
        </is>
      </c>
      <c r="L5" s="23" t="inlineStr">
        <is>
          <t>العمليات الداخلية</t>
        </is>
      </c>
      <c r="M5" s="40" t="n">
        <v>159.2</v>
      </c>
      <c r="N5" s="16">
        <f>IF($H5="","",IF($M5="","",MIN(1,IF($H5=0,IF($M5&lt;=0,1,0),IF($E5="↓",IFERROR($H5/$M5,0),IFERROR($M5/$H5,0))))))</f>
        <v/>
      </c>
      <c r="O5" s="15">
        <f>IF($N5="","⏳ بانتظار هدف",IF($N5&gt;=1,"✅ محقق",IF($N5&gt;=0.85,"🟡 قريب","🔴 تحت الهدف")))</f>
        <v/>
      </c>
    </row>
    <row r="6" ht="24" customHeight="1">
      <c r="A6" s="15" t="n">
        <v>3</v>
      </c>
      <c r="B6" s="9" t="inlineStr">
        <is>
          <t>المبيعات والأداء التجاري</t>
        </is>
      </c>
      <c r="C6" s="9" t="inlineStr">
        <is>
          <t>إجمالي مبيعات وقود محطات الامتياز</t>
        </is>
      </c>
      <c r="D6" s="35" t="inlineStr">
        <is>
          <t>لتر</t>
        </is>
      </c>
      <c r="E6" s="35" t="inlineStr">
        <is>
          <t>↑</t>
        </is>
      </c>
      <c r="F6" s="23" t="inlineStr">
        <is>
          <t>🔴 رئيسي</t>
        </is>
      </c>
      <c r="G6" s="32" t="n">
        <v>0.04</v>
      </c>
      <c r="H6" s="37" t="n">
        <v>718838077</v>
      </c>
      <c r="I6" s="38" t="inlineStr">
        <is>
          <t>718.8M لتر</t>
        </is>
      </c>
      <c r="J6" s="39" t="inlineStr">
        <is>
          <t>النمو</t>
        </is>
      </c>
      <c r="K6" s="31" t="inlineStr">
        <is>
          <t>زيادة وصول العملاء</t>
        </is>
      </c>
      <c r="L6" s="23" t="inlineStr">
        <is>
          <t>مالي</t>
        </is>
      </c>
      <c r="M6" s="40" t="n">
        <v>576630340</v>
      </c>
      <c r="N6" s="16">
        <f>IF($H6="","",IF($M6="","",MIN(1,IF($H6=0,IF($M6&lt;=0,1,0),IF($E6="↓",IFERROR($H6/$M6,0),IFERROR($M6/$H6,0))))))</f>
        <v/>
      </c>
      <c r="O6" s="15">
        <f>IF($N6="","⏳ بانتظار هدف",IF($N6&gt;=1,"✅ محقق",IF($N6&gt;=0.85,"🟡 قريب","🔴 تحت الهدف")))</f>
        <v/>
      </c>
    </row>
    <row r="7" ht="24" customHeight="1">
      <c r="A7" s="15" t="n">
        <v>4</v>
      </c>
      <c r="B7" s="9" t="inlineStr">
        <is>
          <t>المبيعات والأداء التجاري</t>
        </is>
      </c>
      <c r="C7" s="9" t="inlineStr">
        <is>
          <t>نسبة المحطات التي حققت مستهدف المبيعات</t>
        </is>
      </c>
      <c r="D7" s="35" t="inlineStr">
        <is>
          <t>%</t>
        </is>
      </c>
      <c r="E7" s="35" t="inlineStr">
        <is>
          <t>↑</t>
        </is>
      </c>
      <c r="F7" s="23" t="inlineStr">
        <is>
          <t>🔴 رئيسي</t>
        </is>
      </c>
      <c r="G7" s="32" t="n">
        <v>0.04</v>
      </c>
      <c r="H7" s="32" t="n">
        <v>0.9</v>
      </c>
      <c r="I7" s="38" t="inlineStr">
        <is>
          <t>90%+</t>
        </is>
      </c>
      <c r="J7" s="39" t="inlineStr">
        <is>
          <t>النمو</t>
        </is>
      </c>
      <c r="K7" s="31" t="inlineStr">
        <is>
          <t>زيادة وصول العملاء</t>
        </is>
      </c>
      <c r="L7" s="23" t="inlineStr">
        <is>
          <t>مالي</t>
        </is>
      </c>
      <c r="M7" s="42" t="n">
        <v>0.788</v>
      </c>
      <c r="N7" s="16">
        <f>IF($H7="","",IF($M7="","",MIN(1,IF($H7=0,IF($M7&lt;=0,1,0),IF($E7="↓",IFERROR($H7/$M7,0),IFERROR($M7/$H7,0))))))</f>
        <v/>
      </c>
      <c r="O7" s="15">
        <f>IF($N7="","⏳ بانتظار هدف",IF($N7&gt;=1,"✅ محقق",IF($N7&gt;=0.85,"🟡 قريب","🔴 تحت الهدف")))</f>
        <v/>
      </c>
    </row>
    <row r="8" ht="24" customHeight="1">
      <c r="A8" s="15" t="n">
        <v>5</v>
      </c>
      <c r="B8" s="9" t="inlineStr">
        <is>
          <t>المبيعات والأداء التجاري</t>
        </is>
      </c>
      <c r="C8" s="9" t="inlineStr">
        <is>
          <t>متوسط مبيعات المحطة الواحدة شهرياً</t>
        </is>
      </c>
      <c r="D8" s="35" t="inlineStr">
        <is>
          <t>لتر/محطة</t>
        </is>
      </c>
      <c r="E8" s="35" t="inlineStr">
        <is>
          <t>↑</t>
        </is>
      </c>
      <c r="F8" s="23" t="inlineStr">
        <is>
          <t>🔴 رئيسي</t>
        </is>
      </c>
      <c r="G8" s="32" t="n">
        <v>0.04</v>
      </c>
      <c r="H8" s="35" t="inlineStr"/>
      <c r="I8" s="38" t="inlineStr">
        <is>
          <t>+10% نمو شهري</t>
        </is>
      </c>
      <c r="J8" s="39" t="inlineStr">
        <is>
          <t>النمو</t>
        </is>
      </c>
      <c r="K8" s="31" t="inlineStr">
        <is>
          <t>زيادة وصول العملاء</t>
        </is>
      </c>
      <c r="L8" s="23" t="inlineStr">
        <is>
          <t>مالي</t>
        </is>
      </c>
      <c r="M8" s="40" t="n"/>
      <c r="N8" s="16">
        <f>IF($H8="","",IF($M8="","",MIN(1,IF($H8=0,IF($M8&lt;=0,1,0),IF($E8="↓",IFERROR($H8/$M8,0),IFERROR($M8/$H8,0))))))</f>
        <v/>
      </c>
      <c r="O8" s="15">
        <f>IF($N8="","⏳ بانتظار هدف",IF($N8&gt;=1,"✅ محقق",IF($N8&gt;=0.85,"🟡 قريب","🔴 تحت الهدف")))</f>
        <v/>
      </c>
    </row>
    <row r="9" ht="24" customHeight="1">
      <c r="A9" s="15" t="n">
        <v>6</v>
      </c>
      <c r="B9" s="9" t="inlineStr">
        <is>
          <t>المبيعات والأداء التجاري</t>
        </is>
      </c>
      <c r="C9" s="9" t="inlineStr">
        <is>
          <t>نسبة تأجير وحدات الامتياز</t>
        </is>
      </c>
      <c r="D9" s="35" t="inlineStr">
        <is>
          <t>%</t>
        </is>
      </c>
      <c r="E9" s="35" t="inlineStr">
        <is>
          <t>↑</t>
        </is>
      </c>
      <c r="F9" s="23" t="inlineStr">
        <is>
          <t>🟠 مهم</t>
        </is>
      </c>
      <c r="G9" s="32" t="n">
        <v>0.02</v>
      </c>
      <c r="H9" s="32" t="n">
        <v>0.7</v>
      </c>
      <c r="I9" s="38" t="inlineStr">
        <is>
          <t>70%</t>
        </is>
      </c>
      <c r="J9" s="39" t="inlineStr">
        <is>
          <t>الاستدامة</t>
        </is>
      </c>
      <c r="K9" s="31" t="inlineStr">
        <is>
          <t>منظومة التأجير</t>
        </is>
      </c>
      <c r="L9" s="23" t="inlineStr">
        <is>
          <t>العمليات الداخلية</t>
        </is>
      </c>
      <c r="M9" s="42" t="n">
        <v>0.709</v>
      </c>
      <c r="N9" s="16">
        <f>IF($H9="","",IF($M9="","",MIN(1,IF($H9=0,IF($M9&lt;=0,1,0),IF($E9="↓",IFERROR($H9/$M9,0),IFERROR($M9/$H9,0))))))</f>
        <v/>
      </c>
      <c r="O9" s="15">
        <f>IF($N9="","⏳ بانتظار هدف",IF($N9&gt;=1,"✅ محقق",IF($N9&gt;=0.85,"🟡 قريب","🔴 تحت الهدف")))</f>
        <v/>
      </c>
    </row>
    <row r="10" ht="24" customHeight="1">
      <c r="A10" s="15" t="n">
        <v>7</v>
      </c>
      <c r="B10" s="9" t="inlineStr">
        <is>
          <t>الأداء المالي</t>
        </is>
      </c>
      <c r="C10" s="9" t="inlineStr">
        <is>
          <t>إجمالي إيرادات إدارة الامتياز</t>
        </is>
      </c>
      <c r="D10" s="35" t="inlineStr">
        <is>
          <t>ر.س</t>
        </is>
      </c>
      <c r="E10" s="35" t="inlineStr">
        <is>
          <t>↑</t>
        </is>
      </c>
      <c r="F10" s="23" t="inlineStr">
        <is>
          <t>🔴 رئيسي</t>
        </is>
      </c>
      <c r="G10" s="32" t="n">
        <v>0.04</v>
      </c>
      <c r="H10" s="35" t="inlineStr"/>
      <c r="I10" s="38" t="inlineStr">
        <is>
          <t>تصاعدي مستمر</t>
        </is>
      </c>
      <c r="J10" s="39" t="inlineStr">
        <is>
          <t>النمو</t>
        </is>
      </c>
      <c r="K10" s="31" t="inlineStr">
        <is>
          <t>الامتياز التجاري</t>
        </is>
      </c>
      <c r="L10" s="23" t="inlineStr">
        <is>
          <t>مالي</t>
        </is>
      </c>
      <c r="M10" s="41" t="n"/>
      <c r="N10" s="16">
        <f>IF($H10="","",IF($M10="","",MIN(1,IF($H10=0,IF($M10&lt;=0,1,0),IF($E10="↓",IFERROR($H10/$M10,0),IFERROR($M10/$H10,0))))))</f>
        <v/>
      </c>
      <c r="O10" s="15">
        <f>IF($N10="","⏳ بانتظار هدف",IF($N10&gt;=1,"✅ محقق",IF($N10&gt;=0.85,"🟡 قريب","🔴 تحت الهدف")))</f>
        <v/>
      </c>
    </row>
    <row r="11" ht="24" customHeight="1">
      <c r="A11" s="15" t="n">
        <v>8</v>
      </c>
      <c r="B11" s="9" t="inlineStr">
        <is>
          <t>الأداء المالي</t>
        </is>
      </c>
      <c r="C11" s="9" t="inlineStr">
        <is>
          <t>رفع هامش الربحية للامتياز</t>
        </is>
      </c>
      <c r="D11" s="35" t="inlineStr">
        <is>
          <t>هللة/لتر</t>
        </is>
      </c>
      <c r="E11" s="35" t="inlineStr">
        <is>
          <t>↑</t>
        </is>
      </c>
      <c r="F11" s="23" t="inlineStr">
        <is>
          <t>🟠 مهم</t>
        </is>
      </c>
      <c r="G11" s="32" t="n">
        <v>0.02</v>
      </c>
      <c r="H11" s="43" t="n">
        <v>1.8</v>
      </c>
      <c r="I11" s="38" t="inlineStr">
        <is>
          <t>+1.8 هللة/لتر</t>
        </is>
      </c>
      <c r="J11" s="39" t="inlineStr">
        <is>
          <t>النمو</t>
        </is>
      </c>
      <c r="K11" s="31" t="inlineStr">
        <is>
          <t>الامتياز التجاري</t>
        </is>
      </c>
      <c r="L11" s="23" t="inlineStr">
        <is>
          <t>مالي</t>
        </is>
      </c>
      <c r="M11" s="44" t="n">
        <v>1.564</v>
      </c>
      <c r="N11" s="16">
        <f>IF($H11="","",IF($M11="","",MIN(1,IF($H11=0,IF($M11&lt;=0,1,0),IF($E11="↓",IFERROR($H11/$M11,0),IFERROR($M11/$H11,0))))))</f>
        <v/>
      </c>
      <c r="O11" s="15">
        <f>IF($N11="","⏳ بانتظار هدف",IF($N11&gt;=1,"✅ محقق",IF($N11&gt;=0.85,"🟡 قريب","🔴 تحت الهدف")))</f>
        <v/>
      </c>
    </row>
    <row r="12" ht="24" customHeight="1">
      <c r="A12" s="15" t="n">
        <v>9</v>
      </c>
      <c r="B12" s="9" t="inlineStr">
        <is>
          <t>الأداء المالي</t>
        </is>
      </c>
      <c r="C12" s="9" t="inlineStr">
        <is>
          <t>نسبة التحصيل المالي من شركاء الامتياز</t>
        </is>
      </c>
      <c r="D12" s="35" t="inlineStr">
        <is>
          <t>%</t>
        </is>
      </c>
      <c r="E12" s="35" t="inlineStr">
        <is>
          <t>↑</t>
        </is>
      </c>
      <c r="F12" s="23" t="inlineStr">
        <is>
          <t>🔴 رئيسي</t>
        </is>
      </c>
      <c r="G12" s="32" t="n">
        <v>0.04</v>
      </c>
      <c r="H12" s="32" t="n">
        <v>0.95</v>
      </c>
      <c r="I12" s="38" t="inlineStr">
        <is>
          <t>95%+</t>
        </is>
      </c>
      <c r="J12" s="39" t="inlineStr">
        <is>
          <t>الاستدامة</t>
        </is>
      </c>
      <c r="K12" s="31" t="inlineStr">
        <is>
          <t>جودة التشغيل</t>
        </is>
      </c>
      <c r="L12" s="23" t="inlineStr">
        <is>
          <t>مالي</t>
        </is>
      </c>
      <c r="M12" s="42" t="n">
        <v>0.8120000000000001</v>
      </c>
      <c r="N12" s="16">
        <f>IF($H12="","",IF($M12="","",MIN(1,IF($H12=0,IF($M12&lt;=0,1,0),IF($E12="↓",IFERROR($H12/$M12,0),IFERROR($M12/$H12,0))))))</f>
        <v/>
      </c>
      <c r="O12" s="15">
        <f>IF($N12="","⏳ بانتظار هدف",IF($N12&gt;=1,"✅ محقق",IF($N12&gt;=0.85,"🟡 قريب","🔴 تحت الهدف")))</f>
        <v/>
      </c>
    </row>
    <row r="13" ht="24" customHeight="1">
      <c r="A13" s="15" t="n">
        <v>10</v>
      </c>
      <c r="B13" s="9" t="inlineStr">
        <is>
          <t>الأداء المالي</t>
        </is>
      </c>
      <c r="C13" s="9" t="inlineStr">
        <is>
          <t>متوسط أيام التحصيل (DSO)</t>
        </is>
      </c>
      <c r="D13" s="35" t="inlineStr">
        <is>
          <t>يوم</t>
        </is>
      </c>
      <c r="E13" s="35" t="inlineStr">
        <is>
          <t>↓</t>
        </is>
      </c>
      <c r="F13" s="23" t="inlineStr">
        <is>
          <t>🔴 رئيسي</t>
        </is>
      </c>
      <c r="G13" s="32" t="n">
        <v>0.04</v>
      </c>
      <c r="H13" s="43" t="n">
        <v>30</v>
      </c>
      <c r="I13" s="38" t="inlineStr">
        <is>
          <t>≤ 30 يوم</t>
        </is>
      </c>
      <c r="J13" s="39" t="inlineStr">
        <is>
          <t>الاستدامة</t>
        </is>
      </c>
      <c r="K13" s="31" t="inlineStr">
        <is>
          <t>جودة التشغيل</t>
        </is>
      </c>
      <c r="L13" s="23" t="inlineStr">
        <is>
          <t>مالي</t>
        </is>
      </c>
      <c r="M13" s="44" t="n">
        <v>26</v>
      </c>
      <c r="N13" s="16">
        <f>IF($H13="","",IF($M13="","",MIN(1,IF($H13=0,IF($M13&lt;=0,1,0),IF($E13="↓",IFERROR($H13/$M13,0),IFERROR($M13/$H13,0))))))</f>
        <v/>
      </c>
      <c r="O13" s="15">
        <f>IF($N13="","⏳ بانتظار هدف",IF($N13&gt;=1,"✅ محقق",IF($N13&gt;=0.85,"🟡 قريب","🔴 تحت الهدف")))</f>
        <v/>
      </c>
    </row>
    <row r="14" ht="24" customHeight="1">
      <c r="A14" s="15" t="n">
        <v>11</v>
      </c>
      <c r="B14" s="9" t="inlineStr">
        <is>
          <t>الأداء المالي</t>
        </is>
      </c>
      <c r="C14" s="9" t="inlineStr">
        <is>
          <t>إجمالي المستحقات المتأخرة (+30 يوم)</t>
        </is>
      </c>
      <c r="D14" s="35" t="inlineStr">
        <is>
          <t>ر.س</t>
        </is>
      </c>
      <c r="E14" s="35" t="inlineStr">
        <is>
          <t>↓</t>
        </is>
      </c>
      <c r="F14" s="23" t="inlineStr">
        <is>
          <t>🟠 مهم</t>
        </is>
      </c>
      <c r="G14" s="32" t="n">
        <v>0.02</v>
      </c>
      <c r="H14" s="35" t="inlineStr"/>
      <c r="I14" s="38" t="inlineStr">
        <is>
          <t>تراجع مستمر</t>
        </is>
      </c>
      <c r="J14" s="39" t="inlineStr">
        <is>
          <t>الاستدامة</t>
        </is>
      </c>
      <c r="K14" s="31" t="inlineStr">
        <is>
          <t>جودة التشغيل</t>
        </is>
      </c>
      <c r="L14" s="23" t="inlineStr">
        <is>
          <t>مالي</t>
        </is>
      </c>
      <c r="M14" s="41" t="n"/>
      <c r="N14" s="16">
        <f>IF($H14="","",IF($M14="","",MIN(1,IF($H14=0,IF($M14&lt;=0,1,0),IF($E14="↓",IFERROR($H14/$M14,0),IFERROR($M14/$H14,0))))))</f>
        <v/>
      </c>
      <c r="O14" s="15">
        <f>IF($N14="","⏳ بانتظار هدف",IF($N14&gt;=1,"✅ محقق",IF($N14&gt;=0.85,"🟡 قريب","🔴 تحت الهدف")))</f>
        <v/>
      </c>
    </row>
    <row r="15" ht="24" customHeight="1">
      <c r="A15" s="15" t="n">
        <v>12</v>
      </c>
      <c r="B15" s="9" t="inlineStr">
        <is>
          <t>الأداء المالي</t>
        </is>
      </c>
      <c r="C15" s="9" t="inlineStr">
        <is>
          <t>نسبة الشركاء الملتزمين بمواعيد السداد</t>
        </is>
      </c>
      <c r="D15" s="35" t="inlineStr">
        <is>
          <t>%</t>
        </is>
      </c>
      <c r="E15" s="35" t="inlineStr">
        <is>
          <t>↑</t>
        </is>
      </c>
      <c r="F15" s="23" t="inlineStr">
        <is>
          <t>🟠 مهم</t>
        </is>
      </c>
      <c r="G15" s="32" t="n">
        <v>0.02</v>
      </c>
      <c r="H15" s="32" t="n">
        <v>0.9</v>
      </c>
      <c r="I15" s="38" t="inlineStr">
        <is>
          <t>90%+</t>
        </is>
      </c>
      <c r="J15" s="39" t="inlineStr">
        <is>
          <t>الاستدامة</t>
        </is>
      </c>
      <c r="K15" s="31" t="inlineStr">
        <is>
          <t>جودة التشغيل</t>
        </is>
      </c>
      <c r="L15" s="23" t="inlineStr">
        <is>
          <t>مالي</t>
        </is>
      </c>
      <c r="M15" s="42" t="n">
        <v>0.705</v>
      </c>
      <c r="N15" s="16">
        <f>IF($H15="","",IF($M15="","",MIN(1,IF($H15=0,IF($M15&lt;=0,1,0),IF($E15="↓",IFERROR($H15/$M15,0),IFERROR($M15/$H15,0))))))</f>
        <v/>
      </c>
      <c r="O15" s="15">
        <f>IF($N15="","⏳ بانتظار هدف",IF($N15&gt;=1,"✅ محقق",IF($N15&gt;=0.85,"🟡 قريب","🔴 تحت الهدف")))</f>
        <v/>
      </c>
    </row>
    <row r="16" ht="24" customHeight="1">
      <c r="A16" s="15" t="n">
        <v>13</v>
      </c>
      <c r="B16" s="9" t="inlineStr">
        <is>
          <t>الأداء المالي</t>
        </is>
      </c>
      <c r="C16" s="9" t="inlineStr">
        <is>
          <t>معدل دوران رأس المال (أيام الدورة)</t>
        </is>
      </c>
      <c r="D16" s="35" t="inlineStr">
        <is>
          <t>يوم</t>
        </is>
      </c>
      <c r="E16" s="35" t="inlineStr">
        <is>
          <t>↓</t>
        </is>
      </c>
      <c r="F16" s="23" t="inlineStr">
        <is>
          <t>🟠 مهم</t>
        </is>
      </c>
      <c r="G16" s="32" t="n">
        <v>0.02</v>
      </c>
      <c r="H16" s="43" t="n">
        <v>5</v>
      </c>
      <c r="I16" s="38" t="inlineStr">
        <is>
          <t>≤ 5 أيام</t>
        </is>
      </c>
      <c r="J16" s="39" t="inlineStr">
        <is>
          <t>الاستدامة</t>
        </is>
      </c>
      <c r="K16" s="31" t="inlineStr">
        <is>
          <t>جودة التشغيل</t>
        </is>
      </c>
      <c r="L16" s="23" t="inlineStr">
        <is>
          <t>مالي</t>
        </is>
      </c>
      <c r="M16" s="44" t="n">
        <v>4.329</v>
      </c>
      <c r="N16" s="16">
        <f>IF($H16="","",IF($M16="","",MIN(1,IF($H16=0,IF($M16&lt;=0,1,0),IF($E16="↓",IFERROR($H16/$M16,0),IFERROR($M16/$H16,0))))))</f>
        <v/>
      </c>
      <c r="O16" s="15">
        <f>IF($N16="","⏳ بانتظار هدف",IF($N16&gt;=1,"✅ محقق",IF($N16&gt;=0.85,"🟡 قريب","🔴 تحت الهدف")))</f>
        <v/>
      </c>
    </row>
    <row r="17" ht="24" customHeight="1">
      <c r="A17" s="15" t="n">
        <v>14</v>
      </c>
      <c r="B17" s="9" t="inlineStr">
        <is>
          <t>التشغيل والجودة</t>
        </is>
      </c>
      <c r="C17" s="9" t="inlineStr">
        <is>
          <t>نسبة جاهزية محطات الامتياز (صفر انقطاع)</t>
        </is>
      </c>
      <c r="D17" s="35" t="inlineStr">
        <is>
          <t>%</t>
        </is>
      </c>
      <c r="E17" s="35" t="inlineStr">
        <is>
          <t>↑</t>
        </is>
      </c>
      <c r="F17" s="23" t="inlineStr">
        <is>
          <t>🔴 رئيسي</t>
        </is>
      </c>
      <c r="G17" s="32" t="n">
        <v>0.04</v>
      </c>
      <c r="H17" s="32" t="n">
        <v>0.99</v>
      </c>
      <c r="I17" s="38" t="inlineStr">
        <is>
          <t>99%+</t>
        </is>
      </c>
      <c r="J17" s="39" t="inlineStr">
        <is>
          <t>الاستدامة</t>
        </is>
      </c>
      <c r="K17" s="31" t="inlineStr">
        <is>
          <t>جودة التشغيل</t>
        </is>
      </c>
      <c r="L17" s="23" t="inlineStr">
        <is>
          <t>العمليات الداخلية</t>
        </is>
      </c>
      <c r="M17" s="42" t="n">
        <v>1</v>
      </c>
      <c r="N17" s="16">
        <f>IF($H17="","",IF($M17="","",MIN(1,IF($H17=0,IF($M17&lt;=0,1,0),IF($E17="↓",IFERROR($H17/$M17,0),IFERROR($M17/$H17,0))))))</f>
        <v/>
      </c>
      <c r="O17" s="15">
        <f>IF($N17="","⏳ بانتظار هدف",IF($N17&gt;=1,"✅ محقق",IF($N17&gt;=0.85,"🟡 قريب","🔴 تحت الهدف")))</f>
        <v/>
      </c>
    </row>
    <row r="18" ht="24" customHeight="1">
      <c r="A18" s="15" t="n">
        <v>15</v>
      </c>
      <c r="B18" s="9" t="inlineStr">
        <is>
          <t>التشغيل والجودة</t>
        </is>
      </c>
      <c r="C18" s="9" t="inlineStr">
        <is>
          <t>عدد حالات انقطاع الوقود الموثّقة</t>
        </is>
      </c>
      <c r="D18" s="35" t="inlineStr">
        <is>
          <t>حالة</t>
        </is>
      </c>
      <c r="E18" s="35" t="inlineStr">
        <is>
          <t>↓</t>
        </is>
      </c>
      <c r="F18" s="23" t="inlineStr">
        <is>
          <t>🟠 مهم</t>
        </is>
      </c>
      <c r="G18" s="32" t="n">
        <v>0.02</v>
      </c>
      <c r="H18" s="37" t="n">
        <v>0</v>
      </c>
      <c r="I18" s="38" t="inlineStr">
        <is>
          <t>0 حالة</t>
        </is>
      </c>
      <c r="J18" s="39" t="inlineStr">
        <is>
          <t>الاستدامة</t>
        </is>
      </c>
      <c r="K18" s="31" t="inlineStr">
        <is>
          <t>جودة التشغيل</t>
        </is>
      </c>
      <c r="L18" s="23" t="inlineStr">
        <is>
          <t>العمليات الداخلية</t>
        </is>
      </c>
      <c r="M18" s="40" t="n"/>
      <c r="N18" s="16">
        <f>IF($H18="","",IF($M18="","",MIN(1,IF($H18=0,IF($M18&lt;=0,1,0),IF($E18="↓",IFERROR($H18/$M18,0),IFERROR($M18/$H18,0))))))</f>
        <v/>
      </c>
      <c r="O18" s="15">
        <f>IF($N18="","⏳ بانتظار هدف",IF($N18&gt;=1,"✅ محقق",IF($N18&gt;=0.85,"🟡 قريب","🔴 تحت الهدف")))</f>
        <v/>
      </c>
    </row>
    <row r="19" ht="24" customHeight="1">
      <c r="A19" s="15" t="n">
        <v>16</v>
      </c>
      <c r="B19" s="9" t="inlineStr">
        <is>
          <t>التشغيل والجودة</t>
        </is>
      </c>
      <c r="C19" s="9" t="inlineStr">
        <is>
          <t>نسبة إغلاق ملاحظات الجودة الميدانية</t>
        </is>
      </c>
      <c r="D19" s="35" t="inlineStr">
        <is>
          <t>%</t>
        </is>
      </c>
      <c r="E19" s="35" t="inlineStr">
        <is>
          <t>↑</t>
        </is>
      </c>
      <c r="F19" s="23" t="inlineStr">
        <is>
          <t>🟠 مهم</t>
        </is>
      </c>
      <c r="G19" s="32" t="n">
        <v>0.02</v>
      </c>
      <c r="H19" s="32" t="n">
        <v>0.95</v>
      </c>
      <c r="I19" s="38" t="inlineStr">
        <is>
          <t>95%+</t>
        </is>
      </c>
      <c r="J19" s="39" t="inlineStr">
        <is>
          <t>الاستدامة</t>
        </is>
      </c>
      <c r="K19" s="31" t="inlineStr">
        <is>
          <t>جودة التشغيل</t>
        </is>
      </c>
      <c r="L19" s="23" t="inlineStr">
        <is>
          <t>العمليات الداخلية</t>
        </is>
      </c>
      <c r="M19" s="42" t="n">
        <v>0.879</v>
      </c>
      <c r="N19" s="16">
        <f>IF($H19="","",IF($M19="","",MIN(1,IF($H19=0,IF($M19&lt;=0,1,0),IF($E19="↓",IFERROR($H19/$M19,0),IFERROR($M19/$H19,0))))))</f>
        <v/>
      </c>
      <c r="O19" s="15">
        <f>IF($N19="","⏳ بانتظار هدف",IF($N19&gt;=1,"✅ محقق",IF($N19&gt;=0.85,"🟡 قريب","🔴 تحت الهدف")))</f>
        <v/>
      </c>
    </row>
    <row r="20" ht="24" customHeight="1">
      <c r="A20" s="15" t="n">
        <v>17</v>
      </c>
      <c r="B20" s="9" t="inlineStr">
        <is>
          <t>التشغيل والجودة</t>
        </is>
      </c>
      <c r="C20" s="9" t="inlineStr">
        <is>
          <t>متوسط درجة تقييم جودة المحطة (قائمة التحقق)</t>
        </is>
      </c>
      <c r="D20" s="35" t="inlineStr">
        <is>
          <t>درجة/100</t>
        </is>
      </c>
      <c r="E20" s="35" t="inlineStr">
        <is>
          <t>↑</t>
        </is>
      </c>
      <c r="F20" s="23" t="inlineStr">
        <is>
          <t>🔴 رئيسي</t>
        </is>
      </c>
      <c r="G20" s="32" t="n">
        <v>0.04</v>
      </c>
      <c r="H20" s="43" t="n">
        <v>85</v>
      </c>
      <c r="I20" s="38" t="inlineStr">
        <is>
          <t>85+</t>
        </is>
      </c>
      <c r="J20" s="39" t="inlineStr">
        <is>
          <t>الاستدامة</t>
        </is>
      </c>
      <c r="K20" s="31" t="inlineStr">
        <is>
          <t>جودة التشغيل</t>
        </is>
      </c>
      <c r="L20" s="23" t="inlineStr">
        <is>
          <t>العمليات الداخلية</t>
        </is>
      </c>
      <c r="M20" s="44" t="n">
        <v>78.8</v>
      </c>
      <c r="N20" s="16">
        <f>IF($H20="","",IF($M20="","",MIN(1,IF($H20=0,IF($M20&lt;=0,1,0),IF($E20="↓",IFERROR($H20/$M20,0),IFERROR($M20/$H20,0))))))</f>
        <v/>
      </c>
      <c r="O20" s="15">
        <f>IF($N20="","⏳ بانتظار هدف",IF($N20&gt;=1,"✅ محقق",IF($N20&gt;=0.85,"🟡 قريب","🔴 تحت الهدف")))</f>
        <v/>
      </c>
    </row>
    <row r="21" ht="24" customHeight="1">
      <c r="A21" s="15" t="n">
        <v>18</v>
      </c>
      <c r="B21" s="9" t="inlineStr">
        <is>
          <t>التشغيل والجودة</t>
        </is>
      </c>
      <c r="C21" s="9" t="inlineStr">
        <is>
          <t>نسبة تنفيذ الزيارات الميدانية المجدولة</t>
        </is>
      </c>
      <c r="D21" s="35" t="inlineStr">
        <is>
          <t>%</t>
        </is>
      </c>
      <c r="E21" s="35" t="inlineStr">
        <is>
          <t>↑</t>
        </is>
      </c>
      <c r="F21" s="23" t="inlineStr">
        <is>
          <t>🟠 مهم</t>
        </is>
      </c>
      <c r="G21" s="32" t="n">
        <v>0.02</v>
      </c>
      <c r="H21" s="32" t="n">
        <v>1</v>
      </c>
      <c r="I21" s="38" t="inlineStr">
        <is>
          <t>100%</t>
        </is>
      </c>
      <c r="J21" s="39" t="inlineStr">
        <is>
          <t>الاستدامة</t>
        </is>
      </c>
      <c r="K21" s="31" t="inlineStr">
        <is>
          <t>جودة التشغيل</t>
        </is>
      </c>
      <c r="L21" s="23" t="inlineStr">
        <is>
          <t>العمليات الداخلية</t>
        </is>
      </c>
      <c r="M21" s="42" t="n">
        <v>1.034</v>
      </c>
      <c r="N21" s="16">
        <f>IF($H21="","",IF($M21="","",MIN(1,IF($H21=0,IF($M21&lt;=0,1,0),IF($E21="↓",IFERROR($H21/$M21,0),IFERROR($M21/$H21,0))))))</f>
        <v/>
      </c>
      <c r="O21" s="15">
        <f>IF($N21="","⏳ بانتظار هدف",IF($N21&gt;=1,"✅ محقق",IF($N21&gt;=0.85,"🟡 قريب","🔴 تحت الهدف")))</f>
        <v/>
      </c>
    </row>
    <row r="22" ht="24" customHeight="1">
      <c r="A22" s="15" t="n">
        <v>19</v>
      </c>
      <c r="B22" s="9" t="inlineStr">
        <is>
          <t>التشغيل والجودة</t>
        </is>
      </c>
      <c r="C22" s="9" t="inlineStr">
        <is>
          <t>نسبة المحطات المستوفية لمعايير السلامة</t>
        </is>
      </c>
      <c r="D22" s="35" t="inlineStr">
        <is>
          <t>%</t>
        </is>
      </c>
      <c r="E22" s="35" t="inlineStr">
        <is>
          <t>↑</t>
        </is>
      </c>
      <c r="F22" s="23" t="inlineStr">
        <is>
          <t>🔴 رئيسي</t>
        </is>
      </c>
      <c r="G22" s="32" t="n">
        <v>0.04</v>
      </c>
      <c r="H22" s="32" t="n">
        <v>1</v>
      </c>
      <c r="I22" s="38" t="inlineStr">
        <is>
          <t>100%</t>
        </is>
      </c>
      <c r="J22" s="39" t="inlineStr">
        <is>
          <t>الاستدامة</t>
        </is>
      </c>
      <c r="K22" s="31" t="inlineStr">
        <is>
          <t>جودة التشغيل</t>
        </is>
      </c>
      <c r="L22" s="23" t="inlineStr">
        <is>
          <t>العمليات الداخلية</t>
        </is>
      </c>
      <c r="M22" s="42" t="n">
        <v>0.911</v>
      </c>
      <c r="N22" s="16">
        <f>IF($H22="","",IF($M22="","",MIN(1,IF($H22=0,IF($M22&lt;=0,1,0),IF($E22="↓",IFERROR($H22/$M22,0),IFERROR($M22/$H22,0))))))</f>
        <v/>
      </c>
      <c r="O22" s="15">
        <f>IF($N22="","⏳ بانتظار هدف",IF($N22&gt;=1,"✅ محقق",IF($N22&gt;=0.85,"🟡 قريب","🔴 تحت الهدف")))</f>
        <v/>
      </c>
    </row>
    <row r="23" ht="24" customHeight="1">
      <c r="A23" s="15" t="n">
        <v>20</v>
      </c>
      <c r="B23" s="9" t="inlineStr">
        <is>
          <t>التشغيل والجودة</t>
        </is>
      </c>
      <c r="C23" s="9" t="inlineStr">
        <is>
          <t>متوسط وقت معالجة البلاغات التشغيلية</t>
        </is>
      </c>
      <c r="D23" s="35" t="inlineStr">
        <is>
          <t>ساعة</t>
        </is>
      </c>
      <c r="E23" s="35" t="inlineStr">
        <is>
          <t>↓</t>
        </is>
      </c>
      <c r="F23" s="23" t="inlineStr">
        <is>
          <t>🟠 مهم</t>
        </is>
      </c>
      <c r="G23" s="32" t="n">
        <v>0.02</v>
      </c>
      <c r="H23" s="43" t="n">
        <v>24</v>
      </c>
      <c r="I23" s="38" t="inlineStr">
        <is>
          <t>≤ 24 ساعة</t>
        </is>
      </c>
      <c r="J23" s="39" t="inlineStr">
        <is>
          <t>الاستدامة</t>
        </is>
      </c>
      <c r="K23" s="31" t="inlineStr">
        <is>
          <t>جودة التشغيل</t>
        </is>
      </c>
      <c r="L23" s="23" t="inlineStr">
        <is>
          <t>العمليات الداخلية</t>
        </is>
      </c>
      <c r="M23" s="44" t="n">
        <v>26.2</v>
      </c>
      <c r="N23" s="16">
        <f>IF($H23="","",IF($M23="","",MIN(1,IF($H23=0,IF($M23&lt;=0,1,0),IF($E23="↓",IFERROR($H23/$M23,0),IFERROR($M23/$H23,0))))))</f>
        <v/>
      </c>
      <c r="O23" s="15">
        <f>IF($N23="","⏳ بانتظار هدف",IF($N23&gt;=1,"✅ محقق",IF($N23&gt;=0.85,"🟡 قريب","🔴 تحت الهدف")))</f>
        <v/>
      </c>
    </row>
    <row r="24" ht="24" customHeight="1">
      <c r="A24" s="15" t="n">
        <v>21</v>
      </c>
      <c r="B24" s="9" t="inlineStr">
        <is>
          <t>التشغيل والجودة</t>
        </is>
      </c>
      <c r="C24" s="9" t="inlineStr">
        <is>
          <t>نسبة أتمتة محطات الامتياز</t>
        </is>
      </c>
      <c r="D24" s="35" t="inlineStr">
        <is>
          <t>%</t>
        </is>
      </c>
      <c r="E24" s="35" t="inlineStr">
        <is>
          <t>↑</t>
        </is>
      </c>
      <c r="F24" s="23" t="inlineStr">
        <is>
          <t>🔴 رئيسي</t>
        </is>
      </c>
      <c r="G24" s="32" t="n">
        <v>0.03</v>
      </c>
      <c r="H24" s="32" t="n">
        <v>0.9</v>
      </c>
      <c r="I24" s="38" t="inlineStr">
        <is>
          <t>90%</t>
        </is>
      </c>
      <c r="J24" s="39" t="inlineStr">
        <is>
          <t>الابتكار</t>
        </is>
      </c>
      <c r="K24" s="31" t="inlineStr">
        <is>
          <t>التحول التقني</t>
        </is>
      </c>
      <c r="L24" s="23" t="inlineStr">
        <is>
          <t>التعلّم والنمو</t>
        </is>
      </c>
      <c r="M24" s="42" t="n">
        <v>0.674</v>
      </c>
      <c r="N24" s="16">
        <f>IF($H24="","",IF($M24="","",MIN(1,IF($H24=0,IF($M24&lt;=0,1,0),IF($E24="↓",IFERROR($H24/$M24,0),IFERROR($M24/$H24,0))))))</f>
        <v/>
      </c>
      <c r="O24" s="15">
        <f>IF($N24="","⏳ بانتظار هدف",IF($N24&gt;=1,"✅ محقق",IF($N24&gt;=0.85,"🟡 قريب","🔴 تحت الهدف")))</f>
        <v/>
      </c>
    </row>
    <row r="25" ht="24" customHeight="1">
      <c r="A25" s="15" t="n">
        <v>22</v>
      </c>
      <c r="B25" s="9" t="inlineStr">
        <is>
          <t>التشغيل والجودة</t>
        </is>
      </c>
      <c r="C25" s="9" t="inlineStr">
        <is>
          <t>نسبة تطبيق المعيار الشامل داخل المحطات</t>
        </is>
      </c>
      <c r="D25" s="35" t="inlineStr">
        <is>
          <t>%</t>
        </is>
      </c>
      <c r="E25" s="35" t="inlineStr">
        <is>
          <t>↑</t>
        </is>
      </c>
      <c r="F25" s="23" t="inlineStr">
        <is>
          <t>🟡 متابعة</t>
        </is>
      </c>
      <c r="G25" s="32" t="n">
        <v>0.01</v>
      </c>
      <c r="H25" s="32" t="n">
        <v>0.3</v>
      </c>
      <c r="I25" s="38" t="inlineStr">
        <is>
          <t>30%</t>
        </is>
      </c>
      <c r="J25" s="39" t="inlineStr">
        <is>
          <t>الابتكار</t>
        </is>
      </c>
      <c r="K25" s="31" t="inlineStr">
        <is>
          <t>التحول التقني</t>
        </is>
      </c>
      <c r="L25" s="23" t="inlineStr">
        <is>
          <t>العمليات الداخلية</t>
        </is>
      </c>
      <c r="M25" s="42" t="n">
        <v>0.299</v>
      </c>
      <c r="N25" s="16">
        <f>IF($H25="","",IF($M25="","",MIN(1,IF($H25=0,IF($M25&lt;=0,1,0),IF($E25="↓",IFERROR($H25/$M25,0),IFERROR($M25/$H25,0))))))</f>
        <v/>
      </c>
      <c r="O25" s="15">
        <f>IF($N25="","⏳ بانتظار هدف",IF($N25&gt;=1,"✅ محقق",IF($N25&gt;=0.85,"🟡 قريب","🔴 تحت الهدف")))</f>
        <v/>
      </c>
    </row>
    <row r="26" ht="24" customHeight="1">
      <c r="A26" s="15" t="n">
        <v>23</v>
      </c>
      <c r="B26" s="9" t="inlineStr">
        <is>
          <t>الهوية والتسويق</t>
        </is>
      </c>
      <c r="C26" s="9" t="inlineStr">
        <is>
          <t>نسبة التزام المحطات بالهوية المؤسسية</t>
        </is>
      </c>
      <c r="D26" s="35" t="inlineStr">
        <is>
          <t>%</t>
        </is>
      </c>
      <c r="E26" s="35" t="inlineStr">
        <is>
          <t>↑</t>
        </is>
      </c>
      <c r="F26" s="23" t="inlineStr">
        <is>
          <t>🔴 رئيسي</t>
        </is>
      </c>
      <c r="G26" s="32" t="n">
        <v>0.03</v>
      </c>
      <c r="H26" s="32" t="n">
        <v>0.55</v>
      </c>
      <c r="I26" s="38" t="inlineStr">
        <is>
          <t>55%</t>
        </is>
      </c>
      <c r="J26" s="39" t="inlineStr">
        <is>
          <t>الابتكار</t>
        </is>
      </c>
      <c r="K26" s="31" t="inlineStr">
        <is>
          <t>تطوير التصاميم والهوية</t>
        </is>
      </c>
      <c r="L26" s="23" t="inlineStr">
        <is>
          <t>التعلّم والنمو</t>
        </is>
      </c>
      <c r="M26" s="42" t="n">
        <v>0.44</v>
      </c>
      <c r="N26" s="16">
        <f>IF($H26="","",IF($M26="","",MIN(1,IF($H26=0,IF($M26&lt;=0,1,0),IF($E26="↓",IFERROR($H26/$M26,0),IFERROR($M26/$H26,0))))))</f>
        <v/>
      </c>
      <c r="O26" s="15">
        <f>IF($N26="","⏳ بانتظار هدف",IF($N26&gt;=1,"✅ محقق",IF($N26&gt;=0.85,"🟡 قريب","🔴 تحت الهدف")))</f>
        <v/>
      </c>
    </row>
    <row r="27" ht="24" customHeight="1">
      <c r="A27" s="15" t="n">
        <v>24</v>
      </c>
      <c r="B27" s="9" t="inlineStr">
        <is>
          <t>التوسع الإقليمي</t>
        </is>
      </c>
      <c r="C27" s="9" t="inlineStr">
        <is>
          <t>نسبة العقود التي تغطي المناطق الـ13</t>
        </is>
      </c>
      <c r="D27" s="35" t="inlineStr">
        <is>
          <t>%</t>
        </is>
      </c>
      <c r="E27" s="35" t="inlineStr">
        <is>
          <t>↑</t>
        </is>
      </c>
      <c r="F27" s="23" t="inlineStr">
        <is>
          <t>🔴 رئيسي</t>
        </is>
      </c>
      <c r="G27" s="32" t="n">
        <v>0.03</v>
      </c>
      <c r="H27" s="32" t="n">
        <v>1</v>
      </c>
      <c r="I27" s="38" t="inlineStr">
        <is>
          <t>100%</t>
        </is>
      </c>
      <c r="J27" s="39" t="inlineStr">
        <is>
          <t>النمو</t>
        </is>
      </c>
      <c r="K27" s="31" t="inlineStr">
        <is>
          <t>التوسع في المواقع</t>
        </is>
      </c>
      <c r="L27" s="23" t="inlineStr">
        <is>
          <t>العمليات الداخلية</t>
        </is>
      </c>
      <c r="M27" s="42" t="n">
        <v>1.028</v>
      </c>
      <c r="N27" s="16">
        <f>IF($H27="","",IF($M27="","",MIN(1,IF($H27=0,IF($M27&lt;=0,1,0),IF($E27="↓",IFERROR($H27/$M27,0),IFERROR($M27/$H27,0))))))</f>
        <v/>
      </c>
      <c r="O27" s="15">
        <f>IF($N27="","⏳ بانتظار هدف",IF($N27&gt;=1,"✅ محقق",IF($N27&gt;=0.85,"🟡 قريب","🔴 تحت الهدف")))</f>
        <v/>
      </c>
    </row>
    <row r="28" ht="24" customHeight="1">
      <c r="A28" s="15" t="n">
        <v>25</v>
      </c>
      <c r="B28" s="9" t="inlineStr">
        <is>
          <t>التوسع الإقليمي</t>
        </is>
      </c>
      <c r="C28" s="9" t="inlineStr">
        <is>
          <t>نسبة العقود في الـ12 مدينة الرئيسية</t>
        </is>
      </c>
      <c r="D28" s="35" t="inlineStr">
        <is>
          <t>%</t>
        </is>
      </c>
      <c r="E28" s="35" t="inlineStr">
        <is>
          <t>↓</t>
        </is>
      </c>
      <c r="F28" s="23" t="inlineStr">
        <is>
          <t>🔴 رئيسي</t>
        </is>
      </c>
      <c r="G28" s="32" t="n">
        <v>0.03</v>
      </c>
      <c r="H28" s="32" t="n">
        <v>0.4</v>
      </c>
      <c r="I28" s="38" t="inlineStr">
        <is>
          <t>&lt; 40%</t>
        </is>
      </c>
      <c r="J28" s="39" t="inlineStr">
        <is>
          <t>النمو</t>
        </is>
      </c>
      <c r="K28" s="31" t="inlineStr">
        <is>
          <t>التوسع في المواقع</t>
        </is>
      </c>
      <c r="L28" s="23" t="inlineStr">
        <is>
          <t>العمليات الداخلية</t>
        </is>
      </c>
      <c r="M28" s="42" t="n">
        <v>0.415</v>
      </c>
      <c r="N28" s="16">
        <f>IF($H28="","",IF($M28="","",MIN(1,IF($H28=0,IF($M28&lt;=0,1,0),IF($E28="↓",IFERROR($H28/$M28,0),IFERROR($M28/$H28,0))))))</f>
        <v/>
      </c>
      <c r="O28" s="15">
        <f>IF($N28="","⏳ بانتظار هدف",IF($N28&gt;=1,"✅ محقق",IF($N28&gt;=0.85,"🟡 قريب","🔴 تحت الهدف")))</f>
        <v/>
      </c>
    </row>
    <row r="29" ht="24" customHeight="1">
      <c r="A29" s="15" t="n">
        <v>26</v>
      </c>
      <c r="B29" s="9" t="inlineStr">
        <is>
          <t>التوسع الإقليمي</t>
        </is>
      </c>
      <c r="C29" s="9" t="inlineStr">
        <is>
          <t>نسبة العقود خارج المدن الرئيسية</t>
        </is>
      </c>
      <c r="D29" s="35" t="inlineStr">
        <is>
          <t>%</t>
        </is>
      </c>
      <c r="E29" s="35" t="inlineStr">
        <is>
          <t>↑</t>
        </is>
      </c>
      <c r="F29" s="23" t="inlineStr">
        <is>
          <t>🔴 رئيسي</t>
        </is>
      </c>
      <c r="G29" s="32" t="n">
        <v>0.03</v>
      </c>
      <c r="H29" s="32" t="n">
        <v>0.6</v>
      </c>
      <c r="I29" s="38" t="inlineStr">
        <is>
          <t>&gt; 60%</t>
        </is>
      </c>
      <c r="J29" s="39" t="inlineStr">
        <is>
          <t>النمو</t>
        </is>
      </c>
      <c r="K29" s="31" t="inlineStr">
        <is>
          <t>التوسع في المواقع</t>
        </is>
      </c>
      <c r="L29" s="23" t="inlineStr">
        <is>
          <t>العمليات الداخلية</t>
        </is>
      </c>
      <c r="M29" s="42" t="n">
        <v>0.516</v>
      </c>
      <c r="N29" s="16">
        <f>IF($H29="","",IF($M29="","",MIN(1,IF($H29=0,IF($M29&lt;=0,1,0),IF($E29="↓",IFERROR($H29/$M29,0),IFERROR($M29/$H29,0))))))</f>
        <v/>
      </c>
      <c r="O29" s="15">
        <f>IF($N29="","⏳ بانتظار هدف",IF($N29&gt;=1,"✅ محقق",IF($N29&gt;=0.85,"🟡 قريب","🔴 تحت الهدف")))</f>
        <v/>
      </c>
    </row>
    <row r="30" ht="24" customHeight="1">
      <c r="A30" s="15" t="n">
        <v>27</v>
      </c>
      <c r="B30" s="9" t="inlineStr">
        <is>
          <t>التوسع الإقليمي</t>
        </is>
      </c>
      <c r="C30" s="9" t="inlineStr">
        <is>
          <t>نسبة العقود على الطرق الإقليمية</t>
        </is>
      </c>
      <c r="D30" s="35" t="inlineStr">
        <is>
          <t>%</t>
        </is>
      </c>
      <c r="E30" s="35" t="inlineStr">
        <is>
          <t>↑</t>
        </is>
      </c>
      <c r="F30" s="23" t="inlineStr">
        <is>
          <t>🔴 رئيسي</t>
        </is>
      </c>
      <c r="G30" s="32" t="n">
        <v>0.03</v>
      </c>
      <c r="H30" s="32" t="n">
        <v>0.25</v>
      </c>
      <c r="I30" s="38" t="inlineStr">
        <is>
          <t>&gt; 25%</t>
        </is>
      </c>
      <c r="J30" s="39" t="inlineStr">
        <is>
          <t>النمو</t>
        </is>
      </c>
      <c r="K30" s="31" t="inlineStr">
        <is>
          <t>التوسع في المواقع</t>
        </is>
      </c>
      <c r="L30" s="23" t="inlineStr">
        <is>
          <t>العمليات الداخلية</t>
        </is>
      </c>
      <c r="M30" s="42" t="n">
        <v>0.236</v>
      </c>
      <c r="N30" s="16">
        <f>IF($H30="","",IF($M30="","",MIN(1,IF($H30=0,IF($M30&lt;=0,1,0),IF($E30="↓",IFERROR($H30/$M30,0),IFERROR($M30/$H30,0))))))</f>
        <v/>
      </c>
      <c r="O30" s="15">
        <f>IF($N30="","⏳ بانتظار هدف",IF($N30&gt;=1,"✅ محقق",IF($N30&gt;=0.85,"🟡 قريب","🔴 تحت الهدف")))</f>
        <v/>
      </c>
    </row>
    <row r="31" ht="24" customHeight="1">
      <c r="A31" s="15" t="n">
        <v>28</v>
      </c>
      <c r="B31" s="9" t="inlineStr">
        <is>
          <t>تجربة العملاء والشركاء</t>
        </is>
      </c>
      <c r="C31" s="9" t="inlineStr">
        <is>
          <t>متوسط تقييم المحطات على خرائط قوقل</t>
        </is>
      </c>
      <c r="D31" s="35" t="inlineStr">
        <is>
          <t>نجمة/5</t>
        </is>
      </c>
      <c r="E31" s="35" t="inlineStr">
        <is>
          <t>↑</t>
        </is>
      </c>
      <c r="F31" s="23" t="inlineStr">
        <is>
          <t>🔴 رئيسي</t>
        </is>
      </c>
      <c r="G31" s="32" t="n">
        <v>0.03</v>
      </c>
      <c r="H31" s="43" t="n">
        <v>4.7</v>
      </c>
      <c r="I31" s="38" t="inlineStr">
        <is>
          <t>≥ 4.7 نجمة</t>
        </is>
      </c>
      <c r="J31" s="39" t="inlineStr">
        <is>
          <t>الاستدامة</t>
        </is>
      </c>
      <c r="K31" s="31" t="inlineStr">
        <is>
          <t>تعزيز تجربة العملاء</t>
        </is>
      </c>
      <c r="L31" s="23" t="inlineStr">
        <is>
          <t>العملاء</t>
        </is>
      </c>
      <c r="M31" s="44" t="n">
        <v>3.474</v>
      </c>
      <c r="N31" s="16">
        <f>IF($H31="","",IF($M31="","",MIN(1,IF($H31=0,IF($M31&lt;=0,1,0),IF($E31="↓",IFERROR($H31/$M31,0),IFERROR($M31/$H31,0))))))</f>
        <v/>
      </c>
      <c r="O31" s="15">
        <f>IF($N31="","⏳ بانتظار هدف",IF($N31&gt;=1,"✅ محقق",IF($N31&gt;=0.85,"🟡 قريب","🔴 تحت الهدف")))</f>
        <v/>
      </c>
    </row>
    <row r="32" ht="24" customHeight="1">
      <c r="A32" s="15" t="n">
        <v>29</v>
      </c>
      <c r="B32" s="9" t="inlineStr">
        <is>
          <t>تجربة العملاء والشركاء</t>
        </is>
      </c>
      <c r="C32" s="9" t="inlineStr">
        <is>
          <t>معدل رضا شركاء الامتياز (CSAT)</t>
        </is>
      </c>
      <c r="D32" s="35" t="inlineStr">
        <is>
          <t>%</t>
        </is>
      </c>
      <c r="E32" s="35" t="inlineStr">
        <is>
          <t>↑</t>
        </is>
      </c>
      <c r="F32" s="23" t="inlineStr">
        <is>
          <t>🔴 رئيسي</t>
        </is>
      </c>
      <c r="G32" s="32" t="n">
        <v>0.03</v>
      </c>
      <c r="H32" s="32" t="n">
        <v>0.9</v>
      </c>
      <c r="I32" s="38" t="inlineStr">
        <is>
          <t>90%+</t>
        </is>
      </c>
      <c r="J32" s="39" t="inlineStr">
        <is>
          <t>الاستدامة</t>
        </is>
      </c>
      <c r="K32" s="31" t="inlineStr">
        <is>
          <t>تعزيز تجربة العملاء</t>
        </is>
      </c>
      <c r="L32" s="23" t="inlineStr">
        <is>
          <t>العملاء</t>
        </is>
      </c>
      <c r="M32" s="42" t="n">
        <v>0.837</v>
      </c>
      <c r="N32" s="16">
        <f>IF($H32="","",IF($M32="","",MIN(1,IF($H32=0,IF($M32&lt;=0,1,0),IF($E32="↓",IFERROR($H32/$M32,0),IFERROR($M32/$H32,0))))))</f>
        <v/>
      </c>
      <c r="O32" s="15">
        <f>IF($N32="","⏳ بانتظار هدف",IF($N32&gt;=1,"✅ محقق",IF($N32&gt;=0.85,"🟡 قريب","🔴 تحت الهدف")))</f>
        <v/>
      </c>
    </row>
    <row r="33" ht="24" customHeight="1">
      <c r="A33" s="15" t="n">
        <v>30</v>
      </c>
      <c r="B33" s="9" t="inlineStr">
        <is>
          <t>تجربة العملاء والشركاء</t>
        </is>
      </c>
      <c r="C33" s="9" t="inlineStr">
        <is>
          <t>نسبة حل الشكاوى خلال المدة المحددة</t>
        </is>
      </c>
      <c r="D33" s="35" t="inlineStr">
        <is>
          <t>%</t>
        </is>
      </c>
      <c r="E33" s="35" t="inlineStr">
        <is>
          <t>↑</t>
        </is>
      </c>
      <c r="F33" s="23" t="inlineStr">
        <is>
          <t>🟠 مهم</t>
        </is>
      </c>
      <c r="G33" s="32" t="n">
        <v>0.02</v>
      </c>
      <c r="H33" s="32" t="n">
        <v>0.95</v>
      </c>
      <c r="I33" s="38" t="inlineStr">
        <is>
          <t>95%+</t>
        </is>
      </c>
      <c r="J33" s="39" t="inlineStr">
        <is>
          <t>الاستدامة</t>
        </is>
      </c>
      <c r="K33" s="31" t="inlineStr">
        <is>
          <t>تعزيز تجربة العملاء</t>
        </is>
      </c>
      <c r="L33" s="23" t="inlineStr">
        <is>
          <t>العملاء</t>
        </is>
      </c>
      <c r="M33" s="42" t="n">
        <v>0.922</v>
      </c>
      <c r="N33" s="16">
        <f>IF($H33="","",IF($M33="","",MIN(1,IF($H33=0,IF($M33&lt;=0,1,0),IF($E33="↓",IFERROR($H33/$M33,0),IFERROR($M33/$H33,0))))))</f>
        <v/>
      </c>
      <c r="O33" s="15">
        <f>IF($N33="","⏳ بانتظار هدف",IF($N33&gt;=1,"✅ محقق",IF($N33&gt;=0.85,"🟡 قريب","🔴 تحت الهدف")))</f>
        <v/>
      </c>
    </row>
    <row r="34" ht="24" customHeight="1">
      <c r="A34" s="15" t="n">
        <v>31</v>
      </c>
      <c r="B34" s="9" t="inlineStr">
        <is>
          <t>تجربة العملاء والشركاء</t>
        </is>
      </c>
      <c r="C34" s="9" t="inlineStr">
        <is>
          <t>نسبة انخفاض الشكاوى التشغيلية والإدارية</t>
        </is>
      </c>
      <c r="D34" s="35" t="inlineStr">
        <is>
          <t>%</t>
        </is>
      </c>
      <c r="E34" s="35" t="inlineStr">
        <is>
          <t>↑</t>
        </is>
      </c>
      <c r="F34" s="23" t="inlineStr">
        <is>
          <t>🟠 مهم</t>
        </is>
      </c>
      <c r="G34" s="32" t="n">
        <v>0.02</v>
      </c>
      <c r="H34" s="35" t="inlineStr"/>
      <c r="I34" s="38" t="inlineStr">
        <is>
          <t>-30%</t>
        </is>
      </c>
      <c r="J34" s="39" t="inlineStr">
        <is>
          <t>الاستدامة</t>
        </is>
      </c>
      <c r="K34" s="31" t="inlineStr">
        <is>
          <t>تعزيز تجربة العملاء</t>
        </is>
      </c>
      <c r="L34" s="23" t="inlineStr">
        <is>
          <t>العملاء</t>
        </is>
      </c>
      <c r="M34" s="42" t="n"/>
      <c r="N34" s="16">
        <f>IF($H34="","",IF($M34="","",MIN(1,IF($H34=0,IF($M34&lt;=0,1,0),IF($E34="↓",IFERROR($H34/$M34,0),IFERROR($M34/$H34,0))))))</f>
        <v/>
      </c>
      <c r="O34" s="15">
        <f>IF($N34="","⏳ بانتظار هدف",IF($N34&gt;=1,"✅ محقق",IF($N34&gt;=0.85,"🟡 قريب","🔴 تحت الهدف")))</f>
        <v/>
      </c>
    </row>
    <row r="35" ht="24" customHeight="1">
      <c r="A35" s="15" t="n">
        <v>32</v>
      </c>
      <c r="B35" s="9" t="inlineStr">
        <is>
          <t>استدامة الشراكة والامتثال</t>
        </is>
      </c>
      <c r="C35" s="9" t="inlineStr">
        <is>
          <t>نسبة استدامة أصحاب الامتياز (Retention)</t>
        </is>
      </c>
      <c r="D35" s="35" t="inlineStr">
        <is>
          <t>%</t>
        </is>
      </c>
      <c r="E35" s="35" t="inlineStr">
        <is>
          <t>↑</t>
        </is>
      </c>
      <c r="F35" s="23" t="inlineStr">
        <is>
          <t>🟠 مهم</t>
        </is>
      </c>
      <c r="G35" s="32" t="n">
        <v>0.02</v>
      </c>
      <c r="H35" s="32" t="n">
        <v>0.9</v>
      </c>
      <c r="I35" s="38" t="inlineStr">
        <is>
          <t>90%</t>
        </is>
      </c>
      <c r="J35" s="39" t="inlineStr">
        <is>
          <t>الاستدامة</t>
        </is>
      </c>
      <c r="K35" s="31" t="inlineStr">
        <is>
          <t>تعزيز تجربة العملاء</t>
        </is>
      </c>
      <c r="L35" s="23" t="inlineStr">
        <is>
          <t>العمليات الداخلية</t>
        </is>
      </c>
      <c r="M35" s="42" t="n">
        <v>0.853</v>
      </c>
      <c r="N35" s="16">
        <f>IF($H35="","",IF($M35="","",MIN(1,IF($H35=0,IF($M35&lt;=0,1,0),IF($E35="↓",IFERROR($H35/$M35,0),IFERROR($M35/$H35,0))))))</f>
        <v/>
      </c>
      <c r="O35" s="15">
        <f>IF($N35="","⏳ بانتظار هدف",IF($N35&gt;=1,"✅ محقق",IF($N35&gt;=0.85,"🟡 قريب","🔴 تحت الهدف")))</f>
        <v/>
      </c>
    </row>
    <row r="36" ht="24" customHeight="1">
      <c r="A36" s="15" t="n">
        <v>33</v>
      </c>
      <c r="B36" s="9" t="inlineStr">
        <is>
          <t>استدامة الشراكة والامتثال</t>
        </is>
      </c>
      <c r="C36" s="9" t="inlineStr">
        <is>
          <t>نسبة زيادة عدد أصحاب الامتياز</t>
        </is>
      </c>
      <c r="D36" s="35" t="inlineStr">
        <is>
          <t>%</t>
        </is>
      </c>
      <c r="E36" s="35" t="inlineStr">
        <is>
          <t>↑</t>
        </is>
      </c>
      <c r="F36" s="23" t="inlineStr">
        <is>
          <t>🟠 مهم</t>
        </is>
      </c>
      <c r="G36" s="32" t="n">
        <v>0.02</v>
      </c>
      <c r="H36" s="32" t="n">
        <v>1</v>
      </c>
      <c r="I36" s="38" t="inlineStr">
        <is>
          <t>100% نمو</t>
        </is>
      </c>
      <c r="J36" s="39" t="inlineStr">
        <is>
          <t>الاستدامة</t>
        </is>
      </c>
      <c r="K36" s="31" t="inlineStr">
        <is>
          <t>تعزيز تجربة العملاء</t>
        </is>
      </c>
      <c r="L36" s="23" t="inlineStr">
        <is>
          <t>العمليات الداخلية</t>
        </is>
      </c>
      <c r="M36" s="42" t="n">
        <v>0.8100000000000001</v>
      </c>
      <c r="N36" s="16">
        <f>IF($H36="","",IF($M36="","",MIN(1,IF($H36=0,IF($M36&lt;=0,1,0),IF($E36="↓",IFERROR($H36/$M36,0),IFERROR($M36/$H36,0))))))</f>
        <v/>
      </c>
      <c r="O36" s="15">
        <f>IF($N36="","⏳ بانتظار هدف",IF($N36&gt;=1,"✅ محقق",IF($N36&gt;=0.85,"🟡 قريب","🔴 تحت الهدف")))</f>
        <v/>
      </c>
    </row>
    <row r="37" ht="24" customHeight="1">
      <c r="A37" s="15" t="n">
        <v>34</v>
      </c>
      <c r="B37" s="9" t="inlineStr">
        <is>
          <t>استدامة الشراكة والامتثال</t>
        </is>
      </c>
      <c r="C37" s="9" t="inlineStr">
        <is>
          <t>نسبة اكتمال المستندات النظامية قبل التوقيع</t>
        </is>
      </c>
      <c r="D37" s="35" t="inlineStr">
        <is>
          <t>%</t>
        </is>
      </c>
      <c r="E37" s="35" t="inlineStr">
        <is>
          <t>↑</t>
        </is>
      </c>
      <c r="F37" s="23" t="inlineStr">
        <is>
          <t>🏁 معلم</t>
        </is>
      </c>
      <c r="G37" s="32" t="n">
        <v>0.01</v>
      </c>
      <c r="H37" s="32" t="n">
        <v>1</v>
      </c>
      <c r="I37" s="38" t="inlineStr">
        <is>
          <t>100%</t>
        </is>
      </c>
      <c r="J37" s="39" t="inlineStr">
        <is>
          <t>الاستدامة</t>
        </is>
      </c>
      <c r="K37" s="31" t="inlineStr">
        <is>
          <t>جودة التشغيل</t>
        </is>
      </c>
      <c r="L37" s="23" t="inlineStr">
        <is>
          <t>العمليات الداخلية</t>
        </is>
      </c>
      <c r="M37" s="42" t="n">
        <v>0.751</v>
      </c>
      <c r="N37" s="16">
        <f>IF($H37="","",IF($M37="","",MIN(1,IF($H37=0,IF($M37&lt;=0,1,0),IF($E37="↓",IFERROR($H37/$M37,0),IFERROR($M37/$H37,0))))))</f>
        <v/>
      </c>
      <c r="O37" s="15">
        <f>IF($N37="","⏳ بانتظار هدف",IF($N37&gt;=1,"✅ محقق",IF($N37&gt;=0.85,"🟡 قريب","🔴 تحت الهدف")))</f>
        <v/>
      </c>
    </row>
    <row r="38" ht="24" customHeight="1">
      <c r="A38" s="15" t="n">
        <v>35</v>
      </c>
      <c r="B38" s="9" t="inlineStr">
        <is>
          <t>استدامة الشراكة والامتثال</t>
        </is>
      </c>
      <c r="C38" s="9" t="inlineStr">
        <is>
          <t>متوسط مدة إغلاق عقد الامتياز</t>
        </is>
      </c>
      <c r="D38" s="35" t="inlineStr">
        <is>
          <t>أسبوع</t>
        </is>
      </c>
      <c r="E38" s="35" t="inlineStr">
        <is>
          <t>↓</t>
        </is>
      </c>
      <c r="F38" s="23" t="inlineStr">
        <is>
          <t>🔴 رئيسي</t>
        </is>
      </c>
      <c r="G38" s="32" t="n">
        <v>0.03</v>
      </c>
      <c r="H38" s="43" t="n">
        <v>1</v>
      </c>
      <c r="I38" s="38" t="inlineStr">
        <is>
          <t>≤ أسبوع</t>
        </is>
      </c>
      <c r="J38" s="39" t="inlineStr">
        <is>
          <t>النمو</t>
        </is>
      </c>
      <c r="K38" s="31" t="inlineStr">
        <is>
          <t>الامتياز التجاري</t>
        </is>
      </c>
      <c r="L38" s="23" t="inlineStr">
        <is>
          <t>العمليات الداخلية</t>
        </is>
      </c>
      <c r="M38" s="44" t="n">
        <v>0.899</v>
      </c>
      <c r="N38" s="16">
        <f>IF($H38="","",IF($M38="","",MIN(1,IF($H38=0,IF($M38&lt;=0,1,0),IF($E38="↓",IFERROR($H38/$M38,0),IFERROR($M38/$H38,0))))))</f>
        <v/>
      </c>
      <c r="O38" s="15">
        <f>IF($N38="","⏳ بانتظار هدف",IF($N38&gt;=1,"✅ محقق",IF($N38&gt;=0.85,"🟡 قريب","🔴 تحت الهدف")))</f>
        <v/>
      </c>
    </row>
    <row r="39" ht="24" customHeight="1">
      <c r="A39" s="15" t="n">
        <v>36</v>
      </c>
      <c r="B39" s="9" t="inlineStr">
        <is>
          <t>استدامة الشراكة والامتثال</t>
        </is>
      </c>
      <c r="C39" s="9" t="inlineStr">
        <is>
          <t>نسبة إنجاز التقارير الدورية في موعدها</t>
        </is>
      </c>
      <c r="D39" s="35" t="inlineStr">
        <is>
          <t>%</t>
        </is>
      </c>
      <c r="E39" s="35" t="inlineStr">
        <is>
          <t>↑</t>
        </is>
      </c>
      <c r="F39" s="23" t="inlineStr">
        <is>
          <t>🟡 متابعة</t>
        </is>
      </c>
      <c r="G39" s="32" t="n">
        <v>0.01</v>
      </c>
      <c r="H39" s="32" t="n">
        <v>1</v>
      </c>
      <c r="I39" s="38" t="inlineStr">
        <is>
          <t>100%</t>
        </is>
      </c>
      <c r="J39" s="39" t="inlineStr">
        <is>
          <t>الاستدامة</t>
        </is>
      </c>
      <c r="K39" s="31" t="inlineStr">
        <is>
          <t>جودة التشغيل</t>
        </is>
      </c>
      <c r="L39" s="23" t="inlineStr">
        <is>
          <t>العمليات الداخلية</t>
        </is>
      </c>
      <c r="M39" s="42" t="n">
        <v>0.961</v>
      </c>
      <c r="N39" s="16">
        <f>IF($H39="","",IF($M39="","",MIN(1,IF($H39=0,IF($M39&lt;=0,1,0),IF($E39="↓",IFERROR($H39/$M39,0),IFERROR($M39/$H39,0))))))</f>
        <v/>
      </c>
      <c r="O39" s="15">
        <f>IF($N39="","⏳ بانتظار هدف",IF($N39&gt;=1,"✅ محقق",IF($N39&gt;=0.85,"🟡 قريب","🔴 تحت الهدف")))</f>
        <v/>
      </c>
    </row>
  </sheetData>
  <autoFilter ref="A3:O39"/>
  <mergeCells count="2">
    <mergeCell ref="A1:O1"/>
    <mergeCell ref="A2:O2"/>
  </mergeCells>
  <dataValidations count="1">
    <dataValidation sqref="M4 M5 M6 M7 M8 M9 M10 M11 M12 M13 M14 M15 M16 M17 M18 M19 M20 M21 M22 M23 M24 M25 M26 M27 M28 M29 M30 M31 M32 M33 M34 M35 M36 M37 M38 M39" showDropDown="0" showInputMessage="0" showErrorMessage="0" allowBlank="1" type="decimal" operator="greaterThanOrEqual">
      <formula1>0</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O19"/>
  <sheetViews>
    <sheetView showGridLines="0" rightToLeft="1" workbookViewId="0">
      <pane ySplit="3" topLeftCell="A4" activePane="bottomLeft" state="frozen"/>
      <selection pane="bottomLeft" activeCell="A1" sqref="A1"/>
    </sheetView>
  </sheetViews>
  <sheetFormatPr baseColWidth="8" defaultRowHeight="15"/>
  <cols>
    <col width="4" customWidth="1" min="1" max="1"/>
    <col width="16" customWidth="1" min="2" max="2"/>
    <col width="40" customWidth="1" min="3" max="3"/>
    <col width="9" customWidth="1" min="4" max="4"/>
    <col width="7" customWidth="1" min="5" max="5"/>
    <col width="12" customWidth="1" min="6" max="6"/>
    <col width="8" customWidth="1" min="7" max="7"/>
    <col width="12" customWidth="1" min="8" max="8"/>
    <col width="16" customWidth="1" min="9" max="9"/>
    <col width="12" customWidth="1" min="10" max="10"/>
    <col width="22" customWidth="1" min="11" max="11"/>
    <col width="15" customWidth="1" min="12" max="12"/>
    <col width="12" customWidth="1" min="13" max="13"/>
    <col width="12" customWidth="1" min="14" max="14"/>
    <col width="14" customWidth="1" min="15" max="15"/>
  </cols>
  <sheetData>
    <row r="1" ht="24" customHeight="1">
      <c r="A1" s="17" t="inlineStr">
        <is>
          <t>إدارة التشغيل والمحطات · مؤشرات الأداء 2026</t>
        </is>
      </c>
    </row>
    <row r="2">
      <c r="A2" s="36" t="inlineStr">
        <is>
          <t>🟩 عمود «المُحقَّق» أرقام تجريبية — استبدلها بالفعلية · نسبة التحقيق والحالة دلّات تُحسب تلقائياً</t>
        </is>
      </c>
    </row>
    <row r="3" ht="28" customHeight="1">
      <c r="A3" s="25" t="inlineStr">
        <is>
          <t>#</t>
        </is>
      </c>
      <c r="B3" s="25" t="inlineStr">
        <is>
          <t>المحور</t>
        </is>
      </c>
      <c r="C3" s="25" t="inlineStr">
        <is>
          <t>المؤشر</t>
        </is>
      </c>
      <c r="D3" s="25" t="inlineStr">
        <is>
          <t>الوحدة</t>
        </is>
      </c>
      <c r="E3" s="25" t="inlineStr">
        <is>
          <t>القطبية</t>
        </is>
      </c>
      <c r="F3" s="25" t="inlineStr">
        <is>
          <t>الأولوية</t>
        </is>
      </c>
      <c r="G3" s="25" t="inlineStr">
        <is>
          <t>الوزن %</t>
        </is>
      </c>
      <c r="H3" s="25" t="inlineStr">
        <is>
          <t>المستهدف</t>
        </is>
      </c>
      <c r="I3" s="25" t="inlineStr">
        <is>
          <t>نص المستهدف</t>
        </is>
      </c>
      <c r="J3" s="25" t="inlineStr">
        <is>
          <t>الركيزة</t>
        </is>
      </c>
      <c r="K3" s="25" t="inlineStr">
        <is>
          <t>المشروع</t>
        </is>
      </c>
      <c r="L3" s="25" t="inlineStr">
        <is>
          <t>منظور BSC</t>
        </is>
      </c>
      <c r="M3" s="25" t="inlineStr">
        <is>
          <t>المُحقَّق</t>
        </is>
      </c>
      <c r="N3" s="25" t="inlineStr">
        <is>
          <t>نسبة التحقيق</t>
        </is>
      </c>
      <c r="O3" s="25" t="inlineStr">
        <is>
          <t>الحالة</t>
        </is>
      </c>
    </row>
    <row r="4" ht="24" customHeight="1">
      <c r="A4" s="15" t="n">
        <v>1</v>
      </c>
      <c r="B4" s="9" t="inlineStr">
        <is>
          <t>النمو</t>
        </is>
      </c>
      <c r="C4" s="9" t="inlineStr">
        <is>
          <t>عدد المحطات المشغّلة (تراكمي)</t>
        </is>
      </c>
      <c r="D4" s="35" t="inlineStr">
        <is>
          <t>محطة</t>
        </is>
      </c>
      <c r="E4" s="35" t="inlineStr">
        <is>
          <t>↑</t>
        </is>
      </c>
      <c r="F4" s="23" t="inlineStr">
        <is>
          <t>🔴 رئيسي</t>
        </is>
      </c>
      <c r="G4" s="32" t="n">
        <v>0.08</v>
      </c>
      <c r="H4" s="37" t="n">
        <v>85</v>
      </c>
      <c r="I4" s="38" t="inlineStr">
        <is>
          <t>85 محطة</t>
        </is>
      </c>
      <c r="J4" s="39" t="inlineStr">
        <is>
          <t>النمو</t>
        </is>
      </c>
      <c r="K4" s="31" t="inlineStr">
        <is>
          <t>التوسع في المواقع</t>
        </is>
      </c>
      <c r="L4" s="23" t="inlineStr">
        <is>
          <t>العمليات الداخلية</t>
        </is>
      </c>
      <c r="M4" s="40" t="n">
        <v>78.5</v>
      </c>
      <c r="N4" s="16">
        <f>IF($H4="","",IF($M4="","",MIN(1,IF($H4=0,IF($M4&lt;=0,1,0),IF($E4="↓",IFERROR($H4/$M4,0),IFERROR($M4/$H4,0))))))</f>
        <v/>
      </c>
      <c r="O4" s="15">
        <f>IF($N4="","⏳ بانتظار هدف",IF($N4&gt;=1,"✅ محقق",IF($N4&gt;=0.85,"🟡 قريب","🔴 تحت الهدف")))</f>
        <v/>
      </c>
    </row>
    <row r="5" ht="24" customHeight="1">
      <c r="A5" s="15" t="n">
        <v>2</v>
      </c>
      <c r="B5" s="9" t="inlineStr">
        <is>
          <t>الربحية</t>
        </is>
      </c>
      <c r="C5" s="9" t="inlineStr">
        <is>
          <t>نمو مبيعات بنزين 91 مقارنة بالعام السابق</t>
        </is>
      </c>
      <c r="D5" s="35" t="inlineStr">
        <is>
          <t>%</t>
        </is>
      </c>
      <c r="E5" s="35" t="inlineStr">
        <is>
          <t>↑</t>
        </is>
      </c>
      <c r="F5" s="23" t="inlineStr">
        <is>
          <t>🔴 رئيسي</t>
        </is>
      </c>
      <c r="G5" s="32" t="n">
        <v>0.08</v>
      </c>
      <c r="H5" s="35" t="inlineStr"/>
      <c r="I5" s="38" t="inlineStr">
        <is>
          <t>يُحدد لاحقاً</t>
        </is>
      </c>
      <c r="J5" s="39" t="inlineStr">
        <is>
          <t>النمو</t>
        </is>
      </c>
      <c r="K5" s="31" t="inlineStr">
        <is>
          <t>زيادة وصول العملاء</t>
        </is>
      </c>
      <c r="L5" s="23" t="inlineStr">
        <is>
          <t>مالي</t>
        </is>
      </c>
      <c r="M5" s="42" t="n"/>
      <c r="N5" s="16">
        <f>IF($H5="","",IF($M5="","",MIN(1,IF($H5=0,IF($M5&lt;=0,1,0),IF($E5="↓",IFERROR($H5/$M5,0),IFERROR($M5/$H5,0))))))</f>
        <v/>
      </c>
      <c r="O5" s="15">
        <f>IF($N5="","⏳ بانتظار هدف",IF($N5&gt;=1,"✅ محقق",IF($N5&gt;=0.85,"🟡 قريب","🔴 تحت الهدف")))</f>
        <v/>
      </c>
    </row>
    <row r="6" ht="24" customHeight="1">
      <c r="A6" s="15" t="n">
        <v>3</v>
      </c>
      <c r="B6" s="9" t="inlineStr">
        <is>
          <t>الربحية</t>
        </is>
      </c>
      <c r="C6" s="9" t="inlineStr">
        <is>
          <t>نمو مبيعات بنزين 95 مقارنة بالعام السابق</t>
        </is>
      </c>
      <c r="D6" s="35" t="inlineStr">
        <is>
          <t>%</t>
        </is>
      </c>
      <c r="E6" s="35" t="inlineStr">
        <is>
          <t>↑</t>
        </is>
      </c>
      <c r="F6" s="23" t="inlineStr">
        <is>
          <t>🔴 رئيسي</t>
        </is>
      </c>
      <c r="G6" s="32" t="n">
        <v>0.08</v>
      </c>
      <c r="H6" s="35" t="inlineStr"/>
      <c r="I6" s="38" t="inlineStr">
        <is>
          <t>يُحدد لاحقاً</t>
        </is>
      </c>
      <c r="J6" s="39" t="inlineStr">
        <is>
          <t>النمو</t>
        </is>
      </c>
      <c r="K6" s="31" t="inlineStr">
        <is>
          <t>زيادة وصول العملاء</t>
        </is>
      </c>
      <c r="L6" s="23" t="inlineStr">
        <is>
          <t>مالي</t>
        </is>
      </c>
      <c r="M6" s="42" t="n"/>
      <c r="N6" s="16">
        <f>IF($H6="","",IF($M6="","",MIN(1,IF($H6=0,IF($M6&lt;=0,1,0),IF($E6="↓",IFERROR($H6/$M6,0),IFERROR($M6/$H6,0))))))</f>
        <v/>
      </c>
      <c r="O6" s="15">
        <f>IF($N6="","⏳ بانتظار هدف",IF($N6&gt;=1,"✅ محقق",IF($N6&gt;=0.85,"🟡 قريب","🔴 تحت الهدف")))</f>
        <v/>
      </c>
    </row>
    <row r="7" ht="24" customHeight="1">
      <c r="A7" s="15" t="n">
        <v>4</v>
      </c>
      <c r="B7" s="9" t="inlineStr">
        <is>
          <t>الربحية</t>
        </is>
      </c>
      <c r="C7" s="9" t="inlineStr">
        <is>
          <t>نمو مبيعات بنزين 98 مقارنة بالعام السابق</t>
        </is>
      </c>
      <c r="D7" s="35" t="inlineStr">
        <is>
          <t>%</t>
        </is>
      </c>
      <c r="E7" s="35" t="inlineStr">
        <is>
          <t>↑</t>
        </is>
      </c>
      <c r="F7" s="23" t="inlineStr">
        <is>
          <t>🔴 رئيسي</t>
        </is>
      </c>
      <c r="G7" s="32" t="n">
        <v>0.08</v>
      </c>
      <c r="H7" s="35" t="inlineStr"/>
      <c r="I7" s="38" t="inlineStr">
        <is>
          <t>يُحدد لاحقاً</t>
        </is>
      </c>
      <c r="J7" s="39" t="inlineStr">
        <is>
          <t>النمو</t>
        </is>
      </c>
      <c r="K7" s="31" t="inlineStr">
        <is>
          <t>زيادة وصول العملاء</t>
        </is>
      </c>
      <c r="L7" s="23" t="inlineStr">
        <is>
          <t>مالي</t>
        </is>
      </c>
      <c r="M7" s="42" t="n"/>
      <c r="N7" s="16">
        <f>IF($H7="","",IF($M7="","",MIN(1,IF($H7=0,IF($M7&lt;=0,1,0),IF($E7="↓",IFERROR($H7/$M7,0),IFERROR($M7/$H7,0))))))</f>
        <v/>
      </c>
      <c r="O7" s="15">
        <f>IF($N7="","⏳ بانتظار هدف",IF($N7&gt;=1,"✅ محقق",IF($N7&gt;=0.85,"🟡 قريب","🔴 تحت الهدف")))</f>
        <v/>
      </c>
    </row>
    <row r="8" ht="24" customHeight="1">
      <c r="A8" s="15" t="n">
        <v>5</v>
      </c>
      <c r="B8" s="9" t="inlineStr">
        <is>
          <t>الربحية</t>
        </is>
      </c>
      <c r="C8" s="9" t="inlineStr">
        <is>
          <t>نمو مبيعات الديزل مقارنة بالعام السابق</t>
        </is>
      </c>
      <c r="D8" s="35" t="inlineStr">
        <is>
          <t>%</t>
        </is>
      </c>
      <c r="E8" s="35" t="inlineStr">
        <is>
          <t>↑</t>
        </is>
      </c>
      <c r="F8" s="23" t="inlineStr">
        <is>
          <t>🔴 رئيسي</t>
        </is>
      </c>
      <c r="G8" s="32" t="n">
        <v>0.08</v>
      </c>
      <c r="H8" s="35" t="inlineStr"/>
      <c r="I8" s="38" t="inlineStr">
        <is>
          <t>يُحدد لاحقاً</t>
        </is>
      </c>
      <c r="J8" s="39" t="inlineStr">
        <is>
          <t>النمو</t>
        </is>
      </c>
      <c r="K8" s="31" t="inlineStr">
        <is>
          <t>زيادة وصول العملاء</t>
        </is>
      </c>
      <c r="L8" s="23" t="inlineStr">
        <is>
          <t>مالي</t>
        </is>
      </c>
      <c r="M8" s="42" t="n"/>
      <c r="N8" s="16">
        <f>IF($H8="","",IF($M8="","",MIN(1,IF($H8=0,IF($M8&lt;=0,1,0),IF($E8="↓",IFERROR($H8/$M8,0),IFERROR($M8/$H8,0))))))</f>
        <v/>
      </c>
      <c r="O8" s="15">
        <f>IF($N8="","⏳ بانتظار هدف",IF($N8&gt;=1,"✅ محقق",IF($N8&gt;=0.85,"🟡 قريب","🔴 تحت الهدف")))</f>
        <v/>
      </c>
    </row>
    <row r="9" ht="24" customHeight="1">
      <c r="A9" s="15" t="n">
        <v>6</v>
      </c>
      <c r="B9" s="9" t="inlineStr">
        <is>
          <t>حماية الإيراد</t>
        </is>
      </c>
      <c r="C9" s="9" t="inlineStr">
        <is>
          <t>نسبة جاهزية المحطة الشاملة (Uptime)</t>
        </is>
      </c>
      <c r="D9" s="35" t="inlineStr">
        <is>
          <t>%</t>
        </is>
      </c>
      <c r="E9" s="35" t="inlineStr">
        <is>
          <t>↑</t>
        </is>
      </c>
      <c r="F9" s="23" t="inlineStr">
        <is>
          <t>🔴 رئيسي</t>
        </is>
      </c>
      <c r="G9" s="32" t="n">
        <v>0.07000000000000001</v>
      </c>
      <c r="H9" s="32" t="n">
        <v>0.99</v>
      </c>
      <c r="I9" s="38" t="inlineStr">
        <is>
          <t>99%+</t>
        </is>
      </c>
      <c r="J9" s="39" t="inlineStr">
        <is>
          <t>الاستدامة</t>
        </is>
      </c>
      <c r="K9" s="31" t="inlineStr">
        <is>
          <t>جودة التشغيل</t>
        </is>
      </c>
      <c r="L9" s="23" t="inlineStr">
        <is>
          <t>العمليات الداخلية</t>
        </is>
      </c>
      <c r="M9" s="42" t="n">
        <v>0.831</v>
      </c>
      <c r="N9" s="16">
        <f>IF($H9="","",IF($M9="","",MIN(1,IF($H9=0,IF($M9&lt;=0,1,0),IF($E9="↓",IFERROR($H9/$M9,0),IFERROR($M9/$H9,0))))))</f>
        <v/>
      </c>
      <c r="O9" s="15">
        <f>IF($N9="","⏳ بانتظار هدف",IF($N9&gt;=1,"✅ محقق",IF($N9&gt;=0.85,"🟡 قريب","🔴 تحت الهدف")))</f>
        <v/>
      </c>
    </row>
    <row r="10" ht="24" customHeight="1">
      <c r="A10" s="15" t="n">
        <v>7</v>
      </c>
      <c r="B10" s="9" t="inlineStr">
        <is>
          <t>حماية الإيراد</t>
        </is>
      </c>
      <c r="C10" s="9" t="inlineStr">
        <is>
          <t>نسبة المضخات العاملة</t>
        </is>
      </c>
      <c r="D10" s="35" t="inlineStr">
        <is>
          <t>%</t>
        </is>
      </c>
      <c r="E10" s="35" t="inlineStr">
        <is>
          <t>↑</t>
        </is>
      </c>
      <c r="F10" s="23" t="inlineStr">
        <is>
          <t>🟠 مهم</t>
        </is>
      </c>
      <c r="G10" s="32" t="n">
        <v>0.05</v>
      </c>
      <c r="H10" s="32" t="n">
        <v>0.97</v>
      </c>
      <c r="I10" s="38" t="inlineStr">
        <is>
          <t>≥ 97%</t>
        </is>
      </c>
      <c r="J10" s="39" t="inlineStr">
        <is>
          <t>الاستدامة</t>
        </is>
      </c>
      <c r="K10" s="31" t="inlineStr">
        <is>
          <t>جودة التشغيل</t>
        </is>
      </c>
      <c r="L10" s="23" t="inlineStr">
        <is>
          <t>العمليات الداخلية</t>
        </is>
      </c>
      <c r="M10" s="42" t="n">
        <v>0.953</v>
      </c>
      <c r="N10" s="16">
        <f>IF($H10="","",IF($M10="","",MIN(1,IF($H10=0,IF($M10&lt;=0,1,0),IF($E10="↓",IFERROR($H10/$M10,0),IFERROR($M10/$H10,0))))))</f>
        <v/>
      </c>
      <c r="O10" s="15">
        <f>IF($N10="","⏳ بانتظار هدف",IF($N10&gt;=1,"✅ محقق",IF($N10&gt;=0.85,"🟡 قريب","🔴 تحت الهدف")))</f>
        <v/>
      </c>
    </row>
    <row r="11" ht="24" customHeight="1">
      <c r="A11" s="15" t="n">
        <v>8</v>
      </c>
      <c r="B11" s="9" t="inlineStr">
        <is>
          <t>ضغط التكلفة</t>
        </is>
      </c>
      <c r="C11" s="9" t="inlineStr">
        <is>
          <t>تكلفة التشغيل لكل لتر مباع</t>
        </is>
      </c>
      <c r="D11" s="35" t="inlineStr">
        <is>
          <t>هللة/لتر</t>
        </is>
      </c>
      <c r="E11" s="35" t="inlineStr">
        <is>
          <t>↓</t>
        </is>
      </c>
      <c r="F11" s="23" t="inlineStr">
        <is>
          <t>🟠 مهم</t>
        </is>
      </c>
      <c r="G11" s="32" t="n">
        <v>0.05</v>
      </c>
      <c r="H11" s="35" t="inlineStr"/>
      <c r="I11" s="38" t="inlineStr">
        <is>
          <t>خفض ≥5% سنوياً</t>
        </is>
      </c>
      <c r="J11" s="39" t="inlineStr">
        <is>
          <t>الاستدامة</t>
        </is>
      </c>
      <c r="K11" s="31" t="inlineStr">
        <is>
          <t>جودة التشغيل</t>
        </is>
      </c>
      <c r="L11" s="23" t="inlineStr">
        <is>
          <t>مالي</t>
        </is>
      </c>
      <c r="M11" s="44" t="n"/>
      <c r="N11" s="16">
        <f>IF($H11="","",IF($M11="","",MIN(1,IF($H11=0,IF($M11&lt;=0,1,0),IF($E11="↓",IFERROR($H11/$M11,0),IFERROR($M11/$H11,0))))))</f>
        <v/>
      </c>
      <c r="O11" s="15">
        <f>IF($N11="","⏳ بانتظار هدف",IF($N11&gt;=1,"✅ محقق",IF($N11&gt;=0.85,"🟡 قريب","🔴 تحت الهدف")))</f>
        <v/>
      </c>
    </row>
    <row r="12" ht="24" customHeight="1">
      <c r="A12" s="15" t="n">
        <v>9</v>
      </c>
      <c r="B12" s="9" t="inlineStr">
        <is>
          <t>حماية الأصول</t>
        </is>
      </c>
      <c r="C12" s="9" t="inlineStr">
        <is>
          <t>نسبة الصيانة الوقائية المنفذة في موعدها</t>
        </is>
      </c>
      <c r="D12" s="35" t="inlineStr">
        <is>
          <t>%</t>
        </is>
      </c>
      <c r="E12" s="35" t="inlineStr">
        <is>
          <t>↑</t>
        </is>
      </c>
      <c r="F12" s="23" t="inlineStr">
        <is>
          <t>🟠 مهم</t>
        </is>
      </c>
      <c r="G12" s="32" t="n">
        <v>0.05</v>
      </c>
      <c r="H12" s="32" t="n">
        <v>0.95</v>
      </c>
      <c r="I12" s="38" t="inlineStr">
        <is>
          <t>≥ 95%</t>
        </is>
      </c>
      <c r="J12" s="39" t="inlineStr">
        <is>
          <t>الاستدامة</t>
        </is>
      </c>
      <c r="K12" s="31" t="inlineStr">
        <is>
          <t>جودة التشغيل</t>
        </is>
      </c>
      <c r="L12" s="23" t="inlineStr">
        <is>
          <t>العمليات الداخلية</t>
        </is>
      </c>
      <c r="M12" s="42" t="n">
        <v>0.758</v>
      </c>
      <c r="N12" s="16">
        <f>IF($H12="","",IF($M12="","",MIN(1,IF($H12=0,IF($M12&lt;=0,1,0),IF($E12="↓",IFERROR($H12/$M12,0),IFERROR($M12/$H12,0))))))</f>
        <v/>
      </c>
      <c r="O12" s="15">
        <f>IF($N12="","⏳ بانتظار هدف",IF($N12&gt;=1,"✅ محقق",IF($N12&gt;=0.85,"🟡 قريب","🔴 تحت الهدف")))</f>
        <v/>
      </c>
    </row>
    <row r="13" ht="24" customHeight="1">
      <c r="A13" s="15" t="n">
        <v>10</v>
      </c>
      <c r="B13" s="9" t="inlineStr">
        <is>
          <t>تجربة العميل</t>
        </is>
      </c>
      <c r="C13" s="9" t="inlineStr">
        <is>
          <t>نسبة انخفاض الشكاوى مقارنة بالشهر السابق</t>
        </is>
      </c>
      <c r="D13" s="35" t="inlineStr">
        <is>
          <t>%</t>
        </is>
      </c>
      <c r="E13" s="35" t="inlineStr">
        <is>
          <t>↑</t>
        </is>
      </c>
      <c r="F13" s="23" t="inlineStr">
        <is>
          <t>🟠 مهم</t>
        </is>
      </c>
      <c r="G13" s="32" t="n">
        <v>0.05</v>
      </c>
      <c r="H13" s="35" t="inlineStr"/>
      <c r="I13" s="38" t="inlineStr">
        <is>
          <t>−30%</t>
        </is>
      </c>
      <c r="J13" s="39" t="inlineStr">
        <is>
          <t>الاستدامة</t>
        </is>
      </c>
      <c r="K13" s="31" t="inlineStr">
        <is>
          <t>تعزيز تجربة العملاء</t>
        </is>
      </c>
      <c r="L13" s="23" t="inlineStr">
        <is>
          <t>العملاء</t>
        </is>
      </c>
      <c r="M13" s="42" t="n"/>
      <c r="N13" s="16">
        <f>IF($H13="","",IF($M13="","",MIN(1,IF($H13=0,IF($M13&lt;=0,1,0),IF($E13="↓",IFERROR($H13/$M13,0),IFERROR($M13/$H13,0))))))</f>
        <v/>
      </c>
      <c r="O13" s="15">
        <f>IF($N13="","⏳ بانتظار هدف",IF($N13&gt;=1,"✅ محقق",IF($N13&gt;=0.85,"🟡 قريب","🔴 تحت الهدف")))</f>
        <v/>
      </c>
    </row>
    <row r="14" ht="24" customHeight="1">
      <c r="A14" s="15" t="n">
        <v>11</v>
      </c>
      <c r="B14" s="9" t="inlineStr">
        <is>
          <t>تجربة العميل</t>
        </is>
      </c>
      <c r="C14" s="9" t="inlineStr">
        <is>
          <t>تقييم Google Maps للمحطات</t>
        </is>
      </c>
      <c r="D14" s="35" t="inlineStr">
        <is>
          <t>نجمة/5</t>
        </is>
      </c>
      <c r="E14" s="35" t="inlineStr">
        <is>
          <t>↑</t>
        </is>
      </c>
      <c r="F14" s="23" t="inlineStr">
        <is>
          <t>🔴 رئيسي</t>
        </is>
      </c>
      <c r="G14" s="32" t="n">
        <v>0.07000000000000001</v>
      </c>
      <c r="H14" s="43" t="n">
        <v>4.5</v>
      </c>
      <c r="I14" s="38" t="inlineStr">
        <is>
          <t>≥ 4.5</t>
        </is>
      </c>
      <c r="J14" s="39" t="inlineStr">
        <is>
          <t>الاستدامة</t>
        </is>
      </c>
      <c r="K14" s="31" t="inlineStr">
        <is>
          <t>تعزيز تجربة العملاء</t>
        </is>
      </c>
      <c r="L14" s="23" t="inlineStr">
        <is>
          <t>العمليات الداخلية</t>
        </is>
      </c>
      <c r="M14" s="44" t="n">
        <v>4.048</v>
      </c>
      <c r="N14" s="16">
        <f>IF($H14="","",IF($M14="","",MIN(1,IF($H14=0,IF($M14&lt;=0,1,0),IF($E14="↓",IFERROR($H14/$M14,0),IFERROR($M14/$H14,0))))))</f>
        <v/>
      </c>
      <c r="O14" s="15">
        <f>IF($N14="","⏳ بانتظار هدف",IF($N14&gt;=1,"✅ محقق",IF($N14&gt;=0.85,"🟡 قريب","🔴 تحت الهدف")))</f>
        <v/>
      </c>
    </row>
    <row r="15" ht="24" customHeight="1">
      <c r="A15" s="15" t="n">
        <v>12</v>
      </c>
      <c r="B15" s="9" t="inlineStr">
        <is>
          <t>تجربة العميل</t>
        </is>
      </c>
      <c r="C15" s="9" t="inlineStr">
        <is>
          <t>سرعة تعبئة الوقود</t>
        </is>
      </c>
      <c r="D15" s="35" t="inlineStr">
        <is>
          <t>دقيقة</t>
        </is>
      </c>
      <c r="E15" s="35" t="inlineStr">
        <is>
          <t>↓</t>
        </is>
      </c>
      <c r="F15" s="23" t="inlineStr">
        <is>
          <t>🟠 مهم</t>
        </is>
      </c>
      <c r="G15" s="32" t="n">
        <v>0.05</v>
      </c>
      <c r="H15" s="43" t="n">
        <v>3</v>
      </c>
      <c r="I15" s="38" t="inlineStr">
        <is>
          <t>≤ 3 دقائق</t>
        </is>
      </c>
      <c r="J15" s="39" t="inlineStr">
        <is>
          <t>الاستدامة</t>
        </is>
      </c>
      <c r="K15" s="31" t="inlineStr">
        <is>
          <t>تعزيز تجربة العملاء</t>
        </is>
      </c>
      <c r="L15" s="23" t="inlineStr">
        <is>
          <t>العمليات الداخلية</t>
        </is>
      </c>
      <c r="M15" s="44" t="n">
        <v>3.352</v>
      </c>
      <c r="N15" s="16">
        <f>IF($H15="","",IF($M15="","",MIN(1,IF($H15=0,IF($M15&lt;=0,1,0),IF($E15="↓",IFERROR($H15/$M15,0),IFERROR($M15/$H15,0))))))</f>
        <v/>
      </c>
      <c r="O15" s="15">
        <f>IF($N15="","⏳ بانتظار هدف",IF($N15&gt;=1,"✅ محقق",IF($N15&gt;=0.85,"🟡 قريب","🔴 تحت الهدف")))</f>
        <v/>
      </c>
    </row>
    <row r="16" ht="24" customHeight="1">
      <c r="A16" s="15" t="n">
        <v>13</v>
      </c>
      <c r="B16" s="9" t="inlineStr">
        <is>
          <t>تجربة العميل</t>
        </is>
      </c>
      <c r="C16" s="9" t="inlineStr">
        <is>
          <t>دقة التعبئة بدون أخطاء</t>
        </is>
      </c>
      <c r="D16" s="35" t="inlineStr">
        <is>
          <t>%</t>
        </is>
      </c>
      <c r="E16" s="35" t="inlineStr">
        <is>
          <t>↑</t>
        </is>
      </c>
      <c r="F16" s="23" t="inlineStr">
        <is>
          <t>🟠 مهم</t>
        </is>
      </c>
      <c r="G16" s="32" t="n">
        <v>0.05</v>
      </c>
      <c r="H16" s="32" t="n">
        <v>0.99</v>
      </c>
      <c r="I16" s="38" t="inlineStr">
        <is>
          <t>≥ 99%</t>
        </is>
      </c>
      <c r="J16" s="39" t="inlineStr">
        <is>
          <t>الاستدامة</t>
        </is>
      </c>
      <c r="K16" s="31" t="inlineStr">
        <is>
          <t>جودة التشغيل</t>
        </is>
      </c>
      <c r="L16" s="23" t="inlineStr">
        <is>
          <t>العمليات الداخلية</t>
        </is>
      </c>
      <c r="M16" s="42" t="n">
        <v>0.831</v>
      </c>
      <c r="N16" s="16">
        <f>IF($H16="","",IF($M16="","",MIN(1,IF($H16=0,IF($M16&lt;=0,1,0),IF($E16="↓",IFERROR($H16/$M16,0),IFERROR($M16/$H16,0))))))</f>
        <v/>
      </c>
      <c r="O16" s="15">
        <f>IF($N16="","⏳ بانتظار هدف",IF($N16&gt;=1,"✅ محقق",IF($N16&gt;=0.85,"🟡 قريب","🔴 تحت الهدف")))</f>
        <v/>
      </c>
    </row>
    <row r="17" ht="24" customHeight="1">
      <c r="A17" s="15" t="n">
        <v>14</v>
      </c>
      <c r="B17" s="9" t="inlineStr">
        <is>
          <t>تجربة العميل</t>
        </is>
      </c>
      <c r="C17" s="9" t="inlineStr">
        <is>
          <t>تطبيق المعيار الشامل في المحطات</t>
        </is>
      </c>
      <c r="D17" s="35" t="inlineStr">
        <is>
          <t>%</t>
        </is>
      </c>
      <c r="E17" s="35" t="inlineStr">
        <is>
          <t>↑</t>
        </is>
      </c>
      <c r="F17" s="23" t="inlineStr">
        <is>
          <t>🟡 متابعة</t>
        </is>
      </c>
      <c r="G17" s="32" t="n">
        <v>0.02</v>
      </c>
      <c r="H17" s="32" t="n">
        <v>0.8</v>
      </c>
      <c r="I17" s="38" t="inlineStr">
        <is>
          <t>≥ 80%</t>
        </is>
      </c>
      <c r="J17" s="39" t="inlineStr">
        <is>
          <t>الابتكار</t>
        </is>
      </c>
      <c r="K17" s="31" t="inlineStr">
        <is>
          <t>التحول التقني</t>
        </is>
      </c>
      <c r="L17" s="23" t="inlineStr">
        <is>
          <t>العمليات الداخلية</t>
        </is>
      </c>
      <c r="M17" s="42" t="n">
        <v>0.787</v>
      </c>
      <c r="N17" s="16">
        <f>IF($H17="","",IF($M17="","",MIN(1,IF($H17=0,IF($M17&lt;=0,1,0),IF($E17="↓",IFERROR($H17/$M17,0),IFERROR($M17/$H17,0))))))</f>
        <v/>
      </c>
      <c r="O17" s="15">
        <f>IF($N17="","⏳ بانتظار هدف",IF($N17&gt;=1,"✅ محقق",IF($N17&gt;=0.85,"🟡 قريب","🔴 تحت الهدف")))</f>
        <v/>
      </c>
    </row>
    <row r="18" ht="24" customHeight="1">
      <c r="A18" s="15" t="n">
        <v>15</v>
      </c>
      <c r="B18" s="9" t="inlineStr">
        <is>
          <t>السلامة</t>
        </is>
      </c>
      <c r="C18" s="9" t="inlineStr">
        <is>
          <t>الالتزام بمعايير السلامة داخل المحطة</t>
        </is>
      </c>
      <c r="D18" s="35" t="inlineStr">
        <is>
          <t>%</t>
        </is>
      </c>
      <c r="E18" s="35" t="inlineStr">
        <is>
          <t>↑</t>
        </is>
      </c>
      <c r="F18" s="23" t="inlineStr">
        <is>
          <t>🔴 رئيسي</t>
        </is>
      </c>
      <c r="G18" s="32" t="n">
        <v>0.07000000000000001</v>
      </c>
      <c r="H18" s="32" t="n">
        <v>1</v>
      </c>
      <c r="I18" s="38" t="inlineStr">
        <is>
          <t>100%</t>
        </is>
      </c>
      <c r="J18" s="39" t="inlineStr">
        <is>
          <t>الاستدامة</t>
        </is>
      </c>
      <c r="K18" s="31" t="inlineStr">
        <is>
          <t>جودة التشغيل</t>
        </is>
      </c>
      <c r="L18" s="23" t="inlineStr">
        <is>
          <t>العمليات الداخلية</t>
        </is>
      </c>
      <c r="M18" s="42" t="n">
        <v>0.837</v>
      </c>
      <c r="N18" s="16">
        <f>IF($H18="","",IF($M18="","",MIN(1,IF($H18=0,IF($M18&lt;=0,1,0),IF($E18="↓",IFERROR($H18/$M18,0),IFERROR($M18/$H18,0))))))</f>
        <v/>
      </c>
      <c r="O18" s="15">
        <f>IF($N18="","⏳ بانتظار هدف",IF($N18&gt;=1,"✅ محقق",IF($N18&gt;=0.85,"🟡 قريب","🔴 تحت الهدف")))</f>
        <v/>
      </c>
    </row>
    <row r="19" ht="24" customHeight="1">
      <c r="A19" s="15" t="n">
        <v>16</v>
      </c>
      <c r="B19" s="9" t="inlineStr">
        <is>
          <t>البيئة</t>
        </is>
      </c>
      <c r="C19" s="9" t="inlineStr">
        <is>
          <t>التشجير داخل المحطة (معيار الوزارة)</t>
        </is>
      </c>
      <c r="D19" s="35" t="inlineStr">
        <is>
          <t>%</t>
        </is>
      </c>
      <c r="E19" s="35" t="inlineStr">
        <is>
          <t>↑</t>
        </is>
      </c>
      <c r="F19" s="23" t="inlineStr">
        <is>
          <t>🔴 رئيسي</t>
        </is>
      </c>
      <c r="G19" s="32" t="n">
        <v>0.07000000000000001</v>
      </c>
      <c r="H19" s="32" t="n">
        <v>1</v>
      </c>
      <c r="I19" s="38" t="inlineStr">
        <is>
          <t>100%</t>
        </is>
      </c>
      <c r="J19" s="39" t="inlineStr">
        <is>
          <t>الاستدامة</t>
        </is>
      </c>
      <c r="K19" s="31" t="inlineStr">
        <is>
          <t>جودة التشغيل</t>
        </is>
      </c>
      <c r="L19" s="23" t="inlineStr">
        <is>
          <t>العمليات الداخلية</t>
        </is>
      </c>
      <c r="M19" s="42" t="n">
        <v>0.747</v>
      </c>
      <c r="N19" s="16">
        <f>IF($H19="","",IF($M19="","",MIN(1,IF($H19=0,IF($M19&lt;=0,1,0),IF($E19="↓",IFERROR($H19/$M19,0),IFERROR($M19/$H19,0))))))</f>
        <v/>
      </c>
      <c r="O19" s="15">
        <f>IF($N19="","⏳ بانتظار هدف",IF($N19&gt;=1,"✅ محقق",IF($N19&gt;=0.85,"🟡 قريب","🔴 تحت الهدف")))</f>
        <v/>
      </c>
    </row>
  </sheetData>
  <autoFilter ref="A3:O19"/>
  <mergeCells count="2">
    <mergeCell ref="A1:O1"/>
    <mergeCell ref="A2:O2"/>
  </mergeCells>
  <dataValidations count="1">
    <dataValidation sqref="M4 M5 M6 M7 M8 M9 M10 M11 M12 M13 M14 M15 M16 M17 M18 M19" showDropDown="0" showInputMessage="0" showErrorMessage="0" allowBlank="1" type="decimal" operator="greaterThanOrEqual">
      <formula1>0</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O27"/>
  <sheetViews>
    <sheetView showGridLines="0" rightToLeft="1" workbookViewId="0">
      <pane ySplit="3" topLeftCell="A4" activePane="bottomLeft" state="frozen"/>
      <selection pane="bottomLeft" activeCell="A1" sqref="A1"/>
    </sheetView>
  </sheetViews>
  <sheetFormatPr baseColWidth="8" defaultRowHeight="15"/>
  <cols>
    <col width="4" customWidth="1" min="1" max="1"/>
    <col width="16" customWidth="1" min="2" max="2"/>
    <col width="40" customWidth="1" min="3" max="3"/>
    <col width="9" customWidth="1" min="4" max="4"/>
    <col width="7" customWidth="1" min="5" max="5"/>
    <col width="12" customWidth="1" min="6" max="6"/>
    <col width="8" customWidth="1" min="7" max="7"/>
    <col width="12" customWidth="1" min="8" max="8"/>
    <col width="16" customWidth="1" min="9" max="9"/>
    <col width="12" customWidth="1" min="10" max="10"/>
    <col width="22" customWidth="1" min="11" max="11"/>
    <col width="15" customWidth="1" min="12" max="12"/>
    <col width="12" customWidth="1" min="13" max="13"/>
    <col width="12" customWidth="1" min="14" max="14"/>
    <col width="14" customWidth="1" min="15" max="15"/>
  </cols>
  <sheetData>
    <row r="1" ht="24" customHeight="1">
      <c r="A1" s="17" t="inlineStr">
        <is>
          <t>إدارة الاستثمار · مؤشرات الأداء 2026</t>
        </is>
      </c>
    </row>
    <row r="2">
      <c r="A2" s="36" t="inlineStr">
        <is>
          <t>🟩 عمود «المُحقَّق» أرقام تجريبية — استبدلها بالفعلية · نسبة التحقيق والحالة دلّات تُحسب تلقائياً</t>
        </is>
      </c>
    </row>
    <row r="3" ht="28" customHeight="1">
      <c r="A3" s="25" t="inlineStr">
        <is>
          <t>#</t>
        </is>
      </c>
      <c r="B3" s="25" t="inlineStr">
        <is>
          <t>المحور</t>
        </is>
      </c>
      <c r="C3" s="25" t="inlineStr">
        <is>
          <t>المؤشر</t>
        </is>
      </c>
      <c r="D3" s="25" t="inlineStr">
        <is>
          <t>الوحدة</t>
        </is>
      </c>
      <c r="E3" s="25" t="inlineStr">
        <is>
          <t>القطبية</t>
        </is>
      </c>
      <c r="F3" s="25" t="inlineStr">
        <is>
          <t>الأولوية</t>
        </is>
      </c>
      <c r="G3" s="25" t="inlineStr">
        <is>
          <t>الوزن %</t>
        </is>
      </c>
      <c r="H3" s="25" t="inlineStr">
        <is>
          <t>المستهدف</t>
        </is>
      </c>
      <c r="I3" s="25" t="inlineStr">
        <is>
          <t>نص المستهدف</t>
        </is>
      </c>
      <c r="J3" s="25" t="inlineStr">
        <is>
          <t>الركيزة</t>
        </is>
      </c>
      <c r="K3" s="25" t="inlineStr">
        <is>
          <t>المشروع</t>
        </is>
      </c>
      <c r="L3" s="25" t="inlineStr">
        <is>
          <t>منظور BSC</t>
        </is>
      </c>
      <c r="M3" s="25" t="inlineStr">
        <is>
          <t>المُحقَّق</t>
        </is>
      </c>
      <c r="N3" s="25" t="inlineStr">
        <is>
          <t>نسبة التحقيق</t>
        </is>
      </c>
      <c r="O3" s="25" t="inlineStr">
        <is>
          <t>الحالة</t>
        </is>
      </c>
    </row>
    <row r="4" ht="24" customHeight="1">
      <c r="A4" s="15" t="n">
        <v>1</v>
      </c>
      <c r="B4" s="9" t="inlineStr">
        <is>
          <t>نمو المحفظة</t>
        </is>
      </c>
      <c r="C4" s="9" t="inlineStr">
        <is>
          <t>إجمالي عقود الاستثمار الجديدة (جميع النماذج)</t>
        </is>
      </c>
      <c r="D4" s="35" t="inlineStr">
        <is>
          <t>عقد</t>
        </is>
      </c>
      <c r="E4" s="35" t="inlineStr">
        <is>
          <t>↑</t>
        </is>
      </c>
      <c r="F4" s="23" t="inlineStr">
        <is>
          <t>🔴 رئيسي</t>
        </is>
      </c>
      <c r="G4" s="32" t="n">
        <v>0.05</v>
      </c>
      <c r="H4" s="37" t="n">
        <v>190</v>
      </c>
      <c r="I4" s="38" t="inlineStr">
        <is>
          <t>190 عقد</t>
        </is>
      </c>
      <c r="J4" s="39" t="inlineStr">
        <is>
          <t>النمو</t>
        </is>
      </c>
      <c r="K4" s="31" t="inlineStr">
        <is>
          <t>التوسع في المواقع</t>
        </is>
      </c>
      <c r="L4" s="23" t="inlineStr">
        <is>
          <t>العمليات الداخلية</t>
        </is>
      </c>
      <c r="M4" s="40" t="n">
        <v>165.7</v>
      </c>
      <c r="N4" s="16">
        <f>IF($H4="","",IF($M4="","",MIN(1,IF($H4=0,IF($M4&lt;=0,1,0),IF($E4="↓",IFERROR($H4/$M4,0),IFERROR($M4/$H4,0))))))</f>
        <v/>
      </c>
      <c r="O4" s="15">
        <f>IF($N4="","⏳ بانتظار هدف",IF($N4&gt;=1,"✅ محقق",IF($N4&gt;=0.85,"🟡 قريب","🔴 تحت الهدف")))</f>
        <v/>
      </c>
    </row>
    <row r="5" ht="24" customHeight="1">
      <c r="A5" s="15" t="n">
        <v>2</v>
      </c>
      <c r="B5" s="9" t="inlineStr">
        <is>
          <t>نمو المحفظة</t>
        </is>
      </c>
      <c r="C5" s="9" t="inlineStr">
        <is>
          <t>عقود الاستثمار العادي الجديدة</t>
        </is>
      </c>
      <c r="D5" s="35" t="inlineStr">
        <is>
          <t>عقد</t>
        </is>
      </c>
      <c r="E5" s="35" t="inlineStr">
        <is>
          <t>↑</t>
        </is>
      </c>
      <c r="F5" s="23" t="inlineStr">
        <is>
          <t>🔴 رئيسي</t>
        </is>
      </c>
      <c r="G5" s="32" t="n">
        <v>0.05</v>
      </c>
      <c r="H5" s="37" t="n">
        <v>90</v>
      </c>
      <c r="I5" s="38" t="inlineStr">
        <is>
          <t>90 عقد</t>
        </is>
      </c>
      <c r="J5" s="39" t="inlineStr">
        <is>
          <t>النمو</t>
        </is>
      </c>
      <c r="K5" s="31" t="inlineStr">
        <is>
          <t>التوسع في المواقع</t>
        </is>
      </c>
      <c r="L5" s="23" t="inlineStr">
        <is>
          <t>العمليات الداخلية</t>
        </is>
      </c>
      <c r="M5" s="40" t="n">
        <v>76.3</v>
      </c>
      <c r="N5" s="16">
        <f>IF($H5="","",IF($M5="","",MIN(1,IF($H5=0,IF($M5&lt;=0,1,0),IF($E5="↓",IFERROR($H5/$M5,0),IFERROR($M5/$H5,0))))))</f>
        <v/>
      </c>
      <c r="O5" s="15">
        <f>IF($N5="","⏳ بانتظار هدف",IF($N5&gt;=1,"✅ محقق",IF($N5&gt;=0.85,"🟡 قريب","🔴 تحت الهدف")))</f>
        <v/>
      </c>
    </row>
    <row r="6" ht="24" customHeight="1">
      <c r="A6" s="15" t="n">
        <v>3</v>
      </c>
      <c r="B6" s="9" t="inlineStr">
        <is>
          <t>نمو المحفظة</t>
        </is>
      </c>
      <c r="C6" s="9" t="inlineStr">
        <is>
          <t>عقود الاستحواذ الجديدة</t>
        </is>
      </c>
      <c r="D6" s="35" t="inlineStr">
        <is>
          <t>عقد</t>
        </is>
      </c>
      <c r="E6" s="35" t="inlineStr">
        <is>
          <t>↑</t>
        </is>
      </c>
      <c r="F6" s="23" t="inlineStr">
        <is>
          <t>🔴 رئيسي</t>
        </is>
      </c>
      <c r="G6" s="32" t="n">
        <v>0.05</v>
      </c>
      <c r="H6" s="37" t="n">
        <v>100</v>
      </c>
      <c r="I6" s="38" t="inlineStr">
        <is>
          <t>100 عقد</t>
        </is>
      </c>
      <c r="J6" s="39" t="inlineStr">
        <is>
          <t>النمو</t>
        </is>
      </c>
      <c r="K6" s="31" t="inlineStr">
        <is>
          <t>التوسع في المواقع</t>
        </is>
      </c>
      <c r="L6" s="23" t="inlineStr">
        <is>
          <t>العمليات الداخلية</t>
        </is>
      </c>
      <c r="M6" s="40" t="n">
        <v>82.2</v>
      </c>
      <c r="N6" s="16">
        <f>IF($H6="","",IF($M6="","",MIN(1,IF($H6=0,IF($M6&lt;=0,1,0),IF($E6="↓",IFERROR($H6/$M6,0),IFERROR($M6/$H6,0))))))</f>
        <v/>
      </c>
      <c r="O6" s="15">
        <f>IF($N6="","⏳ بانتظار هدف",IF($N6&gt;=1,"✅ محقق",IF($N6&gt;=0.85,"🟡 قريب","🔴 تحت الهدف")))</f>
        <v/>
      </c>
    </row>
    <row r="7" ht="24" customHeight="1">
      <c r="A7" s="15" t="n">
        <v>4</v>
      </c>
      <c r="B7" s="9" t="inlineStr">
        <is>
          <t>نمو المحفظة</t>
        </is>
      </c>
      <c r="C7" s="9" t="inlineStr">
        <is>
          <t>المحطات المستحوَذ عليها المشغّلة (تراكمي)</t>
        </is>
      </c>
      <c r="D7" s="35" t="inlineStr">
        <is>
          <t>محطة</t>
        </is>
      </c>
      <c r="E7" s="35" t="inlineStr">
        <is>
          <t>↑</t>
        </is>
      </c>
      <c r="F7" s="23" t="inlineStr">
        <is>
          <t>🔴 رئيسي</t>
        </is>
      </c>
      <c r="G7" s="32" t="n">
        <v>0.05</v>
      </c>
      <c r="H7" s="37" t="n">
        <v>120</v>
      </c>
      <c r="I7" s="38" t="inlineStr">
        <is>
          <t>120 محطة</t>
        </is>
      </c>
      <c r="J7" s="39" t="inlineStr">
        <is>
          <t>النمو</t>
        </is>
      </c>
      <c r="K7" s="31" t="inlineStr">
        <is>
          <t>التوسع في المواقع</t>
        </is>
      </c>
      <c r="L7" s="23" t="inlineStr">
        <is>
          <t>العمليات الداخلية</t>
        </is>
      </c>
      <c r="M7" s="40" t="n">
        <v>125.8</v>
      </c>
      <c r="N7" s="16">
        <f>IF($H7="","",IF($M7="","",MIN(1,IF($H7=0,IF($M7&lt;=0,1,0),IF($E7="↓",IFERROR($H7/$M7,0),IFERROR($M7/$H7,0))))))</f>
        <v/>
      </c>
      <c r="O7" s="15">
        <f>IF($N7="","⏳ بانتظار هدف",IF($N7&gt;=1,"✅ محقق",IF($N7&gt;=0.85,"🟡 قريب","🔴 تحت الهدف")))</f>
        <v/>
      </c>
    </row>
    <row r="8" ht="24" customHeight="1">
      <c r="A8" s="15" t="n">
        <v>5</v>
      </c>
      <c r="B8" s="9" t="inlineStr">
        <is>
          <t>نمو المحفظة</t>
        </is>
      </c>
      <c r="C8" s="9" t="inlineStr">
        <is>
          <t>عقود تأجير الأرض الجديدة</t>
        </is>
      </c>
      <c r="D8" s="35" t="inlineStr">
        <is>
          <t>عقد</t>
        </is>
      </c>
      <c r="E8" s="35" t="inlineStr">
        <is>
          <t>↑</t>
        </is>
      </c>
      <c r="F8" s="23" t="inlineStr">
        <is>
          <t>🔴 رئيسي</t>
        </is>
      </c>
      <c r="G8" s="32" t="n">
        <v>0.05</v>
      </c>
      <c r="H8" s="37" t="n">
        <v>11</v>
      </c>
      <c r="I8" s="38" t="inlineStr">
        <is>
          <t>11 عقد</t>
        </is>
      </c>
      <c r="J8" s="39" t="inlineStr">
        <is>
          <t>النمو</t>
        </is>
      </c>
      <c r="K8" s="31" t="inlineStr">
        <is>
          <t>التوسع في المواقع</t>
        </is>
      </c>
      <c r="L8" s="23" t="inlineStr">
        <is>
          <t>العمليات الداخلية</t>
        </is>
      </c>
      <c r="M8" s="40" t="n">
        <v>8.1</v>
      </c>
      <c r="N8" s="16">
        <f>IF($H8="","",IF($M8="","",MIN(1,IF($H8=0,IF($M8&lt;=0,1,0),IF($E8="↓",IFERROR($H8/$M8,0),IFERROR($M8/$H8,0))))))</f>
        <v/>
      </c>
      <c r="O8" s="15">
        <f>IF($N8="","⏳ بانتظار هدف",IF($N8&gt;=1,"✅ محقق",IF($N8&gt;=0.85,"🟡 قريب","🔴 تحت الهدف")))</f>
        <v/>
      </c>
    </row>
    <row r="9" ht="24" customHeight="1">
      <c r="A9" s="15" t="n">
        <v>6</v>
      </c>
      <c r="B9" s="9" t="inlineStr">
        <is>
          <t>نمو المحفظة</t>
        </is>
      </c>
      <c r="C9" s="9" t="inlineStr">
        <is>
          <t>عقود إيجار المحطة الجديدة</t>
        </is>
      </c>
      <c r="D9" s="35" t="inlineStr">
        <is>
          <t>عقد</t>
        </is>
      </c>
      <c r="E9" s="35" t="inlineStr">
        <is>
          <t>↑</t>
        </is>
      </c>
      <c r="F9" s="23" t="inlineStr">
        <is>
          <t>🔴 رئيسي</t>
        </is>
      </c>
      <c r="G9" s="32" t="n">
        <v>0.05</v>
      </c>
      <c r="H9" s="37" t="n">
        <v>12</v>
      </c>
      <c r="I9" s="38" t="inlineStr">
        <is>
          <t>12 عقد</t>
        </is>
      </c>
      <c r="J9" s="39" t="inlineStr">
        <is>
          <t>النمو</t>
        </is>
      </c>
      <c r="K9" s="31" t="inlineStr">
        <is>
          <t>التوسع في المواقع</t>
        </is>
      </c>
      <c r="L9" s="23" t="inlineStr">
        <is>
          <t>العمليات الداخلية</t>
        </is>
      </c>
      <c r="M9" s="40" t="n">
        <v>12.2</v>
      </c>
      <c r="N9" s="16">
        <f>IF($H9="","",IF($M9="","",MIN(1,IF($H9=0,IF($M9&lt;=0,1,0),IF($E9="↓",IFERROR($H9/$M9,0),IFERROR($M9/$H9,0))))))</f>
        <v/>
      </c>
      <c r="O9" s="15">
        <f>IF($N9="","⏳ بانتظار هدف",IF($N9&gt;=1,"✅ محقق",IF($N9&gt;=0.85,"🟡 قريب","🔴 تحت الهدف")))</f>
        <v/>
      </c>
    </row>
    <row r="10" ht="24" customHeight="1">
      <c r="A10" s="15" t="n">
        <v>7</v>
      </c>
      <c r="B10" s="9" t="inlineStr">
        <is>
          <t>نمو المحفظة</t>
        </is>
      </c>
      <c r="C10" s="9" t="inlineStr">
        <is>
          <t>عقود تشغيل المحطة الجديدة</t>
        </is>
      </c>
      <c r="D10" s="35" t="inlineStr">
        <is>
          <t>عقد</t>
        </is>
      </c>
      <c r="E10" s="35" t="inlineStr">
        <is>
          <t>↑</t>
        </is>
      </c>
      <c r="F10" s="23" t="inlineStr">
        <is>
          <t>🔴 رئيسي</t>
        </is>
      </c>
      <c r="G10" s="32" t="n">
        <v>0.05</v>
      </c>
      <c r="H10" s="37" t="n">
        <v>68</v>
      </c>
      <c r="I10" s="38" t="inlineStr">
        <is>
          <t>68 عقد</t>
        </is>
      </c>
      <c r="J10" s="39" t="inlineStr">
        <is>
          <t>النمو</t>
        </is>
      </c>
      <c r="K10" s="31" t="inlineStr">
        <is>
          <t>التوسع في المواقع</t>
        </is>
      </c>
      <c r="L10" s="23" t="inlineStr">
        <is>
          <t>العمليات الداخلية</t>
        </is>
      </c>
      <c r="M10" s="40" t="n">
        <v>49.4</v>
      </c>
      <c r="N10" s="16">
        <f>IF($H10="","",IF($M10="","",MIN(1,IF($H10=0,IF($M10&lt;=0,1,0),IF($E10="↓",IFERROR($H10/$M10,0),IFERROR($M10/$H10,0))))))</f>
        <v/>
      </c>
      <c r="O10" s="15">
        <f>IF($N10="","⏳ بانتظار هدف",IF($N10&gt;=1,"✅ محقق",IF($N10&gt;=0.85,"🟡 قريب","🔴 تحت الهدف")))</f>
        <v/>
      </c>
    </row>
    <row r="11" ht="24" customHeight="1">
      <c r="A11" s="15" t="n">
        <v>8</v>
      </c>
      <c r="B11" s="9" t="inlineStr">
        <is>
          <t>الربحية وجودة الموقع</t>
        </is>
      </c>
      <c r="C11" s="9" t="inlineStr">
        <is>
          <t>نسبة المواقع المعتمدة ذات العائد المجدي</t>
        </is>
      </c>
      <c r="D11" s="35" t="inlineStr">
        <is>
          <t>%</t>
        </is>
      </c>
      <c r="E11" s="35" t="inlineStr">
        <is>
          <t>↑</t>
        </is>
      </c>
      <c r="F11" s="23" t="inlineStr">
        <is>
          <t>🔴 رئيسي</t>
        </is>
      </c>
      <c r="G11" s="32" t="n">
        <v>0.05</v>
      </c>
      <c r="H11" s="32" t="n">
        <v>0.8</v>
      </c>
      <c r="I11" s="38" t="inlineStr">
        <is>
          <t>80%+</t>
        </is>
      </c>
      <c r="J11" s="39" t="inlineStr">
        <is>
          <t>الاستدامة</t>
        </is>
      </c>
      <c r="K11" s="31" t="inlineStr">
        <is>
          <t>جودة التشغيل</t>
        </is>
      </c>
      <c r="L11" s="23" t="inlineStr">
        <is>
          <t>مالي</t>
        </is>
      </c>
      <c r="M11" s="42" t="n">
        <v>0.649</v>
      </c>
      <c r="N11" s="16">
        <f>IF($H11="","",IF($M11="","",MIN(1,IF($H11=0,IF($M11&lt;=0,1,0),IF($E11="↓",IFERROR($H11/$M11,0),IFERROR($M11/$H11,0))))))</f>
        <v/>
      </c>
      <c r="O11" s="15">
        <f>IF($N11="","⏳ بانتظار هدف",IF($N11&gt;=1,"✅ محقق",IF($N11&gt;=0.85,"🟡 قريب","🔴 تحت الهدف")))</f>
        <v/>
      </c>
    </row>
    <row r="12" ht="24" customHeight="1">
      <c r="A12" s="15" t="n">
        <v>9</v>
      </c>
      <c r="B12" s="9" t="inlineStr">
        <is>
          <t>الربحية وجودة الموقع</t>
        </is>
      </c>
      <c r="C12" s="9" t="inlineStr">
        <is>
          <t>متوسط فترة استرداد رأس المال</t>
        </is>
      </c>
      <c r="D12" s="35" t="inlineStr">
        <is>
          <t>سنة</t>
        </is>
      </c>
      <c r="E12" s="35" t="inlineStr">
        <is>
          <t>↓</t>
        </is>
      </c>
      <c r="F12" s="23" t="inlineStr">
        <is>
          <t>🟠 مهم</t>
        </is>
      </c>
      <c r="G12" s="32" t="n">
        <v>0.03</v>
      </c>
      <c r="H12" s="43" t="n">
        <v>5</v>
      </c>
      <c r="I12" s="38" t="inlineStr">
        <is>
          <t>≤ 5 سنوات</t>
        </is>
      </c>
      <c r="J12" s="39" t="inlineStr">
        <is>
          <t>الاستدامة</t>
        </is>
      </c>
      <c r="K12" s="31" t="inlineStr">
        <is>
          <t>جودة التشغيل</t>
        </is>
      </c>
      <c r="L12" s="23" t="inlineStr">
        <is>
          <t>مالي</t>
        </is>
      </c>
      <c r="M12" s="44" t="n">
        <v>4.983</v>
      </c>
      <c r="N12" s="16">
        <f>IF($H12="","",IF($M12="","",MIN(1,IF($H12=0,IF($M12&lt;=0,1,0),IF($E12="↓",IFERROR($H12/$M12,0),IFERROR($M12/$H12,0))))))</f>
        <v/>
      </c>
      <c r="O12" s="15">
        <f>IF($N12="","⏳ بانتظار هدف",IF($N12&gt;=1,"✅ محقق",IF($N12&gt;=0.85,"🟡 قريب","🔴 تحت الهدف")))</f>
        <v/>
      </c>
    </row>
    <row r="13" ht="24" customHeight="1">
      <c r="A13" s="15" t="n">
        <v>10</v>
      </c>
      <c r="B13" s="9" t="inlineStr">
        <is>
          <t>الربحية وجودة الموقع</t>
        </is>
      </c>
      <c r="C13" s="9" t="inlineStr">
        <is>
          <t>متوسط قيمة عقد الإيجار السنوي (أرض)</t>
        </is>
      </c>
      <c r="D13" s="35" t="inlineStr">
        <is>
          <t>ر.س</t>
        </is>
      </c>
      <c r="E13" s="35" t="inlineStr">
        <is>
          <t>↑</t>
        </is>
      </c>
      <c r="F13" s="23" t="inlineStr">
        <is>
          <t>🔴 رئيسي</t>
        </is>
      </c>
      <c r="G13" s="32" t="n">
        <v>0.05</v>
      </c>
      <c r="H13" s="35" t="inlineStr"/>
      <c r="I13" s="38" t="inlineStr">
        <is>
          <t>يُحدد لاحقاً</t>
        </is>
      </c>
      <c r="J13" s="39" t="inlineStr">
        <is>
          <t>النمو</t>
        </is>
      </c>
      <c r="K13" s="31" t="inlineStr">
        <is>
          <t>التوسع في المواقع</t>
        </is>
      </c>
      <c r="L13" s="23" t="inlineStr">
        <is>
          <t>مالي</t>
        </is>
      </c>
      <c r="M13" s="41" t="n"/>
      <c r="N13" s="16">
        <f>IF($H13="","",IF($M13="","",MIN(1,IF($H13=0,IF($M13&lt;=0,1,0),IF($E13="↓",IFERROR($H13/$M13,0),IFERROR($M13/$H13,0))))))</f>
        <v/>
      </c>
      <c r="O13" s="15">
        <f>IF($N13="","⏳ بانتظار هدف",IF($N13&gt;=1,"✅ محقق",IF($N13&gt;=0.85,"🟡 قريب","🔴 تحت الهدف")))</f>
        <v/>
      </c>
    </row>
    <row r="14" ht="24" customHeight="1">
      <c r="A14" s="15" t="n">
        <v>11</v>
      </c>
      <c r="B14" s="9" t="inlineStr">
        <is>
          <t>التوسع الإقليمي</t>
        </is>
      </c>
      <c r="C14" s="9" t="inlineStr">
        <is>
          <t>نسبة العقود التي تغطي المناطق الـ13</t>
        </is>
      </c>
      <c r="D14" s="35" t="inlineStr">
        <is>
          <t>%</t>
        </is>
      </c>
      <c r="E14" s="35" t="inlineStr">
        <is>
          <t>↑</t>
        </is>
      </c>
      <c r="F14" s="23" t="inlineStr">
        <is>
          <t>🔴 رئيسي</t>
        </is>
      </c>
      <c r="G14" s="32" t="n">
        <v>0.05</v>
      </c>
      <c r="H14" s="32" t="n">
        <v>1</v>
      </c>
      <c r="I14" s="38" t="inlineStr">
        <is>
          <t>100%</t>
        </is>
      </c>
      <c r="J14" s="39" t="inlineStr">
        <is>
          <t>النمو</t>
        </is>
      </c>
      <c r="K14" s="31" t="inlineStr">
        <is>
          <t>التوسع في المواقع</t>
        </is>
      </c>
      <c r="L14" s="23" t="inlineStr">
        <is>
          <t>العمليات الداخلية</t>
        </is>
      </c>
      <c r="M14" s="42" t="n">
        <v>1.028</v>
      </c>
      <c r="N14" s="16">
        <f>IF($H14="","",IF($M14="","",MIN(1,IF($H14=0,IF($M14&lt;=0,1,0),IF($E14="↓",IFERROR($H14/$M14,0),IFERROR($M14/$H14,0))))))</f>
        <v/>
      </c>
      <c r="O14" s="15">
        <f>IF($N14="","⏳ بانتظار هدف",IF($N14&gt;=1,"✅ محقق",IF($N14&gt;=0.85,"🟡 قريب","🔴 تحت الهدف")))</f>
        <v/>
      </c>
    </row>
    <row r="15" ht="24" customHeight="1">
      <c r="A15" s="15" t="n">
        <v>12</v>
      </c>
      <c r="B15" s="9" t="inlineStr">
        <is>
          <t>التوسع الإقليمي</t>
        </is>
      </c>
      <c r="C15" s="9" t="inlineStr">
        <is>
          <t>نسبة العقود خارج المدن الرئيسية</t>
        </is>
      </c>
      <c r="D15" s="35" t="inlineStr">
        <is>
          <t>%</t>
        </is>
      </c>
      <c r="E15" s="35" t="inlineStr">
        <is>
          <t>↑</t>
        </is>
      </c>
      <c r="F15" s="23" t="inlineStr">
        <is>
          <t>🔴 رئيسي</t>
        </is>
      </c>
      <c r="G15" s="32" t="n">
        <v>0.05</v>
      </c>
      <c r="H15" s="32" t="n">
        <v>0.6</v>
      </c>
      <c r="I15" s="38" t="inlineStr">
        <is>
          <t>&gt; 60%</t>
        </is>
      </c>
      <c r="J15" s="39" t="inlineStr">
        <is>
          <t>النمو</t>
        </is>
      </c>
      <c r="K15" s="31" t="inlineStr">
        <is>
          <t>التوسع في المواقع</t>
        </is>
      </c>
      <c r="L15" s="23" t="inlineStr">
        <is>
          <t>العمليات الداخلية</t>
        </is>
      </c>
      <c r="M15" s="42" t="n">
        <v>0.516</v>
      </c>
      <c r="N15" s="16">
        <f>IF($H15="","",IF($M15="","",MIN(1,IF($H15=0,IF($M15&lt;=0,1,0),IF($E15="↓",IFERROR($H15/$M15,0),IFERROR($M15/$H15,0))))))</f>
        <v/>
      </c>
      <c r="O15" s="15">
        <f>IF($N15="","⏳ بانتظار هدف",IF($N15&gt;=1,"✅ محقق",IF($N15&gt;=0.85,"🟡 قريب","🔴 تحت الهدف")))</f>
        <v/>
      </c>
    </row>
    <row r="16" ht="24" customHeight="1">
      <c r="A16" s="15" t="n">
        <v>13</v>
      </c>
      <c r="B16" s="9" t="inlineStr">
        <is>
          <t>التوسع الإقليمي</t>
        </is>
      </c>
      <c r="C16" s="9" t="inlineStr">
        <is>
          <t>نسبة العقود في الـ12 مدينة الرئيسية</t>
        </is>
      </c>
      <c r="D16" s="35" t="inlineStr">
        <is>
          <t>%</t>
        </is>
      </c>
      <c r="E16" s="35" t="inlineStr">
        <is>
          <t>↓</t>
        </is>
      </c>
      <c r="F16" s="23" t="inlineStr">
        <is>
          <t>🔴 رئيسي</t>
        </is>
      </c>
      <c r="G16" s="32" t="n">
        <v>0.05</v>
      </c>
      <c r="H16" s="32" t="n">
        <v>0.4</v>
      </c>
      <c r="I16" s="38" t="inlineStr">
        <is>
          <t>&lt; 40%</t>
        </is>
      </c>
      <c r="J16" s="39" t="inlineStr">
        <is>
          <t>النمو</t>
        </is>
      </c>
      <c r="K16" s="31" t="inlineStr">
        <is>
          <t>التوسع في المواقع</t>
        </is>
      </c>
      <c r="L16" s="23" t="inlineStr">
        <is>
          <t>العمليات الداخلية</t>
        </is>
      </c>
      <c r="M16" s="42" t="n">
        <v>0.415</v>
      </c>
      <c r="N16" s="16">
        <f>IF($H16="","",IF($M16="","",MIN(1,IF($H16=0,IF($M16&lt;=0,1,0),IF($E16="↓",IFERROR($H16/$M16,0),IFERROR($M16/$H16,0))))))</f>
        <v/>
      </c>
      <c r="O16" s="15">
        <f>IF($N16="","⏳ بانتظار هدف",IF($N16&gt;=1,"✅ محقق",IF($N16&gt;=0.85,"🟡 قريب","🔴 تحت الهدف")))</f>
        <v/>
      </c>
    </row>
    <row r="17" ht="24" customHeight="1">
      <c r="A17" s="15" t="n">
        <v>14</v>
      </c>
      <c r="B17" s="9" t="inlineStr">
        <is>
          <t>التوسع الإقليمي</t>
        </is>
      </c>
      <c r="C17" s="9" t="inlineStr">
        <is>
          <t>نسبة العقود على الطرق الإقليمية</t>
        </is>
      </c>
      <c r="D17" s="35" t="inlineStr">
        <is>
          <t>%</t>
        </is>
      </c>
      <c r="E17" s="35" t="inlineStr">
        <is>
          <t>↑</t>
        </is>
      </c>
      <c r="F17" s="23" t="inlineStr">
        <is>
          <t>🔴 رئيسي</t>
        </is>
      </c>
      <c r="G17" s="32" t="n">
        <v>0.05</v>
      </c>
      <c r="H17" s="32" t="n">
        <v>0.25</v>
      </c>
      <c r="I17" s="38" t="inlineStr">
        <is>
          <t>&gt; 25%</t>
        </is>
      </c>
      <c r="J17" s="39" t="inlineStr">
        <is>
          <t>النمو</t>
        </is>
      </c>
      <c r="K17" s="31" t="inlineStr">
        <is>
          <t>التوسع في المواقع</t>
        </is>
      </c>
      <c r="L17" s="23" t="inlineStr">
        <is>
          <t>العمليات الداخلية</t>
        </is>
      </c>
      <c r="M17" s="42" t="n">
        <v>0.236</v>
      </c>
      <c r="N17" s="16">
        <f>IF($H17="","",IF($M17="","",MIN(1,IF($H17=0,IF($M17&lt;=0,1,0),IF($E17="↓",IFERROR($H17/$M17,0),IFERROR($M17/$H17,0))))))</f>
        <v/>
      </c>
      <c r="O17" s="15">
        <f>IF($N17="","⏳ بانتظار هدف",IF($N17&gt;=1,"✅ محقق",IF($N17&gt;=0.85,"🟡 قريب","🔴 تحت الهدف")))</f>
        <v/>
      </c>
    </row>
    <row r="18" ht="24" customHeight="1">
      <c r="A18" s="15" t="n">
        <v>15</v>
      </c>
      <c r="B18" s="9" t="inlineStr">
        <is>
          <t>كفاءة الدورة</t>
        </is>
      </c>
      <c r="C18" s="9" t="inlineStr">
        <is>
          <t>متوسط مدة إغلاق عقد الاستثمار</t>
        </is>
      </c>
      <c r="D18" s="35" t="inlineStr">
        <is>
          <t>أسبوع</t>
        </is>
      </c>
      <c r="E18" s="35" t="inlineStr">
        <is>
          <t>↓</t>
        </is>
      </c>
      <c r="F18" s="23" t="inlineStr">
        <is>
          <t>🔴 رئيسي</t>
        </is>
      </c>
      <c r="G18" s="32" t="n">
        <v>0.05</v>
      </c>
      <c r="H18" s="43" t="n">
        <v>1</v>
      </c>
      <c r="I18" s="38" t="inlineStr">
        <is>
          <t>≤ أسبوع</t>
        </is>
      </c>
      <c r="J18" s="39" t="inlineStr">
        <is>
          <t>النمو</t>
        </is>
      </c>
      <c r="K18" s="31" t="inlineStr">
        <is>
          <t>التوسع في المواقع</t>
        </is>
      </c>
      <c r="L18" s="23" t="inlineStr">
        <is>
          <t>العمليات الداخلية</t>
        </is>
      </c>
      <c r="M18" s="44" t="n">
        <v>0.912</v>
      </c>
      <c r="N18" s="16">
        <f>IF($H18="","",IF($M18="","",MIN(1,IF($H18=0,IF($M18&lt;=0,1,0),IF($E18="↓",IFERROR($H18/$M18,0),IFERROR($M18/$H18,0))))))</f>
        <v/>
      </c>
      <c r="O18" s="15">
        <f>IF($N18="","⏳ بانتظار هدف",IF($N18&gt;=1,"✅ محقق",IF($N18&gt;=0.85,"🟡 قريب","🔴 تحت الهدف")))</f>
        <v/>
      </c>
    </row>
    <row r="19" ht="24" customHeight="1">
      <c r="A19" s="15" t="n">
        <v>16</v>
      </c>
      <c r="B19" s="9" t="inlineStr">
        <is>
          <t>كفاءة الدورة</t>
        </is>
      </c>
      <c r="C19" s="9" t="inlineStr">
        <is>
          <t>نسبة العقود المتحوّلة لمحطات مشغّلة</t>
        </is>
      </c>
      <c r="D19" s="35" t="inlineStr">
        <is>
          <t>%</t>
        </is>
      </c>
      <c r="E19" s="35" t="inlineStr">
        <is>
          <t>↑</t>
        </is>
      </c>
      <c r="F19" s="23" t="inlineStr">
        <is>
          <t>🔴 رئيسي</t>
        </is>
      </c>
      <c r="G19" s="32" t="n">
        <v>0.05</v>
      </c>
      <c r="H19" s="32" t="n">
        <v>0.3</v>
      </c>
      <c r="I19" s="38" t="inlineStr">
        <is>
          <t>≥ 30%</t>
        </is>
      </c>
      <c r="J19" s="39" t="inlineStr">
        <is>
          <t>النمو</t>
        </is>
      </c>
      <c r="K19" s="31" t="inlineStr">
        <is>
          <t>التوسع في المواقع</t>
        </is>
      </c>
      <c r="L19" s="23" t="inlineStr">
        <is>
          <t>العمليات الداخلية</t>
        </is>
      </c>
      <c r="M19" s="42" t="n">
        <v>0.308</v>
      </c>
      <c r="N19" s="16">
        <f>IF($H19="","",IF($M19="","",MIN(1,IF($H19=0,IF($M19&lt;=0,1,0),IF($E19="↓",IFERROR($H19/$M19,0),IFERROR($M19/$H19,0))))))</f>
        <v/>
      </c>
      <c r="O19" s="15">
        <f>IF($N19="","⏳ بانتظار هدف",IF($N19&gt;=1,"✅ محقق",IF($N19&gt;=0.85,"🟡 قريب","🔴 تحت الهدف")))</f>
        <v/>
      </c>
    </row>
    <row r="20" ht="24" customHeight="1">
      <c r="A20" s="15" t="n">
        <v>17</v>
      </c>
      <c r="B20" s="9" t="inlineStr">
        <is>
          <t>كفاءة الدورة</t>
        </is>
      </c>
      <c r="C20" s="9" t="inlineStr">
        <is>
          <t>نسبة تخفيض إيجار المواقع عالية التكاليف</t>
        </is>
      </c>
      <c r="D20" s="35" t="inlineStr">
        <is>
          <t>%</t>
        </is>
      </c>
      <c r="E20" s="35" t="inlineStr">
        <is>
          <t>↑</t>
        </is>
      </c>
      <c r="F20" s="23" t="inlineStr">
        <is>
          <t>🟠 مهم</t>
        </is>
      </c>
      <c r="G20" s="32" t="n">
        <v>0.03</v>
      </c>
      <c r="H20" s="32" t="n">
        <v>0.3</v>
      </c>
      <c r="I20" s="38" t="inlineStr">
        <is>
          <t>≥ 30%</t>
        </is>
      </c>
      <c r="J20" s="39" t="inlineStr">
        <is>
          <t>الاستدامة</t>
        </is>
      </c>
      <c r="K20" s="31" t="inlineStr">
        <is>
          <t>جودة التشغيل</t>
        </is>
      </c>
      <c r="L20" s="23" t="inlineStr">
        <is>
          <t>العمليات الداخلية</t>
        </is>
      </c>
      <c r="M20" s="42" t="n">
        <v>0.221</v>
      </c>
      <c r="N20" s="16">
        <f>IF($H20="","",IF($M20="","",MIN(1,IF($H20=0,IF($M20&lt;=0,1,0),IF($E20="↓",IFERROR($H20/$M20,0),IFERROR($M20/$H20,0))))))</f>
        <v/>
      </c>
      <c r="O20" s="15">
        <f>IF($N20="","⏳ بانتظار هدف",IF($N20&gt;=1,"✅ محقق",IF($N20&gt;=0.85,"🟡 قريب","🔴 تحت الهدف")))</f>
        <v/>
      </c>
    </row>
    <row r="21" ht="24" customHeight="1">
      <c r="A21" s="15" t="n">
        <v>18</v>
      </c>
      <c r="B21" s="9" t="inlineStr">
        <is>
          <t>الامتثال</t>
        </is>
      </c>
      <c r="C21" s="9" t="inlineStr">
        <is>
          <t>نسبة اكتمال المستندات النظامية قبل التوقيع</t>
        </is>
      </c>
      <c r="D21" s="35" t="inlineStr">
        <is>
          <t>%</t>
        </is>
      </c>
      <c r="E21" s="35" t="inlineStr">
        <is>
          <t>↑</t>
        </is>
      </c>
      <c r="F21" s="23" t="inlineStr">
        <is>
          <t>🏁 معلم</t>
        </is>
      </c>
      <c r="G21" s="32" t="n">
        <v>0.01</v>
      </c>
      <c r="H21" s="32" t="n">
        <v>1</v>
      </c>
      <c r="I21" s="38" t="inlineStr">
        <is>
          <t>100%</t>
        </is>
      </c>
      <c r="J21" s="39" t="inlineStr">
        <is>
          <t>الاستدامة</t>
        </is>
      </c>
      <c r="K21" s="31" t="inlineStr">
        <is>
          <t>جودة التشغيل</t>
        </is>
      </c>
      <c r="L21" s="23" t="inlineStr">
        <is>
          <t>العمليات الداخلية</t>
        </is>
      </c>
      <c r="M21" s="42" t="n">
        <v>0.751</v>
      </c>
      <c r="N21" s="16">
        <f>IF($H21="","",IF($M21="","",MIN(1,IF($H21=0,IF($M21&lt;=0,1,0),IF($E21="↓",IFERROR($H21/$M21,0),IFERROR($M21/$H21,0))))))</f>
        <v/>
      </c>
      <c r="O21" s="15">
        <f>IF($N21="","⏳ بانتظار هدف",IF($N21&gt;=1,"✅ محقق",IF($N21&gt;=0.85,"🟡 قريب","🔴 تحت الهدف")))</f>
        <v/>
      </c>
    </row>
    <row r="22" ht="24" customHeight="1">
      <c r="A22" s="15" t="n">
        <v>19</v>
      </c>
      <c r="B22" s="9" t="inlineStr">
        <is>
          <t>الامتثال</t>
        </is>
      </c>
      <c r="C22" s="9" t="inlineStr">
        <is>
          <t>نسبة العقود المؤرشفة إلكترونياً خلال 48 ساعة</t>
        </is>
      </c>
      <c r="D22" s="35" t="inlineStr">
        <is>
          <t>%</t>
        </is>
      </c>
      <c r="E22" s="35" t="inlineStr">
        <is>
          <t>↑</t>
        </is>
      </c>
      <c r="F22" s="23" t="inlineStr">
        <is>
          <t>🔴 رئيسي</t>
        </is>
      </c>
      <c r="G22" s="32" t="n">
        <v>0.05</v>
      </c>
      <c r="H22" s="32" t="n">
        <v>0.95</v>
      </c>
      <c r="I22" s="38" t="inlineStr">
        <is>
          <t>95%+</t>
        </is>
      </c>
      <c r="J22" s="39" t="inlineStr">
        <is>
          <t>الاستدامة</t>
        </is>
      </c>
      <c r="K22" s="31" t="inlineStr">
        <is>
          <t>جودة التشغيل</t>
        </is>
      </c>
      <c r="L22" s="23" t="inlineStr">
        <is>
          <t>العمليات الداخلية</t>
        </is>
      </c>
      <c r="M22" s="42" t="n">
        <v>0.736</v>
      </c>
      <c r="N22" s="16">
        <f>IF($H22="","",IF($M22="","",MIN(1,IF($H22=0,IF($M22&lt;=0,1,0),IF($E22="↓",IFERROR($H22/$M22,0),IFERROR($M22/$H22,0))))))</f>
        <v/>
      </c>
      <c r="O22" s="15">
        <f>IF($N22="","⏳ بانتظار هدف",IF($N22&gt;=1,"✅ محقق",IF($N22&gt;=0.85,"🟡 قريب","🔴 تحت الهدف")))</f>
        <v/>
      </c>
    </row>
    <row r="23" ht="24" customHeight="1">
      <c r="A23" s="15" t="n">
        <v>20</v>
      </c>
      <c r="B23" s="9" t="inlineStr">
        <is>
          <t>جودة التعاقد</t>
        </is>
      </c>
      <c r="C23" s="9" t="inlineStr">
        <is>
          <t>جودة التفاوض مع المستثمرين</t>
        </is>
      </c>
      <c r="D23" s="35" t="inlineStr">
        <is>
          <t>%</t>
        </is>
      </c>
      <c r="E23" s="35" t="inlineStr">
        <is>
          <t>↑</t>
        </is>
      </c>
      <c r="F23" s="23" t="inlineStr">
        <is>
          <t>🟠 مهم</t>
        </is>
      </c>
      <c r="G23" s="32" t="n">
        <v>0.03</v>
      </c>
      <c r="H23" s="32" t="n">
        <v>0.98</v>
      </c>
      <c r="I23" s="38" t="inlineStr">
        <is>
          <t>98%</t>
        </is>
      </c>
      <c r="J23" s="39" t="inlineStr">
        <is>
          <t>النمو</t>
        </is>
      </c>
      <c r="K23" s="31" t="inlineStr">
        <is>
          <t>التوسع في المواقع</t>
        </is>
      </c>
      <c r="L23" s="23" t="inlineStr">
        <is>
          <t>العمليات الداخلية</t>
        </is>
      </c>
      <c r="M23" s="42" t="n">
        <v>1.009</v>
      </c>
      <c r="N23" s="16">
        <f>IF($H23="","",IF($M23="","",MIN(1,IF($H23=0,IF($M23&lt;=0,1,0),IF($E23="↓",IFERROR($H23/$M23,0),IFERROR($M23/$H23,0))))))</f>
        <v/>
      </c>
      <c r="O23" s="15">
        <f>IF($N23="","⏳ بانتظار هدف",IF($N23&gt;=1,"✅ محقق",IF($N23&gt;=0.85,"🟡 قريب","🔴 تحت الهدف")))</f>
        <v/>
      </c>
    </row>
    <row r="24" ht="24" customHeight="1">
      <c r="A24" s="15" t="n">
        <v>21</v>
      </c>
      <c r="B24" s="9" t="inlineStr">
        <is>
          <t>جودة التعاقد</t>
        </is>
      </c>
      <c r="C24" s="9" t="inlineStr">
        <is>
          <t>سرعة إنجاز إجراءات التعاقد</t>
        </is>
      </c>
      <c r="D24" s="35" t="inlineStr">
        <is>
          <t>أسبوع</t>
        </is>
      </c>
      <c r="E24" s="35" t="inlineStr">
        <is>
          <t>↓</t>
        </is>
      </c>
      <c r="F24" s="23" t="inlineStr">
        <is>
          <t>🟠 مهم</t>
        </is>
      </c>
      <c r="G24" s="32" t="n">
        <v>0.03</v>
      </c>
      <c r="H24" s="43" t="n">
        <v>1</v>
      </c>
      <c r="I24" s="38" t="inlineStr">
        <is>
          <t>≤ أسبوع</t>
        </is>
      </c>
      <c r="J24" s="39" t="inlineStr">
        <is>
          <t>النمو</t>
        </is>
      </c>
      <c r="K24" s="31" t="inlineStr">
        <is>
          <t>التوسع في المواقع</t>
        </is>
      </c>
      <c r="L24" s="23" t="inlineStr">
        <is>
          <t>العمليات الداخلية</t>
        </is>
      </c>
      <c r="M24" s="44" t="n">
        <v>1.061</v>
      </c>
      <c r="N24" s="16">
        <f>IF($H24="","",IF($M24="","",MIN(1,IF($H24=0,IF($M24&lt;=0,1,0),IF($E24="↓",IFERROR($H24/$M24,0),IFERROR($M24/$H24,0))))))</f>
        <v/>
      </c>
      <c r="O24" s="15">
        <f>IF($N24="","⏳ بانتظار هدف",IF($N24&gt;=1,"✅ محقق",IF($N24&gt;=0.85,"🟡 قريب","🔴 تحت الهدف")))</f>
        <v/>
      </c>
    </row>
    <row r="25" ht="24" customHeight="1">
      <c r="A25" s="15" t="n">
        <v>22</v>
      </c>
      <c r="B25" s="9" t="inlineStr">
        <is>
          <t>جودة التعاقد</t>
        </is>
      </c>
      <c r="C25" s="9" t="inlineStr">
        <is>
          <t>مدى رضا المستثمرين وشركاء الاستثمار</t>
        </is>
      </c>
      <c r="D25" s="35" t="inlineStr">
        <is>
          <t>%</t>
        </is>
      </c>
      <c r="E25" s="35" t="inlineStr">
        <is>
          <t>↑</t>
        </is>
      </c>
      <c r="F25" s="23" t="inlineStr">
        <is>
          <t>🔴 رئيسي</t>
        </is>
      </c>
      <c r="G25" s="32" t="n">
        <v>0.05</v>
      </c>
      <c r="H25" s="32" t="n">
        <v>0.8</v>
      </c>
      <c r="I25" s="38" t="inlineStr">
        <is>
          <t>80%+</t>
        </is>
      </c>
      <c r="J25" s="39" t="inlineStr">
        <is>
          <t>الاستدامة</t>
        </is>
      </c>
      <c r="K25" s="31" t="inlineStr">
        <is>
          <t>تعزيز تجربة العملاء</t>
        </is>
      </c>
      <c r="L25" s="23" t="inlineStr">
        <is>
          <t>العملاء</t>
        </is>
      </c>
      <c r="M25" s="42" t="n">
        <v>0.786</v>
      </c>
      <c r="N25" s="16">
        <f>IF($H25="","",IF($M25="","",MIN(1,IF($H25=0,IF($M25&lt;=0,1,0),IF($E25="↓",IFERROR($H25/$M25,0),IFERROR($M25/$H25,0))))))</f>
        <v/>
      </c>
      <c r="O25" s="15">
        <f>IF($N25="","⏳ بانتظار هدف",IF($N25&gt;=1,"✅ محقق",IF($N25&gt;=0.85,"🟡 قريب","🔴 تحت الهدف")))</f>
        <v/>
      </c>
    </row>
    <row r="26" ht="24" customHeight="1">
      <c r="A26" s="15" t="n">
        <v>23</v>
      </c>
      <c r="B26" s="9" t="inlineStr">
        <is>
          <t>جودة التعاقد</t>
        </is>
      </c>
      <c r="C26" s="9" t="inlineStr">
        <is>
          <t>نسبة اكتمال أرشفة ملفات العملاء</t>
        </is>
      </c>
      <c r="D26" s="35" t="inlineStr">
        <is>
          <t>%</t>
        </is>
      </c>
      <c r="E26" s="35" t="inlineStr">
        <is>
          <t>↑</t>
        </is>
      </c>
      <c r="F26" s="23" t="inlineStr">
        <is>
          <t>🏁 معلم</t>
        </is>
      </c>
      <c r="G26" s="32" t="n">
        <v>0.01</v>
      </c>
      <c r="H26" s="32" t="n">
        <v>1</v>
      </c>
      <c r="I26" s="38" t="inlineStr">
        <is>
          <t>100%</t>
        </is>
      </c>
      <c r="J26" s="39" t="inlineStr">
        <is>
          <t>الاستدامة</t>
        </is>
      </c>
      <c r="K26" s="31" t="inlineStr">
        <is>
          <t>جودة التشغيل</t>
        </is>
      </c>
      <c r="L26" s="23" t="inlineStr">
        <is>
          <t>العملاء</t>
        </is>
      </c>
      <c r="M26" s="42" t="n">
        <v>0.972</v>
      </c>
      <c r="N26" s="16">
        <f>IF($H26="","",IF($M26="","",MIN(1,IF($H26=0,IF($M26&lt;=0,1,0),IF($E26="↓",IFERROR($H26/$M26,0),IFERROR($M26/$H26,0))))))</f>
        <v/>
      </c>
      <c r="O26" s="15">
        <f>IF($N26="","⏳ بانتظار هدف",IF($N26&gt;=1,"✅ محقق",IF($N26&gt;=0.85,"🟡 قريب","🔴 تحت الهدف")))</f>
        <v/>
      </c>
    </row>
    <row r="27" ht="24" customHeight="1">
      <c r="A27" s="15" t="n">
        <v>24</v>
      </c>
      <c r="B27" s="9" t="inlineStr">
        <is>
          <t>جودة التعاقد</t>
        </is>
      </c>
      <c r="C27" s="9" t="inlineStr">
        <is>
          <t>نسبة إنجاز التقارير الدورية في موعدها</t>
        </is>
      </c>
      <c r="D27" s="35" t="inlineStr">
        <is>
          <t>%</t>
        </is>
      </c>
      <c r="E27" s="35" t="inlineStr">
        <is>
          <t>↑</t>
        </is>
      </c>
      <c r="F27" s="23" t="inlineStr">
        <is>
          <t>🟡 متابعة</t>
        </is>
      </c>
      <c r="G27" s="32" t="n">
        <v>0.01</v>
      </c>
      <c r="H27" s="32" t="n">
        <v>1</v>
      </c>
      <c r="I27" s="38" t="inlineStr">
        <is>
          <t>100%</t>
        </is>
      </c>
      <c r="J27" s="39" t="inlineStr">
        <is>
          <t>الاستدامة</t>
        </is>
      </c>
      <c r="K27" s="31" t="inlineStr">
        <is>
          <t>جودة التشغيل</t>
        </is>
      </c>
      <c r="L27" s="23" t="inlineStr">
        <is>
          <t>العمليات الداخلية</t>
        </is>
      </c>
      <c r="M27" s="42" t="n">
        <v>0.961</v>
      </c>
      <c r="N27" s="16">
        <f>IF($H27="","",IF($M27="","",MIN(1,IF($H27=0,IF($M27&lt;=0,1,0),IF($E27="↓",IFERROR($H27/$M27,0),IFERROR($M27/$H27,0))))))</f>
        <v/>
      </c>
      <c r="O27" s="15">
        <f>IF($N27="","⏳ بانتظار هدف",IF($N27&gt;=1,"✅ محقق",IF($N27&gt;=0.85,"🟡 قريب","🔴 تحت الهدف")))</f>
        <v/>
      </c>
    </row>
  </sheetData>
  <autoFilter ref="A3:O27"/>
  <mergeCells count="2">
    <mergeCell ref="A1:O1"/>
    <mergeCell ref="A2:O2"/>
  </mergeCells>
  <dataValidations count="1">
    <dataValidation sqref="M4 M5 M6 M7 M8 M9 M10 M11 M12 M13 M14 M15 M16 M17 M18 M19 M20 M21 M22 M23 M24 M25 M26 M27" showDropDown="0" showInputMessage="0" showErrorMessage="0" allowBlank="1" type="decimal" operator="greaterThanOrEqual">
      <formula1>0</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O19"/>
  <sheetViews>
    <sheetView showGridLines="0" rightToLeft="1" workbookViewId="0">
      <pane ySplit="3" topLeftCell="A4" activePane="bottomLeft" state="frozen"/>
      <selection pane="bottomLeft" activeCell="A1" sqref="A1"/>
    </sheetView>
  </sheetViews>
  <sheetFormatPr baseColWidth="8" defaultRowHeight="15"/>
  <cols>
    <col width="4" customWidth="1" min="1" max="1"/>
    <col width="16" customWidth="1" min="2" max="2"/>
    <col width="40" customWidth="1" min="3" max="3"/>
    <col width="9" customWidth="1" min="4" max="4"/>
    <col width="7" customWidth="1" min="5" max="5"/>
    <col width="12" customWidth="1" min="6" max="6"/>
    <col width="8" customWidth="1" min="7" max="7"/>
    <col width="12" customWidth="1" min="8" max="8"/>
    <col width="16" customWidth="1" min="9" max="9"/>
    <col width="12" customWidth="1" min="10" max="10"/>
    <col width="22" customWidth="1" min="11" max="11"/>
    <col width="15" customWidth="1" min="12" max="12"/>
    <col width="12" customWidth="1" min="13" max="13"/>
    <col width="12" customWidth="1" min="14" max="14"/>
    <col width="14" customWidth="1" min="15" max="15"/>
  </cols>
  <sheetData>
    <row r="1" ht="24" customHeight="1">
      <c r="A1" s="17" t="inlineStr">
        <is>
          <t>إدارة العقار · مؤشرات الأداء 2026</t>
        </is>
      </c>
    </row>
    <row r="2">
      <c r="A2" s="36" t="inlineStr">
        <is>
          <t>🟩 عمود «المُحقَّق» أرقام تجريبية — استبدلها بالفعلية · نسبة التحقيق والحالة دلّات تُحسب تلقائياً</t>
        </is>
      </c>
    </row>
    <row r="3" ht="28" customHeight="1">
      <c r="A3" s="25" t="inlineStr">
        <is>
          <t>#</t>
        </is>
      </c>
      <c r="B3" s="25" t="inlineStr">
        <is>
          <t>المحور</t>
        </is>
      </c>
      <c r="C3" s="25" t="inlineStr">
        <is>
          <t>المؤشر</t>
        </is>
      </c>
      <c r="D3" s="25" t="inlineStr">
        <is>
          <t>الوحدة</t>
        </is>
      </c>
      <c r="E3" s="25" t="inlineStr">
        <is>
          <t>القطبية</t>
        </is>
      </c>
      <c r="F3" s="25" t="inlineStr">
        <is>
          <t>الأولوية</t>
        </is>
      </c>
      <c r="G3" s="25" t="inlineStr">
        <is>
          <t>الوزن %</t>
        </is>
      </c>
      <c r="H3" s="25" t="inlineStr">
        <is>
          <t>المستهدف</t>
        </is>
      </c>
      <c r="I3" s="25" t="inlineStr">
        <is>
          <t>نص المستهدف</t>
        </is>
      </c>
      <c r="J3" s="25" t="inlineStr">
        <is>
          <t>الركيزة</t>
        </is>
      </c>
      <c r="K3" s="25" t="inlineStr">
        <is>
          <t>المشروع</t>
        </is>
      </c>
      <c r="L3" s="25" t="inlineStr">
        <is>
          <t>منظور BSC</t>
        </is>
      </c>
      <c r="M3" s="25" t="inlineStr">
        <is>
          <t>المُحقَّق</t>
        </is>
      </c>
      <c r="N3" s="25" t="inlineStr">
        <is>
          <t>نسبة التحقيق</t>
        </is>
      </c>
      <c r="O3" s="25" t="inlineStr">
        <is>
          <t>الحالة</t>
        </is>
      </c>
    </row>
    <row r="4" ht="24" customHeight="1">
      <c r="A4" s="15" t="n">
        <v>1</v>
      </c>
      <c r="B4" s="9" t="inlineStr">
        <is>
          <t>الإدارة</t>
        </is>
      </c>
      <c r="C4" s="9" t="inlineStr">
        <is>
          <t>نمو الإيرادات الإيجارية</t>
        </is>
      </c>
      <c r="D4" s="35" t="inlineStr">
        <is>
          <t>%</t>
        </is>
      </c>
      <c r="E4" s="35" t="inlineStr">
        <is>
          <t>↑</t>
        </is>
      </c>
      <c r="F4" s="23" t="inlineStr">
        <is>
          <t>🔴 رئيسي</t>
        </is>
      </c>
      <c r="G4" s="32" t="n">
        <v>0.08</v>
      </c>
      <c r="H4" s="32" t="n">
        <v>0.08</v>
      </c>
      <c r="I4" s="38" t="inlineStr">
        <is>
          <t>&gt; 8% سنوياً</t>
        </is>
      </c>
      <c r="J4" s="39" t="inlineStr">
        <is>
          <t>الاستدامة</t>
        </is>
      </c>
      <c r="K4" s="31" t="inlineStr">
        <is>
          <t>منظومة التأجير</t>
        </is>
      </c>
      <c r="L4" s="23" t="inlineStr">
        <is>
          <t>مالي</t>
        </is>
      </c>
      <c r="M4" s="42" t="n">
        <v>0.068</v>
      </c>
      <c r="N4" s="16">
        <f>IF($H4="","",IF($M4="","",MIN(1,IF($H4=0,IF($M4&lt;=0,1,0),IF($E4="↓",IFERROR($H4/$M4,0),IFERROR($M4/$H4,0))))))</f>
        <v/>
      </c>
      <c r="O4" s="15">
        <f>IF($N4="","⏳ بانتظار هدف",IF($N4&gt;=1,"✅ محقق",IF($N4&gt;=0.85,"🟡 قريب","🔴 تحت الهدف")))</f>
        <v/>
      </c>
    </row>
    <row r="5" ht="24" customHeight="1">
      <c r="A5" s="15" t="n">
        <v>2</v>
      </c>
      <c r="B5" s="9" t="inlineStr">
        <is>
          <t>الإدارة</t>
        </is>
      </c>
      <c r="C5" s="9" t="inlineStr">
        <is>
          <t>نسبة الالتزام بالعقود</t>
        </is>
      </c>
      <c r="D5" s="35" t="inlineStr">
        <is>
          <t>%</t>
        </is>
      </c>
      <c r="E5" s="35" t="inlineStr">
        <is>
          <t>↑</t>
        </is>
      </c>
      <c r="F5" s="23" t="inlineStr">
        <is>
          <t>🔴 رئيسي</t>
        </is>
      </c>
      <c r="G5" s="32" t="n">
        <v>0.08</v>
      </c>
      <c r="H5" s="32" t="n">
        <v>1</v>
      </c>
      <c r="I5" s="38" t="inlineStr">
        <is>
          <t>100%</t>
        </is>
      </c>
      <c r="J5" s="39" t="inlineStr">
        <is>
          <t>الاستدامة</t>
        </is>
      </c>
      <c r="K5" s="31" t="inlineStr">
        <is>
          <t>منظومة التأجير</t>
        </is>
      </c>
      <c r="L5" s="23" t="inlineStr">
        <is>
          <t>العمليات الداخلية</t>
        </is>
      </c>
      <c r="M5" s="42" t="n">
        <v>1.03</v>
      </c>
      <c r="N5" s="16">
        <f>IF($H5="","",IF($M5="","",MIN(1,IF($H5=0,IF($M5&lt;=0,1,0),IF($E5="↓",IFERROR($H5/$M5,0),IFERROR($M5/$H5,0))))))</f>
        <v/>
      </c>
      <c r="O5" s="15">
        <f>IF($N5="","⏳ بانتظار هدف",IF($N5&gt;=1,"✅ محقق",IF($N5&gt;=0.85,"🟡 قريب","🔴 تحت الهدف")))</f>
        <v/>
      </c>
    </row>
    <row r="6" ht="24" customHeight="1">
      <c r="A6" s="15" t="n">
        <v>3</v>
      </c>
      <c r="B6" s="9" t="inlineStr">
        <is>
          <t>الإدارة</t>
        </is>
      </c>
      <c r="C6" s="9" t="inlineStr">
        <is>
          <t>نسبة التحصيل</t>
        </is>
      </c>
      <c r="D6" s="35" t="inlineStr">
        <is>
          <t>%</t>
        </is>
      </c>
      <c r="E6" s="35" t="inlineStr">
        <is>
          <t>↑</t>
        </is>
      </c>
      <c r="F6" s="23" t="inlineStr">
        <is>
          <t>🔴 رئيسي</t>
        </is>
      </c>
      <c r="G6" s="32" t="n">
        <v>0.08</v>
      </c>
      <c r="H6" s="32" t="n">
        <v>0.95</v>
      </c>
      <c r="I6" s="38" t="inlineStr">
        <is>
          <t>&gt; 95%</t>
        </is>
      </c>
      <c r="J6" s="39" t="inlineStr">
        <is>
          <t>الاستدامة</t>
        </is>
      </c>
      <c r="K6" s="31" t="inlineStr">
        <is>
          <t>منظومة التأجير</t>
        </is>
      </c>
      <c r="L6" s="23" t="inlineStr">
        <is>
          <t>مالي</t>
        </is>
      </c>
      <c r="M6" s="42" t="n">
        <v>0.716</v>
      </c>
      <c r="N6" s="16">
        <f>IF($H6="","",IF($M6="","",MIN(1,IF($H6=0,IF($M6&lt;=0,1,0),IF($E6="↓",IFERROR($H6/$M6,0),IFERROR($M6/$H6,0))))))</f>
        <v/>
      </c>
      <c r="O6" s="15">
        <f>IF($N6="","⏳ بانتظار هدف",IF($N6&gt;=1,"✅ محقق",IF($N6&gt;=0.85,"🟡 قريب","🔴 تحت الهدف")))</f>
        <v/>
      </c>
    </row>
    <row r="7" ht="24" customHeight="1">
      <c r="A7" s="15" t="n">
        <v>4</v>
      </c>
      <c r="B7" s="9" t="inlineStr">
        <is>
          <t>التأجير</t>
        </is>
      </c>
      <c r="C7" s="9" t="inlineStr">
        <is>
          <t>نسبة الإشغال</t>
        </is>
      </c>
      <c r="D7" s="35" t="inlineStr">
        <is>
          <t>%</t>
        </is>
      </c>
      <c r="E7" s="35" t="inlineStr">
        <is>
          <t>↑</t>
        </is>
      </c>
      <c r="F7" s="23" t="inlineStr">
        <is>
          <t>🔴 رئيسي</t>
        </is>
      </c>
      <c r="G7" s="32" t="n">
        <v>0.08</v>
      </c>
      <c r="H7" s="32" t="n">
        <v>0.6</v>
      </c>
      <c r="I7" s="38" t="inlineStr">
        <is>
          <t>≥ 60%</t>
        </is>
      </c>
      <c r="J7" s="39" t="inlineStr">
        <is>
          <t>الاستدامة</t>
        </is>
      </c>
      <c r="K7" s="31" t="inlineStr">
        <is>
          <t>منظومة التأجير</t>
        </is>
      </c>
      <c r="L7" s="23" t="inlineStr">
        <is>
          <t>العمليات الداخلية</t>
        </is>
      </c>
      <c r="M7" s="42" t="n">
        <v>0.611</v>
      </c>
      <c r="N7" s="16">
        <f>IF($H7="","",IF($M7="","",MIN(1,IF($H7=0,IF($M7&lt;=0,1,0),IF($E7="↓",IFERROR($H7/$M7,0),IFERROR($M7/$H7,0))))))</f>
        <v/>
      </c>
      <c r="O7" s="15">
        <f>IF($N7="","⏳ بانتظار هدف",IF($N7&gt;=1,"✅ محقق",IF($N7&gt;=0.85,"🟡 قريب","🔴 تحت الهدف")))</f>
        <v/>
      </c>
    </row>
    <row r="8" ht="24" customHeight="1">
      <c r="A8" s="15" t="n">
        <v>5</v>
      </c>
      <c r="B8" s="9" t="inlineStr">
        <is>
          <t>التأجير</t>
        </is>
      </c>
      <c r="C8" s="9" t="inlineStr">
        <is>
          <t>الوحدات المؤجَّرة شهرياً</t>
        </is>
      </c>
      <c r="D8" s="35" t="inlineStr">
        <is>
          <t>وحدة</t>
        </is>
      </c>
      <c r="E8" s="35" t="inlineStr">
        <is>
          <t>↑</t>
        </is>
      </c>
      <c r="F8" s="23" t="inlineStr">
        <is>
          <t>🟠 مهم</t>
        </is>
      </c>
      <c r="G8" s="32" t="n">
        <v>0.05</v>
      </c>
      <c r="H8" s="37" t="n">
        <v>68</v>
      </c>
      <c r="I8" s="38" t="inlineStr">
        <is>
          <t>68 شهرياً</t>
        </is>
      </c>
      <c r="J8" s="39" t="inlineStr">
        <is>
          <t>الاستدامة</t>
        </is>
      </c>
      <c r="K8" s="31" t="inlineStr">
        <is>
          <t>منظومة التأجير</t>
        </is>
      </c>
      <c r="L8" s="23" t="inlineStr">
        <is>
          <t>العمليات الداخلية</t>
        </is>
      </c>
      <c r="M8" s="40" t="n">
        <v>54.8</v>
      </c>
      <c r="N8" s="16">
        <f>IF($H8="","",IF($M8="","",MIN(1,IF($H8=0,IF($M8&lt;=0,1,0),IF($E8="↓",IFERROR($H8/$M8,0),IFERROR($M8/$H8,0))))))</f>
        <v/>
      </c>
      <c r="O8" s="15">
        <f>IF($N8="","⏳ بانتظار هدف",IF($N8&gt;=1,"✅ محقق",IF($N8&gt;=0.85,"🟡 قريب","🔴 تحت الهدف")))</f>
        <v/>
      </c>
    </row>
    <row r="9" ht="24" customHeight="1">
      <c r="A9" s="15" t="n">
        <v>6</v>
      </c>
      <c r="B9" s="9" t="inlineStr">
        <is>
          <t>التأجير</t>
        </is>
      </c>
      <c r="C9" s="9" t="inlineStr">
        <is>
          <t>العملاء المحتملون (LEADS)</t>
        </is>
      </c>
      <c r="D9" s="35" t="inlineStr">
        <is>
          <t>عميل</t>
        </is>
      </c>
      <c r="E9" s="35" t="inlineStr">
        <is>
          <t>↑</t>
        </is>
      </c>
      <c r="F9" s="23" t="inlineStr">
        <is>
          <t>🟠 مهم</t>
        </is>
      </c>
      <c r="G9" s="32" t="n">
        <v>0.05</v>
      </c>
      <c r="H9" s="37" t="n">
        <v>680</v>
      </c>
      <c r="I9" s="38" t="inlineStr">
        <is>
          <t>544–680</t>
        </is>
      </c>
      <c r="J9" s="39" t="inlineStr">
        <is>
          <t>النمو</t>
        </is>
      </c>
      <c r="K9" s="31" t="inlineStr">
        <is>
          <t>زيادة وصول العملاء</t>
        </is>
      </c>
      <c r="L9" s="23" t="inlineStr">
        <is>
          <t>العملاء</t>
        </is>
      </c>
      <c r="M9" s="40" t="n">
        <v>531.8</v>
      </c>
      <c r="N9" s="16">
        <f>IF($H9="","",IF($M9="","",MIN(1,IF($H9=0,IF($M9&lt;=0,1,0),IF($E9="↓",IFERROR($H9/$M9,0),IFERROR($M9/$H9,0))))))</f>
        <v/>
      </c>
      <c r="O9" s="15">
        <f>IF($N9="","⏳ بانتظار هدف",IF($N9&gt;=1,"✅ محقق",IF($N9&gt;=0.85,"🟡 قريب","🔴 تحت الهدف")))</f>
        <v/>
      </c>
    </row>
    <row r="10" ht="24" customHeight="1">
      <c r="A10" s="15" t="n">
        <v>7</v>
      </c>
      <c r="B10" s="9" t="inlineStr">
        <is>
          <t>التأجير</t>
        </is>
      </c>
      <c r="C10" s="9" t="inlineStr">
        <is>
          <t>معدل التحويل</t>
        </is>
      </c>
      <c r="D10" s="35" t="inlineStr">
        <is>
          <t>%</t>
        </is>
      </c>
      <c r="E10" s="35" t="inlineStr">
        <is>
          <t>↑</t>
        </is>
      </c>
      <c r="F10" s="23" t="inlineStr">
        <is>
          <t>🔴 رئيسي</t>
        </is>
      </c>
      <c r="G10" s="32" t="n">
        <v>0.08</v>
      </c>
      <c r="H10" s="32" t="n">
        <v>0.2</v>
      </c>
      <c r="I10" s="38" t="inlineStr">
        <is>
          <t>15–25%</t>
        </is>
      </c>
      <c r="J10" s="39" t="inlineStr">
        <is>
          <t>النمو</t>
        </is>
      </c>
      <c r="K10" s="31" t="inlineStr">
        <is>
          <t>زيادة وصول العملاء</t>
        </is>
      </c>
      <c r="L10" s="23" t="inlineStr">
        <is>
          <t>العمليات الداخلية</t>
        </is>
      </c>
      <c r="M10" s="42" t="n">
        <v>0.208</v>
      </c>
      <c r="N10" s="16">
        <f>IF($H10="","",IF($M10="","",MIN(1,IF($H10=0,IF($M10&lt;=0,1,0),IF($E10="↓",IFERROR($H10/$M10,0),IFERROR($M10/$H10,0))))))</f>
        <v/>
      </c>
      <c r="O10" s="15">
        <f>IF($N10="","⏳ بانتظار هدف",IF($N10&gt;=1,"✅ محقق",IF($N10&gt;=0.85,"🟡 قريب","🔴 تحت الهدف")))</f>
        <v/>
      </c>
    </row>
    <row r="11" ht="24" customHeight="1">
      <c r="A11" s="15" t="n">
        <v>8</v>
      </c>
      <c r="B11" s="9" t="inlineStr">
        <is>
          <t>التأجير</t>
        </is>
      </c>
      <c r="C11" s="9" t="inlineStr">
        <is>
          <t>زيادة عدد العلامات التجارية</t>
        </is>
      </c>
      <c r="D11" s="35" t="inlineStr">
        <is>
          <t>علامة</t>
        </is>
      </c>
      <c r="E11" s="35" t="inlineStr">
        <is>
          <t>↑</t>
        </is>
      </c>
      <c r="F11" s="23" t="inlineStr">
        <is>
          <t>🟠 مهم</t>
        </is>
      </c>
      <c r="G11" s="32" t="n">
        <v>0.05</v>
      </c>
      <c r="H11" s="37" t="n">
        <v>246</v>
      </c>
      <c r="I11" s="38" t="inlineStr">
        <is>
          <t>246 علامة</t>
        </is>
      </c>
      <c r="J11" s="39" t="inlineStr">
        <is>
          <t>الاستدامة</t>
        </is>
      </c>
      <c r="K11" s="31" t="inlineStr">
        <is>
          <t>منظومة التأجير</t>
        </is>
      </c>
      <c r="L11" s="23" t="inlineStr">
        <is>
          <t>العمليات الداخلية</t>
        </is>
      </c>
      <c r="M11" s="40" t="n">
        <v>202.6</v>
      </c>
      <c r="N11" s="16">
        <f>IF($H11="","",IF($M11="","",MIN(1,IF($H11=0,IF($M11&lt;=0,1,0),IF($E11="↓",IFERROR($H11/$M11,0),IFERROR($M11/$H11,0))))))</f>
        <v/>
      </c>
      <c r="O11" s="15">
        <f>IF($N11="","⏳ بانتظار هدف",IF($N11&gt;=1,"✅ محقق",IF($N11&gt;=0.85,"🟡 قريب","🔴 تحت الهدف")))</f>
        <v/>
      </c>
    </row>
    <row r="12" ht="24" customHeight="1">
      <c r="A12" s="15" t="n">
        <v>9</v>
      </c>
      <c r="B12" s="9" t="inlineStr">
        <is>
          <t>الإبداع والتكامل</t>
        </is>
      </c>
      <c r="C12" s="9" t="inlineStr">
        <is>
          <t>نسبة تأجير ساحة درب</t>
        </is>
      </c>
      <c r="D12" s="35" t="inlineStr">
        <is>
          <t>%</t>
        </is>
      </c>
      <c r="E12" s="35" t="inlineStr">
        <is>
          <t>↑</t>
        </is>
      </c>
      <c r="F12" s="23" t="inlineStr">
        <is>
          <t>🟠 مهم</t>
        </is>
      </c>
      <c r="G12" s="32" t="n">
        <v>0.05</v>
      </c>
      <c r="H12" s="32" t="n">
        <v>0.8</v>
      </c>
      <c r="I12" s="38" t="inlineStr">
        <is>
          <t>≥ 80%</t>
        </is>
      </c>
      <c r="J12" s="39" t="inlineStr">
        <is>
          <t>الابتكار</t>
        </is>
      </c>
      <c r="K12" s="31" t="inlineStr">
        <is>
          <t>ساحات درب</t>
        </is>
      </c>
      <c r="L12" s="23" t="inlineStr">
        <is>
          <t>العمليات الداخلية</t>
        </is>
      </c>
      <c r="M12" s="42" t="n">
        <v>0.671</v>
      </c>
      <c r="N12" s="16">
        <f>IF($H12="","",IF($M12="","",MIN(1,IF($H12=0,IF($M12&lt;=0,1,0),IF($E12="↓",IFERROR($H12/$M12,0),IFERROR($M12/$H12,0))))))</f>
        <v/>
      </c>
      <c r="O12" s="15">
        <f>IF($N12="","⏳ بانتظار هدف",IF($N12&gt;=1,"✅ محقق",IF($N12&gt;=0.85,"🟡 قريب","🔴 تحت الهدف")))</f>
        <v/>
      </c>
    </row>
    <row r="13" ht="24" customHeight="1">
      <c r="A13" s="15" t="n">
        <v>10</v>
      </c>
      <c r="B13" s="9" t="inlineStr">
        <is>
          <t>الإبداع والتكامل</t>
        </is>
      </c>
      <c r="C13" s="9" t="inlineStr">
        <is>
          <t>علامات تجارية جديدة (ساحة درب)</t>
        </is>
      </c>
      <c r="D13" s="35" t="inlineStr">
        <is>
          <t>علامة</t>
        </is>
      </c>
      <c r="E13" s="35" t="inlineStr">
        <is>
          <t>↑</t>
        </is>
      </c>
      <c r="F13" s="23" t="inlineStr">
        <is>
          <t>🟠 مهم</t>
        </is>
      </c>
      <c r="G13" s="32" t="n">
        <v>0.05</v>
      </c>
      <c r="H13" s="37" t="n">
        <v>6</v>
      </c>
      <c r="I13" s="38" t="inlineStr">
        <is>
          <t>6 علامات</t>
        </is>
      </c>
      <c r="J13" s="39" t="inlineStr">
        <is>
          <t>الابتكار</t>
        </is>
      </c>
      <c r="K13" s="31" t="inlineStr">
        <is>
          <t>ساحات درب</t>
        </is>
      </c>
      <c r="L13" s="23" t="inlineStr">
        <is>
          <t>العمليات الداخلية</t>
        </is>
      </c>
      <c r="M13" s="40" t="n">
        <v>5.769</v>
      </c>
      <c r="N13" s="16">
        <f>IF($H13="","",IF($M13="","",MIN(1,IF($H13=0,IF($M13&lt;=0,1,0),IF($E13="↓",IFERROR($H13/$M13,0),IFERROR($M13/$H13,0))))))</f>
        <v/>
      </c>
      <c r="O13" s="15">
        <f>IF($N13="","⏳ بانتظار هدف",IF($N13&gt;=1,"✅ محقق",IF($N13&gt;=0.85,"🟡 قريب","🔴 تحت الهدف")))</f>
        <v/>
      </c>
    </row>
    <row r="14" ht="24" customHeight="1">
      <c r="A14" s="15" t="n">
        <v>11</v>
      </c>
      <c r="B14" s="9" t="inlineStr">
        <is>
          <t>الإبداع والتكامل</t>
        </is>
      </c>
      <c r="C14" s="9" t="inlineStr">
        <is>
          <t>الشراكات الاستراتيجية</t>
        </is>
      </c>
      <c r="D14" s="35" t="inlineStr">
        <is>
          <t>شراكة</t>
        </is>
      </c>
      <c r="E14" s="35" t="inlineStr">
        <is>
          <t>↑</t>
        </is>
      </c>
      <c r="F14" s="23" t="inlineStr">
        <is>
          <t>🟠 مهم</t>
        </is>
      </c>
      <c r="G14" s="32" t="n">
        <v>0.05</v>
      </c>
      <c r="H14" s="37" t="n">
        <v>5</v>
      </c>
      <c r="I14" s="38" t="inlineStr">
        <is>
          <t>5 شراكات</t>
        </is>
      </c>
      <c r="J14" s="39" t="inlineStr">
        <is>
          <t>الابتكار</t>
        </is>
      </c>
      <c r="K14" s="31" t="inlineStr">
        <is>
          <t>إطلاق مشاريع جديدة</t>
        </is>
      </c>
      <c r="L14" s="23" t="inlineStr">
        <is>
          <t>التعلّم والنمو</t>
        </is>
      </c>
      <c r="M14" s="40" t="n">
        <v>4.59</v>
      </c>
      <c r="N14" s="16">
        <f>IF($H14="","",IF($M14="","",MIN(1,IF($H14=0,IF($M14&lt;=0,1,0),IF($E14="↓",IFERROR($H14/$M14,0),IFERROR($M14/$H14,0))))))</f>
        <v/>
      </c>
      <c r="O14" s="15">
        <f>IF($N14="","⏳ بانتظار هدف",IF($N14&gt;=1,"✅ محقق",IF($N14&gt;=0.85,"🟡 قريب","🔴 تحت الهدف")))</f>
        <v/>
      </c>
    </row>
    <row r="15" ht="24" customHeight="1">
      <c r="A15" s="15" t="n">
        <v>12</v>
      </c>
      <c r="B15" s="9" t="inlineStr">
        <is>
          <t>إدارة الأملاك</t>
        </is>
      </c>
      <c r="C15" s="9" t="inlineStr">
        <is>
          <t>نسبة تجديد العقود</t>
        </is>
      </c>
      <c r="D15" s="35" t="inlineStr">
        <is>
          <t>%</t>
        </is>
      </c>
      <c r="E15" s="35" t="inlineStr">
        <is>
          <t>↑</t>
        </is>
      </c>
      <c r="F15" s="23" t="inlineStr">
        <is>
          <t>🔴 رئيسي</t>
        </is>
      </c>
      <c r="G15" s="32" t="n">
        <v>0.08</v>
      </c>
      <c r="H15" s="32" t="n">
        <v>1</v>
      </c>
      <c r="I15" s="38" t="inlineStr">
        <is>
          <t>100%</t>
        </is>
      </c>
      <c r="J15" s="39" t="inlineStr">
        <is>
          <t>الاستدامة</t>
        </is>
      </c>
      <c r="K15" s="31" t="inlineStr">
        <is>
          <t>منظومة التأجير</t>
        </is>
      </c>
      <c r="L15" s="23" t="inlineStr">
        <is>
          <t>العمليات الداخلية</t>
        </is>
      </c>
      <c r="M15" s="42" t="n">
        <v>0.792</v>
      </c>
      <c r="N15" s="16">
        <f>IF($H15="","",IF($M15="","",MIN(1,IF($H15=0,IF($M15&lt;=0,1,0),IF($E15="↓",IFERROR($H15/$M15,0),IFERROR($M15/$H15,0))))))</f>
        <v/>
      </c>
      <c r="O15" s="15">
        <f>IF($N15="","⏳ بانتظار هدف",IF($N15&gt;=1,"✅ محقق",IF($N15&gt;=0.85,"🟡 قريب","🔴 تحت الهدف")))</f>
        <v/>
      </c>
    </row>
    <row r="16" ht="24" customHeight="1">
      <c r="A16" s="15" t="n">
        <v>13</v>
      </c>
      <c r="B16" s="9" t="inlineStr">
        <is>
          <t>تنسيق المشاريع</t>
        </is>
      </c>
      <c r="C16" s="9" t="inlineStr">
        <is>
          <t>متوسط زمن تسليم الوحدة</t>
        </is>
      </c>
      <c r="D16" s="35" t="inlineStr">
        <is>
          <t>يوم</t>
        </is>
      </c>
      <c r="E16" s="35" t="inlineStr">
        <is>
          <t>↓</t>
        </is>
      </c>
      <c r="F16" s="23" t="inlineStr">
        <is>
          <t>🟠 مهم</t>
        </is>
      </c>
      <c r="G16" s="32" t="n">
        <v>0.05</v>
      </c>
      <c r="H16" s="43" t="n">
        <v>7</v>
      </c>
      <c r="I16" s="38" t="inlineStr">
        <is>
          <t>≤ 7 أيام</t>
        </is>
      </c>
      <c r="J16" s="39" t="inlineStr">
        <is>
          <t>الاستدامة</t>
        </is>
      </c>
      <c r="K16" s="31" t="inlineStr">
        <is>
          <t>جودة التشغيل</t>
        </is>
      </c>
      <c r="L16" s="23" t="inlineStr">
        <is>
          <t>العمليات الداخلية</t>
        </is>
      </c>
      <c r="M16" s="44" t="n">
        <v>7.983</v>
      </c>
      <c r="N16" s="16">
        <f>IF($H16="","",IF($M16="","",MIN(1,IF($H16=0,IF($M16&lt;=0,1,0),IF($E16="↓",IFERROR($H16/$M16,0),IFERROR($M16/$H16,0))))))</f>
        <v/>
      </c>
      <c r="O16" s="15">
        <f>IF($N16="","⏳ بانتظار هدف",IF($N16&gt;=1,"✅ محقق",IF($N16&gt;=0.85,"🟡 قريب","🔴 تحت الهدف")))</f>
        <v/>
      </c>
    </row>
    <row r="17" ht="24" customHeight="1">
      <c r="A17" s="15" t="n">
        <v>14</v>
      </c>
      <c r="B17" s="9" t="inlineStr">
        <is>
          <t>تنسيق المشاريع</t>
        </is>
      </c>
      <c r="C17" s="9" t="inlineStr">
        <is>
          <t>نسبة إغلاق الطلبات خلال 3 أسابيع</t>
        </is>
      </c>
      <c r="D17" s="35" t="inlineStr">
        <is>
          <t>%</t>
        </is>
      </c>
      <c r="E17" s="35" t="inlineStr">
        <is>
          <t>↑</t>
        </is>
      </c>
      <c r="F17" s="23" t="inlineStr">
        <is>
          <t>🟠 مهم</t>
        </is>
      </c>
      <c r="G17" s="32" t="n">
        <v>0.05</v>
      </c>
      <c r="H17" s="32" t="n">
        <v>0.9</v>
      </c>
      <c r="I17" s="38" t="inlineStr">
        <is>
          <t>&gt; 90%</t>
        </is>
      </c>
      <c r="J17" s="39" t="inlineStr">
        <is>
          <t>الاستدامة</t>
        </is>
      </c>
      <c r="K17" s="31" t="inlineStr">
        <is>
          <t>جودة التشغيل</t>
        </is>
      </c>
      <c r="L17" s="23" t="inlineStr">
        <is>
          <t>العمليات الداخلية</t>
        </is>
      </c>
      <c r="M17" s="42" t="n">
        <v>0.698</v>
      </c>
      <c r="N17" s="16">
        <f>IF($H17="","",IF($M17="","",MIN(1,IF($H17=0,IF($M17&lt;=0,1,0),IF($E17="↓",IFERROR($H17/$M17,0),IFERROR($M17/$H17,0))))))</f>
        <v/>
      </c>
      <c r="O17" s="15">
        <f>IF($N17="","⏳ بانتظار هدف",IF($N17&gt;=1,"✅ محقق",IF($N17&gt;=0.85,"🟡 قريب","🔴 تحت الهدف")))</f>
        <v/>
      </c>
    </row>
    <row r="18" ht="24" customHeight="1">
      <c r="A18" s="15" t="n">
        <v>15</v>
      </c>
      <c r="B18" s="9" t="inlineStr">
        <is>
          <t>الجودة والاستدامة</t>
        </is>
      </c>
      <c r="C18" s="9" t="inlineStr">
        <is>
          <t>استدامة المستأجرين (لم يُنهَ مبكراً)</t>
        </is>
      </c>
      <c r="D18" s="35" t="inlineStr">
        <is>
          <t>%</t>
        </is>
      </c>
      <c r="E18" s="35" t="inlineStr">
        <is>
          <t>↑</t>
        </is>
      </c>
      <c r="F18" s="23" t="inlineStr">
        <is>
          <t>🟠 مهم</t>
        </is>
      </c>
      <c r="G18" s="32" t="n">
        <v>0.05</v>
      </c>
      <c r="H18" s="32" t="n">
        <v>0.8</v>
      </c>
      <c r="I18" s="38" t="inlineStr">
        <is>
          <t>≥ 80%</t>
        </is>
      </c>
      <c r="J18" s="39" t="inlineStr">
        <is>
          <t>الاستدامة</t>
        </is>
      </c>
      <c r="K18" s="31" t="inlineStr">
        <is>
          <t>تعزيز تجربة العملاء</t>
        </is>
      </c>
      <c r="L18" s="23" t="inlineStr">
        <is>
          <t>العملاء</t>
        </is>
      </c>
      <c r="M18" s="42" t="n">
        <v>0.695</v>
      </c>
      <c r="N18" s="16">
        <f>IF($H18="","",IF($M18="","",MIN(1,IF($H18=0,IF($M18&lt;=0,1,0),IF($E18="↓",IFERROR($H18/$M18,0),IFERROR($M18/$H18,0))))))</f>
        <v/>
      </c>
      <c r="O18" s="15">
        <f>IF($N18="","⏳ بانتظار هدف",IF($N18&gt;=1,"✅ محقق",IF($N18&gt;=0.85,"🟡 قريب","🔴 تحت الهدف")))</f>
        <v/>
      </c>
    </row>
    <row r="19" ht="24" customHeight="1">
      <c r="A19" s="15" t="n">
        <v>16</v>
      </c>
      <c r="B19" s="9" t="inlineStr">
        <is>
          <t>الجودة والاستدامة</t>
        </is>
      </c>
      <c r="C19" s="9" t="inlineStr">
        <is>
          <t>معدل رضا المستأجرين (استبيان ربعي)</t>
        </is>
      </c>
      <c r="D19" s="35" t="inlineStr">
        <is>
          <t>%</t>
        </is>
      </c>
      <c r="E19" s="35" t="inlineStr">
        <is>
          <t>↑</t>
        </is>
      </c>
      <c r="F19" s="23" t="inlineStr">
        <is>
          <t>🔴 رئيسي</t>
        </is>
      </c>
      <c r="G19" s="32" t="n">
        <v>0.07000000000000001</v>
      </c>
      <c r="H19" s="32" t="n">
        <v>0.9</v>
      </c>
      <c r="I19" s="38" t="inlineStr">
        <is>
          <t>≥ 90%</t>
        </is>
      </c>
      <c r="J19" s="39" t="inlineStr">
        <is>
          <t>الاستدامة</t>
        </is>
      </c>
      <c r="K19" s="31" t="inlineStr">
        <is>
          <t>تعزيز تجربة العملاء</t>
        </is>
      </c>
      <c r="L19" s="23" t="inlineStr">
        <is>
          <t>العملاء</t>
        </is>
      </c>
      <c r="M19" s="42" t="n">
        <v>0.894</v>
      </c>
      <c r="N19" s="16">
        <f>IF($H19="","",IF($M19="","",MIN(1,IF($H19=0,IF($M19&lt;=0,1,0),IF($E19="↓",IFERROR($H19/$M19,0),IFERROR($M19/$H19,0))))))</f>
        <v/>
      </c>
      <c r="O19" s="15">
        <f>IF($N19="","⏳ بانتظار هدف",IF($N19&gt;=1,"✅ محقق",IF($N19&gt;=0.85,"🟡 قريب","🔴 تحت الهدف")))</f>
        <v/>
      </c>
    </row>
  </sheetData>
  <autoFilter ref="A3:O19"/>
  <mergeCells count="2">
    <mergeCell ref="A1:O1"/>
    <mergeCell ref="A2:O2"/>
  </mergeCells>
  <dataValidations count="1">
    <dataValidation sqref="M4 M5 M6 M7 M8 M9 M10 M11 M12 M13 M14 M15 M16 M17 M18 M19" showDropDown="0" showInputMessage="0" showErrorMessage="0" allowBlank="1" type="decimal" operator="greaterThanOrEqual">
      <formula1>0</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O12"/>
  <sheetViews>
    <sheetView showGridLines="0" rightToLeft="1" workbookViewId="0">
      <pane ySplit="3" topLeftCell="A4" activePane="bottomLeft" state="frozen"/>
      <selection pane="bottomLeft" activeCell="A1" sqref="A1"/>
    </sheetView>
  </sheetViews>
  <sheetFormatPr baseColWidth="8" defaultRowHeight="15"/>
  <cols>
    <col width="4" customWidth="1" min="1" max="1"/>
    <col width="16" customWidth="1" min="2" max="2"/>
    <col width="40" customWidth="1" min="3" max="3"/>
    <col width="9" customWidth="1" min="4" max="4"/>
    <col width="7" customWidth="1" min="5" max="5"/>
    <col width="12" customWidth="1" min="6" max="6"/>
    <col width="8" customWidth="1" min="7" max="7"/>
    <col width="12" customWidth="1" min="8" max="8"/>
    <col width="16" customWidth="1" min="9" max="9"/>
    <col width="12" customWidth="1" min="10" max="10"/>
    <col width="22" customWidth="1" min="11" max="11"/>
    <col width="15" customWidth="1" min="12" max="12"/>
    <col width="12" customWidth="1" min="13" max="13"/>
    <col width="12" customWidth="1" min="14" max="14"/>
    <col width="14" customWidth="1" min="15" max="15"/>
  </cols>
  <sheetData>
    <row r="1" ht="24" customHeight="1">
      <c r="A1" s="17" t="inlineStr">
        <is>
          <t>إدارة التقنية الرقمية · مؤشرات الأداء 2026</t>
        </is>
      </c>
    </row>
    <row r="2">
      <c r="A2" s="36" t="inlineStr">
        <is>
          <t>🟩 عمود «المُحقَّق» أرقام تجريبية — استبدلها بالفعلية · نسبة التحقيق والحالة دلّات تُحسب تلقائياً</t>
        </is>
      </c>
    </row>
    <row r="3" ht="28" customHeight="1">
      <c r="A3" s="25" t="inlineStr">
        <is>
          <t>#</t>
        </is>
      </c>
      <c r="B3" s="25" t="inlineStr">
        <is>
          <t>المحور</t>
        </is>
      </c>
      <c r="C3" s="25" t="inlineStr">
        <is>
          <t>المؤشر</t>
        </is>
      </c>
      <c r="D3" s="25" t="inlineStr">
        <is>
          <t>الوحدة</t>
        </is>
      </c>
      <c r="E3" s="25" t="inlineStr">
        <is>
          <t>القطبية</t>
        </is>
      </c>
      <c r="F3" s="25" t="inlineStr">
        <is>
          <t>الأولوية</t>
        </is>
      </c>
      <c r="G3" s="25" t="inlineStr">
        <is>
          <t>الوزن %</t>
        </is>
      </c>
      <c r="H3" s="25" t="inlineStr">
        <is>
          <t>المستهدف</t>
        </is>
      </c>
      <c r="I3" s="25" t="inlineStr">
        <is>
          <t>نص المستهدف</t>
        </is>
      </c>
      <c r="J3" s="25" t="inlineStr">
        <is>
          <t>الركيزة</t>
        </is>
      </c>
      <c r="K3" s="25" t="inlineStr">
        <is>
          <t>المشروع</t>
        </is>
      </c>
      <c r="L3" s="25" t="inlineStr">
        <is>
          <t>منظور BSC</t>
        </is>
      </c>
      <c r="M3" s="25" t="inlineStr">
        <is>
          <t>المُحقَّق</t>
        </is>
      </c>
      <c r="N3" s="25" t="inlineStr">
        <is>
          <t>نسبة التحقيق</t>
        </is>
      </c>
      <c r="O3" s="25" t="inlineStr">
        <is>
          <t>الحالة</t>
        </is>
      </c>
    </row>
    <row r="4" ht="24" customHeight="1">
      <c r="A4" s="15" t="n">
        <v>1</v>
      </c>
      <c r="B4" s="9" t="inlineStr">
        <is>
          <t>أداء المشاريع</t>
        </is>
      </c>
      <c r="C4" s="9" t="inlineStr">
        <is>
          <t>نسبة إنجاز محفظة مشاريع التحول الرقمي</t>
        </is>
      </c>
      <c r="D4" s="35" t="inlineStr">
        <is>
          <t>%</t>
        </is>
      </c>
      <c r="E4" s="35" t="inlineStr">
        <is>
          <t>↑</t>
        </is>
      </c>
      <c r="F4" s="23" t="inlineStr">
        <is>
          <t>🟠 مهم</t>
        </is>
      </c>
      <c r="G4" s="32" t="n">
        <v>0.1</v>
      </c>
      <c r="H4" s="32" t="n">
        <v>1</v>
      </c>
      <c r="I4" s="38" t="inlineStr">
        <is>
          <t>100%</t>
        </is>
      </c>
      <c r="J4" s="39" t="inlineStr">
        <is>
          <t>الابتكار</t>
        </is>
      </c>
      <c r="K4" s="31" t="inlineStr">
        <is>
          <t>التحول التقني</t>
        </is>
      </c>
      <c r="L4" s="23" t="inlineStr">
        <is>
          <t>التعلّم والنمو</t>
        </is>
      </c>
      <c r="M4" s="42" t="n">
        <v>0.06</v>
      </c>
      <c r="N4" s="16">
        <f>IF($H4="","",IF($M4="","",MIN(1,IF($H4=0,IF($M4&lt;=0,1,0),IF($E4="↓",IFERROR($H4/$M4,0),IFERROR($M4/$H4,0))))))</f>
        <v/>
      </c>
      <c r="O4" s="15">
        <f>IF($N4="","⏳ بانتظار هدف",IF($N4&gt;=1,"✅ محقق",IF($N4&gt;=0.85,"🟡 قريب","🔴 تحت الهدف")))</f>
        <v/>
      </c>
    </row>
    <row r="5" ht="24" customHeight="1">
      <c r="A5" s="15" t="n">
        <v>2</v>
      </c>
      <c r="B5" s="9" t="inlineStr">
        <is>
          <t>أداء المشاريع</t>
        </is>
      </c>
      <c r="C5" s="9" t="inlineStr">
        <is>
          <t>معدل تسليم المشاريع في الموعد المحدد</t>
        </is>
      </c>
      <c r="D5" s="35" t="inlineStr">
        <is>
          <t>%</t>
        </is>
      </c>
      <c r="E5" s="35" t="inlineStr">
        <is>
          <t>↑</t>
        </is>
      </c>
      <c r="F5" s="23" t="inlineStr">
        <is>
          <t>🟠 مهم</t>
        </is>
      </c>
      <c r="G5" s="32" t="n">
        <v>0.1</v>
      </c>
      <c r="H5" s="32" t="n">
        <v>0.9</v>
      </c>
      <c r="I5" s="38" t="inlineStr">
        <is>
          <t>≥ 90%</t>
        </is>
      </c>
      <c r="J5" s="39" t="inlineStr">
        <is>
          <t>الابتكار</t>
        </is>
      </c>
      <c r="K5" s="31" t="inlineStr">
        <is>
          <t>التحول التقني</t>
        </is>
      </c>
      <c r="L5" s="23" t="inlineStr">
        <is>
          <t>العمليات الداخلية</t>
        </is>
      </c>
      <c r="M5" s="42" t="n">
        <v>0.83</v>
      </c>
      <c r="N5" s="16">
        <f>IF($H5="","",IF($M5="","",MIN(1,IF($H5=0,IF($M5&lt;=0,1,0),IF($E5="↓",IFERROR($H5/$M5,0),IFERROR($M5/$H5,0))))))</f>
        <v/>
      </c>
      <c r="O5" s="15">
        <f>IF($N5="","⏳ بانتظار هدف",IF($N5&gt;=1,"✅ محقق",IF($N5&gt;=0.85,"🟡 قريب","🔴 تحت الهدف")))</f>
        <v/>
      </c>
    </row>
    <row r="6" ht="24" customHeight="1">
      <c r="A6" s="15" t="n">
        <v>3</v>
      </c>
      <c r="B6" s="9" t="inlineStr">
        <is>
          <t>أداء المشاريع</t>
        </is>
      </c>
      <c r="C6" s="9" t="inlineStr">
        <is>
          <t>نسبة الالتزام بميزانية المشاريع</t>
        </is>
      </c>
      <c r="D6" s="35" t="inlineStr">
        <is>
          <t>%</t>
        </is>
      </c>
      <c r="E6" s="35" t="inlineStr">
        <is>
          <t>↑</t>
        </is>
      </c>
      <c r="F6" s="23" t="inlineStr">
        <is>
          <t>🟠 مهم</t>
        </is>
      </c>
      <c r="G6" s="32" t="n">
        <v>0.1</v>
      </c>
      <c r="H6" s="32" t="n">
        <v>0.95</v>
      </c>
      <c r="I6" s="38" t="inlineStr">
        <is>
          <t>≥ 95%</t>
        </is>
      </c>
      <c r="J6" s="39" t="inlineStr">
        <is>
          <t>الابتكار</t>
        </is>
      </c>
      <c r="K6" s="31" t="inlineStr">
        <is>
          <t>التحول التقني</t>
        </is>
      </c>
      <c r="L6" s="23" t="inlineStr">
        <is>
          <t>العمليات الداخلية</t>
        </is>
      </c>
      <c r="M6" s="42" t="n">
        <v>0.753</v>
      </c>
      <c r="N6" s="16">
        <f>IF($H6="","",IF($M6="","",MIN(1,IF($H6=0,IF($M6&lt;=0,1,0),IF($E6="↓",IFERROR($H6/$M6,0),IFERROR($M6/$H6,0))))))</f>
        <v/>
      </c>
      <c r="O6" s="15">
        <f>IF($N6="","⏳ بانتظار هدف",IF($N6&gt;=1,"✅ محقق",IF($N6&gt;=0.85,"🟡 قريب","🔴 تحت الهدف")))</f>
        <v/>
      </c>
    </row>
    <row r="7" ht="24" customHeight="1">
      <c r="A7" s="15" t="n">
        <v>4</v>
      </c>
      <c r="B7" s="9" t="inlineStr">
        <is>
          <t>أداء المشاريع</t>
        </is>
      </c>
      <c r="C7" s="9" t="inlineStr">
        <is>
          <t>نسبة الالتزام بنطاق العمل</t>
        </is>
      </c>
      <c r="D7" s="35" t="inlineStr">
        <is>
          <t>%</t>
        </is>
      </c>
      <c r="E7" s="35" t="inlineStr">
        <is>
          <t>↑</t>
        </is>
      </c>
      <c r="F7" s="23" t="inlineStr">
        <is>
          <t>🟠 مهم</t>
        </is>
      </c>
      <c r="G7" s="32" t="n">
        <v>0.1</v>
      </c>
      <c r="H7" s="32" t="n">
        <v>0.95</v>
      </c>
      <c r="I7" s="38" t="inlineStr">
        <is>
          <t>≥ 95%</t>
        </is>
      </c>
      <c r="J7" s="39" t="inlineStr">
        <is>
          <t>الابتكار</t>
        </is>
      </c>
      <c r="K7" s="31" t="inlineStr">
        <is>
          <t>التحول التقني</t>
        </is>
      </c>
      <c r="L7" s="23" t="inlineStr">
        <is>
          <t>العمليات الداخلية</t>
        </is>
      </c>
      <c r="M7" s="42" t="n">
        <v>0.703</v>
      </c>
      <c r="N7" s="16">
        <f>IF($H7="","",IF($M7="","",MIN(1,IF($H7=0,IF($M7&lt;=0,1,0),IF($E7="↓",IFERROR($H7/$M7,0),IFERROR($M7/$H7,0))))))</f>
        <v/>
      </c>
      <c r="O7" s="15">
        <f>IF($N7="","⏳ بانتظار هدف",IF($N7&gt;=1,"✅ محقق",IF($N7&gt;=0.85,"🟡 قريب","🔴 تحت الهدف")))</f>
        <v/>
      </c>
    </row>
    <row r="8" ht="24" customHeight="1">
      <c r="A8" s="15" t="n">
        <v>5</v>
      </c>
      <c r="B8" s="9" t="inlineStr">
        <is>
          <t>الكفاءة التشغيلية</t>
        </is>
      </c>
      <c r="C8" s="9" t="inlineStr">
        <is>
          <t>نسبة تفعيل الأنظمة الأساسية بالمحطات</t>
        </is>
      </c>
      <c r="D8" s="35" t="inlineStr">
        <is>
          <t>%</t>
        </is>
      </c>
      <c r="E8" s="35" t="inlineStr">
        <is>
          <t>↑</t>
        </is>
      </c>
      <c r="F8" s="23" t="inlineStr">
        <is>
          <t>🏁 معلم</t>
        </is>
      </c>
      <c r="G8" s="32" t="n">
        <v>0.15</v>
      </c>
      <c r="H8" s="32" t="n">
        <v>1</v>
      </c>
      <c r="I8" s="38" t="inlineStr">
        <is>
          <t>100%</t>
        </is>
      </c>
      <c r="J8" s="39" t="inlineStr">
        <is>
          <t>الاستدامة</t>
        </is>
      </c>
      <c r="K8" s="31" t="inlineStr">
        <is>
          <t>جودة التشغيل</t>
        </is>
      </c>
      <c r="L8" s="23" t="inlineStr">
        <is>
          <t>العمليات الداخلية</t>
        </is>
      </c>
      <c r="M8" s="42" t="n">
        <v>0.33</v>
      </c>
      <c r="N8" s="16">
        <f>IF($H8="","",IF($M8="","",MIN(1,IF($H8=0,IF($M8&lt;=0,1,0),IF($E8="↓",IFERROR($H8/$M8,0),IFERROR($M8/$H8,0))))))</f>
        <v/>
      </c>
      <c r="O8" s="15">
        <f>IF($N8="","⏳ بانتظار هدف",IF($N8&gt;=1,"✅ محقق",IF($N8&gt;=0.85,"🟡 قريب","🔴 تحت الهدف")))</f>
        <v/>
      </c>
    </row>
    <row r="9" ht="24" customHeight="1">
      <c r="A9" s="15" t="n">
        <v>6</v>
      </c>
      <c r="B9" s="9" t="inlineStr">
        <is>
          <t>الكفاءة التشغيلية</t>
        </is>
      </c>
      <c r="C9" s="9" t="inlineStr">
        <is>
          <t>متوسط جاهزية أنظمة المركز الرئيسي (Uptime)</t>
        </is>
      </c>
      <c r="D9" s="35" t="inlineStr">
        <is>
          <t>%</t>
        </is>
      </c>
      <c r="E9" s="35" t="inlineStr">
        <is>
          <t>↑</t>
        </is>
      </c>
      <c r="F9" s="23" t="inlineStr">
        <is>
          <t>🔴 رئيسي</t>
        </is>
      </c>
      <c r="G9" s="32" t="n">
        <v>0.15</v>
      </c>
      <c r="H9" s="32" t="n">
        <v>0.99</v>
      </c>
      <c r="I9" s="38" t="inlineStr">
        <is>
          <t>≥ 99%</t>
        </is>
      </c>
      <c r="J9" s="39" t="inlineStr">
        <is>
          <t>الاستدامة</t>
        </is>
      </c>
      <c r="K9" s="31" t="inlineStr">
        <is>
          <t>جودة التشغيل</t>
        </is>
      </c>
      <c r="L9" s="23" t="inlineStr">
        <is>
          <t>العمليات الداخلية</t>
        </is>
      </c>
      <c r="M9" s="42" t="n">
        <v>0.9</v>
      </c>
      <c r="N9" s="16">
        <f>IF($H9="","",IF($M9="","",MIN(1,IF($H9=0,IF($M9&lt;=0,1,0),IF($E9="↓",IFERROR($H9/$M9,0),IFERROR($M9/$H9,0))))))</f>
        <v/>
      </c>
      <c r="O9" s="15">
        <f>IF($N9="","⏳ بانتظار هدف",IF($N9&gt;=1,"✅ محقق",IF($N9&gt;=0.85,"🟡 قريب","🔴 تحت الهدف")))</f>
        <v/>
      </c>
    </row>
    <row r="10" ht="24" customHeight="1">
      <c r="A10" s="15" t="n">
        <v>7</v>
      </c>
      <c r="B10" s="9" t="inlineStr">
        <is>
          <t>الكفاءة التشغيلية</t>
        </is>
      </c>
      <c r="C10" s="9" t="inlineStr">
        <is>
          <t>نسبة الامتثال للأمن السيبراني</t>
        </is>
      </c>
      <c r="D10" s="35" t="inlineStr">
        <is>
          <t>%</t>
        </is>
      </c>
      <c r="E10" s="35" t="inlineStr">
        <is>
          <t>↑</t>
        </is>
      </c>
      <c r="F10" s="23" t="inlineStr">
        <is>
          <t>🟠 مهم</t>
        </is>
      </c>
      <c r="G10" s="32" t="n">
        <v>0.1</v>
      </c>
      <c r="H10" s="32" t="n">
        <v>1</v>
      </c>
      <c r="I10" s="38" t="inlineStr">
        <is>
          <t>100%</t>
        </is>
      </c>
      <c r="J10" s="39" t="inlineStr">
        <is>
          <t>الاستدامة</t>
        </is>
      </c>
      <c r="K10" s="31" t="inlineStr">
        <is>
          <t>جودة التشغيل</t>
        </is>
      </c>
      <c r="L10" s="23" t="inlineStr">
        <is>
          <t>العمليات الداخلية</t>
        </is>
      </c>
      <c r="M10" s="42" t="n">
        <v>0.3</v>
      </c>
      <c r="N10" s="16">
        <f>IF($H10="","",IF($M10="","",MIN(1,IF($H10=0,IF($M10&lt;=0,1,0),IF($E10="↓",IFERROR($H10/$M10,0),IFERROR($M10/$H10,0))))))</f>
        <v/>
      </c>
      <c r="O10" s="15">
        <f>IF($N10="","⏳ بانتظار هدف",IF($N10&gt;=1,"✅ محقق",IF($N10&gt;=0.85,"🟡 قريب","🔴 تحت الهدف")))</f>
        <v/>
      </c>
    </row>
    <row r="11" ht="24" customHeight="1">
      <c r="A11" s="15" t="n">
        <v>8</v>
      </c>
      <c r="B11" s="9" t="inlineStr">
        <is>
          <t>الكفاءة التشغيلية</t>
        </is>
      </c>
      <c r="C11" s="9" t="inlineStr">
        <is>
          <t>متوسط زمن استجابة الدعم الفني</t>
        </is>
      </c>
      <c r="D11" s="35" t="inlineStr">
        <is>
          <t>ساعة</t>
        </is>
      </c>
      <c r="E11" s="35" t="inlineStr">
        <is>
          <t>↓</t>
        </is>
      </c>
      <c r="F11" s="23" t="inlineStr">
        <is>
          <t>🟠 مهم</t>
        </is>
      </c>
      <c r="G11" s="32" t="n">
        <v>0.1</v>
      </c>
      <c r="H11" s="43" t="n">
        <v>1</v>
      </c>
      <c r="I11" s="38" t="inlineStr">
        <is>
          <t>≤ ساعة</t>
        </is>
      </c>
      <c r="J11" s="39" t="inlineStr">
        <is>
          <t>الاستدامة</t>
        </is>
      </c>
      <c r="K11" s="31" t="inlineStr">
        <is>
          <t>جودة التشغيل</t>
        </is>
      </c>
      <c r="L11" s="23" t="inlineStr">
        <is>
          <t>العمليات الداخلية</t>
        </is>
      </c>
      <c r="M11" s="44" t="n">
        <v>0.8</v>
      </c>
      <c r="N11" s="16">
        <f>IF($H11="","",IF($M11="","",MIN(1,IF($H11=0,IF($M11&lt;=0,1,0),IF($E11="↓",IFERROR($H11/$M11,0),IFERROR($M11/$H11,0))))))</f>
        <v/>
      </c>
      <c r="O11" s="15">
        <f>IF($N11="","⏳ بانتظار هدف",IF($N11&gt;=1,"✅ محقق",IF($N11&gt;=0.85,"🟡 قريب","🔴 تحت الهدف")))</f>
        <v/>
      </c>
    </row>
    <row r="12" ht="24" customHeight="1">
      <c r="A12" s="15" t="n">
        <v>9</v>
      </c>
      <c r="B12" s="9" t="inlineStr">
        <is>
          <t>الكفاءة التشغيلية</t>
        </is>
      </c>
      <c r="C12" s="9" t="inlineStr">
        <is>
          <t>نسبة التكامل الرقمي (ERP/واثق/الولاء)</t>
        </is>
      </c>
      <c r="D12" s="35" t="inlineStr">
        <is>
          <t>%</t>
        </is>
      </c>
      <c r="E12" s="35" t="inlineStr">
        <is>
          <t>↑</t>
        </is>
      </c>
      <c r="F12" s="23" t="inlineStr">
        <is>
          <t>🟠 مهم</t>
        </is>
      </c>
      <c r="G12" s="32" t="n">
        <v>0.1</v>
      </c>
      <c r="H12" s="32" t="n">
        <v>1</v>
      </c>
      <c r="I12" s="38" t="inlineStr">
        <is>
          <t>100%</t>
        </is>
      </c>
      <c r="J12" s="39" t="inlineStr">
        <is>
          <t>الاستدامة</t>
        </is>
      </c>
      <c r="K12" s="31" t="inlineStr">
        <is>
          <t>جودة التشغيل</t>
        </is>
      </c>
      <c r="L12" s="23" t="inlineStr">
        <is>
          <t>التعلّم والنمو</t>
        </is>
      </c>
      <c r="M12" s="42" t="n">
        <v>0.2</v>
      </c>
      <c r="N12" s="16">
        <f>IF($H12="","",IF($M12="","",MIN(1,IF($H12=0,IF($M12&lt;=0,1,0),IF($E12="↓",IFERROR($H12/$M12,0),IFERROR($M12/$H12,0))))))</f>
        <v/>
      </c>
      <c r="O12" s="15">
        <f>IF($N12="","⏳ بانتظار هدف",IF($N12&gt;=1,"✅ محقق",IF($N12&gt;=0.85,"🟡 قريب","🔴 تحت الهدف")))</f>
        <v/>
      </c>
    </row>
  </sheetData>
  <autoFilter ref="A3:O12"/>
  <mergeCells count="2">
    <mergeCell ref="A1:O1"/>
    <mergeCell ref="A2:O2"/>
  </mergeCells>
  <dataValidations count="1">
    <dataValidation sqref="M4 M5 M6 M7 M8 M9 M10 M11 M12" showDropDown="0" showInputMessage="0" showErrorMessage="0" allowBlank="1" type="decimal" operator="greaterThanOrEqual">
      <formula1>0</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O20"/>
  <sheetViews>
    <sheetView showGridLines="0" rightToLeft="1" workbookViewId="0">
      <pane ySplit="3" topLeftCell="A4" activePane="bottomLeft" state="frozen"/>
      <selection pane="bottomLeft" activeCell="A1" sqref="A1"/>
    </sheetView>
  </sheetViews>
  <sheetFormatPr baseColWidth="8" defaultRowHeight="15"/>
  <cols>
    <col width="4" customWidth="1" min="1" max="1"/>
    <col width="16" customWidth="1" min="2" max="2"/>
    <col width="40" customWidth="1" min="3" max="3"/>
    <col width="9" customWidth="1" min="4" max="4"/>
    <col width="7" customWidth="1" min="5" max="5"/>
    <col width="12" customWidth="1" min="6" max="6"/>
    <col width="8" customWidth="1" min="7" max="7"/>
    <col width="12" customWidth="1" min="8" max="8"/>
    <col width="16" customWidth="1" min="9" max="9"/>
    <col width="12" customWidth="1" min="10" max="10"/>
    <col width="22" customWidth="1" min="11" max="11"/>
    <col width="15" customWidth="1" min="12" max="12"/>
    <col width="12" customWidth="1" min="13" max="13"/>
    <col width="12" customWidth="1" min="14" max="14"/>
    <col width="14" customWidth="1" min="15" max="15"/>
  </cols>
  <sheetData>
    <row r="1" ht="24" customHeight="1">
      <c r="A1" s="17" t="inlineStr">
        <is>
          <t>إدارة الموارد البشرية · مؤشرات الأداء 2026</t>
        </is>
      </c>
    </row>
    <row r="2">
      <c r="A2" s="36" t="inlineStr">
        <is>
          <t>🟩 عمود «المُحقَّق» أرقام تجريبية — استبدلها بالفعلية · نسبة التحقيق والحالة دلّات تُحسب تلقائياً</t>
        </is>
      </c>
    </row>
    <row r="3" ht="28" customHeight="1">
      <c r="A3" s="25" t="inlineStr">
        <is>
          <t>#</t>
        </is>
      </c>
      <c r="B3" s="25" t="inlineStr">
        <is>
          <t>المحور</t>
        </is>
      </c>
      <c r="C3" s="25" t="inlineStr">
        <is>
          <t>المؤشر</t>
        </is>
      </c>
      <c r="D3" s="25" t="inlineStr">
        <is>
          <t>الوحدة</t>
        </is>
      </c>
      <c r="E3" s="25" t="inlineStr">
        <is>
          <t>القطبية</t>
        </is>
      </c>
      <c r="F3" s="25" t="inlineStr">
        <is>
          <t>الأولوية</t>
        </is>
      </c>
      <c r="G3" s="25" t="inlineStr">
        <is>
          <t>الوزن %</t>
        </is>
      </c>
      <c r="H3" s="25" t="inlineStr">
        <is>
          <t>المستهدف</t>
        </is>
      </c>
      <c r="I3" s="25" t="inlineStr">
        <is>
          <t>نص المستهدف</t>
        </is>
      </c>
      <c r="J3" s="25" t="inlineStr">
        <is>
          <t>الركيزة</t>
        </is>
      </c>
      <c r="K3" s="25" t="inlineStr">
        <is>
          <t>المشروع</t>
        </is>
      </c>
      <c r="L3" s="25" t="inlineStr">
        <is>
          <t>منظور BSC</t>
        </is>
      </c>
      <c r="M3" s="25" t="inlineStr">
        <is>
          <t>المُحقَّق</t>
        </is>
      </c>
      <c r="N3" s="25" t="inlineStr">
        <is>
          <t>نسبة التحقيق</t>
        </is>
      </c>
      <c r="O3" s="25" t="inlineStr">
        <is>
          <t>الحالة</t>
        </is>
      </c>
    </row>
    <row r="4" ht="24" customHeight="1">
      <c r="A4" s="15" t="n">
        <v>1</v>
      </c>
      <c r="B4" s="9" t="inlineStr">
        <is>
          <t>التوظيف والتوطين</t>
        </is>
      </c>
      <c r="C4" s="9" t="inlineStr">
        <is>
          <t>نسبة السعودة / التوطين</t>
        </is>
      </c>
      <c r="D4" s="35" t="inlineStr">
        <is>
          <t>%</t>
        </is>
      </c>
      <c r="E4" s="35" t="inlineStr">
        <is>
          <t>↑</t>
        </is>
      </c>
      <c r="F4" s="23" t="inlineStr">
        <is>
          <t>🟠 مهم</t>
        </is>
      </c>
      <c r="G4" s="32" t="n">
        <v>0.06</v>
      </c>
      <c r="H4" s="35" t="inlineStr"/>
      <c r="I4" s="38" t="inlineStr">
        <is>
          <t>أخضر مرتفع (حسب الوزارة)</t>
        </is>
      </c>
      <c r="J4" s="39" t="inlineStr">
        <is>
          <t>الاستدامة</t>
        </is>
      </c>
      <c r="K4" s="31" t="inlineStr">
        <is>
          <t>الاستثمار في الموظفين</t>
        </is>
      </c>
      <c r="L4" s="23" t="inlineStr">
        <is>
          <t>التعلّم والنمو</t>
        </is>
      </c>
      <c r="M4" s="42" t="n"/>
      <c r="N4" s="16">
        <f>IF($H4="","",IF($M4="","",MIN(1,IF($H4=0,IF($M4&lt;=0,1,0),IF($E4="↓",IFERROR($H4/$M4,0),IFERROR($M4/$H4,0))))))</f>
        <v/>
      </c>
      <c r="O4" s="15">
        <f>IF($N4="","⏳ بانتظار هدف",IF($N4&gt;=1,"✅ محقق",IF($N4&gt;=0.85,"🟡 قريب","🔴 تحت الهدف")))</f>
        <v/>
      </c>
    </row>
    <row r="5" ht="24" customHeight="1">
      <c r="A5" s="15" t="n">
        <v>2</v>
      </c>
      <c r="B5" s="9" t="inlineStr">
        <is>
          <t>التوظيف والتوطين</t>
        </is>
      </c>
      <c r="C5" s="9" t="inlineStr">
        <is>
          <t>الارتقاء بآليات اختيار المرشحين</t>
        </is>
      </c>
      <c r="D5" s="35" t="inlineStr">
        <is>
          <t>%</t>
        </is>
      </c>
      <c r="E5" s="35" t="inlineStr">
        <is>
          <t>↑</t>
        </is>
      </c>
      <c r="F5" s="23" t="inlineStr">
        <is>
          <t>🟠 مهم</t>
        </is>
      </c>
      <c r="G5" s="32" t="n">
        <v>0.06</v>
      </c>
      <c r="H5" s="32" t="n">
        <v>1</v>
      </c>
      <c r="I5" s="38" t="inlineStr">
        <is>
          <t>100%</t>
        </is>
      </c>
      <c r="J5" s="39" t="inlineStr">
        <is>
          <t>الاستدامة</t>
        </is>
      </c>
      <c r="K5" s="31" t="inlineStr">
        <is>
          <t>الاستثمار في الموظفين</t>
        </is>
      </c>
      <c r="L5" s="23" t="inlineStr">
        <is>
          <t>العمليات الداخلية</t>
        </is>
      </c>
      <c r="M5" s="42" t="n">
        <v>0.723</v>
      </c>
      <c r="N5" s="16">
        <f>IF($H5="","",IF($M5="","",MIN(1,IF($H5=0,IF($M5&lt;=0,1,0),IF($E5="↓",IFERROR($H5/$M5,0),IFERROR($M5/$H5,0))))))</f>
        <v/>
      </c>
      <c r="O5" s="15">
        <f>IF($N5="","⏳ بانتظار هدف",IF($N5&gt;=1,"✅ محقق",IF($N5&gt;=0.85,"🟡 قريب","🔴 تحت الهدف")))</f>
        <v/>
      </c>
    </row>
    <row r="6" ht="24" customHeight="1">
      <c r="A6" s="15" t="n">
        <v>3</v>
      </c>
      <c r="B6" s="9" t="inlineStr">
        <is>
          <t>التوظيف والتوطين</t>
        </is>
      </c>
      <c r="C6" s="9" t="inlineStr">
        <is>
          <t>نسبة شغل الشواغر خلال 30 يوم</t>
        </is>
      </c>
      <c r="D6" s="35" t="inlineStr">
        <is>
          <t>%</t>
        </is>
      </c>
      <c r="E6" s="35" t="inlineStr">
        <is>
          <t>↑</t>
        </is>
      </c>
      <c r="F6" s="23" t="inlineStr">
        <is>
          <t>🟠 مهم</t>
        </is>
      </c>
      <c r="G6" s="32" t="n">
        <v>0.06</v>
      </c>
      <c r="H6" s="32" t="n">
        <v>0.85</v>
      </c>
      <c r="I6" s="38" t="inlineStr">
        <is>
          <t>≥ 85%</t>
        </is>
      </c>
      <c r="J6" s="39" t="inlineStr">
        <is>
          <t>الاستدامة</t>
        </is>
      </c>
      <c r="K6" s="31" t="inlineStr">
        <is>
          <t>الاستثمار في الموظفين</t>
        </is>
      </c>
      <c r="L6" s="23" t="inlineStr">
        <is>
          <t>العمليات الداخلية</t>
        </is>
      </c>
      <c r="M6" s="42" t="n">
        <v>0.73</v>
      </c>
      <c r="N6" s="16">
        <f>IF($H6="","",IF($M6="","",MIN(1,IF($H6=0,IF($M6&lt;=0,1,0),IF($E6="↓",IFERROR($H6/$M6,0),IFERROR($M6/$H6,0))))))</f>
        <v/>
      </c>
      <c r="O6" s="15">
        <f>IF($N6="","⏳ بانتظار هدف",IF($N6&gt;=1,"✅ محقق",IF($N6&gt;=0.85,"🟡 قريب","🔴 تحت الهدف")))</f>
        <v/>
      </c>
    </row>
    <row r="7" ht="24" customHeight="1">
      <c r="A7" s="15" t="n">
        <v>4</v>
      </c>
      <c r="B7" s="9" t="inlineStr">
        <is>
          <t>الاستبقاء</t>
        </is>
      </c>
      <c r="C7" s="9" t="inlineStr">
        <is>
          <t>معدل استبقاء الموظفين (Retention)</t>
        </is>
      </c>
      <c r="D7" s="35" t="inlineStr">
        <is>
          <t>%</t>
        </is>
      </c>
      <c r="E7" s="35" t="inlineStr">
        <is>
          <t>↑</t>
        </is>
      </c>
      <c r="F7" s="23" t="inlineStr">
        <is>
          <t>🔴 رئيسي</t>
        </is>
      </c>
      <c r="G7" s="32" t="n">
        <v>0.08</v>
      </c>
      <c r="H7" s="32" t="n">
        <v>0.9</v>
      </c>
      <c r="I7" s="38" t="inlineStr">
        <is>
          <t>≥ 90%</t>
        </is>
      </c>
      <c r="J7" s="39" t="inlineStr">
        <is>
          <t>الاستدامة</t>
        </is>
      </c>
      <c r="K7" s="31" t="inlineStr">
        <is>
          <t>الاستثمار في الموظفين</t>
        </is>
      </c>
      <c r="L7" s="23" t="inlineStr">
        <is>
          <t>التعلّم والنمو</t>
        </is>
      </c>
      <c r="M7" s="42" t="n">
        <v>0.795</v>
      </c>
      <c r="N7" s="16">
        <f>IF($H7="","",IF($M7="","",MIN(1,IF($H7=0,IF($M7&lt;=0,1,0),IF($E7="↓",IFERROR($H7/$M7,0),IFERROR($M7/$H7,0))))))</f>
        <v/>
      </c>
      <c r="O7" s="15">
        <f>IF($N7="","⏳ بانتظار هدف",IF($N7&gt;=1,"✅ محقق",IF($N7&gt;=0.85,"🟡 قريب","🔴 تحت الهدف")))</f>
        <v/>
      </c>
    </row>
    <row r="8" ht="24" customHeight="1">
      <c r="A8" s="15" t="n">
        <v>5</v>
      </c>
      <c r="B8" s="9" t="inlineStr">
        <is>
          <t>الاستبقاء</t>
        </is>
      </c>
      <c r="C8" s="9" t="inlineStr">
        <is>
          <t>معدل دوران الموظفين (Turnover)</t>
        </is>
      </c>
      <c r="D8" s="35" t="inlineStr">
        <is>
          <t>%</t>
        </is>
      </c>
      <c r="E8" s="35" t="inlineStr">
        <is>
          <t>↓</t>
        </is>
      </c>
      <c r="F8" s="23" t="inlineStr">
        <is>
          <t>🟠 مهم</t>
        </is>
      </c>
      <c r="G8" s="32" t="n">
        <v>0.06</v>
      </c>
      <c r="H8" s="32" t="n">
        <v>0.1</v>
      </c>
      <c r="I8" s="38" t="inlineStr">
        <is>
          <t>≤ 10%</t>
        </is>
      </c>
      <c r="J8" s="39" t="inlineStr">
        <is>
          <t>الاستدامة</t>
        </is>
      </c>
      <c r="K8" s="31" t="inlineStr">
        <is>
          <t>الاستثمار في الموظفين</t>
        </is>
      </c>
      <c r="L8" s="23" t="inlineStr">
        <is>
          <t>التعلّم والنمو</t>
        </is>
      </c>
      <c r="M8" s="42" t="n">
        <v>0.111</v>
      </c>
      <c r="N8" s="16">
        <f>IF($H8="","",IF($M8="","",MIN(1,IF($H8=0,IF($M8&lt;=0,1,0),IF($E8="↓",IFERROR($H8/$M8,0),IFERROR($M8/$H8,0))))))</f>
        <v/>
      </c>
      <c r="O8" s="15">
        <f>IF($N8="","⏳ بانتظار هدف",IF($N8&gt;=1,"✅ محقق",IF($N8&gt;=0.85,"🟡 قريب","🔴 تحت الهدف")))</f>
        <v/>
      </c>
    </row>
    <row r="9" ht="24" customHeight="1">
      <c r="A9" s="15" t="n">
        <v>6</v>
      </c>
      <c r="B9" s="9" t="inlineStr">
        <is>
          <t>التدريب والتطوير</t>
        </is>
      </c>
      <c r="C9" s="9" t="inlineStr">
        <is>
          <t>عدد الدورات الإدارية المنعقدة</t>
        </is>
      </c>
      <c r="D9" s="35" t="inlineStr">
        <is>
          <t>دورة</t>
        </is>
      </c>
      <c r="E9" s="35" t="inlineStr">
        <is>
          <t>↑</t>
        </is>
      </c>
      <c r="F9" s="23" t="inlineStr">
        <is>
          <t>🔴 رئيسي</t>
        </is>
      </c>
      <c r="G9" s="32" t="n">
        <v>0.08</v>
      </c>
      <c r="H9" s="37" t="n">
        <v>6</v>
      </c>
      <c r="I9" s="38" t="inlineStr">
        <is>
          <t>6 دورات</t>
        </is>
      </c>
      <c r="J9" s="39" t="inlineStr">
        <is>
          <t>الاستدامة</t>
        </is>
      </c>
      <c r="K9" s="31" t="inlineStr">
        <is>
          <t>الاستثمار في الموظفين</t>
        </is>
      </c>
      <c r="L9" s="23" t="inlineStr">
        <is>
          <t>العمليات الداخلية</t>
        </is>
      </c>
      <c r="M9" s="40" t="n">
        <v>4.53</v>
      </c>
      <c r="N9" s="16">
        <f>IF($H9="","",IF($M9="","",MIN(1,IF($H9=0,IF($M9&lt;=0,1,0),IF($E9="↓",IFERROR($H9/$M9,0),IFERROR($M9/$H9,0))))))</f>
        <v/>
      </c>
      <c r="O9" s="15">
        <f>IF($N9="","⏳ بانتظار هدف",IF($N9&gt;=1,"✅ محقق",IF($N9&gt;=0.85,"🟡 قريب","🔴 تحت الهدف")))</f>
        <v/>
      </c>
    </row>
    <row r="10" ht="24" customHeight="1">
      <c r="A10" s="15" t="n">
        <v>7</v>
      </c>
      <c r="B10" s="9" t="inlineStr">
        <is>
          <t>التدريب والتطوير</t>
        </is>
      </c>
      <c r="C10" s="9" t="inlineStr">
        <is>
          <t>متوسط ساعات التدريب لكل موظف</t>
        </is>
      </c>
      <c r="D10" s="35" t="inlineStr">
        <is>
          <t>ساعة</t>
        </is>
      </c>
      <c r="E10" s="35" t="inlineStr">
        <is>
          <t>↑</t>
        </is>
      </c>
      <c r="F10" s="23" t="inlineStr">
        <is>
          <t>🟠 مهم</t>
        </is>
      </c>
      <c r="G10" s="32" t="n">
        <v>0.06</v>
      </c>
      <c r="H10" s="43" t="n">
        <v>40</v>
      </c>
      <c r="I10" s="38" t="inlineStr">
        <is>
          <t>≥ 40 ساعة</t>
        </is>
      </c>
      <c r="J10" s="39" t="inlineStr">
        <is>
          <t>الاستدامة</t>
        </is>
      </c>
      <c r="K10" s="31" t="inlineStr">
        <is>
          <t>الاستثمار في الموظفين</t>
        </is>
      </c>
      <c r="L10" s="23" t="inlineStr">
        <is>
          <t>التعلّم والنمو</t>
        </is>
      </c>
      <c r="M10" s="44" t="n">
        <v>33.6</v>
      </c>
      <c r="N10" s="16">
        <f>IF($H10="","",IF($M10="","",MIN(1,IF($H10=0,IF($M10&lt;=0,1,0),IF($E10="↓",IFERROR($H10/$M10,0),IFERROR($M10/$H10,0))))))</f>
        <v/>
      </c>
      <c r="O10" s="15">
        <f>IF($N10="","⏳ بانتظار هدف",IF($N10&gt;=1,"✅ محقق",IF($N10&gt;=0.85,"🟡 قريب","🔴 تحت الهدف")))</f>
        <v/>
      </c>
    </row>
    <row r="11" ht="24" customHeight="1">
      <c r="A11" s="15" t="n">
        <v>8</v>
      </c>
      <c r="B11" s="9" t="inlineStr">
        <is>
          <t>التدريب والتطوير</t>
        </is>
      </c>
      <c r="C11" s="9" t="inlineStr">
        <is>
          <t>نسبة الموظفين المشمولين بخطة تطوير</t>
        </is>
      </c>
      <c r="D11" s="35" t="inlineStr">
        <is>
          <t>%</t>
        </is>
      </c>
      <c r="E11" s="35" t="inlineStr">
        <is>
          <t>↑</t>
        </is>
      </c>
      <c r="F11" s="23" t="inlineStr">
        <is>
          <t>🟠 مهم</t>
        </is>
      </c>
      <c r="G11" s="32" t="n">
        <v>0.05</v>
      </c>
      <c r="H11" s="32" t="n">
        <v>0.8</v>
      </c>
      <c r="I11" s="38" t="inlineStr">
        <is>
          <t>≥ 80%</t>
        </is>
      </c>
      <c r="J11" s="39" t="inlineStr">
        <is>
          <t>الاستدامة</t>
        </is>
      </c>
      <c r="K11" s="31" t="inlineStr">
        <is>
          <t>الاستثمار في الموظفين</t>
        </is>
      </c>
      <c r="L11" s="23" t="inlineStr">
        <is>
          <t>التعلّم والنمو</t>
        </is>
      </c>
      <c r="M11" s="42" t="n">
        <v>0.644</v>
      </c>
      <c r="N11" s="16">
        <f>IF($H11="","",IF($M11="","",MIN(1,IF($H11=0,IF($M11&lt;=0,1,0),IF($E11="↓",IFERROR($H11/$M11,0),IFERROR($M11/$H11,0))))))</f>
        <v/>
      </c>
      <c r="O11" s="15">
        <f>IF($N11="","⏳ بانتظار هدف",IF($N11&gt;=1,"✅ محقق",IF($N11&gt;=0.85,"🟡 قريب","🔴 تحت الهدف")))</f>
        <v/>
      </c>
    </row>
    <row r="12" ht="24" customHeight="1">
      <c r="A12" s="15" t="n">
        <v>9</v>
      </c>
      <c r="B12" s="9" t="inlineStr">
        <is>
          <t>الرضا والثقافة</t>
        </is>
      </c>
      <c r="C12" s="9" t="inlineStr">
        <is>
          <t>مؤشر رضا الموظفين (eNPS)</t>
        </is>
      </c>
      <c r="D12" s="35" t="inlineStr">
        <is>
          <t>نقطة</t>
        </is>
      </c>
      <c r="E12" s="35" t="inlineStr">
        <is>
          <t>↑</t>
        </is>
      </c>
      <c r="F12" s="23" t="inlineStr">
        <is>
          <t>🔴 رئيسي</t>
        </is>
      </c>
      <c r="G12" s="32" t="n">
        <v>0.08</v>
      </c>
      <c r="H12" s="43" t="n">
        <v>30</v>
      </c>
      <c r="I12" s="38" t="inlineStr">
        <is>
          <t>≥ 30</t>
        </is>
      </c>
      <c r="J12" s="39" t="inlineStr">
        <is>
          <t>الاستدامة</t>
        </is>
      </c>
      <c r="K12" s="31" t="inlineStr">
        <is>
          <t>الاستثمار في الموظفين</t>
        </is>
      </c>
      <c r="L12" s="23" t="inlineStr">
        <is>
          <t>التعلّم والنمو</t>
        </is>
      </c>
      <c r="M12" s="44" t="n">
        <v>27.5</v>
      </c>
      <c r="N12" s="16">
        <f>IF($H12="","",IF($M12="","",MIN(1,IF($H12=0,IF($M12&lt;=0,1,0),IF($E12="↓",IFERROR($H12/$M12,0),IFERROR($M12/$H12,0))))))</f>
        <v/>
      </c>
      <c r="O12" s="15">
        <f>IF($N12="","⏳ بانتظار هدف",IF($N12&gt;=1,"✅ محقق",IF($N12&gt;=0.85,"🟡 قريب","🔴 تحت الهدف")))</f>
        <v/>
      </c>
    </row>
    <row r="13" ht="24" customHeight="1">
      <c r="A13" s="15" t="n">
        <v>10</v>
      </c>
      <c r="B13" s="9" t="inlineStr">
        <is>
          <t>الرضا والثقافة</t>
        </is>
      </c>
      <c r="C13" s="9" t="inlineStr">
        <is>
          <t>تحسين مستوى الرضا الوظيفي</t>
        </is>
      </c>
      <c r="D13" s="35" t="inlineStr">
        <is>
          <t>%</t>
        </is>
      </c>
      <c r="E13" s="35" t="inlineStr">
        <is>
          <t>↑</t>
        </is>
      </c>
      <c r="F13" s="23" t="inlineStr">
        <is>
          <t>🔴 رئيسي</t>
        </is>
      </c>
      <c r="G13" s="32" t="n">
        <v>0.08</v>
      </c>
      <c r="H13" s="35" t="inlineStr"/>
      <c r="I13" s="38" t="inlineStr">
        <is>
          <t>مستهدف سنوي</t>
        </is>
      </c>
      <c r="J13" s="39" t="inlineStr">
        <is>
          <t>الاستدامة</t>
        </is>
      </c>
      <c r="K13" s="31" t="inlineStr">
        <is>
          <t>الاستثمار في الموظفين</t>
        </is>
      </c>
      <c r="L13" s="23" t="inlineStr">
        <is>
          <t>العملاء</t>
        </is>
      </c>
      <c r="M13" s="42" t="n"/>
      <c r="N13" s="16">
        <f>IF($H13="","",IF($M13="","",MIN(1,IF($H13=0,IF($M13&lt;=0,1,0),IF($E13="↓",IFERROR($H13/$M13,0),IFERROR($M13/$H13,0))))))</f>
        <v/>
      </c>
      <c r="O13" s="15">
        <f>IF($N13="","⏳ بانتظار هدف",IF($N13&gt;=1,"✅ محقق",IF($N13&gt;=0.85,"🟡 قريب","🔴 تحت الهدف")))</f>
        <v/>
      </c>
    </row>
    <row r="14" ht="24" customHeight="1">
      <c r="A14" s="15" t="n">
        <v>11</v>
      </c>
      <c r="B14" s="9" t="inlineStr">
        <is>
          <t>الرضا والثقافة</t>
        </is>
      </c>
      <c r="C14" s="9" t="inlineStr">
        <is>
          <t>ترسيخ القيم والثقافة المؤسسية</t>
        </is>
      </c>
      <c r="D14" s="35" t="inlineStr">
        <is>
          <t>%</t>
        </is>
      </c>
      <c r="E14" s="35" t="inlineStr">
        <is>
          <t>↑</t>
        </is>
      </c>
      <c r="F14" s="23" t="inlineStr">
        <is>
          <t>🏁 معلم</t>
        </is>
      </c>
      <c r="G14" s="32" t="n">
        <v>0.05</v>
      </c>
      <c r="H14" s="32" t="n">
        <v>1</v>
      </c>
      <c r="I14" s="38" t="inlineStr">
        <is>
          <t>100%</t>
        </is>
      </c>
      <c r="J14" s="39" t="inlineStr">
        <is>
          <t>الاستدامة</t>
        </is>
      </c>
      <c r="K14" s="31" t="inlineStr">
        <is>
          <t>الاستثمار في الموظفين</t>
        </is>
      </c>
      <c r="L14" s="23" t="inlineStr">
        <is>
          <t>العمليات الداخلية</t>
        </is>
      </c>
      <c r="M14" s="42" t="n">
        <v>0.742</v>
      </c>
      <c r="N14" s="16">
        <f>IF($H14="","",IF($M14="","",MIN(1,IF($H14=0,IF($M14&lt;=0,1,0),IF($E14="↓",IFERROR($H14/$M14,0),IFERROR($M14/$H14,0))))))</f>
        <v/>
      </c>
      <c r="O14" s="15">
        <f>IF($N14="","⏳ بانتظار هدف",IF($N14&gt;=1,"✅ محقق",IF($N14&gt;=0.85,"🟡 قريب","🔴 تحت الهدف")))</f>
        <v/>
      </c>
    </row>
    <row r="15" ht="24" customHeight="1">
      <c r="A15" s="15" t="n">
        <v>12</v>
      </c>
      <c r="B15" s="9" t="inlineStr">
        <is>
          <t>الأتمتة والتوثيق</t>
        </is>
      </c>
      <c r="C15" s="9" t="inlineStr">
        <is>
          <t>نسبة أتمتة عمليات الموارد البشرية</t>
        </is>
      </c>
      <c r="D15" s="35" t="inlineStr">
        <is>
          <t>%</t>
        </is>
      </c>
      <c r="E15" s="35" t="inlineStr">
        <is>
          <t>↑</t>
        </is>
      </c>
      <c r="F15" s="23" t="inlineStr">
        <is>
          <t>🏁 معلم</t>
        </is>
      </c>
      <c r="G15" s="32" t="n">
        <v>0.05</v>
      </c>
      <c r="H15" s="32" t="n">
        <v>1</v>
      </c>
      <c r="I15" s="38" t="inlineStr">
        <is>
          <t>100%</t>
        </is>
      </c>
      <c r="J15" s="39" t="inlineStr">
        <is>
          <t>الابتكار</t>
        </is>
      </c>
      <c r="K15" s="31" t="inlineStr">
        <is>
          <t>التحول التقني</t>
        </is>
      </c>
      <c r="L15" s="23" t="inlineStr">
        <is>
          <t>التعلّم والنمو</t>
        </is>
      </c>
      <c r="M15" s="42" t="n">
        <v>0.84</v>
      </c>
      <c r="N15" s="16">
        <f>IF($H15="","",IF($M15="","",MIN(1,IF($H15=0,IF($M15&lt;=0,1,0),IF($E15="↓",IFERROR($H15/$M15,0),IFERROR($M15/$H15,0))))))</f>
        <v/>
      </c>
      <c r="O15" s="15">
        <f>IF($N15="","⏳ بانتظار هدف",IF($N15&gt;=1,"✅ محقق",IF($N15&gt;=0.85,"🟡 قريب","🔴 تحت الهدف")))</f>
        <v/>
      </c>
    </row>
    <row r="16" ht="24" customHeight="1">
      <c r="A16" s="15" t="n">
        <v>13</v>
      </c>
      <c r="B16" s="9" t="inlineStr">
        <is>
          <t>الأتمتة والتوثيق</t>
        </is>
      </c>
      <c r="C16" s="9" t="inlineStr">
        <is>
          <t>نسبة توثيق أنظمة العمل</t>
        </is>
      </c>
      <c r="D16" s="35" t="inlineStr">
        <is>
          <t>%</t>
        </is>
      </c>
      <c r="E16" s="35" t="inlineStr">
        <is>
          <t>↑</t>
        </is>
      </c>
      <c r="F16" s="23" t="inlineStr">
        <is>
          <t>🟡 متابعة</t>
        </is>
      </c>
      <c r="G16" s="32" t="n">
        <v>0.03</v>
      </c>
      <c r="H16" s="32" t="n">
        <v>0.8</v>
      </c>
      <c r="I16" s="38" t="inlineStr">
        <is>
          <t>≥ 80%</t>
        </is>
      </c>
      <c r="J16" s="39" t="inlineStr">
        <is>
          <t>الاستدامة</t>
        </is>
      </c>
      <c r="K16" s="31" t="inlineStr">
        <is>
          <t>جودة التشغيل</t>
        </is>
      </c>
      <c r="L16" s="23" t="inlineStr">
        <is>
          <t>العمليات الداخلية</t>
        </is>
      </c>
      <c r="M16" s="42" t="n">
        <v>0.775</v>
      </c>
      <c r="N16" s="16">
        <f>IF($H16="","",IF($M16="","",MIN(1,IF($H16=0,IF($M16&lt;=0,1,0),IF($E16="↓",IFERROR($H16/$M16,0),IFERROR($M16/$H16,0))))))</f>
        <v/>
      </c>
      <c r="O16" s="15">
        <f>IF($N16="","⏳ بانتظار هدف",IF($N16&gt;=1,"✅ محقق",IF($N16&gt;=0.85,"🟡 قريب","🔴 تحت الهدف")))</f>
        <v/>
      </c>
    </row>
    <row r="17" ht="24" customHeight="1">
      <c r="A17" s="15" t="n">
        <v>14</v>
      </c>
      <c r="B17" s="9" t="inlineStr">
        <is>
          <t>الأتمتة والتوثيق</t>
        </is>
      </c>
      <c r="C17" s="9" t="inlineStr">
        <is>
          <t>ترسيخ الأنظمة الإدارية</t>
        </is>
      </c>
      <c r="D17" s="35" t="inlineStr">
        <is>
          <t>%</t>
        </is>
      </c>
      <c r="E17" s="35" t="inlineStr">
        <is>
          <t>↑</t>
        </is>
      </c>
      <c r="F17" s="23" t="inlineStr">
        <is>
          <t>🟠 مهم</t>
        </is>
      </c>
      <c r="G17" s="32" t="n">
        <v>0.05</v>
      </c>
      <c r="H17" s="32" t="n">
        <v>0.8</v>
      </c>
      <c r="I17" s="38" t="inlineStr">
        <is>
          <t>≥ 80%</t>
        </is>
      </c>
      <c r="J17" s="39" t="inlineStr">
        <is>
          <t>الاستدامة</t>
        </is>
      </c>
      <c r="K17" s="31" t="inlineStr">
        <is>
          <t>جودة التشغيل</t>
        </is>
      </c>
      <c r="L17" s="23" t="inlineStr">
        <is>
          <t>العمليات الداخلية</t>
        </is>
      </c>
      <c r="M17" s="42" t="n">
        <v>0.671</v>
      </c>
      <c r="N17" s="16">
        <f>IF($H17="","",IF($M17="","",MIN(1,IF($H17=0,IF($M17&lt;=0,1,0),IF($E17="↓",IFERROR($H17/$M17,0),IFERROR($M17/$H17,0))))))</f>
        <v/>
      </c>
      <c r="O17" s="15">
        <f>IF($N17="","⏳ بانتظار هدف",IF($N17&gt;=1,"✅ محقق",IF($N17&gt;=0.85,"🟡 قريب","🔴 تحت الهدف")))</f>
        <v/>
      </c>
    </row>
    <row r="18" ht="24" customHeight="1">
      <c r="A18" s="15" t="n">
        <v>15</v>
      </c>
      <c r="B18" s="9" t="inlineStr">
        <is>
          <t>الهيكلة</t>
        </is>
      </c>
      <c r="C18" s="9" t="inlineStr">
        <is>
          <t>اعتماد الهيكل التنظيمي</t>
        </is>
      </c>
      <c r="D18" s="35" t="inlineStr">
        <is>
          <t>%</t>
        </is>
      </c>
      <c r="E18" s="35" t="inlineStr">
        <is>
          <t>↑</t>
        </is>
      </c>
      <c r="F18" s="23" t="inlineStr">
        <is>
          <t>🏁 معلم</t>
        </is>
      </c>
      <c r="G18" s="32" t="n">
        <v>0.05</v>
      </c>
      <c r="H18" s="32" t="n">
        <v>1</v>
      </c>
      <c r="I18" s="38" t="inlineStr">
        <is>
          <t>100%</t>
        </is>
      </c>
      <c r="J18" s="39" t="inlineStr">
        <is>
          <t>الاستدامة</t>
        </is>
      </c>
      <c r="K18" s="31" t="inlineStr">
        <is>
          <t>جودة التشغيل</t>
        </is>
      </c>
      <c r="L18" s="23" t="inlineStr">
        <is>
          <t>العمليات الداخلية</t>
        </is>
      </c>
      <c r="M18" s="42" t="n">
        <v>0.984</v>
      </c>
      <c r="N18" s="16">
        <f>IF($H18="","",IF($M18="","",MIN(1,IF($H18=0,IF($M18&lt;=0,1,0),IF($E18="↓",IFERROR($H18/$M18,0),IFERROR($M18/$H18,0))))))</f>
        <v/>
      </c>
      <c r="O18" s="15">
        <f>IF($N18="","⏳ بانتظار هدف",IF($N18&gt;=1,"✅ محقق",IF($N18&gt;=0.85,"🟡 قريب","🔴 تحت الهدف")))</f>
        <v/>
      </c>
    </row>
    <row r="19" ht="24" customHeight="1">
      <c r="A19" s="15" t="n">
        <v>16</v>
      </c>
      <c r="B19" s="9" t="inlineStr">
        <is>
          <t>الهيكلة</t>
        </is>
      </c>
      <c r="C19" s="9" t="inlineStr">
        <is>
          <t>اكتمال الأوصاف الوظيفية (+KPI)</t>
        </is>
      </c>
      <c r="D19" s="35" t="inlineStr">
        <is>
          <t>%</t>
        </is>
      </c>
      <c r="E19" s="35" t="inlineStr">
        <is>
          <t>↑</t>
        </is>
      </c>
      <c r="F19" s="23" t="inlineStr">
        <is>
          <t>🏁 معلم</t>
        </is>
      </c>
      <c r="G19" s="32" t="n">
        <v>0.05</v>
      </c>
      <c r="H19" s="32" t="n">
        <v>1</v>
      </c>
      <c r="I19" s="38" t="inlineStr">
        <is>
          <t>100%</t>
        </is>
      </c>
      <c r="J19" s="39" t="inlineStr">
        <is>
          <t>الاستدامة</t>
        </is>
      </c>
      <c r="K19" s="31" t="inlineStr">
        <is>
          <t>جودة التشغيل</t>
        </is>
      </c>
      <c r="L19" s="23" t="inlineStr">
        <is>
          <t>العمليات الداخلية</t>
        </is>
      </c>
      <c r="M19" s="42" t="n">
        <v>0.926</v>
      </c>
      <c r="N19" s="16">
        <f>IF($H19="","",IF($M19="","",MIN(1,IF($H19=0,IF($M19&lt;=0,1,0),IF($E19="↓",IFERROR($H19/$M19,0),IFERROR($M19/$H19,0))))))</f>
        <v/>
      </c>
      <c r="O19" s="15">
        <f>IF($N19="","⏳ بانتظار هدف",IF($N19&gt;=1,"✅ محقق",IF($N19&gt;=0.85,"🟡 قريب","🔴 تحت الهدف")))</f>
        <v/>
      </c>
    </row>
    <row r="20" ht="24" customHeight="1">
      <c r="A20" s="15" t="n">
        <v>17</v>
      </c>
      <c r="B20" s="9" t="inlineStr">
        <is>
          <t>الأداء</t>
        </is>
      </c>
      <c r="C20" s="9" t="inlineStr">
        <is>
          <t>نسبة إنجاز تقييمات الأداء في موعدها</t>
        </is>
      </c>
      <c r="D20" s="35" t="inlineStr">
        <is>
          <t>%</t>
        </is>
      </c>
      <c r="E20" s="35" t="inlineStr">
        <is>
          <t>↑</t>
        </is>
      </c>
      <c r="F20" s="23" t="inlineStr">
        <is>
          <t>🟠 مهم</t>
        </is>
      </c>
      <c r="G20" s="32" t="n">
        <v>0.05</v>
      </c>
      <c r="H20" s="32" t="n">
        <v>1</v>
      </c>
      <c r="I20" s="38" t="inlineStr">
        <is>
          <t>100%</t>
        </is>
      </c>
      <c r="J20" s="39" t="inlineStr">
        <is>
          <t>الاستدامة</t>
        </is>
      </c>
      <c r="K20" s="31" t="inlineStr">
        <is>
          <t>الاستثمار في الموظفين</t>
        </is>
      </c>
      <c r="L20" s="23" t="inlineStr">
        <is>
          <t>العمليات الداخلية</t>
        </is>
      </c>
      <c r="M20" s="42" t="n">
        <v>0.8080000000000001</v>
      </c>
      <c r="N20" s="16">
        <f>IF($H20="","",IF($M20="","",MIN(1,IF($H20=0,IF($M20&lt;=0,1,0),IF($E20="↓",IFERROR($H20/$M20,0),IFERROR($M20/$H20,0))))))</f>
        <v/>
      </c>
      <c r="O20" s="15">
        <f>IF($N20="","⏳ بانتظار هدف",IF($N20&gt;=1,"✅ محقق",IF($N20&gt;=0.85,"🟡 قريب","🔴 تحت الهدف")))</f>
        <v/>
      </c>
    </row>
  </sheetData>
  <autoFilter ref="A3:O20"/>
  <mergeCells count="2">
    <mergeCell ref="A1:O1"/>
    <mergeCell ref="A2:O2"/>
  </mergeCells>
  <dataValidations count="1">
    <dataValidation sqref="M4 M5 M6 M7 M8 M9 M10 M11 M12 M13 M14 M15 M16 M17 M18 M19 M20" showDropDown="0" showInputMessage="0" showErrorMessage="0" allowBlank="1" type="decimal" operator="greaterThanOrEqual">
      <formula1>0</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18"/>
  <sheetViews>
    <sheetView showGridLines="0" rightToLeft="1" workbookViewId="0">
      <pane ySplit="3" topLeftCell="A4" activePane="bottomLeft" state="frozen"/>
      <selection pane="bottomLeft" activeCell="A1" sqref="A1"/>
    </sheetView>
  </sheetViews>
  <sheetFormatPr baseColWidth="8" defaultRowHeight="15"/>
  <cols>
    <col width="4" customWidth="1" min="1" max="1"/>
    <col width="16" customWidth="1" min="2" max="2"/>
    <col width="40" customWidth="1" min="3" max="3"/>
    <col width="9" customWidth="1" min="4" max="4"/>
    <col width="7" customWidth="1" min="5" max="5"/>
    <col width="12" customWidth="1" min="6" max="6"/>
    <col width="8" customWidth="1" min="7" max="7"/>
    <col width="12" customWidth="1" min="8" max="8"/>
    <col width="16" customWidth="1" min="9" max="9"/>
    <col width="12" customWidth="1" min="10" max="10"/>
    <col width="22" customWidth="1" min="11" max="11"/>
    <col width="15" customWidth="1" min="12" max="12"/>
    <col width="12" customWidth="1" min="13" max="13"/>
    <col width="12" customWidth="1" min="14" max="14"/>
    <col width="14" customWidth="1" min="15" max="15"/>
  </cols>
  <sheetData>
    <row r="1" ht="24" customHeight="1">
      <c r="A1" s="17" t="inlineStr">
        <is>
          <t>إدارة التسويق · مؤشرات الأداء 2026</t>
        </is>
      </c>
    </row>
    <row r="2">
      <c r="A2" s="36" t="inlineStr">
        <is>
          <t>🟩 عمود «المُحقَّق» أرقام تجريبية — استبدلها بالفعلية · نسبة التحقيق والحالة دلّات تُحسب تلقائياً</t>
        </is>
      </c>
    </row>
    <row r="3" ht="28" customHeight="1">
      <c r="A3" s="25" t="inlineStr">
        <is>
          <t>#</t>
        </is>
      </c>
      <c r="B3" s="25" t="inlineStr">
        <is>
          <t>المحور</t>
        </is>
      </c>
      <c r="C3" s="25" t="inlineStr">
        <is>
          <t>المؤشر</t>
        </is>
      </c>
      <c r="D3" s="25" t="inlineStr">
        <is>
          <t>الوحدة</t>
        </is>
      </c>
      <c r="E3" s="25" t="inlineStr">
        <is>
          <t>القطبية</t>
        </is>
      </c>
      <c r="F3" s="25" t="inlineStr">
        <is>
          <t>الأولوية</t>
        </is>
      </c>
      <c r="G3" s="25" t="inlineStr">
        <is>
          <t>الوزن %</t>
        </is>
      </c>
      <c r="H3" s="25" t="inlineStr">
        <is>
          <t>المستهدف</t>
        </is>
      </c>
      <c r="I3" s="25" t="inlineStr">
        <is>
          <t>نص المستهدف</t>
        </is>
      </c>
      <c r="J3" s="25" t="inlineStr">
        <is>
          <t>الركيزة</t>
        </is>
      </c>
      <c r="K3" s="25" t="inlineStr">
        <is>
          <t>المشروع</t>
        </is>
      </c>
      <c r="L3" s="25" t="inlineStr">
        <is>
          <t>منظور BSC</t>
        </is>
      </c>
      <c r="M3" s="25" t="inlineStr">
        <is>
          <t>المُحقَّق</t>
        </is>
      </c>
      <c r="N3" s="25" t="inlineStr">
        <is>
          <t>نسبة التحقيق</t>
        </is>
      </c>
      <c r="O3" s="25" t="inlineStr">
        <is>
          <t>الحالة</t>
        </is>
      </c>
    </row>
    <row r="4" ht="24" customHeight="1">
      <c r="A4" s="15" t="n">
        <v>1</v>
      </c>
      <c r="B4" s="9" t="inlineStr">
        <is>
          <t>الإدارة العامة</t>
        </is>
      </c>
      <c r="C4" s="9" t="inlineStr">
        <is>
          <t>الوصول الكلي (Total Reach)</t>
        </is>
      </c>
      <c r="D4" s="35" t="inlineStr">
        <is>
          <t>وصول</t>
        </is>
      </c>
      <c r="E4" s="35" t="inlineStr">
        <is>
          <t>↑</t>
        </is>
      </c>
      <c r="F4" s="23" t="inlineStr">
        <is>
          <t>🔴 رئيسي</t>
        </is>
      </c>
      <c r="G4" s="32" t="n">
        <v>0.08</v>
      </c>
      <c r="H4" s="37" t="n">
        <v>50000000</v>
      </c>
      <c r="I4" s="38" t="inlineStr">
        <is>
          <t>50م وصول</t>
        </is>
      </c>
      <c r="J4" s="39" t="inlineStr">
        <is>
          <t>النمو</t>
        </is>
      </c>
      <c r="K4" s="31" t="inlineStr">
        <is>
          <t>زيادة وصول العملاء</t>
        </is>
      </c>
      <c r="L4" s="23" t="inlineStr">
        <is>
          <t>العملاء</t>
        </is>
      </c>
      <c r="M4" s="40" t="n">
        <v>5000000</v>
      </c>
      <c r="N4" s="16">
        <f>IF($H4="","",IF($M4="","",MIN(1,IF($H4=0,IF($M4&lt;=0,1,0),IF($E4="↓",IFERROR($H4/$M4,0),IFERROR($M4/$H4,0))))))</f>
        <v/>
      </c>
      <c r="O4" s="15">
        <f>IF($N4="","⏳ بانتظار هدف",IF($N4&gt;=1,"✅ محقق",IF($N4&gt;=0.85,"🟡 قريب","🔴 تحت الهدف")))</f>
        <v/>
      </c>
    </row>
    <row r="5" ht="24" customHeight="1">
      <c r="A5" s="15" t="n">
        <v>2</v>
      </c>
      <c r="B5" s="9" t="inlineStr">
        <is>
          <t>الإدارة العامة</t>
        </is>
      </c>
      <c r="C5" s="9" t="inlineStr">
        <is>
          <t>عملاء تجاريون جدد</t>
        </is>
      </c>
      <c r="D5" s="35" t="inlineStr">
        <is>
          <t>عميل</t>
        </is>
      </c>
      <c r="E5" s="35" t="inlineStr">
        <is>
          <t>↑</t>
        </is>
      </c>
      <c r="F5" s="23" t="inlineStr">
        <is>
          <t>🟠 مهم</t>
        </is>
      </c>
      <c r="G5" s="32" t="n">
        <v>0.06</v>
      </c>
      <c r="H5" s="37" t="n">
        <v>200</v>
      </c>
      <c r="I5" s="38" t="inlineStr">
        <is>
          <t>200 عميل</t>
        </is>
      </c>
      <c r="J5" s="39" t="inlineStr">
        <is>
          <t>النمو</t>
        </is>
      </c>
      <c r="K5" s="31" t="inlineStr">
        <is>
          <t>زيادة وصول العملاء</t>
        </is>
      </c>
      <c r="L5" s="23" t="inlineStr">
        <is>
          <t>العملاء</t>
        </is>
      </c>
      <c r="M5" s="40" t="n">
        <v>1</v>
      </c>
      <c r="N5" s="16">
        <f>IF($H5="","",IF($M5="","",MIN(1,IF($H5=0,IF($M5&lt;=0,1,0),IF($E5="↓",IFERROR($H5/$M5,0),IFERROR($M5/$H5,0))))))</f>
        <v/>
      </c>
      <c r="O5" s="15">
        <f>IF($N5="","⏳ بانتظار هدف",IF($N5&gt;=1,"✅ محقق",IF($N5&gt;=0.85,"🟡 قريب","🔴 تحت الهدف")))</f>
        <v/>
      </c>
    </row>
    <row r="6" ht="24" customHeight="1">
      <c r="A6" s="15" t="n">
        <v>3</v>
      </c>
      <c r="B6" s="9" t="inlineStr">
        <is>
          <t>الفريق الإبداعي</t>
        </is>
      </c>
      <c r="C6" s="9" t="inlineStr">
        <is>
          <t>إجمالي المتابعين (كل المنصات)</t>
        </is>
      </c>
      <c r="D6" s="35" t="inlineStr">
        <is>
          <t>متابع</t>
        </is>
      </c>
      <c r="E6" s="35" t="inlineStr">
        <is>
          <t>↑</t>
        </is>
      </c>
      <c r="F6" s="23" t="inlineStr">
        <is>
          <t>🔴 رئيسي</t>
        </is>
      </c>
      <c r="G6" s="32" t="n">
        <v>0.08</v>
      </c>
      <c r="H6" s="37" t="n">
        <v>380000</v>
      </c>
      <c r="I6" s="38" t="inlineStr">
        <is>
          <t>380ك متابع</t>
        </is>
      </c>
      <c r="J6" s="39" t="inlineStr">
        <is>
          <t>النمو</t>
        </is>
      </c>
      <c r="K6" s="31" t="inlineStr">
        <is>
          <t>زيادة وصول العملاء</t>
        </is>
      </c>
      <c r="L6" s="23" t="inlineStr">
        <is>
          <t>العمليات الداخلية</t>
        </is>
      </c>
      <c r="M6" s="40" t="n">
        <v>253000</v>
      </c>
      <c r="N6" s="16">
        <f>IF($H6="","",IF($M6="","",MIN(1,IF($H6=0,IF($M6&lt;=0,1,0),IF($E6="↓",IFERROR($H6/$M6,0),IFERROR($M6/$H6,0))))))</f>
        <v/>
      </c>
      <c r="O6" s="15">
        <f>IF($N6="","⏳ بانتظار هدف",IF($N6&gt;=1,"✅ محقق",IF($N6&gt;=0.85,"🟡 قريب","🔴 تحت الهدف")))</f>
        <v/>
      </c>
    </row>
    <row r="7" ht="24" customHeight="1">
      <c r="A7" s="15" t="n">
        <v>4</v>
      </c>
      <c r="B7" s="9" t="inlineStr">
        <is>
          <t>الفريق الإبداعي</t>
        </is>
      </c>
      <c r="C7" s="9" t="inlineStr">
        <is>
          <t>معدل التفاعل (Engagement)</t>
        </is>
      </c>
      <c r="D7" s="35" t="inlineStr">
        <is>
          <t>%</t>
        </is>
      </c>
      <c r="E7" s="35" t="inlineStr">
        <is>
          <t>↑</t>
        </is>
      </c>
      <c r="F7" s="23" t="inlineStr">
        <is>
          <t>🔴 رئيسي</t>
        </is>
      </c>
      <c r="G7" s="32" t="n">
        <v>0.08</v>
      </c>
      <c r="H7" s="32" t="n">
        <v>0.5</v>
      </c>
      <c r="I7" s="38" t="inlineStr">
        <is>
          <t>50%</t>
        </is>
      </c>
      <c r="J7" s="39" t="inlineStr">
        <is>
          <t>النمو</t>
        </is>
      </c>
      <c r="K7" s="31" t="inlineStr">
        <is>
          <t>زيادة وصول العملاء</t>
        </is>
      </c>
      <c r="L7" s="23" t="inlineStr">
        <is>
          <t>العمليات الداخلية</t>
        </is>
      </c>
      <c r="M7" s="42" t="n">
        <v>0</v>
      </c>
      <c r="N7" s="16">
        <f>IF($H7="","",IF($M7="","",MIN(1,IF($H7=0,IF($M7&lt;=0,1,0),IF($E7="↓",IFERROR($H7/$M7,0),IFERROR($M7/$H7,0))))))</f>
        <v/>
      </c>
      <c r="O7" s="15">
        <f>IF($N7="","⏳ بانتظار هدف",IF($N7&gt;=1,"✅ محقق",IF($N7&gt;=0.85,"🟡 قريب","🔴 تحت الهدف")))</f>
        <v/>
      </c>
    </row>
    <row r="8" ht="24" customHeight="1">
      <c r="A8" s="15" t="n">
        <v>5</v>
      </c>
      <c r="B8" s="9" t="inlineStr">
        <is>
          <t>الحملات التسويقية</t>
        </is>
      </c>
      <c r="C8" s="9" t="inlineStr">
        <is>
          <t>حملات تسويقية منجزة</t>
        </is>
      </c>
      <c r="D8" s="35" t="inlineStr">
        <is>
          <t>حملة</t>
        </is>
      </c>
      <c r="E8" s="35" t="inlineStr">
        <is>
          <t>↑</t>
        </is>
      </c>
      <c r="F8" s="23" t="inlineStr">
        <is>
          <t>🟠 مهم</t>
        </is>
      </c>
      <c r="G8" s="32" t="n">
        <v>0.06</v>
      </c>
      <c r="H8" s="37" t="n">
        <v>48</v>
      </c>
      <c r="I8" s="38" t="inlineStr">
        <is>
          <t>48 حملة</t>
        </is>
      </c>
      <c r="J8" s="39" t="inlineStr">
        <is>
          <t>النمو</t>
        </is>
      </c>
      <c r="K8" s="31" t="inlineStr">
        <is>
          <t>زيادة وصول العملاء</t>
        </is>
      </c>
      <c r="L8" s="23" t="inlineStr">
        <is>
          <t>العمليات الداخلية</t>
        </is>
      </c>
      <c r="M8" s="40" t="n">
        <v>11</v>
      </c>
      <c r="N8" s="16">
        <f>IF($H8="","",IF($M8="","",MIN(1,IF($H8=0,IF($M8&lt;=0,1,0),IF($E8="↓",IFERROR($H8/$M8,0),IFERROR($M8/$H8,0))))))</f>
        <v/>
      </c>
      <c r="O8" s="15">
        <f>IF($N8="","⏳ بانتظار هدف",IF($N8&gt;=1,"✅ محقق",IF($N8&gt;=0.85,"🟡 قريب","🔴 تحت الهدف")))</f>
        <v/>
      </c>
    </row>
    <row r="9" ht="24" customHeight="1">
      <c r="A9" s="15" t="n">
        <v>6</v>
      </c>
      <c r="B9" s="9" t="inlineStr">
        <is>
          <t>الحملات التسويقية</t>
        </is>
      </c>
      <c r="C9" s="9" t="inlineStr">
        <is>
          <t>تحويل الفرص إلى عقود</t>
        </is>
      </c>
      <c r="D9" s="35" t="inlineStr">
        <is>
          <t>%</t>
        </is>
      </c>
      <c r="E9" s="35" t="inlineStr">
        <is>
          <t>↑</t>
        </is>
      </c>
      <c r="F9" s="23" t="inlineStr">
        <is>
          <t>🔴 رئيسي</t>
        </is>
      </c>
      <c r="G9" s="32" t="n">
        <v>0.08</v>
      </c>
      <c r="H9" s="32" t="n">
        <v>0.25</v>
      </c>
      <c r="I9" s="38" t="inlineStr">
        <is>
          <t>25%</t>
        </is>
      </c>
      <c r="J9" s="39" t="inlineStr">
        <is>
          <t>النمو</t>
        </is>
      </c>
      <c r="K9" s="31" t="inlineStr">
        <is>
          <t>زيادة وصول العملاء</t>
        </is>
      </c>
      <c r="L9" s="23" t="inlineStr">
        <is>
          <t>العمليات الداخلية</t>
        </is>
      </c>
      <c r="M9" s="42" t="n">
        <v>0.17</v>
      </c>
      <c r="N9" s="16">
        <f>IF($H9="","",IF($M9="","",MIN(1,IF($H9=0,IF($M9&lt;=0,1,0),IF($E9="↓",IFERROR($H9/$M9,0),IFERROR($M9/$H9,0))))))</f>
        <v/>
      </c>
      <c r="O9" s="15">
        <f>IF($N9="","⏳ بانتظار هدف",IF($N9&gt;=1,"✅ محقق",IF($N9&gt;=0.85,"🟡 قريب","🔴 تحت الهدف")))</f>
        <v/>
      </c>
    </row>
    <row r="10" ht="24" customHeight="1">
      <c r="A10" s="15" t="n">
        <v>7</v>
      </c>
      <c r="B10" s="9" t="inlineStr">
        <is>
          <t>الحملات التسويقية</t>
        </is>
      </c>
      <c r="C10" s="9" t="inlineStr">
        <is>
          <t>نسبة المبيعات لكل حملة</t>
        </is>
      </c>
      <c r="D10" s="35" t="inlineStr">
        <is>
          <t>%</t>
        </is>
      </c>
      <c r="E10" s="35" t="inlineStr">
        <is>
          <t>↑</t>
        </is>
      </c>
      <c r="F10" s="23" t="inlineStr">
        <is>
          <t>🔴 رئيسي</t>
        </is>
      </c>
      <c r="G10" s="32" t="n">
        <v>0.08</v>
      </c>
      <c r="H10" s="32" t="n">
        <v>1</v>
      </c>
      <c r="I10" s="38" t="inlineStr">
        <is>
          <t>100%</t>
        </is>
      </c>
      <c r="J10" s="39" t="inlineStr">
        <is>
          <t>النمو</t>
        </is>
      </c>
      <c r="K10" s="31" t="inlineStr">
        <is>
          <t>زيادة وصول العملاء</t>
        </is>
      </c>
      <c r="L10" s="23" t="inlineStr">
        <is>
          <t>مالي</t>
        </is>
      </c>
      <c r="M10" s="42" t="n">
        <v>0.16</v>
      </c>
      <c r="N10" s="16">
        <f>IF($H10="","",IF($M10="","",MIN(1,IF($H10=0,IF($M10&lt;=0,1,0),IF($E10="↓",IFERROR($H10/$M10,0),IFERROR($M10/$H10,0))))))</f>
        <v/>
      </c>
      <c r="O10" s="15">
        <f>IF($N10="","⏳ بانتظار هدف",IF($N10&gt;=1,"✅ محقق",IF($N10&gt;=0.85,"🟡 قريب","🔴 تحت الهدف")))</f>
        <v/>
      </c>
    </row>
    <row r="11" ht="24" customHeight="1">
      <c r="A11" s="15" t="n">
        <v>8</v>
      </c>
      <c r="B11" s="9" t="inlineStr">
        <is>
          <t>الدعاية والإعلان</t>
        </is>
      </c>
      <c r="C11" s="9" t="inlineStr">
        <is>
          <t>نسبة التزام الهوية البصرية</t>
        </is>
      </c>
      <c r="D11" s="35" t="inlineStr">
        <is>
          <t>%</t>
        </is>
      </c>
      <c r="E11" s="35" t="inlineStr">
        <is>
          <t>↑</t>
        </is>
      </c>
      <c r="F11" s="23" t="inlineStr">
        <is>
          <t>🔴 رئيسي</t>
        </is>
      </c>
      <c r="G11" s="32" t="n">
        <v>0.08</v>
      </c>
      <c r="H11" s="32" t="n">
        <v>1</v>
      </c>
      <c r="I11" s="38" t="inlineStr">
        <is>
          <t>100%</t>
        </is>
      </c>
      <c r="J11" s="39" t="inlineStr">
        <is>
          <t>الابتكار</t>
        </is>
      </c>
      <c r="K11" s="31" t="inlineStr">
        <is>
          <t>تطوير التصاميم والهوية</t>
        </is>
      </c>
      <c r="L11" s="23" t="inlineStr">
        <is>
          <t>التعلّم والنمو</t>
        </is>
      </c>
      <c r="M11" s="42" t="n">
        <v>0.1</v>
      </c>
      <c r="N11" s="16">
        <f>IF($H11="","",IF($M11="","",MIN(1,IF($H11=0,IF($M11&lt;=0,1,0),IF($E11="↓",IFERROR($H11/$M11,0),IFERROR($M11/$H11,0))))))</f>
        <v/>
      </c>
      <c r="O11" s="15">
        <f>IF($N11="","⏳ بانتظار هدف",IF($N11&gt;=1,"✅ محقق",IF($N11&gt;=0.85,"🟡 قريب","🔴 تحت الهدف")))</f>
        <v/>
      </c>
    </row>
    <row r="12" ht="24" customHeight="1">
      <c r="A12" s="15" t="n">
        <v>9</v>
      </c>
      <c r="B12" s="9" t="inlineStr">
        <is>
          <t>العلاقات والشراكات</t>
        </is>
      </c>
      <c r="C12" s="9" t="inlineStr">
        <is>
          <t>وصول العلاقات العامة (PR)</t>
        </is>
      </c>
      <c r="D12" s="35" t="inlineStr">
        <is>
          <t>وصول</t>
        </is>
      </c>
      <c r="E12" s="35" t="inlineStr">
        <is>
          <t>↑</t>
        </is>
      </c>
      <c r="F12" s="23" t="inlineStr">
        <is>
          <t>🟠 مهم</t>
        </is>
      </c>
      <c r="G12" s="32" t="n">
        <v>0.06</v>
      </c>
      <c r="H12" s="37" t="n">
        <v>7000000</v>
      </c>
      <c r="I12" s="38" t="inlineStr">
        <is>
          <t>7م وصول</t>
        </is>
      </c>
      <c r="J12" s="39" t="inlineStr">
        <is>
          <t>النمو</t>
        </is>
      </c>
      <c r="K12" s="31" t="inlineStr">
        <is>
          <t>زيادة وصول العملاء</t>
        </is>
      </c>
      <c r="L12" s="23" t="inlineStr">
        <is>
          <t>العملاء</t>
        </is>
      </c>
      <c r="M12" s="40" t="n">
        <v>1500000</v>
      </c>
      <c r="N12" s="16">
        <f>IF($H12="","",IF($M12="","",MIN(1,IF($H12=0,IF($M12&lt;=0,1,0),IF($E12="↓",IFERROR($H12/$M12,0),IFERROR($M12/$H12,0))))))</f>
        <v/>
      </c>
      <c r="O12" s="15">
        <f>IF($N12="","⏳ بانتظار هدف",IF($N12&gt;=1,"✅ محقق",IF($N12&gt;=0.85,"🟡 قريب","🔴 تحت الهدف")))</f>
        <v/>
      </c>
    </row>
    <row r="13" ht="24" customHeight="1">
      <c r="A13" s="15" t="n">
        <v>10</v>
      </c>
      <c r="B13" s="9" t="inlineStr">
        <is>
          <t>العلاقات والشراكات</t>
        </is>
      </c>
      <c r="C13" s="9" t="inlineStr">
        <is>
          <t>عدد المعارض بالسنة</t>
        </is>
      </c>
      <c r="D13" s="35" t="inlineStr">
        <is>
          <t>معرض</t>
        </is>
      </c>
      <c r="E13" s="35" t="inlineStr">
        <is>
          <t>↑</t>
        </is>
      </c>
      <c r="F13" s="23" t="inlineStr">
        <is>
          <t>🟠 مهم</t>
        </is>
      </c>
      <c r="G13" s="32" t="n">
        <v>0.06</v>
      </c>
      <c r="H13" s="37" t="n">
        <v>3</v>
      </c>
      <c r="I13" s="38" t="inlineStr">
        <is>
          <t>3 معارض</t>
        </is>
      </c>
      <c r="J13" s="39" t="inlineStr">
        <is>
          <t>الابتكار</t>
        </is>
      </c>
      <c r="K13" s="31" t="inlineStr">
        <is>
          <t>إطلاق مشاريع جديدة</t>
        </is>
      </c>
      <c r="L13" s="23" t="inlineStr">
        <is>
          <t>العمليات الداخلية</t>
        </is>
      </c>
      <c r="M13" s="40" t="n">
        <v>0</v>
      </c>
      <c r="N13" s="16">
        <f>IF($H13="","",IF($M13="","",MIN(1,IF($H13=0,IF($M13&lt;=0,1,0),IF($E13="↓",IFERROR($H13/$M13,0),IFERROR($M13/$H13,0))))))</f>
        <v/>
      </c>
      <c r="O13" s="15">
        <f>IF($N13="","⏳ بانتظار هدف",IF($N13&gt;=1,"✅ محقق",IF($N13&gt;=0.85,"🟡 قريب","🔴 تحت الهدف")))</f>
        <v/>
      </c>
    </row>
    <row r="14" ht="24" customHeight="1">
      <c r="A14" s="15" t="n">
        <v>11</v>
      </c>
      <c r="B14" s="9" t="inlineStr">
        <is>
          <t>العلاقات والشراكات</t>
        </is>
      </c>
      <c r="C14" s="9" t="inlineStr">
        <is>
          <t>اتفاقيات استراتيجية</t>
        </is>
      </c>
      <c r="D14" s="35" t="inlineStr">
        <is>
          <t>اتفاقية</t>
        </is>
      </c>
      <c r="E14" s="35" t="inlineStr">
        <is>
          <t>↑</t>
        </is>
      </c>
      <c r="F14" s="23" t="inlineStr">
        <is>
          <t>🟠 مهم</t>
        </is>
      </c>
      <c r="G14" s="32" t="n">
        <v>0.06</v>
      </c>
      <c r="H14" s="37" t="n">
        <v>3</v>
      </c>
      <c r="I14" s="38" t="inlineStr">
        <is>
          <t>3 اتفاقيات</t>
        </is>
      </c>
      <c r="J14" s="39" t="inlineStr">
        <is>
          <t>الابتكار</t>
        </is>
      </c>
      <c r="K14" s="31" t="inlineStr">
        <is>
          <t>إطلاق مشاريع جديدة</t>
        </is>
      </c>
      <c r="L14" s="23" t="inlineStr">
        <is>
          <t>العمليات الداخلية</t>
        </is>
      </c>
      <c r="M14" s="40" t="n">
        <v>0</v>
      </c>
      <c r="N14" s="16">
        <f>IF($H14="","",IF($M14="","",MIN(1,IF($H14=0,IF($M14&lt;=0,1,0),IF($E14="↓",IFERROR($H14/$M14,0),IFERROR($M14/$H14,0))))))</f>
        <v/>
      </c>
      <c r="O14" s="15">
        <f>IF($N14="","⏳ بانتظار هدف",IF($N14&gt;=1,"✅ محقق",IF($N14&gt;=0.85,"🟡 قريب","🔴 تحت الهدف")))</f>
        <v/>
      </c>
    </row>
    <row r="15" ht="24" customHeight="1">
      <c r="A15" s="15" t="n">
        <v>12</v>
      </c>
      <c r="B15" s="9" t="inlineStr">
        <is>
          <t>خدمة العملاء والدعم</t>
        </is>
      </c>
      <c r="C15" s="9" t="inlineStr">
        <is>
          <t>تقييم خرائط قوقل</t>
        </is>
      </c>
      <c r="D15" s="35" t="inlineStr">
        <is>
          <t>نجمة/5</t>
        </is>
      </c>
      <c r="E15" s="35" t="inlineStr">
        <is>
          <t>↑</t>
        </is>
      </c>
      <c r="F15" s="23" t="inlineStr">
        <is>
          <t>🟠 مهم</t>
        </is>
      </c>
      <c r="G15" s="32" t="n">
        <v>0.06</v>
      </c>
      <c r="H15" s="43" t="n">
        <v>4.7</v>
      </c>
      <c r="I15" s="38" t="inlineStr">
        <is>
          <t>4.7 ⭐</t>
        </is>
      </c>
      <c r="J15" s="39" t="inlineStr">
        <is>
          <t>الاستدامة</t>
        </is>
      </c>
      <c r="K15" s="31" t="inlineStr">
        <is>
          <t>تعزيز تجربة العملاء</t>
        </is>
      </c>
      <c r="L15" s="23" t="inlineStr">
        <is>
          <t>العملاء</t>
        </is>
      </c>
      <c r="M15" s="44" t="n">
        <v>4</v>
      </c>
      <c r="N15" s="16">
        <f>IF($H15="","",IF($M15="","",MIN(1,IF($H15=0,IF($M15&lt;=0,1,0),IF($E15="↓",IFERROR($H15/$M15,0),IFERROR($M15/$H15,0))))))</f>
        <v/>
      </c>
      <c r="O15" s="15">
        <f>IF($N15="","⏳ بانتظار هدف",IF($N15&gt;=1,"✅ محقق",IF($N15&gt;=0.85,"🟡 قريب","🔴 تحت الهدف")))</f>
        <v/>
      </c>
    </row>
    <row r="16" ht="24" customHeight="1">
      <c r="A16" s="15" t="n">
        <v>13</v>
      </c>
      <c r="B16" s="9" t="inlineStr">
        <is>
          <t>خدمة العملاء والدعم</t>
        </is>
      </c>
      <c r="C16" s="9" t="inlineStr">
        <is>
          <t>معدل خفض الشكاوى</t>
        </is>
      </c>
      <c r="D16" s="35" t="inlineStr">
        <is>
          <t>%</t>
        </is>
      </c>
      <c r="E16" s="35" t="inlineStr">
        <is>
          <t>↑</t>
        </is>
      </c>
      <c r="F16" s="23" t="inlineStr">
        <is>
          <t>🟠 مهم</t>
        </is>
      </c>
      <c r="G16" s="32" t="n">
        <v>0.06</v>
      </c>
      <c r="H16" s="32" t="n">
        <v>0.3</v>
      </c>
      <c r="I16" s="38" t="inlineStr">
        <is>
          <t>30%</t>
        </is>
      </c>
      <c r="J16" s="39" t="inlineStr">
        <is>
          <t>الاستدامة</t>
        </is>
      </c>
      <c r="K16" s="31" t="inlineStr">
        <is>
          <t>تعزيز تجربة العملاء</t>
        </is>
      </c>
      <c r="L16" s="23" t="inlineStr">
        <is>
          <t>العملاء</t>
        </is>
      </c>
      <c r="M16" s="42" t="n">
        <v>0.21</v>
      </c>
      <c r="N16" s="16">
        <f>IF($H16="","",IF($M16="","",MIN(1,IF($H16=0,IF($M16&lt;=0,1,0),IF($E16="↓",IFERROR($H16/$M16,0),IFERROR($M16/$H16,0))))))</f>
        <v/>
      </c>
      <c r="O16" s="15">
        <f>IF($N16="","⏳ بانتظار هدف",IF($N16&gt;=1,"✅ محقق",IF($N16&gt;=0.85,"🟡 قريب","🔴 تحت الهدف")))</f>
        <v/>
      </c>
    </row>
    <row r="17" ht="24" customHeight="1">
      <c r="A17" s="15" t="n">
        <v>14</v>
      </c>
      <c r="B17" s="9" t="inlineStr">
        <is>
          <t>تطبيق تانكي</t>
        </is>
      </c>
      <c r="C17" s="9" t="inlineStr">
        <is>
          <t>وصول محتوى تطبيق تانكي</t>
        </is>
      </c>
      <c r="D17" s="35" t="inlineStr">
        <is>
          <t>وصول</t>
        </is>
      </c>
      <c r="E17" s="35" t="inlineStr">
        <is>
          <t>↑</t>
        </is>
      </c>
      <c r="F17" s="23" t="inlineStr">
        <is>
          <t>🟠 مهم</t>
        </is>
      </c>
      <c r="G17" s="32" t="n">
        <v>0.05</v>
      </c>
      <c r="H17" s="37" t="n">
        <v>1000000</v>
      </c>
      <c r="I17" s="38" t="inlineStr">
        <is>
          <t>1م وصول</t>
        </is>
      </c>
      <c r="J17" s="39" t="inlineStr">
        <is>
          <t>الابتكار</t>
        </is>
      </c>
      <c r="K17" s="31" t="inlineStr">
        <is>
          <t>تطبيق «تانكي»</t>
        </is>
      </c>
      <c r="L17" s="23" t="inlineStr">
        <is>
          <t>العملاء</t>
        </is>
      </c>
      <c r="M17" s="40" t="n">
        <v>946380</v>
      </c>
      <c r="N17" s="16">
        <f>IF($H17="","",IF($M17="","",MIN(1,IF($H17=0,IF($M17&lt;=0,1,0),IF($E17="↓",IFERROR($H17/$M17,0),IFERROR($M17/$H17,0))))))</f>
        <v/>
      </c>
      <c r="O17" s="15">
        <f>IF($N17="","⏳ بانتظار هدف",IF($N17&gt;=1,"✅ محقق",IF($N17&gt;=0.85,"🟡 قريب","🔴 تحت الهدف")))</f>
        <v/>
      </c>
    </row>
    <row r="18" ht="24" customHeight="1">
      <c r="A18" s="15" t="n">
        <v>15</v>
      </c>
      <c r="B18" s="9" t="inlineStr">
        <is>
          <t>تطبيق تانكي</t>
        </is>
      </c>
      <c r="C18" s="9" t="inlineStr">
        <is>
          <t>مشاركات تطبيق تانكي</t>
        </is>
      </c>
      <c r="D18" s="35" t="inlineStr">
        <is>
          <t>مشاركة</t>
        </is>
      </c>
      <c r="E18" s="35" t="inlineStr">
        <is>
          <t>↑</t>
        </is>
      </c>
      <c r="F18" s="23" t="inlineStr">
        <is>
          <t>🟠 مهم</t>
        </is>
      </c>
      <c r="G18" s="32" t="n">
        <v>0.05</v>
      </c>
      <c r="H18" s="37" t="n">
        <v>250</v>
      </c>
      <c r="I18" s="38" t="inlineStr">
        <is>
          <t>250 مشاركة</t>
        </is>
      </c>
      <c r="J18" s="39" t="inlineStr">
        <is>
          <t>الابتكار</t>
        </is>
      </c>
      <c r="K18" s="31" t="inlineStr">
        <is>
          <t>تطبيق «تانكي»</t>
        </is>
      </c>
      <c r="L18" s="23" t="inlineStr">
        <is>
          <t>العمليات الداخلية</t>
        </is>
      </c>
      <c r="M18" s="40" t="n">
        <v>180.7</v>
      </c>
      <c r="N18" s="16">
        <f>IF($H18="","",IF($M18="","",MIN(1,IF($H18=0,IF($M18&lt;=0,1,0),IF($E18="↓",IFERROR($H18/$M18,0),IFERROR($M18/$H18,0))))))</f>
        <v/>
      </c>
      <c r="O18" s="15">
        <f>IF($N18="","⏳ بانتظار هدف",IF($N18&gt;=1,"✅ محقق",IF($N18&gt;=0.85,"🟡 قريب","🔴 تحت الهدف")))</f>
        <v/>
      </c>
    </row>
  </sheetData>
  <autoFilter ref="A3:O18"/>
  <mergeCells count="2">
    <mergeCell ref="A1:O1"/>
    <mergeCell ref="A2:O2"/>
  </mergeCells>
  <dataValidations count="1">
    <dataValidation sqref="M4 M5 M6 M7 M8 M9 M10 M11 M12 M13 M14 M15 M16 M17 M18" showDropDown="0" showInputMessage="0" showErrorMessage="0" allowBlank="1" type="decimal" operator="greaterThanOrEqual">
      <formula1>0</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O17"/>
  <sheetViews>
    <sheetView showGridLines="0" rightToLeft="1" workbookViewId="0">
      <pane ySplit="3" topLeftCell="A4" activePane="bottomLeft" state="frozen"/>
      <selection pane="bottomLeft" activeCell="A1" sqref="A1"/>
    </sheetView>
  </sheetViews>
  <sheetFormatPr baseColWidth="8" defaultRowHeight="15"/>
  <cols>
    <col width="4" customWidth="1" min="1" max="1"/>
    <col width="16" customWidth="1" min="2" max="2"/>
    <col width="40" customWidth="1" min="3" max="3"/>
    <col width="9" customWidth="1" min="4" max="4"/>
    <col width="7" customWidth="1" min="5" max="5"/>
    <col width="12" customWidth="1" min="6" max="6"/>
    <col width="8" customWidth="1" min="7" max="7"/>
    <col width="12" customWidth="1" min="8" max="8"/>
    <col width="16" customWidth="1" min="9" max="9"/>
    <col width="12" customWidth="1" min="10" max="10"/>
    <col width="22" customWidth="1" min="11" max="11"/>
    <col width="15" customWidth="1" min="12" max="12"/>
    <col width="12" customWidth="1" min="13" max="13"/>
    <col width="12" customWidth="1" min="14" max="14"/>
    <col width="14" customWidth="1" min="15" max="15"/>
  </cols>
  <sheetData>
    <row r="1" ht="24" customHeight="1">
      <c r="A1" s="17" t="inlineStr">
        <is>
          <t>إدارة الجودة · مؤشرات الأداء 2026</t>
        </is>
      </c>
    </row>
    <row r="2">
      <c r="A2" s="36" t="inlineStr">
        <is>
          <t>🟩 عمود «المُحقَّق» أرقام تجريبية — استبدلها بالفعلية · نسبة التحقيق والحالة دلّات تُحسب تلقائياً</t>
        </is>
      </c>
    </row>
    <row r="3" ht="28" customHeight="1">
      <c r="A3" s="25" t="inlineStr">
        <is>
          <t>#</t>
        </is>
      </c>
      <c r="B3" s="25" t="inlineStr">
        <is>
          <t>المحور</t>
        </is>
      </c>
      <c r="C3" s="25" t="inlineStr">
        <is>
          <t>المؤشر</t>
        </is>
      </c>
      <c r="D3" s="25" t="inlineStr">
        <is>
          <t>الوحدة</t>
        </is>
      </c>
      <c r="E3" s="25" t="inlineStr">
        <is>
          <t>القطبية</t>
        </is>
      </c>
      <c r="F3" s="25" t="inlineStr">
        <is>
          <t>الأولوية</t>
        </is>
      </c>
      <c r="G3" s="25" t="inlineStr">
        <is>
          <t>الوزن %</t>
        </is>
      </c>
      <c r="H3" s="25" t="inlineStr">
        <is>
          <t>المستهدف</t>
        </is>
      </c>
      <c r="I3" s="25" t="inlineStr">
        <is>
          <t>نص المستهدف</t>
        </is>
      </c>
      <c r="J3" s="25" t="inlineStr">
        <is>
          <t>الركيزة</t>
        </is>
      </c>
      <c r="K3" s="25" t="inlineStr">
        <is>
          <t>المشروع</t>
        </is>
      </c>
      <c r="L3" s="25" t="inlineStr">
        <is>
          <t>منظور BSC</t>
        </is>
      </c>
      <c r="M3" s="25" t="inlineStr">
        <is>
          <t>المُحقَّق</t>
        </is>
      </c>
      <c r="N3" s="25" t="inlineStr">
        <is>
          <t>نسبة التحقيق</t>
        </is>
      </c>
      <c r="O3" s="25" t="inlineStr">
        <is>
          <t>الحالة</t>
        </is>
      </c>
    </row>
    <row r="4" ht="24" customHeight="1">
      <c r="A4" s="15" t="n">
        <v>1</v>
      </c>
      <c r="B4" s="9" t="inlineStr">
        <is>
          <t>مخاطر الجودة</t>
        </is>
      </c>
      <c r="C4" s="9" t="inlineStr">
        <is>
          <t>نسبة المحطات الحرجة</t>
        </is>
      </c>
      <c r="D4" s="35" t="inlineStr">
        <is>
          <t>%</t>
        </is>
      </c>
      <c r="E4" s="35" t="inlineStr">
        <is>
          <t>↓</t>
        </is>
      </c>
      <c r="F4" s="23" t="inlineStr">
        <is>
          <t>🔴 رئيسي</t>
        </is>
      </c>
      <c r="G4" s="32" t="n">
        <v>0.1</v>
      </c>
      <c r="H4" s="32" t="n">
        <v>0.05</v>
      </c>
      <c r="I4" s="38" t="inlineStr">
        <is>
          <t>&lt; 5%</t>
        </is>
      </c>
      <c r="J4" s="39" t="inlineStr">
        <is>
          <t>الاستدامة</t>
        </is>
      </c>
      <c r="K4" s="31" t="inlineStr">
        <is>
          <t>جودة التشغيل</t>
        </is>
      </c>
      <c r="L4" s="23" t="inlineStr">
        <is>
          <t>العمليات الداخلية</t>
        </is>
      </c>
      <c r="M4" s="42" t="n">
        <v>0.054</v>
      </c>
      <c r="N4" s="16">
        <f>IF($H4="","",IF($M4="","",MIN(1,IF($H4=0,IF($M4&lt;=0,1,0),IF($E4="↓",IFERROR($H4/$M4,0),IFERROR($M4/$H4,0))))))</f>
        <v/>
      </c>
      <c r="O4" s="15">
        <f>IF($N4="","⏳ بانتظار هدف",IF($N4&gt;=1,"✅ محقق",IF($N4&gt;=0.85,"🟡 قريب","🔴 تحت الهدف")))</f>
        <v/>
      </c>
    </row>
    <row r="5" ht="24" customHeight="1">
      <c r="A5" s="15" t="n">
        <v>2</v>
      </c>
      <c r="B5" s="9" t="inlineStr">
        <is>
          <t>جودة الوقود</t>
        </is>
      </c>
      <c r="C5" s="9" t="inlineStr">
        <is>
          <t>نسبة مطابقة جودة الوقود</t>
        </is>
      </c>
      <c r="D5" s="35" t="inlineStr">
        <is>
          <t>%</t>
        </is>
      </c>
      <c r="E5" s="35" t="inlineStr">
        <is>
          <t>↑</t>
        </is>
      </c>
      <c r="F5" s="23" t="inlineStr">
        <is>
          <t>🟠 مهم</t>
        </is>
      </c>
      <c r="G5" s="32" t="n">
        <v>0.07000000000000001</v>
      </c>
      <c r="H5" s="32" t="n">
        <v>0.995</v>
      </c>
      <c r="I5" s="38" t="inlineStr">
        <is>
          <t>99.5%</t>
        </is>
      </c>
      <c r="J5" s="39" t="inlineStr">
        <is>
          <t>الاستدامة</t>
        </is>
      </c>
      <c r="K5" s="31" t="inlineStr">
        <is>
          <t>جودة التشغيل</t>
        </is>
      </c>
      <c r="L5" s="23" t="inlineStr">
        <is>
          <t>العمليات الداخلية</t>
        </is>
      </c>
      <c r="M5" s="42" t="n">
        <v>0.804</v>
      </c>
      <c r="N5" s="16">
        <f>IF($H5="","",IF($M5="","",MIN(1,IF($H5=0,IF($M5&lt;=0,1,0),IF($E5="↓",IFERROR($H5/$M5,0),IFERROR($M5/$H5,0))))))</f>
        <v/>
      </c>
      <c r="O5" s="15">
        <f>IF($N5="","⏳ بانتظار هدف",IF($N5&gt;=1,"✅ محقق",IF($N5&gt;=0.85,"🟡 قريب","🔴 تحت الهدف")))</f>
        <v/>
      </c>
    </row>
    <row r="6" ht="24" customHeight="1">
      <c r="A6" s="15" t="n">
        <v>3</v>
      </c>
      <c r="B6" s="9" t="inlineStr">
        <is>
          <t>معالجة وتصحيح</t>
        </is>
      </c>
      <c r="C6" s="9" t="inlineStr">
        <is>
          <t>نسبة إغلاق الملاحظات في الوقت المحدد</t>
        </is>
      </c>
      <c r="D6" s="35" t="inlineStr">
        <is>
          <t>%</t>
        </is>
      </c>
      <c r="E6" s="35" t="inlineStr">
        <is>
          <t>↑</t>
        </is>
      </c>
      <c r="F6" s="23" t="inlineStr">
        <is>
          <t>🟠 مهم</t>
        </is>
      </c>
      <c r="G6" s="32" t="n">
        <v>0.07000000000000001</v>
      </c>
      <c r="H6" s="32" t="n">
        <v>0.9</v>
      </c>
      <c r="I6" s="38" t="inlineStr">
        <is>
          <t>≥ 90%</t>
        </is>
      </c>
      <c r="J6" s="39" t="inlineStr">
        <is>
          <t>الاستدامة</t>
        </is>
      </c>
      <c r="K6" s="31" t="inlineStr">
        <is>
          <t>جودة التشغيل</t>
        </is>
      </c>
      <c r="L6" s="23" t="inlineStr">
        <is>
          <t>العمليات الداخلية</t>
        </is>
      </c>
      <c r="M6" s="42" t="n">
        <v>0.6870000000000001</v>
      </c>
      <c r="N6" s="16">
        <f>IF($H6="","",IF($M6="","",MIN(1,IF($H6=0,IF($M6&lt;=0,1,0),IF($E6="↓",IFERROR($H6/$M6,0),IFERROR($M6/$H6,0))))))</f>
        <v/>
      </c>
      <c r="O6" s="15">
        <f>IF($N6="","⏳ بانتظار هدف",IF($N6&gt;=1,"✅ محقق",IF($N6&gt;=0.85,"🟡 قريب","🔴 تحت الهدف")))</f>
        <v/>
      </c>
    </row>
    <row r="7" ht="24" customHeight="1">
      <c r="A7" s="15" t="n">
        <v>4</v>
      </c>
      <c r="B7" s="9" t="inlineStr">
        <is>
          <t>تحسين ووقاية</t>
        </is>
      </c>
      <c r="C7" s="9" t="inlineStr">
        <is>
          <t>نسبة فعالية الإجراءات التصحيحية</t>
        </is>
      </c>
      <c r="D7" s="35" t="inlineStr">
        <is>
          <t>%</t>
        </is>
      </c>
      <c r="E7" s="35" t="inlineStr">
        <is>
          <t>↑</t>
        </is>
      </c>
      <c r="F7" s="23" t="inlineStr">
        <is>
          <t>🟠 مهم</t>
        </is>
      </c>
      <c r="G7" s="32" t="n">
        <v>0.07000000000000001</v>
      </c>
      <c r="H7" s="32" t="n">
        <v>0.85</v>
      </c>
      <c r="I7" s="38" t="inlineStr">
        <is>
          <t>≥ 85%</t>
        </is>
      </c>
      <c r="J7" s="39" t="inlineStr">
        <is>
          <t>الاستدامة</t>
        </is>
      </c>
      <c r="K7" s="31" t="inlineStr">
        <is>
          <t>جودة التشغيل</t>
        </is>
      </c>
      <c r="L7" s="23" t="inlineStr">
        <is>
          <t>العمليات الداخلية</t>
        </is>
      </c>
      <c r="M7" s="42" t="n">
        <v>0.648</v>
      </c>
      <c r="N7" s="16">
        <f>IF($H7="","",IF($M7="","",MIN(1,IF($H7=0,IF($M7&lt;=0,1,0),IF($E7="↓",IFERROR($H7/$M7,0),IFERROR($M7/$H7,0))))))</f>
        <v/>
      </c>
      <c r="O7" s="15">
        <f>IF($N7="","⏳ بانتظار هدف",IF($N7&gt;=1,"✅ محقق",IF($N7&gt;=0.85,"🟡 قريب","🔴 تحت الهدف")))</f>
        <v/>
      </c>
    </row>
    <row r="8" ht="24" customHeight="1">
      <c r="A8" s="15" t="n">
        <v>5</v>
      </c>
      <c r="B8" s="9" t="inlineStr">
        <is>
          <t>منع التكرار</t>
        </is>
      </c>
      <c r="C8" s="9" t="inlineStr">
        <is>
          <t>نسبة تكرار الملاحظات</t>
        </is>
      </c>
      <c r="D8" s="35" t="inlineStr">
        <is>
          <t>%</t>
        </is>
      </c>
      <c r="E8" s="35" t="inlineStr">
        <is>
          <t>↓</t>
        </is>
      </c>
      <c r="F8" s="23" t="inlineStr">
        <is>
          <t>🟠 مهم</t>
        </is>
      </c>
      <c r="G8" s="32" t="n">
        <v>0.07000000000000001</v>
      </c>
      <c r="H8" s="32" t="n">
        <v>0.1</v>
      </c>
      <c r="I8" s="38" t="inlineStr">
        <is>
          <t>&lt; 10%</t>
        </is>
      </c>
      <c r="J8" s="39" t="inlineStr">
        <is>
          <t>الاستدامة</t>
        </is>
      </c>
      <c r="K8" s="31" t="inlineStr">
        <is>
          <t>جودة التشغيل</t>
        </is>
      </c>
      <c r="L8" s="23" t="inlineStr">
        <is>
          <t>العمليات الداخلية</t>
        </is>
      </c>
      <c r="M8" s="42" t="n">
        <v>0.114</v>
      </c>
      <c r="N8" s="16">
        <f>IF($H8="","",IF($M8="","",MIN(1,IF($H8=0,IF($M8&lt;=0,1,0),IF($E8="↓",IFERROR($H8/$M8,0),IFERROR($M8/$H8,0))))))</f>
        <v/>
      </c>
      <c r="O8" s="15">
        <f>IF($N8="","⏳ بانتظار هدف",IF($N8&gt;=1,"✅ محقق",IF($N8&gt;=0.85,"🟡 قريب","🔴 تحت الهدف")))</f>
        <v/>
      </c>
    </row>
    <row r="9" ht="24" customHeight="1">
      <c r="A9" s="15" t="n">
        <v>6</v>
      </c>
      <c r="B9" s="9" t="inlineStr">
        <is>
          <t>تفتيش وتدقيق</t>
        </is>
      </c>
      <c r="C9" s="9" t="inlineStr">
        <is>
          <t>نسبة تنفيذ خطة التفتيش والتدقيق</t>
        </is>
      </c>
      <c r="D9" s="35" t="inlineStr">
        <is>
          <t>%</t>
        </is>
      </c>
      <c r="E9" s="35" t="inlineStr">
        <is>
          <t>↑</t>
        </is>
      </c>
      <c r="F9" s="23" t="inlineStr">
        <is>
          <t>🟠 مهم</t>
        </is>
      </c>
      <c r="G9" s="32" t="n">
        <v>0.07000000000000001</v>
      </c>
      <c r="H9" s="32" t="n">
        <v>0.95</v>
      </c>
      <c r="I9" s="38" t="inlineStr">
        <is>
          <t>≥ 95%</t>
        </is>
      </c>
      <c r="J9" s="39" t="inlineStr">
        <is>
          <t>الاستدامة</t>
        </is>
      </c>
      <c r="K9" s="31" t="inlineStr">
        <is>
          <t>جودة التشغيل</t>
        </is>
      </c>
      <c r="L9" s="23" t="inlineStr">
        <is>
          <t>العمليات الداخلية</t>
        </is>
      </c>
      <c r="M9" s="42" t="n">
        <v>0.728</v>
      </c>
      <c r="N9" s="16">
        <f>IF($H9="","",IF($M9="","",MIN(1,IF($H9=0,IF($M9&lt;=0,1,0),IF($E9="↓",IFERROR($H9/$M9,0),IFERROR($M9/$H9,0))))))</f>
        <v/>
      </c>
      <c r="O9" s="15">
        <f>IF($N9="","⏳ بانتظار هدف",IF($N9&gt;=1,"✅ محقق",IF($N9&gt;=0.85,"🟡 قريب","🔴 تحت الهدف")))</f>
        <v/>
      </c>
    </row>
    <row r="10" ht="24" customHeight="1">
      <c r="A10" s="15" t="n">
        <v>7</v>
      </c>
      <c r="B10" s="9" t="inlineStr">
        <is>
          <t>حوكمة الجودة</t>
        </is>
      </c>
      <c r="C10" s="9" t="inlineStr">
        <is>
          <t>نسبة جاهزية نظام إدارة الجودة QMS</t>
        </is>
      </c>
      <c r="D10" s="35" t="inlineStr">
        <is>
          <t>%</t>
        </is>
      </c>
      <c r="E10" s="35" t="inlineStr">
        <is>
          <t>↑</t>
        </is>
      </c>
      <c r="F10" s="23" t="inlineStr">
        <is>
          <t>🔴 رئيسي</t>
        </is>
      </c>
      <c r="G10" s="32" t="n">
        <v>0.1</v>
      </c>
      <c r="H10" s="32" t="n">
        <v>0.9</v>
      </c>
      <c r="I10" s="38" t="inlineStr">
        <is>
          <t>80% ← 90%</t>
        </is>
      </c>
      <c r="J10" s="39" t="inlineStr">
        <is>
          <t>الاستدامة</t>
        </is>
      </c>
      <c r="K10" s="31" t="inlineStr">
        <is>
          <t>جودة التشغيل</t>
        </is>
      </c>
      <c r="L10" s="23" t="inlineStr">
        <is>
          <t>العمليات الداخلية</t>
        </is>
      </c>
      <c r="M10" s="42" t="n">
        <v>0.754</v>
      </c>
      <c r="N10" s="16">
        <f>IF($H10="","",IF($M10="","",MIN(1,IF($H10=0,IF($M10&lt;=0,1,0),IF($E10="↓",IFERROR($H10/$M10,0),IFERROR($M10/$H10,0))))))</f>
        <v/>
      </c>
      <c r="O10" s="15">
        <f>IF($N10="","⏳ بانتظار هدف",IF($N10&gt;=1,"✅ محقق",IF($N10&gt;=0.85,"🟡 قريب","🔴 تحت الهدف")))</f>
        <v/>
      </c>
    </row>
    <row r="11" ht="24" customHeight="1">
      <c r="A11" s="15" t="n">
        <v>8</v>
      </c>
      <c r="B11" s="9" t="inlineStr">
        <is>
          <t>مخاطر الجودة</t>
        </is>
      </c>
      <c r="C11" s="9" t="inlineStr">
        <is>
          <t>عدد مخاطر الجودة الحرجة المفتوحة</t>
        </is>
      </c>
      <c r="D11" s="35" t="inlineStr">
        <is>
          <t>خطر</t>
        </is>
      </c>
      <c r="E11" s="35" t="inlineStr">
        <is>
          <t>↓</t>
        </is>
      </c>
      <c r="F11" s="23" t="inlineStr">
        <is>
          <t>🟠 مهم</t>
        </is>
      </c>
      <c r="G11" s="32" t="n">
        <v>0.07000000000000001</v>
      </c>
      <c r="H11" s="37" t="n">
        <v>0</v>
      </c>
      <c r="I11" s="38" t="inlineStr">
        <is>
          <t>صفر</t>
        </is>
      </c>
      <c r="J11" s="39" t="inlineStr">
        <is>
          <t>الاستدامة</t>
        </is>
      </c>
      <c r="K11" s="31" t="inlineStr">
        <is>
          <t>جودة التشغيل</t>
        </is>
      </c>
      <c r="L11" s="23" t="inlineStr">
        <is>
          <t>العمليات الداخلية</t>
        </is>
      </c>
      <c r="M11" s="40" t="n"/>
      <c r="N11" s="16">
        <f>IF($H11="","",IF($M11="","",MIN(1,IF($H11=0,IF($M11&lt;=0,1,0),IF($E11="↓",IFERROR($H11/$M11,0),IFERROR($M11/$H11,0))))))</f>
        <v/>
      </c>
      <c r="O11" s="15">
        <f>IF($N11="","⏳ بانتظار هدف",IF($N11&gt;=1,"✅ محقق",IF($N11&gt;=0.85,"🟡 قريب","🔴 تحت الهدف")))</f>
        <v/>
      </c>
    </row>
    <row r="12" ht="24" customHeight="1">
      <c r="A12" s="15" t="n">
        <v>9</v>
      </c>
      <c r="B12" s="9" t="inlineStr">
        <is>
          <t>مخاطر الجودة</t>
        </is>
      </c>
      <c r="C12" s="9" t="inlineStr">
        <is>
          <t>نسبة إغلاق مخاطر الجودة في الوقت المحدد</t>
        </is>
      </c>
      <c r="D12" s="35" t="inlineStr">
        <is>
          <t>%</t>
        </is>
      </c>
      <c r="E12" s="35" t="inlineStr">
        <is>
          <t>↑</t>
        </is>
      </c>
      <c r="F12" s="23" t="inlineStr">
        <is>
          <t>🟠 مهم</t>
        </is>
      </c>
      <c r="G12" s="32" t="n">
        <v>0.07000000000000001</v>
      </c>
      <c r="H12" s="32" t="n">
        <v>0.9</v>
      </c>
      <c r="I12" s="38" t="inlineStr">
        <is>
          <t>≥ 90%</t>
        </is>
      </c>
      <c r="J12" s="39" t="inlineStr">
        <is>
          <t>الاستدامة</t>
        </is>
      </c>
      <c r="K12" s="31" t="inlineStr">
        <is>
          <t>جودة التشغيل</t>
        </is>
      </c>
      <c r="L12" s="23" t="inlineStr">
        <is>
          <t>العمليات الداخلية</t>
        </is>
      </c>
      <c r="M12" s="42" t="n">
        <v>0.908</v>
      </c>
      <c r="N12" s="16">
        <f>IF($H12="","",IF($M12="","",MIN(1,IF($H12=0,IF($M12&lt;=0,1,0),IF($E12="↓",IFERROR($H12/$M12,0),IFERROR($M12/$H12,0))))))</f>
        <v/>
      </c>
      <c r="O12" s="15">
        <f>IF($N12="","⏳ بانتظار هدف",IF($N12&gt;=1,"✅ محقق",IF($N12&gt;=0.85,"🟡 قريب","🔴 تحت الهدف")))</f>
        <v/>
      </c>
    </row>
    <row r="13" ht="24" customHeight="1">
      <c r="A13" s="15" t="n">
        <v>10</v>
      </c>
      <c r="B13" s="9" t="inlineStr">
        <is>
          <t>تجربة العميل</t>
        </is>
      </c>
      <c r="C13" s="9" t="inlineStr">
        <is>
          <t>نسبة انخفاض الشكاوى المتكررة ذات العلاقة بالجودة</t>
        </is>
      </c>
      <c r="D13" s="35" t="inlineStr">
        <is>
          <t>%</t>
        </is>
      </c>
      <c r="E13" s="35" t="inlineStr">
        <is>
          <t>↑</t>
        </is>
      </c>
      <c r="F13" s="23" t="inlineStr">
        <is>
          <t>🟠 مهم</t>
        </is>
      </c>
      <c r="G13" s="32" t="n">
        <v>0.07000000000000001</v>
      </c>
      <c r="H13" s="32" t="n">
        <v>0.15</v>
      </c>
      <c r="I13" s="38" t="inlineStr">
        <is>
          <t>انخفاض 15% ربعياً</t>
        </is>
      </c>
      <c r="J13" s="39" t="inlineStr">
        <is>
          <t>الاستدامة</t>
        </is>
      </c>
      <c r="K13" s="31" t="inlineStr">
        <is>
          <t>تعزيز تجربة العملاء</t>
        </is>
      </c>
      <c r="L13" s="23" t="inlineStr">
        <is>
          <t>العملاء</t>
        </is>
      </c>
      <c r="M13" s="42" t="n">
        <v>0.126</v>
      </c>
      <c r="N13" s="16">
        <f>IF($H13="","",IF($M13="","",MIN(1,IF($H13=0,IF($M13&lt;=0,1,0),IF($E13="↓",IFERROR($H13/$M13,0),IFERROR($M13/$H13,0))))))</f>
        <v/>
      </c>
      <c r="O13" s="15">
        <f>IF($N13="","⏳ بانتظار هدف",IF($N13&gt;=1,"✅ محقق",IF($N13&gt;=0.85,"🟡 قريب","🔴 تحت الهدف")))</f>
        <v/>
      </c>
    </row>
    <row r="14" ht="24" customHeight="1">
      <c r="A14" s="15" t="n">
        <v>11</v>
      </c>
      <c r="B14" s="9" t="inlineStr">
        <is>
          <t>الجودة الإدارية</t>
        </is>
      </c>
      <c r="C14" s="9" t="inlineStr">
        <is>
          <t>نسبة اكتمال وتحديث الإجراءات المعتمدة</t>
        </is>
      </c>
      <c r="D14" s="35" t="inlineStr">
        <is>
          <t>%</t>
        </is>
      </c>
      <c r="E14" s="35" t="inlineStr">
        <is>
          <t>↑</t>
        </is>
      </c>
      <c r="F14" s="23" t="inlineStr">
        <is>
          <t>🟡 متابعة</t>
        </is>
      </c>
      <c r="G14" s="32" t="n">
        <v>0.03</v>
      </c>
      <c r="H14" s="32" t="n">
        <v>0.95</v>
      </c>
      <c r="I14" s="38" t="inlineStr">
        <is>
          <t>≥ 95%</t>
        </is>
      </c>
      <c r="J14" s="39" t="inlineStr">
        <is>
          <t>الاستدامة</t>
        </is>
      </c>
      <c r="K14" s="31" t="inlineStr">
        <is>
          <t>جودة التشغيل</t>
        </is>
      </c>
      <c r="L14" s="23" t="inlineStr">
        <is>
          <t>العمليات الداخلية</t>
        </is>
      </c>
      <c r="M14" s="42" t="n">
        <v>0.944</v>
      </c>
      <c r="N14" s="16">
        <f>IF($H14="","",IF($M14="","",MIN(1,IF($H14=0,IF($M14&lt;=0,1,0),IF($E14="↓",IFERROR($H14/$M14,0),IFERROR($M14/$H14,0))))))</f>
        <v/>
      </c>
      <c r="O14" s="15">
        <f>IF($N14="","⏳ بانتظار هدف",IF($N14&gt;=1,"✅ محقق",IF($N14&gt;=0.85,"🟡 قريب","🔴 تحت الهدف")))</f>
        <v/>
      </c>
    </row>
    <row r="15" ht="24" customHeight="1">
      <c r="A15" s="15" t="n">
        <v>12</v>
      </c>
      <c r="B15" s="9" t="inlineStr">
        <is>
          <t>توثيق وحوكمة</t>
        </is>
      </c>
      <c r="C15" s="9" t="inlineStr">
        <is>
          <t>نسبة اكتمال سجلات الجودة</t>
        </is>
      </c>
      <c r="D15" s="35" t="inlineStr">
        <is>
          <t>%</t>
        </is>
      </c>
      <c r="E15" s="35" t="inlineStr">
        <is>
          <t>↑</t>
        </is>
      </c>
      <c r="F15" s="23" t="inlineStr">
        <is>
          <t>🟠 مهم</t>
        </is>
      </c>
      <c r="G15" s="32" t="n">
        <v>0.07000000000000001</v>
      </c>
      <c r="H15" s="32" t="n">
        <v>0.95</v>
      </c>
      <c r="I15" s="38" t="inlineStr">
        <is>
          <t>≥ 95%</t>
        </is>
      </c>
      <c r="J15" s="39" t="inlineStr">
        <is>
          <t>الاستدامة</t>
        </is>
      </c>
      <c r="K15" s="31" t="inlineStr">
        <is>
          <t>جودة التشغيل</t>
        </is>
      </c>
      <c r="L15" s="23" t="inlineStr">
        <is>
          <t>العمليات الداخلية</t>
        </is>
      </c>
      <c r="M15" s="42" t="n">
        <v>0.982</v>
      </c>
      <c r="N15" s="16">
        <f>IF($H15="","",IF($M15="","",MIN(1,IF($H15=0,IF($M15&lt;=0,1,0),IF($E15="↓",IFERROR($H15/$M15,0),IFERROR($M15/$H15,0))))))</f>
        <v/>
      </c>
      <c r="O15" s="15">
        <f>IF($N15="","⏳ بانتظار هدف",IF($N15&gt;=1,"✅ محقق",IF($N15&gt;=0.85,"🟡 قريب","🔴 تحت الهدف")))</f>
        <v/>
      </c>
    </row>
    <row r="16" ht="24" customHeight="1">
      <c r="A16" s="15" t="n">
        <v>13</v>
      </c>
      <c r="B16" s="9" t="inlineStr">
        <is>
          <t>الابتكار والرقمنة</t>
        </is>
      </c>
      <c r="C16" s="9" t="inlineStr">
        <is>
          <t>نسبة رقمنة عمليات الجودة</t>
        </is>
      </c>
      <c r="D16" s="35" t="inlineStr">
        <is>
          <t>%</t>
        </is>
      </c>
      <c r="E16" s="35" t="inlineStr">
        <is>
          <t>↑</t>
        </is>
      </c>
      <c r="F16" s="23" t="inlineStr">
        <is>
          <t>🟠 مهم</t>
        </is>
      </c>
      <c r="G16" s="32" t="n">
        <v>0.07000000000000001</v>
      </c>
      <c r="H16" s="32" t="n">
        <v>0.8</v>
      </c>
      <c r="I16" s="38" t="inlineStr">
        <is>
          <t>≥ 80%</t>
        </is>
      </c>
      <c r="J16" s="39" t="inlineStr">
        <is>
          <t>الابتكار</t>
        </is>
      </c>
      <c r="K16" s="31" t="inlineStr">
        <is>
          <t>التحول التقني</t>
        </is>
      </c>
      <c r="L16" s="23" t="inlineStr">
        <is>
          <t>العمليات الداخلية</t>
        </is>
      </c>
      <c r="M16" s="42" t="n">
        <v>0.834</v>
      </c>
      <c r="N16" s="16">
        <f>IF($H16="","",IF($M16="","",MIN(1,IF($H16=0,IF($M16&lt;=0,1,0),IF($E16="↓",IFERROR($H16/$M16,0),IFERROR($M16/$H16,0))))))</f>
        <v/>
      </c>
      <c r="O16" s="15">
        <f>IF($N16="","⏳ بانتظار هدف",IF($N16&gt;=1,"✅ محقق",IF($N16&gt;=0.85,"🟡 قريب","🔴 تحت الهدف")))</f>
        <v/>
      </c>
    </row>
    <row r="17" ht="24" customHeight="1">
      <c r="A17" s="15" t="n">
        <v>14</v>
      </c>
      <c r="B17" s="9" t="inlineStr">
        <is>
          <t>التحسين المستمر</t>
        </is>
      </c>
      <c r="C17" s="9" t="inlineStr">
        <is>
          <t>عدد مبادرات التحسين المؤثرة</t>
        </is>
      </c>
      <c r="D17" s="35" t="inlineStr">
        <is>
          <t>مبادرة</t>
        </is>
      </c>
      <c r="E17" s="35" t="inlineStr">
        <is>
          <t>↑</t>
        </is>
      </c>
      <c r="F17" s="23" t="inlineStr">
        <is>
          <t>🟠 مهم</t>
        </is>
      </c>
      <c r="G17" s="32" t="n">
        <v>0.07000000000000001</v>
      </c>
      <c r="H17" s="37" t="n">
        <v>8</v>
      </c>
      <c r="I17" s="38" t="inlineStr">
        <is>
          <t>≥ 8 سنوياً (2 ربعياً)</t>
        </is>
      </c>
      <c r="J17" s="39" t="inlineStr">
        <is>
          <t>الاستدامة</t>
        </is>
      </c>
      <c r="K17" s="31" t="inlineStr">
        <is>
          <t>جودة التشغيل</t>
        </is>
      </c>
      <c r="L17" s="23" t="inlineStr">
        <is>
          <t>العمليات الداخلية</t>
        </is>
      </c>
      <c r="M17" s="40" t="n">
        <v>6.827</v>
      </c>
      <c r="N17" s="16">
        <f>IF($H17="","",IF($M17="","",MIN(1,IF($H17=0,IF($M17&lt;=0,1,0),IF($E17="↓",IFERROR($H17/$M17,0),IFERROR($M17/$H17,0))))))</f>
        <v/>
      </c>
      <c r="O17" s="15">
        <f>IF($N17="","⏳ بانتظار هدف",IF($N17&gt;=1,"✅ محقق",IF($N17&gt;=0.85,"🟡 قريب","🔴 تحت الهدف")))</f>
        <v/>
      </c>
    </row>
  </sheetData>
  <autoFilter ref="A3:O17"/>
  <mergeCells count="2">
    <mergeCell ref="A1:O1"/>
    <mergeCell ref="A2:O2"/>
  </mergeCells>
  <dataValidations count="1">
    <dataValidation sqref="M4 M5 M6 M7 M8 M9 M10 M11 M12 M13 M14 M15 M16 M17" showDropDown="0" showInputMessage="0" showErrorMessage="0" allowBlank="1" type="decimal" operator="greaterThanOrEqual">
      <formula1>0</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O11"/>
  <sheetViews>
    <sheetView showGridLines="0" rightToLeft="1" workbookViewId="0">
      <pane ySplit="3" topLeftCell="A4" activePane="bottomLeft" state="frozen"/>
      <selection pane="bottomLeft" activeCell="A1" sqref="A1"/>
    </sheetView>
  </sheetViews>
  <sheetFormatPr baseColWidth="8" defaultRowHeight="15"/>
  <cols>
    <col width="4" customWidth="1" min="1" max="1"/>
    <col width="16" customWidth="1" min="2" max="2"/>
    <col width="40" customWidth="1" min="3" max="3"/>
    <col width="9" customWidth="1" min="4" max="4"/>
    <col width="7" customWidth="1" min="5" max="5"/>
    <col width="12" customWidth="1" min="6" max="6"/>
    <col width="8" customWidth="1" min="7" max="7"/>
    <col width="12" customWidth="1" min="8" max="8"/>
    <col width="16" customWidth="1" min="9" max="9"/>
    <col width="12" customWidth="1" min="10" max="10"/>
    <col width="22" customWidth="1" min="11" max="11"/>
    <col width="15" customWidth="1" min="12" max="12"/>
    <col width="12" customWidth="1" min="13" max="13"/>
    <col width="12" customWidth="1" min="14" max="14"/>
    <col width="14" customWidth="1" min="15" max="15"/>
  </cols>
  <sheetData>
    <row r="1" ht="24" customHeight="1">
      <c r="A1" s="17" t="inlineStr">
        <is>
          <t>إدارة الإدارة القانونية · مؤشرات الأداء 2026</t>
        </is>
      </c>
    </row>
    <row r="2">
      <c r="A2" s="36" t="inlineStr">
        <is>
          <t>🟩 عمود «المُحقَّق» أرقام تجريبية — استبدلها بالفعلية · نسبة التحقيق والحالة دلّات تُحسب تلقائياً</t>
        </is>
      </c>
    </row>
    <row r="3" ht="28" customHeight="1">
      <c r="A3" s="25" t="inlineStr">
        <is>
          <t>#</t>
        </is>
      </c>
      <c r="B3" s="25" t="inlineStr">
        <is>
          <t>المحور</t>
        </is>
      </c>
      <c r="C3" s="25" t="inlineStr">
        <is>
          <t>المؤشر</t>
        </is>
      </c>
      <c r="D3" s="25" t="inlineStr">
        <is>
          <t>الوحدة</t>
        </is>
      </c>
      <c r="E3" s="25" t="inlineStr">
        <is>
          <t>القطبية</t>
        </is>
      </c>
      <c r="F3" s="25" t="inlineStr">
        <is>
          <t>الأولوية</t>
        </is>
      </c>
      <c r="G3" s="25" t="inlineStr">
        <is>
          <t>الوزن %</t>
        </is>
      </c>
      <c r="H3" s="25" t="inlineStr">
        <is>
          <t>المستهدف</t>
        </is>
      </c>
      <c r="I3" s="25" t="inlineStr">
        <is>
          <t>نص المستهدف</t>
        </is>
      </c>
      <c r="J3" s="25" t="inlineStr">
        <is>
          <t>الركيزة</t>
        </is>
      </c>
      <c r="K3" s="25" t="inlineStr">
        <is>
          <t>المشروع</t>
        </is>
      </c>
      <c r="L3" s="25" t="inlineStr">
        <is>
          <t>منظور BSC</t>
        </is>
      </c>
      <c r="M3" s="25" t="inlineStr">
        <is>
          <t>المُحقَّق</t>
        </is>
      </c>
      <c r="N3" s="25" t="inlineStr">
        <is>
          <t>نسبة التحقيق</t>
        </is>
      </c>
      <c r="O3" s="25" t="inlineStr">
        <is>
          <t>الحالة</t>
        </is>
      </c>
    </row>
    <row r="4" ht="24" customHeight="1">
      <c r="A4" s="15" t="n">
        <v>1</v>
      </c>
      <c r="B4" s="9" t="inlineStr">
        <is>
          <t>أعمال العقود</t>
        </is>
      </c>
      <c r="C4" s="9" t="inlineStr">
        <is>
          <t>نسبة العقود المُراجَعة قانونياً قبل التوقيع</t>
        </is>
      </c>
      <c r="D4" s="35" t="inlineStr">
        <is>
          <t>%</t>
        </is>
      </c>
      <c r="E4" s="35" t="inlineStr">
        <is>
          <t>↑</t>
        </is>
      </c>
      <c r="F4" s="23" t="inlineStr">
        <is>
          <t>🔴 رئيسي</t>
        </is>
      </c>
      <c r="G4" s="32" t="n">
        <v>0.15</v>
      </c>
      <c r="H4" s="32" t="n">
        <v>1</v>
      </c>
      <c r="I4" s="38" t="inlineStr">
        <is>
          <t>100%</t>
        </is>
      </c>
      <c r="J4" s="39" t="inlineStr">
        <is>
          <t>الاستدامة</t>
        </is>
      </c>
      <c r="K4" s="31" t="inlineStr">
        <is>
          <t>جودة التشغيل</t>
        </is>
      </c>
      <c r="L4" s="23" t="inlineStr">
        <is>
          <t>العمليات الداخلية</t>
        </is>
      </c>
      <c r="M4" s="42" t="n">
        <v>1.013</v>
      </c>
      <c r="N4" s="16">
        <f>IF($H4="","",IF($M4="","",MIN(1,IF($H4=0,IF($M4&lt;=0,1,0),IF($E4="↓",IFERROR($H4/$M4,0),IFERROR($M4/$H4,0))))))</f>
        <v/>
      </c>
      <c r="O4" s="15">
        <f>IF($N4="","⏳ بانتظار هدف",IF($N4&gt;=1,"✅ محقق",IF($N4&gt;=0.85,"🟡 قريب","🔴 تحت الهدف")))</f>
        <v/>
      </c>
    </row>
    <row r="5" ht="24" customHeight="1">
      <c r="A5" s="15" t="n">
        <v>2</v>
      </c>
      <c r="B5" s="9" t="inlineStr">
        <is>
          <t>أعمال العقود</t>
        </is>
      </c>
      <c r="C5" s="9" t="inlineStr">
        <is>
          <t>متوسط زمن صياغة ومراجعة العقد</t>
        </is>
      </c>
      <c r="D5" s="35" t="inlineStr">
        <is>
          <t>يوم</t>
        </is>
      </c>
      <c r="E5" s="35" t="inlineStr">
        <is>
          <t>↓</t>
        </is>
      </c>
      <c r="F5" s="23" t="inlineStr">
        <is>
          <t>🔴 رئيسي</t>
        </is>
      </c>
      <c r="G5" s="32" t="n">
        <v>0.15</v>
      </c>
      <c r="H5" s="43" t="n">
        <v>3</v>
      </c>
      <c r="I5" s="38" t="inlineStr">
        <is>
          <t>≤ 3 أيام</t>
        </is>
      </c>
      <c r="J5" s="39" t="inlineStr">
        <is>
          <t>الاستدامة</t>
        </is>
      </c>
      <c r="K5" s="31" t="inlineStr">
        <is>
          <t>جودة التشغيل</t>
        </is>
      </c>
      <c r="L5" s="23" t="inlineStr">
        <is>
          <t>العمليات الداخلية</t>
        </is>
      </c>
      <c r="M5" s="44" t="n">
        <v>2.994</v>
      </c>
      <c r="N5" s="16">
        <f>IF($H5="","",IF($M5="","",MIN(1,IF($H5=0,IF($M5&lt;=0,1,0),IF($E5="↓",IFERROR($H5/$M5,0),IFERROR($M5/$H5,0))))))</f>
        <v/>
      </c>
      <c r="O5" s="15">
        <f>IF($N5="","⏳ بانتظار هدف",IF($N5&gt;=1,"✅ محقق",IF($N5&gt;=0.85,"🟡 قريب","🔴 تحت الهدف")))</f>
        <v/>
      </c>
    </row>
    <row r="6" ht="24" customHeight="1">
      <c r="A6" s="15" t="n">
        <v>3</v>
      </c>
      <c r="B6" s="9" t="inlineStr">
        <is>
          <t>أعمال العقود</t>
        </is>
      </c>
      <c r="C6" s="9" t="inlineStr">
        <is>
          <t>نسبة العقود الخالية من الملاحظات والمخاطر القانونية</t>
        </is>
      </c>
      <c r="D6" s="35" t="inlineStr">
        <is>
          <t>%</t>
        </is>
      </c>
      <c r="E6" s="35" t="inlineStr">
        <is>
          <t>↑</t>
        </is>
      </c>
      <c r="F6" s="23" t="inlineStr">
        <is>
          <t>🔴 رئيسي</t>
        </is>
      </c>
      <c r="G6" s="32" t="n">
        <v>0.15</v>
      </c>
      <c r="H6" s="32" t="n">
        <v>0.95</v>
      </c>
      <c r="I6" s="38" t="inlineStr">
        <is>
          <t>≥ 95%</t>
        </is>
      </c>
      <c r="J6" s="39" t="inlineStr">
        <is>
          <t>الاستدامة</t>
        </is>
      </c>
      <c r="K6" s="31" t="inlineStr">
        <is>
          <t>جودة التشغيل</t>
        </is>
      </c>
      <c r="L6" s="23" t="inlineStr">
        <is>
          <t>العمليات الداخلية</t>
        </is>
      </c>
      <c r="M6" s="42" t="n">
        <v>0.924</v>
      </c>
      <c r="N6" s="16">
        <f>IF($H6="","",IF($M6="","",MIN(1,IF($H6=0,IF($M6&lt;=0,1,0),IF($E6="↓",IFERROR($H6/$M6,0),IFERROR($M6/$H6,0))))))</f>
        <v/>
      </c>
      <c r="O6" s="15">
        <f>IF($N6="","⏳ بانتظار هدف",IF($N6&gt;=1,"✅ محقق",IF($N6&gt;=0.85,"🟡 قريب","🔴 تحت الهدف")))</f>
        <v/>
      </c>
    </row>
    <row r="7" ht="24" customHeight="1">
      <c r="A7" s="15" t="n">
        <v>4</v>
      </c>
      <c r="B7" s="9" t="inlineStr">
        <is>
          <t>أعمال القضايا</t>
        </is>
      </c>
      <c r="C7" s="9" t="inlineStr">
        <is>
          <t>نسبة القضايا المُغلقة لصالح الشركة</t>
        </is>
      </c>
      <c r="D7" s="35" t="inlineStr">
        <is>
          <t>%</t>
        </is>
      </c>
      <c r="E7" s="35" t="inlineStr">
        <is>
          <t>↑</t>
        </is>
      </c>
      <c r="F7" s="23" t="inlineStr">
        <is>
          <t>🟠 مهم</t>
        </is>
      </c>
      <c r="G7" s="32" t="n">
        <v>0.1</v>
      </c>
      <c r="H7" s="32" t="n">
        <v>0.8</v>
      </c>
      <c r="I7" s="38" t="inlineStr">
        <is>
          <t>≥ 80%</t>
        </is>
      </c>
      <c r="J7" s="39" t="inlineStr">
        <is>
          <t>الاستدامة</t>
        </is>
      </c>
      <c r="K7" s="31" t="inlineStr">
        <is>
          <t>جودة التشغيل</t>
        </is>
      </c>
      <c r="L7" s="23" t="inlineStr">
        <is>
          <t>العمليات الداخلية</t>
        </is>
      </c>
      <c r="M7" s="42" t="n">
        <v>0.664</v>
      </c>
      <c r="N7" s="16">
        <f>IF($H7="","",IF($M7="","",MIN(1,IF($H7=0,IF($M7&lt;=0,1,0),IF($E7="↓",IFERROR($H7/$M7,0),IFERROR($M7/$H7,0))))))</f>
        <v/>
      </c>
      <c r="O7" s="15">
        <f>IF($N7="","⏳ بانتظار هدف",IF($N7&gt;=1,"✅ محقق",IF($N7&gt;=0.85,"🟡 قريب","🔴 تحت الهدف")))</f>
        <v/>
      </c>
    </row>
    <row r="8" ht="24" customHeight="1">
      <c r="A8" s="15" t="n">
        <v>5</v>
      </c>
      <c r="B8" s="9" t="inlineStr">
        <is>
          <t>أعمال القضايا</t>
        </is>
      </c>
      <c r="C8" s="9" t="inlineStr">
        <is>
          <t>نسبة تقديم المذكرات والردود في المواعيد النظامية</t>
        </is>
      </c>
      <c r="D8" s="35" t="inlineStr">
        <is>
          <t>%</t>
        </is>
      </c>
      <c r="E8" s="35" t="inlineStr">
        <is>
          <t>↑</t>
        </is>
      </c>
      <c r="F8" s="23" t="inlineStr">
        <is>
          <t>🟠 مهم</t>
        </is>
      </c>
      <c r="G8" s="32" t="n">
        <v>0.1</v>
      </c>
      <c r="H8" s="32" t="n">
        <v>1</v>
      </c>
      <c r="I8" s="38" t="inlineStr">
        <is>
          <t>100%</t>
        </is>
      </c>
      <c r="J8" s="39" t="inlineStr">
        <is>
          <t>الاستدامة</t>
        </is>
      </c>
      <c r="K8" s="31" t="inlineStr">
        <is>
          <t>جودة التشغيل</t>
        </is>
      </c>
      <c r="L8" s="23" t="inlineStr">
        <is>
          <t>العمليات الداخلية</t>
        </is>
      </c>
      <c r="M8" s="42" t="n">
        <v>0.797</v>
      </c>
      <c r="N8" s="16">
        <f>IF($H8="","",IF($M8="","",MIN(1,IF($H8=0,IF($M8&lt;=0,1,0),IF($E8="↓",IFERROR($H8/$M8,0),IFERROR($M8/$H8,0))))))</f>
        <v/>
      </c>
      <c r="O8" s="15">
        <f>IF($N8="","⏳ بانتظار هدف",IF($N8&gt;=1,"✅ محقق",IF($N8&gt;=0.85,"🟡 قريب","🔴 تحت الهدف")))</f>
        <v/>
      </c>
    </row>
    <row r="9" ht="24" customHeight="1">
      <c r="A9" s="15" t="n">
        <v>6</v>
      </c>
      <c r="B9" s="9" t="inlineStr">
        <is>
          <t>أعمال القضايا</t>
        </is>
      </c>
      <c r="C9" s="9" t="inlineStr">
        <is>
          <t>متوسط زمن إعداد المذكرة القانونية</t>
        </is>
      </c>
      <c r="D9" s="35" t="inlineStr">
        <is>
          <t>يوم</t>
        </is>
      </c>
      <c r="E9" s="35" t="inlineStr">
        <is>
          <t>↓</t>
        </is>
      </c>
      <c r="F9" s="23" t="inlineStr">
        <is>
          <t>🟠 مهم</t>
        </is>
      </c>
      <c r="G9" s="32" t="n">
        <v>0.1</v>
      </c>
      <c r="H9" s="43" t="n">
        <v>5</v>
      </c>
      <c r="I9" s="38" t="inlineStr">
        <is>
          <t>≤ 5 أيام</t>
        </is>
      </c>
      <c r="J9" s="39" t="inlineStr">
        <is>
          <t>الاستدامة</t>
        </is>
      </c>
      <c r="K9" s="31" t="inlineStr">
        <is>
          <t>جودة التشغيل</t>
        </is>
      </c>
      <c r="L9" s="23" t="inlineStr">
        <is>
          <t>العمليات الداخلية</t>
        </is>
      </c>
      <c r="M9" s="44" t="n">
        <v>4.545</v>
      </c>
      <c r="N9" s="16">
        <f>IF($H9="","",IF($M9="","",MIN(1,IF($H9=0,IF($M9&lt;=0,1,0),IF($E9="↓",IFERROR($H9/$M9,0),IFERROR($M9/$H9,0))))))</f>
        <v/>
      </c>
      <c r="O9" s="15">
        <f>IF($N9="","⏳ بانتظار هدف",IF($N9&gt;=1,"✅ محقق",IF($N9&gt;=0.85,"🟡 قريب","🔴 تحت الهدف")))</f>
        <v/>
      </c>
    </row>
    <row r="10" ht="24" customHeight="1">
      <c r="A10" s="15" t="n">
        <v>7</v>
      </c>
      <c r="B10" s="9" t="inlineStr">
        <is>
          <t>الاستشارات القانونية</t>
        </is>
      </c>
      <c r="C10" s="9" t="inlineStr">
        <is>
          <t>نسبة الاستشارات المُنجزة ضمن المدة المستهدفة (SLA)</t>
        </is>
      </c>
      <c r="D10" s="35" t="inlineStr">
        <is>
          <t>%</t>
        </is>
      </c>
      <c r="E10" s="35" t="inlineStr">
        <is>
          <t>↑</t>
        </is>
      </c>
      <c r="F10" s="23" t="inlineStr">
        <is>
          <t>🟠 مهم</t>
        </is>
      </c>
      <c r="G10" s="32" t="n">
        <v>0.1</v>
      </c>
      <c r="H10" s="32" t="n">
        <v>0.9</v>
      </c>
      <c r="I10" s="38" t="inlineStr">
        <is>
          <t>≥ 90%</t>
        </is>
      </c>
      <c r="J10" s="39" t="inlineStr">
        <is>
          <t>الاستدامة</t>
        </is>
      </c>
      <c r="K10" s="31" t="inlineStr">
        <is>
          <t>جودة التشغيل</t>
        </is>
      </c>
      <c r="L10" s="23" t="inlineStr">
        <is>
          <t>العمليات الداخلية</t>
        </is>
      </c>
      <c r="M10" s="42" t="n">
        <v>0.659</v>
      </c>
      <c r="N10" s="16">
        <f>IF($H10="","",IF($M10="","",MIN(1,IF($H10=0,IF($M10&lt;=0,1,0),IF($E10="↓",IFERROR($H10/$M10,0),IFERROR($M10/$H10,0))))))</f>
        <v/>
      </c>
      <c r="O10" s="15">
        <f>IF($N10="","⏳ بانتظار هدف",IF($N10&gt;=1,"✅ محقق",IF($N10&gt;=0.85,"🟡 قريب","🔴 تحت الهدف")))</f>
        <v/>
      </c>
    </row>
    <row r="11" ht="24" customHeight="1">
      <c r="A11" s="15" t="n">
        <v>8</v>
      </c>
      <c r="B11" s="9" t="inlineStr">
        <is>
          <t>الاستشارات القانونية</t>
        </is>
      </c>
      <c r="C11" s="9" t="inlineStr">
        <is>
          <t>مستوى رضا الإدارات عن الدعم القانوني</t>
        </is>
      </c>
      <c r="D11" s="35" t="inlineStr">
        <is>
          <t>%</t>
        </is>
      </c>
      <c r="E11" s="35" t="inlineStr">
        <is>
          <t>↑</t>
        </is>
      </c>
      <c r="F11" s="23" t="inlineStr">
        <is>
          <t>🔴 رئيسي</t>
        </is>
      </c>
      <c r="G11" s="32" t="n">
        <v>0.15</v>
      </c>
      <c r="H11" s="32" t="n">
        <v>0.85</v>
      </c>
      <c r="I11" s="38" t="inlineStr">
        <is>
          <t>≥ 85%</t>
        </is>
      </c>
      <c r="J11" s="39" t="inlineStr">
        <is>
          <t>الاستدامة</t>
        </is>
      </c>
      <c r="K11" s="31" t="inlineStr">
        <is>
          <t>جودة التشغيل</t>
        </is>
      </c>
      <c r="L11" s="23" t="inlineStr">
        <is>
          <t>العملاء</t>
        </is>
      </c>
      <c r="M11" s="42" t="n">
        <v>0.674</v>
      </c>
      <c r="N11" s="16">
        <f>IF($H11="","",IF($M11="","",MIN(1,IF($H11=0,IF($M11&lt;=0,1,0),IF($E11="↓",IFERROR($H11/$M11,0),IFERROR($M11/$H11,0))))))</f>
        <v/>
      </c>
      <c r="O11" s="15">
        <f>IF($N11="","⏳ بانتظار هدف",IF($N11&gt;=1,"✅ محقق",IF($N11&gt;=0.85,"🟡 قريب","🔴 تحت الهدف")))</f>
        <v/>
      </c>
    </row>
  </sheetData>
  <autoFilter ref="A3:O11"/>
  <mergeCells count="2">
    <mergeCell ref="A1:O1"/>
    <mergeCell ref="A2:O2"/>
  </mergeCells>
  <dataValidations count="1">
    <dataValidation sqref="M4 M5 M6 M7 M8 M9 M10 M11" showDropDown="0" showInputMessage="0" showErrorMessage="0" allowBlank="1" type="decimal" operator="greaterThanOrEqual">
      <formula1>0</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O27"/>
  <sheetViews>
    <sheetView showGridLines="0" rightToLeft="1" workbookViewId="0">
      <pane ySplit="3" topLeftCell="A4" activePane="bottomLeft" state="frozen"/>
      <selection pane="bottomLeft" activeCell="A1" sqref="A1"/>
    </sheetView>
  </sheetViews>
  <sheetFormatPr baseColWidth="8" defaultRowHeight="15"/>
  <cols>
    <col width="4" customWidth="1" min="1" max="1"/>
    <col width="16" customWidth="1" min="2" max="2"/>
    <col width="40" customWidth="1" min="3" max="3"/>
    <col width="9" customWidth="1" min="4" max="4"/>
    <col width="7" customWidth="1" min="5" max="5"/>
    <col width="12" customWidth="1" min="6" max="6"/>
    <col width="8" customWidth="1" min="7" max="7"/>
    <col width="12" customWidth="1" min="8" max="8"/>
    <col width="16" customWidth="1" min="9" max="9"/>
    <col width="12" customWidth="1" min="10" max="10"/>
    <col width="22" customWidth="1" min="11" max="11"/>
    <col width="15" customWidth="1" min="12" max="12"/>
    <col width="12" customWidth="1" min="13" max="13"/>
    <col width="12" customWidth="1" min="14" max="14"/>
    <col width="14" customWidth="1" min="15" max="15"/>
  </cols>
  <sheetData>
    <row r="1" ht="24" customHeight="1">
      <c r="A1" s="17" t="inlineStr">
        <is>
          <t>إدارة الإدارة المالية · مؤشرات الأداء 2026</t>
        </is>
      </c>
    </row>
    <row r="2">
      <c r="A2" s="36" t="inlineStr">
        <is>
          <t>🟩 عمود «المُحقَّق» أرقام تجريبية — استبدلها بالفعلية · نسبة التحقيق والحالة دلّات تُحسب تلقائياً</t>
        </is>
      </c>
    </row>
    <row r="3" ht="28" customHeight="1">
      <c r="A3" s="25" t="inlineStr">
        <is>
          <t>#</t>
        </is>
      </c>
      <c r="B3" s="25" t="inlineStr">
        <is>
          <t>المحور</t>
        </is>
      </c>
      <c r="C3" s="25" t="inlineStr">
        <is>
          <t>المؤشر</t>
        </is>
      </c>
      <c r="D3" s="25" t="inlineStr">
        <is>
          <t>الوحدة</t>
        </is>
      </c>
      <c r="E3" s="25" t="inlineStr">
        <is>
          <t>القطبية</t>
        </is>
      </c>
      <c r="F3" s="25" t="inlineStr">
        <is>
          <t>الأولوية</t>
        </is>
      </c>
      <c r="G3" s="25" t="inlineStr">
        <is>
          <t>الوزن %</t>
        </is>
      </c>
      <c r="H3" s="25" t="inlineStr">
        <is>
          <t>المستهدف</t>
        </is>
      </c>
      <c r="I3" s="25" t="inlineStr">
        <is>
          <t>نص المستهدف</t>
        </is>
      </c>
      <c r="J3" s="25" t="inlineStr">
        <is>
          <t>الركيزة</t>
        </is>
      </c>
      <c r="K3" s="25" t="inlineStr">
        <is>
          <t>المشروع</t>
        </is>
      </c>
      <c r="L3" s="25" t="inlineStr">
        <is>
          <t>منظور BSC</t>
        </is>
      </c>
      <c r="M3" s="25" t="inlineStr">
        <is>
          <t>المُحقَّق</t>
        </is>
      </c>
      <c r="N3" s="25" t="inlineStr">
        <is>
          <t>نسبة التحقيق</t>
        </is>
      </c>
      <c r="O3" s="25" t="inlineStr">
        <is>
          <t>الحالة</t>
        </is>
      </c>
    </row>
    <row r="4" ht="24" customHeight="1">
      <c r="A4" s="15" t="n">
        <v>1</v>
      </c>
      <c r="B4" s="9" t="inlineStr">
        <is>
          <t>المالية الاستراتيجية</t>
        </is>
      </c>
      <c r="C4" s="9" t="inlineStr">
        <is>
          <t>نمو الإيرادات السنوي</t>
        </is>
      </c>
      <c r="D4" s="35" t="inlineStr">
        <is>
          <t>%</t>
        </is>
      </c>
      <c r="E4" s="35" t="inlineStr">
        <is>
          <t>↑</t>
        </is>
      </c>
      <c r="F4" s="23" t="inlineStr">
        <is>
          <t>🔴 رئيسي</t>
        </is>
      </c>
      <c r="G4" s="32" t="n">
        <v>0.05</v>
      </c>
      <c r="H4" s="32" t="n">
        <v>0.2</v>
      </c>
      <c r="I4" s="38" t="inlineStr">
        <is>
          <t>&gt; 20%</t>
        </is>
      </c>
      <c r="J4" s="39" t="inlineStr">
        <is>
          <t>النمو</t>
        </is>
      </c>
      <c r="K4" s="31" t="inlineStr">
        <is>
          <t>زيادة وصول العملاء</t>
        </is>
      </c>
      <c r="L4" s="23" t="inlineStr">
        <is>
          <t>مالي</t>
        </is>
      </c>
      <c r="M4" s="42" t="n">
        <v>0.169</v>
      </c>
      <c r="N4" s="16">
        <f>IF($H4="","",IF($M4="","",MIN(1,IF($H4=0,IF($M4&lt;=0,1,0),IF($E4="↓",IFERROR($H4/$M4,0),IFERROR($M4/$H4,0))))))</f>
        <v/>
      </c>
      <c r="O4" s="15">
        <f>IF($N4="","⏳ بانتظار هدف",IF($N4&gt;=1,"✅ محقق",IF($N4&gt;=0.85,"🟡 قريب","🔴 تحت الهدف")))</f>
        <v/>
      </c>
    </row>
    <row r="5" ht="24" customHeight="1">
      <c r="A5" s="15" t="n">
        <v>2</v>
      </c>
      <c r="B5" s="9" t="inlineStr">
        <is>
          <t>المالية الاستراتيجية</t>
        </is>
      </c>
      <c r="C5" s="9" t="inlineStr">
        <is>
          <t>هامش EBITDA</t>
        </is>
      </c>
      <c r="D5" s="35" t="inlineStr">
        <is>
          <t>%</t>
        </is>
      </c>
      <c r="E5" s="35" t="inlineStr">
        <is>
          <t>↑</t>
        </is>
      </c>
      <c r="F5" s="23" t="inlineStr">
        <is>
          <t>🟠 مهم</t>
        </is>
      </c>
      <c r="G5" s="32" t="n">
        <v>0.04</v>
      </c>
      <c r="H5" s="32" t="n">
        <v>0.08</v>
      </c>
      <c r="I5" s="38" t="inlineStr">
        <is>
          <t>&gt; 8%</t>
        </is>
      </c>
      <c r="J5" s="39" t="inlineStr">
        <is>
          <t>النمو</t>
        </is>
      </c>
      <c r="K5" s="31" t="inlineStr">
        <is>
          <t>زيادة وصول العملاء</t>
        </is>
      </c>
      <c r="L5" s="23" t="inlineStr">
        <is>
          <t>مالي</t>
        </is>
      </c>
      <c r="M5" s="42" t="n">
        <v>0.062</v>
      </c>
      <c r="N5" s="16">
        <f>IF($H5="","",IF($M5="","",MIN(1,IF($H5=0,IF($M5&lt;=0,1,0),IF($E5="↓",IFERROR($H5/$M5,0),IFERROR($M5/$H5,0))))))</f>
        <v/>
      </c>
      <c r="O5" s="15">
        <f>IF($N5="","⏳ بانتظار هدف",IF($N5&gt;=1,"✅ محقق",IF($N5&gt;=0.85,"🟡 قريب","🔴 تحت الهدف")))</f>
        <v/>
      </c>
    </row>
    <row r="6" ht="24" customHeight="1">
      <c r="A6" s="15" t="n">
        <v>3</v>
      </c>
      <c r="B6" s="9" t="inlineStr">
        <is>
          <t>المالية الاستراتيجية</t>
        </is>
      </c>
      <c r="C6" s="9" t="inlineStr">
        <is>
          <t>هامش صافي الربح</t>
        </is>
      </c>
      <c r="D6" s="35" t="inlineStr">
        <is>
          <t>%</t>
        </is>
      </c>
      <c r="E6" s="35" t="inlineStr">
        <is>
          <t>↑</t>
        </is>
      </c>
      <c r="F6" s="23" t="inlineStr">
        <is>
          <t>🟠 مهم</t>
        </is>
      </c>
      <c r="G6" s="32" t="n">
        <v>0.04</v>
      </c>
      <c r="H6" s="32" t="n">
        <v>0.01</v>
      </c>
      <c r="I6" s="38" t="inlineStr">
        <is>
          <t>&gt; 1%</t>
        </is>
      </c>
      <c r="J6" s="39" t="inlineStr">
        <is>
          <t>النمو</t>
        </is>
      </c>
      <c r="K6" s="31" t="inlineStr">
        <is>
          <t>زيادة وصول العملاء</t>
        </is>
      </c>
      <c r="L6" s="23" t="inlineStr">
        <is>
          <t>مالي</t>
        </is>
      </c>
      <c r="M6" s="42" t="n">
        <v>0.008</v>
      </c>
      <c r="N6" s="16">
        <f>IF($H6="","",IF($M6="","",MIN(1,IF($H6=0,IF($M6&lt;=0,1,0),IF($E6="↓",IFERROR($H6/$M6,0),IFERROR($M6/$H6,0))))))</f>
        <v/>
      </c>
      <c r="O6" s="15">
        <f>IF($N6="","⏳ بانتظار هدف",IF($N6&gt;=1,"✅ محقق",IF($N6&gt;=0.85,"🟡 قريب","🔴 تحت الهدف")))</f>
        <v/>
      </c>
    </row>
    <row r="7" ht="24" customHeight="1">
      <c r="A7" s="15" t="n">
        <v>4</v>
      </c>
      <c r="B7" s="9" t="inlineStr">
        <is>
          <t>المالية الاستراتيجية</t>
        </is>
      </c>
      <c r="C7" s="9" t="inlineStr">
        <is>
          <t>العائد على حقوق الملكية (ROE)</t>
        </is>
      </c>
      <c r="D7" s="35" t="inlineStr">
        <is>
          <t>%</t>
        </is>
      </c>
      <c r="E7" s="35" t="inlineStr">
        <is>
          <t>↑</t>
        </is>
      </c>
      <c r="F7" s="23" t="inlineStr">
        <is>
          <t>🔴 رئيسي</t>
        </is>
      </c>
      <c r="G7" s="32" t="n">
        <v>0.05</v>
      </c>
      <c r="H7" s="32" t="n">
        <v>0.1</v>
      </c>
      <c r="I7" s="38" t="inlineStr">
        <is>
          <t>&gt; 10%</t>
        </is>
      </c>
      <c r="J7" s="39" t="inlineStr">
        <is>
          <t>النمو</t>
        </is>
      </c>
      <c r="K7" s="31" t="inlineStr">
        <is>
          <t>زيادة وصول العملاء</t>
        </is>
      </c>
      <c r="L7" s="23" t="inlineStr">
        <is>
          <t>مالي</t>
        </is>
      </c>
      <c r="M7" s="42" t="n">
        <v>0.074</v>
      </c>
      <c r="N7" s="16">
        <f>IF($H7="","",IF($M7="","",MIN(1,IF($H7=0,IF($M7&lt;=0,1,0),IF($E7="↓",IFERROR($H7/$M7,0),IFERROR($M7/$H7,0))))))</f>
        <v/>
      </c>
      <c r="O7" s="15">
        <f>IF($N7="","⏳ بانتظار هدف",IF($N7&gt;=1,"✅ محقق",IF($N7&gt;=0.85,"🟡 قريب","🔴 تحت الهدف")))</f>
        <v/>
      </c>
    </row>
    <row r="8" ht="24" customHeight="1">
      <c r="A8" s="15" t="n">
        <v>5</v>
      </c>
      <c r="B8" s="9" t="inlineStr">
        <is>
          <t>المالية الاستراتيجية</t>
        </is>
      </c>
      <c r="C8" s="9" t="inlineStr">
        <is>
          <t>نسبة التدفق النقدي التشغيلي</t>
        </is>
      </c>
      <c r="D8" s="35" t="inlineStr">
        <is>
          <t>نسبة</t>
        </is>
      </c>
      <c r="E8" s="35" t="inlineStr">
        <is>
          <t>↑</t>
        </is>
      </c>
      <c r="F8" s="23" t="inlineStr">
        <is>
          <t>🟠 مهم</t>
        </is>
      </c>
      <c r="G8" s="32" t="n">
        <v>0.04</v>
      </c>
      <c r="H8" s="43" t="n">
        <v>1</v>
      </c>
      <c r="I8" s="38" t="inlineStr">
        <is>
          <t>&gt; 1</t>
        </is>
      </c>
      <c r="J8" s="39" t="inlineStr">
        <is>
          <t>الاستدامة</t>
        </is>
      </c>
      <c r="K8" s="31" t="inlineStr">
        <is>
          <t>جودة التشغيل</t>
        </is>
      </c>
      <c r="L8" s="23" t="inlineStr">
        <is>
          <t>العمليات الداخلية</t>
        </is>
      </c>
      <c r="M8" s="44" t="n">
        <v>0.902</v>
      </c>
      <c r="N8" s="16">
        <f>IF($H8="","",IF($M8="","",MIN(1,IF($H8=0,IF($M8&lt;=0,1,0),IF($E8="↓",IFERROR($H8/$M8,0),IFERROR($M8/$H8,0))))))</f>
        <v/>
      </c>
      <c r="O8" s="15">
        <f>IF($N8="","⏳ بانتظار هدف",IF($N8&gt;=1,"✅ محقق",IF($N8&gt;=0.85,"🟡 قريب","🔴 تحت الهدف")))</f>
        <v/>
      </c>
    </row>
    <row r="9" ht="24" customHeight="1">
      <c r="A9" s="15" t="n">
        <v>6</v>
      </c>
      <c r="B9" s="9" t="inlineStr">
        <is>
          <t>السيولة ورأس المال</t>
        </is>
      </c>
      <c r="C9" s="9" t="inlineStr">
        <is>
          <t>النسبة الجارية (Current Ratio)</t>
        </is>
      </c>
      <c r="D9" s="35" t="inlineStr">
        <is>
          <t>نسبة</t>
        </is>
      </c>
      <c r="E9" s="35" t="inlineStr">
        <is>
          <t>↑</t>
        </is>
      </c>
      <c r="F9" s="23" t="inlineStr">
        <is>
          <t>🟠 مهم</t>
        </is>
      </c>
      <c r="G9" s="32" t="n">
        <v>0.04</v>
      </c>
      <c r="H9" s="43" t="n">
        <v>1</v>
      </c>
      <c r="I9" s="38" t="inlineStr">
        <is>
          <t>0.8 – 1</t>
        </is>
      </c>
      <c r="J9" s="39" t="inlineStr">
        <is>
          <t>الاستدامة</t>
        </is>
      </c>
      <c r="K9" s="31" t="inlineStr">
        <is>
          <t>جودة التشغيل</t>
        </is>
      </c>
      <c r="L9" s="23" t="inlineStr">
        <is>
          <t>العمليات الداخلية</t>
        </is>
      </c>
      <c r="M9" s="44" t="n">
        <v>0.852</v>
      </c>
      <c r="N9" s="16">
        <f>IF($H9="","",IF($M9="","",MIN(1,IF($H9=0,IF($M9&lt;=0,1,0),IF($E9="↓",IFERROR($H9/$M9,0),IFERROR($M9/$H9,0))))))</f>
        <v/>
      </c>
      <c r="O9" s="15">
        <f>IF($N9="","⏳ بانتظار هدف",IF($N9&gt;=1,"✅ محقق",IF($N9&gt;=0.85,"🟡 قريب","🔴 تحت الهدف")))</f>
        <v/>
      </c>
    </row>
    <row r="10" ht="24" customHeight="1">
      <c r="A10" s="15" t="n">
        <v>7</v>
      </c>
      <c r="B10" s="9" t="inlineStr">
        <is>
          <t>السيولة ورأس المال</t>
        </is>
      </c>
      <c r="C10" s="9" t="inlineStr">
        <is>
          <t>دورة التحويل النقدي</t>
        </is>
      </c>
      <c r="D10" s="35" t="inlineStr">
        <is>
          <t>يوم</t>
        </is>
      </c>
      <c r="E10" s="35" t="inlineStr">
        <is>
          <t>↓</t>
        </is>
      </c>
      <c r="F10" s="23" t="inlineStr">
        <is>
          <t>🔴 رئيسي</t>
        </is>
      </c>
      <c r="G10" s="32" t="n">
        <v>0.05</v>
      </c>
      <c r="H10" s="43" t="n">
        <v>20</v>
      </c>
      <c r="I10" s="38" t="inlineStr">
        <is>
          <t>&lt; 20 يوم</t>
        </is>
      </c>
      <c r="J10" s="39" t="inlineStr">
        <is>
          <t>الاستدامة</t>
        </is>
      </c>
      <c r="K10" s="31" t="inlineStr">
        <is>
          <t>جودة التشغيل</t>
        </is>
      </c>
      <c r="L10" s="23" t="inlineStr">
        <is>
          <t>العمليات الداخلية</t>
        </is>
      </c>
      <c r="M10" s="44" t="n">
        <v>19.3</v>
      </c>
      <c r="N10" s="16">
        <f>IF($H10="","",IF($M10="","",MIN(1,IF($H10=0,IF($M10&lt;=0,1,0),IF($E10="↓",IFERROR($H10/$M10,0),IFERROR($M10/$H10,0))))))</f>
        <v/>
      </c>
      <c r="O10" s="15">
        <f>IF($N10="","⏳ بانتظار هدف",IF($N10&gt;=1,"✅ محقق",IF($N10&gt;=0.85,"🟡 قريب","🔴 تحت الهدف")))</f>
        <v/>
      </c>
    </row>
    <row r="11" ht="24" customHeight="1">
      <c r="A11" s="15" t="n">
        <v>8</v>
      </c>
      <c r="B11" s="9" t="inlineStr">
        <is>
          <t>الذمم المدينة</t>
        </is>
      </c>
      <c r="C11" s="9" t="inlineStr">
        <is>
          <t>متوسط أيام التحصيل (DSO)</t>
        </is>
      </c>
      <c r="D11" s="35" t="inlineStr">
        <is>
          <t>يوم</t>
        </is>
      </c>
      <c r="E11" s="35" t="inlineStr">
        <is>
          <t>↓</t>
        </is>
      </c>
      <c r="F11" s="23" t="inlineStr">
        <is>
          <t>🔴 رئيسي</t>
        </is>
      </c>
      <c r="G11" s="32" t="n">
        <v>0.05</v>
      </c>
      <c r="H11" s="43" t="n">
        <v>30</v>
      </c>
      <c r="I11" s="38" t="inlineStr">
        <is>
          <t>&lt; 30 يوم</t>
        </is>
      </c>
      <c r="J11" s="39" t="inlineStr">
        <is>
          <t>الاستدامة</t>
        </is>
      </c>
      <c r="K11" s="31" t="inlineStr">
        <is>
          <t>جودة التشغيل</t>
        </is>
      </c>
      <c r="L11" s="23" t="inlineStr">
        <is>
          <t>مالي</t>
        </is>
      </c>
      <c r="M11" s="44" t="n">
        <v>26</v>
      </c>
      <c r="N11" s="16">
        <f>IF($H11="","",IF($M11="","",MIN(1,IF($H11=0,IF($M11&lt;=0,1,0),IF($E11="↓",IFERROR($H11/$M11,0),IFERROR($M11/$H11,0))))))</f>
        <v/>
      </c>
      <c r="O11" s="15">
        <f>IF($N11="","⏳ بانتظار هدف",IF($N11&gt;=1,"✅ محقق",IF($N11&gt;=0.85,"🟡 قريب","🔴 تحت الهدف")))</f>
        <v/>
      </c>
    </row>
    <row r="12" ht="24" customHeight="1">
      <c r="A12" s="15" t="n">
        <v>9</v>
      </c>
      <c r="B12" s="9" t="inlineStr">
        <is>
          <t>الذمم المدينة</t>
        </is>
      </c>
      <c r="C12" s="9" t="inlineStr">
        <is>
          <t>نسبة التحصيل</t>
        </is>
      </c>
      <c r="D12" s="35" t="inlineStr">
        <is>
          <t>%</t>
        </is>
      </c>
      <c r="E12" s="35" t="inlineStr">
        <is>
          <t>↑</t>
        </is>
      </c>
      <c r="F12" s="23" t="inlineStr">
        <is>
          <t>🔴 رئيسي</t>
        </is>
      </c>
      <c r="G12" s="32" t="n">
        <v>0.05</v>
      </c>
      <c r="H12" s="32" t="n">
        <v>0.95</v>
      </c>
      <c r="I12" s="38" t="inlineStr">
        <is>
          <t>&gt; 95%</t>
        </is>
      </c>
      <c r="J12" s="39" t="inlineStr">
        <is>
          <t>الاستدامة</t>
        </is>
      </c>
      <c r="K12" s="31" t="inlineStr">
        <is>
          <t>جودة التشغيل</t>
        </is>
      </c>
      <c r="L12" s="23" t="inlineStr">
        <is>
          <t>مالي</t>
        </is>
      </c>
      <c r="M12" s="42" t="n">
        <v>0.716</v>
      </c>
      <c r="N12" s="16">
        <f>IF($H12="","",IF($M12="","",MIN(1,IF($H12=0,IF($M12&lt;=0,1,0),IF($E12="↓",IFERROR($H12/$M12,0),IFERROR($M12/$H12,0))))))</f>
        <v/>
      </c>
      <c r="O12" s="15">
        <f>IF($N12="","⏳ بانتظار هدف",IF($N12&gt;=1,"✅ محقق",IF($N12&gt;=0.85,"🟡 قريب","🔴 تحت الهدف")))</f>
        <v/>
      </c>
    </row>
    <row r="13" ht="24" customHeight="1">
      <c r="A13" s="15" t="n">
        <v>10</v>
      </c>
      <c r="B13" s="9" t="inlineStr">
        <is>
          <t>الذمم المدينة</t>
        </is>
      </c>
      <c r="C13" s="9" t="inlineStr">
        <is>
          <t>نسبة الذمم المتأخرة</t>
        </is>
      </c>
      <c r="D13" s="35" t="inlineStr">
        <is>
          <t>%</t>
        </is>
      </c>
      <c r="E13" s="35" t="inlineStr">
        <is>
          <t>↓</t>
        </is>
      </c>
      <c r="F13" s="23" t="inlineStr">
        <is>
          <t>🟠 مهم</t>
        </is>
      </c>
      <c r="G13" s="32" t="n">
        <v>0.04</v>
      </c>
      <c r="H13" s="32" t="n">
        <v>0.1</v>
      </c>
      <c r="I13" s="38" t="inlineStr">
        <is>
          <t>&lt; 10%</t>
        </is>
      </c>
      <c r="J13" s="39" t="inlineStr">
        <is>
          <t>الاستدامة</t>
        </is>
      </c>
      <c r="K13" s="31" t="inlineStr">
        <is>
          <t>جودة التشغيل</t>
        </is>
      </c>
      <c r="L13" s="23" t="inlineStr">
        <is>
          <t>العمليات الداخلية</t>
        </is>
      </c>
      <c r="M13" s="42" t="n">
        <v>0.099</v>
      </c>
      <c r="N13" s="16">
        <f>IF($H13="","",IF($M13="","",MIN(1,IF($H13=0,IF($M13&lt;=0,1,0),IF($E13="↓",IFERROR($H13/$M13,0),IFERROR($M13/$H13,0))))))</f>
        <v/>
      </c>
      <c r="O13" s="15">
        <f>IF($N13="","⏳ بانتظار هدف",IF($N13&gt;=1,"✅ محقق",IF($N13&gt;=0.85,"🟡 قريب","🔴 تحت الهدف")))</f>
        <v/>
      </c>
    </row>
    <row r="14" ht="24" customHeight="1">
      <c r="A14" s="15" t="n">
        <v>11</v>
      </c>
      <c r="B14" s="9" t="inlineStr">
        <is>
          <t>الذمم المدينة</t>
        </is>
      </c>
      <c r="C14" s="9" t="inlineStr">
        <is>
          <t>نسبة الديون المعدومة</t>
        </is>
      </c>
      <c r="D14" s="35" t="inlineStr">
        <is>
          <t>%</t>
        </is>
      </c>
      <c r="E14" s="35" t="inlineStr">
        <is>
          <t>↓</t>
        </is>
      </c>
      <c r="F14" s="23" t="inlineStr">
        <is>
          <t>🟠 مهم</t>
        </is>
      </c>
      <c r="G14" s="32" t="n">
        <v>0.04</v>
      </c>
      <c r="H14" s="32" t="n">
        <v>0.01</v>
      </c>
      <c r="I14" s="38" t="inlineStr">
        <is>
          <t>&lt; 1%</t>
        </is>
      </c>
      <c r="J14" s="39" t="inlineStr">
        <is>
          <t>الاستدامة</t>
        </is>
      </c>
      <c r="K14" s="31" t="inlineStr">
        <is>
          <t>جودة التشغيل</t>
        </is>
      </c>
      <c r="L14" s="23" t="inlineStr">
        <is>
          <t>العمليات الداخلية</t>
        </is>
      </c>
      <c r="M14" s="42" t="n">
        <v>0.008999999999999999</v>
      </c>
      <c r="N14" s="16">
        <f>IF($H14="","",IF($M14="","",MIN(1,IF($H14=0,IF($M14&lt;=0,1,0),IF($E14="↓",IFERROR($H14/$M14,0),IFERROR($M14/$H14,0))))))</f>
        <v/>
      </c>
      <c r="O14" s="15">
        <f>IF($N14="","⏳ بانتظار هدف",IF($N14&gt;=1,"✅ محقق",IF($N14&gt;=0.85,"🟡 قريب","🔴 تحت الهدف")))</f>
        <v/>
      </c>
    </row>
    <row r="15" ht="24" customHeight="1">
      <c r="A15" s="15" t="n">
        <v>12</v>
      </c>
      <c r="B15" s="9" t="inlineStr">
        <is>
          <t>الذمم الدائنة</t>
        </is>
      </c>
      <c r="C15" s="9" t="inlineStr">
        <is>
          <t>سداد الموردين في الموعد</t>
        </is>
      </c>
      <c r="D15" s="35" t="inlineStr">
        <is>
          <t>%</t>
        </is>
      </c>
      <c r="E15" s="35" t="inlineStr">
        <is>
          <t>↑</t>
        </is>
      </c>
      <c r="F15" s="23" t="inlineStr">
        <is>
          <t>🟠 مهم</t>
        </is>
      </c>
      <c r="G15" s="32" t="n">
        <v>0.04</v>
      </c>
      <c r="H15" s="32" t="n">
        <v>0.98</v>
      </c>
      <c r="I15" s="38" t="inlineStr">
        <is>
          <t>&gt; 98%</t>
        </is>
      </c>
      <c r="J15" s="39" t="inlineStr">
        <is>
          <t>الاستدامة</t>
        </is>
      </c>
      <c r="K15" s="31" t="inlineStr">
        <is>
          <t>جودة التشغيل</t>
        </is>
      </c>
      <c r="L15" s="23" t="inlineStr">
        <is>
          <t>مالي</t>
        </is>
      </c>
      <c r="M15" s="42" t="n">
        <v>0.754</v>
      </c>
      <c r="N15" s="16">
        <f>IF($H15="","",IF($M15="","",MIN(1,IF($H15=0,IF($M15&lt;=0,1,0),IF($E15="↓",IFERROR($H15/$M15,0),IFERROR($M15/$H15,0))))))</f>
        <v/>
      </c>
      <c r="O15" s="15">
        <f>IF($N15="","⏳ بانتظار هدف",IF($N15&gt;=1,"✅ محقق",IF($N15&gt;=0.85,"🟡 قريب","🔴 تحت الهدف")))</f>
        <v/>
      </c>
    </row>
    <row r="16" ht="24" customHeight="1">
      <c r="A16" s="15" t="n">
        <v>13</v>
      </c>
      <c r="B16" s="9" t="inlineStr">
        <is>
          <t>الذمم الدائنة</t>
        </is>
      </c>
      <c r="C16" s="9" t="inlineStr">
        <is>
          <t>اكتمال مطابقة حسابات الموردين</t>
        </is>
      </c>
      <c r="D16" s="35" t="inlineStr">
        <is>
          <t>%</t>
        </is>
      </c>
      <c r="E16" s="35" t="inlineStr">
        <is>
          <t>↑</t>
        </is>
      </c>
      <c r="F16" s="23" t="inlineStr">
        <is>
          <t>🟠 مهم</t>
        </is>
      </c>
      <c r="G16" s="32" t="n">
        <v>0.04</v>
      </c>
      <c r="H16" s="32" t="n">
        <v>0.95</v>
      </c>
      <c r="I16" s="38" t="inlineStr">
        <is>
          <t>≥ 95%</t>
        </is>
      </c>
      <c r="J16" s="39" t="inlineStr">
        <is>
          <t>الاستدامة</t>
        </is>
      </c>
      <c r="K16" s="31" t="inlineStr">
        <is>
          <t>جودة التشغيل</t>
        </is>
      </c>
      <c r="L16" s="23" t="inlineStr">
        <is>
          <t>العمليات الداخلية</t>
        </is>
      </c>
      <c r="M16" s="42" t="n">
        <v>0.926</v>
      </c>
      <c r="N16" s="16">
        <f>IF($H16="","",IF($M16="","",MIN(1,IF($H16=0,IF($M16&lt;=0,1,0),IF($E16="↓",IFERROR($H16/$M16,0),IFERROR($M16/$H16,0))))))</f>
        <v/>
      </c>
      <c r="O16" s="15">
        <f>IF($N16="","⏳ بانتظار هدف",IF($N16&gt;=1,"✅ محقق",IF($N16&gt;=0.85,"🟡 قريب","🔴 تحت الهدف")))</f>
        <v/>
      </c>
    </row>
    <row r="17" ht="24" customHeight="1">
      <c r="A17" s="15" t="n">
        <v>14</v>
      </c>
      <c r="B17" s="9" t="inlineStr">
        <is>
          <t>الخزينة</t>
        </is>
      </c>
      <c r="C17" s="9" t="inlineStr">
        <is>
          <t>دقة التنبؤ النقدي</t>
        </is>
      </c>
      <c r="D17" s="35" t="inlineStr">
        <is>
          <t>%</t>
        </is>
      </c>
      <c r="E17" s="35" t="inlineStr">
        <is>
          <t>↑</t>
        </is>
      </c>
      <c r="F17" s="23" t="inlineStr">
        <is>
          <t>🟠 مهم</t>
        </is>
      </c>
      <c r="G17" s="32" t="n">
        <v>0.04</v>
      </c>
      <c r="H17" s="32" t="n">
        <v>0.9</v>
      </c>
      <c r="I17" s="38" t="inlineStr">
        <is>
          <t>±10%</t>
        </is>
      </c>
      <c r="J17" s="39" t="inlineStr">
        <is>
          <t>الاستدامة</t>
        </is>
      </c>
      <c r="K17" s="31" t="inlineStr">
        <is>
          <t>جودة التشغيل</t>
        </is>
      </c>
      <c r="L17" s="23" t="inlineStr">
        <is>
          <t>العمليات الداخلية</t>
        </is>
      </c>
      <c r="M17" s="42" t="n">
        <v>0.9</v>
      </c>
      <c r="N17" s="16">
        <f>IF($H17="","",IF($M17="","",MIN(1,IF($H17=0,IF($M17&lt;=0,1,0),IF($E17="↓",IFERROR($H17/$M17,0),IFERROR($M17/$H17,0))))))</f>
        <v/>
      </c>
      <c r="O17" s="15">
        <f>IF($N17="","⏳ بانتظار هدف",IF($N17&gt;=1,"✅ محقق",IF($N17&gt;=0.85,"🟡 قريب","🔴 تحت الهدف")))</f>
        <v/>
      </c>
    </row>
    <row r="18" ht="24" customHeight="1">
      <c r="A18" s="15" t="n">
        <v>15</v>
      </c>
      <c r="B18" s="9" t="inlineStr">
        <is>
          <t>صناعة الوقود</t>
        </is>
      </c>
      <c r="C18" s="9" t="inlineStr">
        <is>
          <t>تباين مخزون الوقود</t>
        </is>
      </c>
      <c r="D18" s="35" t="inlineStr">
        <is>
          <t>%</t>
        </is>
      </c>
      <c r="E18" s="35" t="inlineStr">
        <is>
          <t>↓</t>
        </is>
      </c>
      <c r="F18" s="23" t="inlineStr">
        <is>
          <t>🟠 مهم</t>
        </is>
      </c>
      <c r="G18" s="32" t="n">
        <v>0.04</v>
      </c>
      <c r="H18" s="32" t="n">
        <v>0.001</v>
      </c>
      <c r="I18" s="38" t="inlineStr">
        <is>
          <t>&lt; 0.1%</t>
        </is>
      </c>
      <c r="J18" s="39" t="inlineStr">
        <is>
          <t>الاستدامة</t>
        </is>
      </c>
      <c r="K18" s="31" t="inlineStr">
        <is>
          <t>جودة التشغيل</t>
        </is>
      </c>
      <c r="L18" s="23" t="inlineStr">
        <is>
          <t>العمليات الداخلية</t>
        </is>
      </c>
      <c r="M18" s="42" t="n">
        <v>0.001</v>
      </c>
      <c r="N18" s="16">
        <f>IF($H18="","",IF($M18="","",MIN(1,IF($H18=0,IF($M18&lt;=0,1,0),IF($E18="↓",IFERROR($H18/$M18,0),IFERROR($M18/$H18,0))))))</f>
        <v/>
      </c>
      <c r="O18" s="15">
        <f>IF($N18="","⏳ بانتظار هدف",IF($N18&gt;=1,"✅ محقق",IF($N18&gt;=0.85,"🟡 قريب","🔴 تحت الهدف")))</f>
        <v/>
      </c>
    </row>
    <row r="19" ht="24" customHeight="1">
      <c r="A19" s="15" t="n">
        <v>16</v>
      </c>
      <c r="B19" s="9" t="inlineStr">
        <is>
          <t>صناعة الوقود</t>
        </is>
      </c>
      <c r="C19" s="9" t="inlineStr">
        <is>
          <t>دقة مطابقة المخزون</t>
        </is>
      </c>
      <c r="D19" s="35" t="inlineStr">
        <is>
          <t>%</t>
        </is>
      </c>
      <c r="E19" s="35" t="inlineStr">
        <is>
          <t>↑</t>
        </is>
      </c>
      <c r="F19" s="23" t="inlineStr">
        <is>
          <t>🟠 مهم</t>
        </is>
      </c>
      <c r="G19" s="32" t="n">
        <v>0.03</v>
      </c>
      <c r="H19" s="32" t="n">
        <v>0.995</v>
      </c>
      <c r="I19" s="38" t="inlineStr">
        <is>
          <t>&gt; 99.5%</t>
        </is>
      </c>
      <c r="J19" s="39" t="inlineStr">
        <is>
          <t>الاستدامة</t>
        </is>
      </c>
      <c r="K19" s="31" t="inlineStr">
        <is>
          <t>جودة التشغيل</t>
        </is>
      </c>
      <c r="L19" s="23" t="inlineStr">
        <is>
          <t>العمليات الداخلية</t>
        </is>
      </c>
      <c r="M19" s="42" t="n">
        <v>0.776</v>
      </c>
      <c r="N19" s="16">
        <f>IF($H19="","",IF($M19="","",MIN(1,IF($H19=0,IF($M19&lt;=0,1,0),IF($E19="↓",IFERROR($H19/$M19,0),IFERROR($M19/$H19,0))))))</f>
        <v/>
      </c>
      <c r="O19" s="15">
        <f>IF($N19="","⏳ بانتظار هدف",IF($N19&gt;=1,"✅ محقق",IF($N19&gt;=0.85,"🟡 قريب","🔴 تحت الهدف")))</f>
        <v/>
      </c>
    </row>
    <row r="20" ht="24" customHeight="1">
      <c r="A20" s="15" t="n">
        <v>17</v>
      </c>
      <c r="B20" s="9" t="inlineStr">
        <is>
          <t>صناعة الوقود</t>
        </is>
      </c>
      <c r="C20" s="9" t="inlineStr">
        <is>
          <t>دقة تسوية أرامكو</t>
        </is>
      </c>
      <c r="D20" s="35" t="inlineStr">
        <is>
          <t>%</t>
        </is>
      </c>
      <c r="E20" s="35" t="inlineStr">
        <is>
          <t>↑</t>
        </is>
      </c>
      <c r="F20" s="23" t="inlineStr">
        <is>
          <t>🟠 مهم</t>
        </is>
      </c>
      <c r="G20" s="32" t="n">
        <v>0.03</v>
      </c>
      <c r="H20" s="32" t="n">
        <v>1</v>
      </c>
      <c r="I20" s="38" t="inlineStr">
        <is>
          <t>100%</t>
        </is>
      </c>
      <c r="J20" s="39" t="inlineStr">
        <is>
          <t>الاستدامة</t>
        </is>
      </c>
      <c r="K20" s="31" t="inlineStr">
        <is>
          <t>جودة التشغيل</t>
        </is>
      </c>
      <c r="L20" s="23" t="inlineStr">
        <is>
          <t>العمليات الداخلية</t>
        </is>
      </c>
      <c r="M20" s="42" t="n">
        <v>0.76</v>
      </c>
      <c r="N20" s="16">
        <f>IF($H20="","",IF($M20="","",MIN(1,IF($H20=0,IF($M20&lt;=0,1,0),IF($E20="↓",IFERROR($H20/$M20,0),IFERROR($M20/$H20,0))))))</f>
        <v/>
      </c>
      <c r="O20" s="15">
        <f>IF($N20="","⏳ بانتظار هدف",IF($N20&gt;=1,"✅ محقق",IF($N20&gt;=0.85,"🟡 قريب","🔴 تحت الهدف")))</f>
        <v/>
      </c>
    </row>
    <row r="21" ht="24" customHeight="1">
      <c r="A21" s="15" t="n">
        <v>18</v>
      </c>
      <c r="B21" s="9" t="inlineStr">
        <is>
          <t>تمويل الامتياز</t>
        </is>
      </c>
      <c r="C21" s="9" t="inlineStr">
        <is>
          <t>نسبة تحصيل الامتياز</t>
        </is>
      </c>
      <c r="D21" s="35" t="inlineStr">
        <is>
          <t>%</t>
        </is>
      </c>
      <c r="E21" s="35" t="inlineStr">
        <is>
          <t>↑</t>
        </is>
      </c>
      <c r="F21" s="23" t="inlineStr">
        <is>
          <t>🔴 رئيسي</t>
        </is>
      </c>
      <c r="G21" s="32" t="n">
        <v>0.05</v>
      </c>
      <c r="H21" s="32" t="n">
        <v>0.98</v>
      </c>
      <c r="I21" s="38" t="inlineStr">
        <is>
          <t>&gt; 98%</t>
        </is>
      </c>
      <c r="J21" s="39" t="inlineStr">
        <is>
          <t>النمو</t>
        </is>
      </c>
      <c r="K21" s="31" t="inlineStr">
        <is>
          <t>الامتياز التجاري</t>
        </is>
      </c>
      <c r="L21" s="23" t="inlineStr">
        <is>
          <t>مالي</t>
        </is>
      </c>
      <c r="M21" s="42" t="n">
        <v>0.91</v>
      </c>
      <c r="N21" s="16">
        <f>IF($H21="","",IF($M21="","",MIN(1,IF($H21=0,IF($M21&lt;=0,1,0),IF($E21="↓",IFERROR($H21/$M21,0),IFERROR($M21/$H21,0))))))</f>
        <v/>
      </c>
      <c r="O21" s="15">
        <f>IF($N21="","⏳ بانتظار هدف",IF($N21&gt;=1,"✅ محقق",IF($N21&gt;=0.85,"🟡 قريب","🔴 تحت الهدف")))</f>
        <v/>
      </c>
    </row>
    <row r="22" ht="24" customHeight="1">
      <c r="A22" s="15" t="n">
        <v>19</v>
      </c>
      <c r="B22" s="9" t="inlineStr">
        <is>
          <t>تمويل الامتياز</t>
        </is>
      </c>
      <c r="C22" s="9" t="inlineStr">
        <is>
          <t>أيام تحصيل رسوم الامتياز</t>
        </is>
      </c>
      <c r="D22" s="35" t="inlineStr">
        <is>
          <t>يوم</t>
        </is>
      </c>
      <c r="E22" s="35" t="inlineStr">
        <is>
          <t>↓</t>
        </is>
      </c>
      <c r="F22" s="23" t="inlineStr">
        <is>
          <t>🔴 رئيسي</t>
        </is>
      </c>
      <c r="G22" s="32" t="n">
        <v>0.05</v>
      </c>
      <c r="H22" s="43" t="n">
        <v>15</v>
      </c>
      <c r="I22" s="38" t="inlineStr">
        <is>
          <t>&lt; 15 يوم</t>
        </is>
      </c>
      <c r="J22" s="39" t="inlineStr">
        <is>
          <t>النمو</t>
        </is>
      </c>
      <c r="K22" s="31" t="inlineStr">
        <is>
          <t>الامتياز التجاري</t>
        </is>
      </c>
      <c r="L22" s="23" t="inlineStr">
        <is>
          <t>مالي</t>
        </is>
      </c>
      <c r="M22" s="44" t="n">
        <v>15.8</v>
      </c>
      <c r="N22" s="16">
        <f>IF($H22="","",IF($M22="","",MIN(1,IF($H22=0,IF($M22&lt;=0,1,0),IF($E22="↓",IFERROR($H22/$M22,0),IFERROR($M22/$H22,0))))))</f>
        <v/>
      </c>
      <c r="O22" s="15">
        <f>IF($N22="","⏳ بانتظار هدف",IF($N22&gt;=1,"✅ محقق",IF($N22&gt;=0.85,"🟡 قريب","🔴 تحت الهدف")))</f>
        <v/>
      </c>
    </row>
    <row r="23" ht="24" customHeight="1">
      <c r="A23" s="15" t="n">
        <v>20</v>
      </c>
      <c r="B23" s="9" t="inlineStr">
        <is>
          <t>العقار والإيجار</t>
        </is>
      </c>
      <c r="C23" s="9" t="inlineStr">
        <is>
          <t>نسبة تحصيل الإيجار</t>
        </is>
      </c>
      <c r="D23" s="35" t="inlineStr">
        <is>
          <t>%</t>
        </is>
      </c>
      <c r="E23" s="35" t="inlineStr">
        <is>
          <t>↑</t>
        </is>
      </c>
      <c r="F23" s="23" t="inlineStr">
        <is>
          <t>🔴 رئيسي</t>
        </is>
      </c>
      <c r="G23" s="32" t="n">
        <v>0.05</v>
      </c>
      <c r="H23" s="32" t="n">
        <v>0.98</v>
      </c>
      <c r="I23" s="38" t="inlineStr">
        <is>
          <t>&gt; 98%</t>
        </is>
      </c>
      <c r="J23" s="39" t="inlineStr">
        <is>
          <t>الاستدامة</t>
        </is>
      </c>
      <c r="K23" s="31" t="inlineStr">
        <is>
          <t>منظومة التأجير</t>
        </is>
      </c>
      <c r="L23" s="23" t="inlineStr">
        <is>
          <t>مالي</t>
        </is>
      </c>
      <c r="M23" s="42" t="n">
        <v>1.027</v>
      </c>
      <c r="N23" s="16">
        <f>IF($H23="","",IF($M23="","",MIN(1,IF($H23=0,IF($M23&lt;=0,1,0),IF($E23="↓",IFERROR($H23/$M23,0),IFERROR($M23/$H23,0))))))</f>
        <v/>
      </c>
      <c r="O23" s="15">
        <f>IF($N23="","⏳ بانتظار هدف",IF($N23&gt;=1,"✅ محقق",IF($N23&gt;=0.85,"🟡 قريب","🔴 تحت الهدف")))</f>
        <v/>
      </c>
    </row>
    <row r="24" ht="24" customHeight="1">
      <c r="A24" s="15" t="n">
        <v>21</v>
      </c>
      <c r="B24" s="9" t="inlineStr">
        <is>
          <t>العقار والإيجار</t>
        </is>
      </c>
      <c r="C24" s="9" t="inlineStr">
        <is>
          <t>معدل تجديد عقود الإيجار</t>
        </is>
      </c>
      <c r="D24" s="35" t="inlineStr">
        <is>
          <t>%</t>
        </is>
      </c>
      <c r="E24" s="35" t="inlineStr">
        <is>
          <t>↑</t>
        </is>
      </c>
      <c r="F24" s="23" t="inlineStr">
        <is>
          <t>🔴 رئيسي</t>
        </is>
      </c>
      <c r="G24" s="32" t="n">
        <v>0.05</v>
      </c>
      <c r="H24" s="32" t="n">
        <v>0.9</v>
      </c>
      <c r="I24" s="38" t="inlineStr">
        <is>
          <t>&gt; 90%</t>
        </is>
      </c>
      <c r="J24" s="39" t="inlineStr">
        <is>
          <t>الاستدامة</t>
        </is>
      </c>
      <c r="K24" s="31" t="inlineStr">
        <is>
          <t>منظومة التأجير</t>
        </is>
      </c>
      <c r="L24" s="23" t="inlineStr">
        <is>
          <t>العمليات الداخلية</t>
        </is>
      </c>
      <c r="M24" s="42" t="n">
        <v>0.702</v>
      </c>
      <c r="N24" s="16">
        <f>IF($H24="","",IF($M24="","",MIN(1,IF($H24=0,IF($M24&lt;=0,1,0),IF($E24="↓",IFERROR($H24/$M24,0),IFERROR($M24/$H24,0))))))</f>
        <v/>
      </c>
      <c r="O24" s="15">
        <f>IF($N24="","⏳ بانتظار هدف",IF($N24&gt;=1,"✅ محقق",IF($N24&gt;=0.85,"🟡 قريب","🔴 تحت الهدف")))</f>
        <v/>
      </c>
    </row>
    <row r="25" ht="24" customHeight="1">
      <c r="A25" s="15" t="n">
        <v>22</v>
      </c>
      <c r="B25" s="9" t="inlineStr">
        <is>
          <t>الموازنة والتقارير</t>
        </is>
      </c>
      <c r="C25" s="9" t="inlineStr">
        <is>
          <t>انحراف الموازنة</t>
        </is>
      </c>
      <c r="D25" s="35" t="inlineStr">
        <is>
          <t>%</t>
        </is>
      </c>
      <c r="E25" s="35" t="inlineStr">
        <is>
          <t>↓</t>
        </is>
      </c>
      <c r="F25" s="23" t="inlineStr">
        <is>
          <t>🟠 مهم</t>
        </is>
      </c>
      <c r="G25" s="32" t="n">
        <v>0.03</v>
      </c>
      <c r="H25" s="32" t="n">
        <v>0.1</v>
      </c>
      <c r="I25" s="38" t="inlineStr">
        <is>
          <t>≤ ±10%</t>
        </is>
      </c>
      <c r="J25" s="39" t="inlineStr">
        <is>
          <t>الاستدامة</t>
        </is>
      </c>
      <c r="K25" s="31" t="inlineStr">
        <is>
          <t>جودة التشغيل</t>
        </is>
      </c>
      <c r="L25" s="23" t="inlineStr">
        <is>
          <t>العمليات الداخلية</t>
        </is>
      </c>
      <c r="M25" s="42" t="n">
        <v>0.101</v>
      </c>
      <c r="N25" s="16">
        <f>IF($H25="","",IF($M25="","",MIN(1,IF($H25=0,IF($M25&lt;=0,1,0),IF($E25="↓",IFERROR($H25/$M25,0),IFERROR($M25/$H25,0))))))</f>
        <v/>
      </c>
      <c r="O25" s="15">
        <f>IF($N25="","⏳ بانتظار هدف",IF($N25&gt;=1,"✅ محقق",IF($N25&gt;=0.85,"🟡 قريب","🔴 تحت الهدف")))</f>
        <v/>
      </c>
    </row>
    <row r="26" ht="24" customHeight="1">
      <c r="A26" s="15" t="n">
        <v>23</v>
      </c>
      <c r="B26" s="9" t="inlineStr">
        <is>
          <t>الموازنة والتقارير</t>
        </is>
      </c>
      <c r="C26" s="9" t="inlineStr">
        <is>
          <t>أيام الإقفال الشهري</t>
        </is>
      </c>
      <c r="D26" s="35" t="inlineStr">
        <is>
          <t>يوم</t>
        </is>
      </c>
      <c r="E26" s="35" t="inlineStr">
        <is>
          <t>↓</t>
        </is>
      </c>
      <c r="F26" s="23" t="inlineStr">
        <is>
          <t>🟠 مهم</t>
        </is>
      </c>
      <c r="G26" s="32" t="n">
        <v>0.03</v>
      </c>
      <c r="H26" s="43" t="n">
        <v>6</v>
      </c>
      <c r="I26" s="38" t="inlineStr">
        <is>
          <t>≤ 6 أيام</t>
        </is>
      </c>
      <c r="J26" s="39" t="inlineStr">
        <is>
          <t>الاستدامة</t>
        </is>
      </c>
      <c r="K26" s="31" t="inlineStr">
        <is>
          <t>جودة التشغيل</t>
        </is>
      </c>
      <c r="L26" s="23" t="inlineStr">
        <is>
          <t>العمليات الداخلية</t>
        </is>
      </c>
      <c r="M26" s="44" t="n">
        <v>7.044</v>
      </c>
      <c r="N26" s="16">
        <f>IF($H26="","",IF($M26="","",MIN(1,IF($H26=0,IF($M26&lt;=0,1,0),IF($E26="↓",IFERROR($H26/$M26,0),IFERROR($M26/$H26,0))))))</f>
        <v/>
      </c>
      <c r="O26" s="15">
        <f>IF($N26="","⏳ بانتظار هدف",IF($N26&gt;=1,"✅ محقق",IF($N26&gt;=0.85,"🟡 قريب","🔴 تحت الهدف")))</f>
        <v/>
      </c>
    </row>
    <row r="27" ht="24" customHeight="1">
      <c r="A27" s="15" t="n">
        <v>24</v>
      </c>
      <c r="B27" s="9" t="inlineStr">
        <is>
          <t>الموازنة والتقارير</t>
        </is>
      </c>
      <c r="C27" s="9" t="inlineStr">
        <is>
          <t>نسبة تسويات التدقيق</t>
        </is>
      </c>
      <c r="D27" s="35" t="inlineStr">
        <is>
          <t>%</t>
        </is>
      </c>
      <c r="E27" s="35" t="inlineStr">
        <is>
          <t>↓</t>
        </is>
      </c>
      <c r="F27" s="23" t="inlineStr">
        <is>
          <t>🟠 مهم</t>
        </is>
      </c>
      <c r="G27" s="32" t="n">
        <v>0.03</v>
      </c>
      <c r="H27" s="32" t="n">
        <v>0.02</v>
      </c>
      <c r="I27" s="38" t="inlineStr">
        <is>
          <t>&lt; 2%</t>
        </is>
      </c>
      <c r="J27" s="39" t="inlineStr">
        <is>
          <t>الاستدامة</t>
        </is>
      </c>
      <c r="K27" s="31" t="inlineStr">
        <is>
          <t>جودة التشغيل</t>
        </is>
      </c>
      <c r="L27" s="23" t="inlineStr">
        <is>
          <t>العمليات الداخلية</t>
        </is>
      </c>
      <c r="M27" s="42" t="n">
        <v>0.02</v>
      </c>
      <c r="N27" s="16">
        <f>IF($H27="","",IF($M27="","",MIN(1,IF($H27=0,IF($M27&lt;=0,1,0),IF($E27="↓",IFERROR($H27/$M27,0),IFERROR($M27/$H27,0))))))</f>
        <v/>
      </c>
      <c r="O27" s="15">
        <f>IF($N27="","⏳ بانتظار هدف",IF($N27&gt;=1,"✅ محقق",IF($N27&gt;=0.85,"🟡 قريب","🔴 تحت الهدف")))</f>
        <v/>
      </c>
    </row>
  </sheetData>
  <autoFilter ref="A3:O27"/>
  <mergeCells count="2">
    <mergeCell ref="A1:O1"/>
    <mergeCell ref="A2:O2"/>
  </mergeCells>
  <dataValidations count="1">
    <dataValidation sqref="M4 M5 M6 M7 M8 M9 M10 M11 M12 M13 M14 M15 M16 M17 M18 M19 M20 M21 M22 M23 M24 M25 M26 M27" showDropDown="0" showInputMessage="0" showErrorMessage="0" allowBlank="1" type="decimal" operator="greaterThanOrEqual">
      <formula1>0</formula1>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53"/>
  <sheetViews>
    <sheetView showGridLines="0" rightToLeft="1" workbookViewId="0">
      <selection activeCell="A1" sqref="A1"/>
    </sheetView>
  </sheetViews>
  <sheetFormatPr baseColWidth="8" defaultRowHeight="15"/>
  <cols>
    <col width="4" customWidth="1" min="1" max="1"/>
    <col width="20" customWidth="1" min="2" max="2"/>
    <col width="40" customWidth="1" min="3" max="3"/>
    <col width="10" customWidth="1" min="4" max="4"/>
    <col width="12" customWidth="1" min="5" max="5"/>
    <col width="10" customWidth="1" min="6" max="6"/>
    <col width="14" customWidth="1" min="7" max="7"/>
    <col width="30" customWidth="1" min="8" max="8"/>
  </cols>
  <sheetData>
    <row r="1" ht="24" customHeight="1">
      <c r="A1" s="45" t="inlineStr">
        <is>
          <t>سجل مشاريع الشركة — لكل إدارة مشاريعها (نسبة الإنجاز = المنجز ÷ الكمية)</t>
        </is>
      </c>
    </row>
    <row r="2">
      <c r="A2" s="2" t="inlineStr">
        <is>
          <t>#</t>
        </is>
      </c>
      <c r="B2" s="2" t="inlineStr">
        <is>
          <t>الإدارة</t>
        </is>
      </c>
      <c r="C2" s="2" t="inlineStr">
        <is>
          <t>المشروع</t>
        </is>
      </c>
      <c r="D2" s="2" t="inlineStr">
        <is>
          <t>الكمية</t>
        </is>
      </c>
      <c r="E2" s="2" t="inlineStr">
        <is>
          <t>نوع الكمية</t>
        </is>
      </c>
      <c r="F2" s="2" t="inlineStr">
        <is>
          <t>المنجز</t>
        </is>
      </c>
      <c r="G2" s="2" t="inlineStr">
        <is>
          <t>نسبة الإنجاز</t>
        </is>
      </c>
      <c r="H2" s="2" t="inlineStr">
        <is>
          <t>المؤشر المرتبط</t>
        </is>
      </c>
    </row>
    <row r="3">
      <c r="A3" s="46" t="inlineStr">
        <is>
          <t>▾ مشاريع إدارة التقنية</t>
        </is>
      </c>
    </row>
    <row r="4" ht="22" customHeight="1">
      <c r="A4" s="15" t="n">
        <v>1</v>
      </c>
      <c r="B4" s="14" t="inlineStr">
        <is>
          <t>إدارة التقنية</t>
        </is>
      </c>
      <c r="C4" s="9" t="inlineStr">
        <is>
          <t>نظام أتمتة الكاش (Cash-In)</t>
        </is>
      </c>
      <c r="D4" s="35" t="n">
        <v>164</v>
      </c>
      <c r="E4" s="35" t="inlineStr">
        <is>
          <t>محطة</t>
        </is>
      </c>
      <c r="F4" s="33" t="n">
        <v>59</v>
      </c>
      <c r="G4" s="16">
        <f>IFERROR(F4/D4,0)</f>
        <v/>
      </c>
      <c r="H4" s="47" t="inlineStr">
        <is>
          <t>نسبة إنجاز محفظة مشاريع التحول الرقمي</t>
        </is>
      </c>
    </row>
    <row r="5" ht="22" customHeight="1">
      <c r="A5" s="15" t="n">
        <v>2</v>
      </c>
      <c r="B5" s="14" t="inlineStr">
        <is>
          <t>إدارة التقنية</t>
        </is>
      </c>
      <c r="C5" s="9" t="inlineStr">
        <is>
          <t>D365 FNO — المرحلة الأولى</t>
        </is>
      </c>
      <c r="D5" s="35" t="n">
        <v>5</v>
      </c>
      <c r="E5" s="35" t="inlineStr">
        <is>
          <t>وحدة</t>
        </is>
      </c>
      <c r="F5" s="33" t="n">
        <v>3.5</v>
      </c>
      <c r="G5" s="16">
        <f>IFERROR(F5/D5,0)</f>
        <v/>
      </c>
      <c r="H5" s="47" t="inlineStr">
        <is>
          <t>نسبة إنجاز محفظة مشاريع التحول الرقمي</t>
        </is>
      </c>
    </row>
    <row r="6" ht="22" customHeight="1">
      <c r="A6" s="15" t="n">
        <v>3</v>
      </c>
      <c r="B6" s="14" t="inlineStr">
        <is>
          <t>إدارة التقنية</t>
        </is>
      </c>
      <c r="C6" s="9" t="inlineStr">
        <is>
          <t>D365 FNO — المرحلة الثانية</t>
        </is>
      </c>
      <c r="D6" s="35" t="n">
        <v>4</v>
      </c>
      <c r="E6" s="35" t="inlineStr">
        <is>
          <t>وحدة</t>
        </is>
      </c>
      <c r="F6" s="33" t="n">
        <v>0</v>
      </c>
      <c r="G6" s="16">
        <f>IFERROR(F6/D6,0)</f>
        <v/>
      </c>
      <c r="H6" s="47" t="inlineStr">
        <is>
          <t>نسبة إنجاز محفظة مشاريع التحول الرقمي</t>
        </is>
      </c>
    </row>
    <row r="7" ht="22" customHeight="1">
      <c r="A7" s="15" t="n">
        <v>4</v>
      </c>
      <c r="B7" s="14" t="inlineStr">
        <is>
          <t>إدارة التقنية</t>
        </is>
      </c>
      <c r="C7" s="9" t="inlineStr">
        <is>
          <t>D365 FNO — المرحلة الثالثة</t>
        </is>
      </c>
      <c r="D7" s="35" t="n">
        <v>2</v>
      </c>
      <c r="E7" s="35" t="inlineStr">
        <is>
          <t>وحدة</t>
        </is>
      </c>
      <c r="F7" s="33" t="n">
        <v>0</v>
      </c>
      <c r="G7" s="16">
        <f>IFERROR(F7/D7,0)</f>
        <v/>
      </c>
      <c r="H7" s="47" t="inlineStr">
        <is>
          <t>نسبة إنجاز محفظة مشاريع التحول الرقمي</t>
        </is>
      </c>
    </row>
    <row r="8" ht="22" customHeight="1">
      <c r="A8" s="15" t="n">
        <v>5</v>
      </c>
      <c r="B8" s="14" t="inlineStr">
        <is>
          <t>إدارة التقنية</t>
        </is>
      </c>
      <c r="C8" s="9" t="inlineStr">
        <is>
          <t>تطبيق الامتياز مع واثق</t>
        </is>
      </c>
      <c r="D8" s="35" t="n">
        <v>1</v>
      </c>
      <c r="E8" s="35" t="inlineStr">
        <is>
          <t>تطبيق</t>
        </is>
      </c>
      <c r="F8" s="33" t="n">
        <v>0</v>
      </c>
      <c r="G8" s="16">
        <f>IFERROR(F8/D8,0)</f>
        <v/>
      </c>
      <c r="H8" s="47" t="inlineStr">
        <is>
          <t>نسبة إنجاز محفظة مشاريع التحول الرقمي</t>
        </is>
      </c>
    </row>
    <row r="9" ht="22" customHeight="1">
      <c r="A9" s="15" t="n">
        <v>6</v>
      </c>
      <c r="B9" s="14" t="inlineStr">
        <is>
          <t>إدارة التقنية</t>
        </is>
      </c>
      <c r="C9" s="9" t="inlineStr">
        <is>
          <t>ربط المحطات بوزارة الطاقة (ATJ)</t>
        </is>
      </c>
      <c r="D9" s="35" t="n">
        <v>164</v>
      </c>
      <c r="E9" s="35" t="inlineStr">
        <is>
          <t>محطة</t>
        </is>
      </c>
      <c r="F9" s="33" t="n">
        <v>0</v>
      </c>
      <c r="G9" s="16">
        <f>IFERROR(F9/D9,0)</f>
        <v/>
      </c>
      <c r="H9" s="47" t="inlineStr">
        <is>
          <t>نسبة إنجاز محفظة مشاريع التحول الرقمي</t>
        </is>
      </c>
    </row>
    <row r="10" ht="22" customHeight="1">
      <c r="A10" s="15" t="n">
        <v>7</v>
      </c>
      <c r="B10" s="14" t="inlineStr">
        <is>
          <t>إدارة التقنية</t>
        </is>
      </c>
      <c r="C10" s="9" t="inlineStr">
        <is>
          <t>ربط الكاميرات بالمركز الرئيسي</t>
        </is>
      </c>
      <c r="D10" s="35" t="n">
        <v>164</v>
      </c>
      <c r="E10" s="35" t="inlineStr">
        <is>
          <t>محطة</t>
        </is>
      </c>
      <c r="F10" s="33" t="n">
        <v>0</v>
      </c>
      <c r="G10" s="16">
        <f>IFERROR(F10/D10,0)</f>
        <v/>
      </c>
      <c r="H10" s="47" t="inlineStr">
        <is>
          <t>نسبة إنجاز محفظة مشاريع التحول الرقمي</t>
        </is>
      </c>
    </row>
    <row r="11" ht="22" customHeight="1">
      <c r="A11" s="15" t="n">
        <v>8</v>
      </c>
      <c r="B11" s="14" t="inlineStr">
        <is>
          <t>إدارة التقنية</t>
        </is>
      </c>
      <c r="C11" s="9" t="inlineStr">
        <is>
          <t>تطبيق الولاء (تانكي) في المحطات</t>
        </is>
      </c>
      <c r="D11" s="35" t="n">
        <v>164</v>
      </c>
      <c r="E11" s="35" t="inlineStr">
        <is>
          <t>محطة</t>
        </is>
      </c>
      <c r="F11" s="33" t="n">
        <v>0</v>
      </c>
      <c r="G11" s="16">
        <f>IFERROR(F11/D11,0)</f>
        <v/>
      </c>
      <c r="H11" s="47" t="inlineStr">
        <is>
          <t>نسبة إنجاز محفظة مشاريع التحول الرقمي</t>
        </is>
      </c>
    </row>
    <row r="12" ht="22" customHeight="1">
      <c r="A12" s="15" t="n">
        <v>9</v>
      </c>
      <c r="B12" s="14" t="inlineStr">
        <is>
          <t>إدارة التقنية</t>
        </is>
      </c>
      <c r="C12" s="9" t="inlineStr">
        <is>
          <t>منصة Tatin السحابية</t>
        </is>
      </c>
      <c r="D12" s="35" t="n">
        <v>164</v>
      </c>
      <c r="E12" s="35" t="inlineStr">
        <is>
          <t>محطة</t>
        </is>
      </c>
      <c r="F12" s="33" t="n">
        <v>2</v>
      </c>
      <c r="G12" s="16">
        <f>IFERROR(F12/D12,0)</f>
        <v/>
      </c>
      <c r="H12" s="47" t="inlineStr">
        <is>
          <t>نسبة إنجاز محفظة مشاريع التحول الرقمي</t>
        </is>
      </c>
    </row>
    <row r="13" ht="22" customHeight="1">
      <c r="A13" s="15" t="n">
        <v>10</v>
      </c>
      <c r="B13" s="14" t="inlineStr">
        <is>
          <t>إدارة التقنية</t>
        </is>
      </c>
      <c r="C13" s="9" t="inlineStr">
        <is>
          <t>إدارة العمليات بالذكاء الاصطناعي</t>
        </is>
      </c>
      <c r="D13" s="35" t="n">
        <v>164</v>
      </c>
      <c r="E13" s="35" t="inlineStr">
        <is>
          <t>محطة</t>
        </is>
      </c>
      <c r="F13" s="33" t="n">
        <v>0</v>
      </c>
      <c r="G13" s="16">
        <f>IFERROR(F13/D13,0)</f>
        <v/>
      </c>
      <c r="H13" s="47" t="inlineStr">
        <is>
          <t>نسبة إنجاز محفظة مشاريع التحول الرقمي</t>
        </is>
      </c>
    </row>
    <row r="14">
      <c r="A14" s="48" t="inlineStr">
        <is>
          <t>▾ مشاريع الإدارة التنفيذية</t>
        </is>
      </c>
    </row>
    <row r="15">
      <c r="A15" s="7" t="n"/>
      <c r="B15" s="14" t="inlineStr">
        <is>
          <t>الإدارة التنفيذية</t>
        </is>
      </c>
      <c r="C15" s="49" t="n"/>
      <c r="D15" s="49" t="n"/>
      <c r="E15" s="49" t="n"/>
      <c r="F15" s="49" t="n"/>
      <c r="G15" s="16">
        <f>IFERROR(F15/D15,0)</f>
        <v/>
      </c>
      <c r="H15" s="7" t="n"/>
    </row>
    <row r="16">
      <c r="A16" s="7" t="n"/>
      <c r="B16" s="14" t="inlineStr">
        <is>
          <t>الإدارة التنفيذية</t>
        </is>
      </c>
      <c r="C16" s="49" t="n"/>
      <c r="D16" s="49" t="n"/>
      <c r="E16" s="49" t="n"/>
      <c r="F16" s="49" t="n"/>
      <c r="G16" s="16">
        <f>IFERROR(F16/D16,0)</f>
        <v/>
      </c>
      <c r="H16" s="7" t="n"/>
    </row>
    <row r="17">
      <c r="A17" s="7" t="n"/>
      <c r="B17" s="14" t="inlineStr">
        <is>
          <t>الإدارة التنفيذية</t>
        </is>
      </c>
      <c r="C17" s="49" t="n"/>
      <c r="D17" s="49" t="n"/>
      <c r="E17" s="49" t="n"/>
      <c r="F17" s="49" t="n"/>
      <c r="G17" s="16">
        <f>IFERROR(F17/D17,0)</f>
        <v/>
      </c>
      <c r="H17" s="7" t="n"/>
    </row>
    <row r="18">
      <c r="A18" s="48" t="inlineStr">
        <is>
          <t>▾ مشاريع الامتياز التجاري</t>
        </is>
      </c>
    </row>
    <row r="19">
      <c r="A19" s="7" t="n"/>
      <c r="B19" s="14" t="inlineStr">
        <is>
          <t>الامتياز التجاري</t>
        </is>
      </c>
      <c r="C19" s="49" t="n"/>
      <c r="D19" s="49" t="n"/>
      <c r="E19" s="49" t="n"/>
      <c r="F19" s="49" t="n"/>
      <c r="G19" s="16">
        <f>IFERROR(F19/D19,0)</f>
        <v/>
      </c>
      <c r="H19" s="7" t="n"/>
    </row>
    <row r="20">
      <c r="A20" s="7" t="n"/>
      <c r="B20" s="14" t="inlineStr">
        <is>
          <t>الامتياز التجاري</t>
        </is>
      </c>
      <c r="C20" s="49" t="n"/>
      <c r="D20" s="49" t="n"/>
      <c r="E20" s="49" t="n"/>
      <c r="F20" s="49" t="n"/>
      <c r="G20" s="16">
        <f>IFERROR(F20/D20,0)</f>
        <v/>
      </c>
      <c r="H20" s="7" t="n"/>
    </row>
    <row r="21">
      <c r="A21" s="7" t="n"/>
      <c r="B21" s="14" t="inlineStr">
        <is>
          <t>الامتياز التجاري</t>
        </is>
      </c>
      <c r="C21" s="49" t="n"/>
      <c r="D21" s="49" t="n"/>
      <c r="E21" s="49" t="n"/>
      <c r="F21" s="49" t="n"/>
      <c r="G21" s="16">
        <f>IFERROR(F21/D21,0)</f>
        <v/>
      </c>
      <c r="H21" s="7" t="n"/>
    </row>
    <row r="22">
      <c r="A22" s="48" t="inlineStr">
        <is>
          <t>▾ مشاريع التشغيل والمحطات</t>
        </is>
      </c>
    </row>
    <row r="23">
      <c r="A23" s="7" t="n"/>
      <c r="B23" s="14" t="inlineStr">
        <is>
          <t>التشغيل والمحطات</t>
        </is>
      </c>
      <c r="C23" s="49" t="n"/>
      <c r="D23" s="49" t="n"/>
      <c r="E23" s="49" t="n"/>
      <c r="F23" s="49" t="n"/>
      <c r="G23" s="16">
        <f>IFERROR(F23/D23,0)</f>
        <v/>
      </c>
      <c r="H23" s="7" t="n"/>
    </row>
    <row r="24">
      <c r="A24" s="7" t="n"/>
      <c r="B24" s="14" t="inlineStr">
        <is>
          <t>التشغيل والمحطات</t>
        </is>
      </c>
      <c r="C24" s="49" t="n"/>
      <c r="D24" s="49" t="n"/>
      <c r="E24" s="49" t="n"/>
      <c r="F24" s="49" t="n"/>
      <c r="G24" s="16">
        <f>IFERROR(F24/D24,0)</f>
        <v/>
      </c>
      <c r="H24" s="7" t="n"/>
    </row>
    <row r="25">
      <c r="A25" s="7" t="n"/>
      <c r="B25" s="14" t="inlineStr">
        <is>
          <t>التشغيل والمحطات</t>
        </is>
      </c>
      <c r="C25" s="49" t="n"/>
      <c r="D25" s="49" t="n"/>
      <c r="E25" s="49" t="n"/>
      <c r="F25" s="49" t="n"/>
      <c r="G25" s="16">
        <f>IFERROR(F25/D25,0)</f>
        <v/>
      </c>
      <c r="H25" s="7" t="n"/>
    </row>
    <row r="26">
      <c r="A26" s="48" t="inlineStr">
        <is>
          <t>▾ مشاريع الاستثمار</t>
        </is>
      </c>
    </row>
    <row r="27">
      <c r="A27" s="7" t="n"/>
      <c r="B27" s="14" t="inlineStr">
        <is>
          <t>الاستثمار</t>
        </is>
      </c>
      <c r="C27" s="49" t="n"/>
      <c r="D27" s="49" t="n"/>
      <c r="E27" s="49" t="n"/>
      <c r="F27" s="49" t="n"/>
      <c r="G27" s="16">
        <f>IFERROR(F27/D27,0)</f>
        <v/>
      </c>
      <c r="H27" s="7" t="n"/>
    </row>
    <row r="28">
      <c r="A28" s="7" t="n"/>
      <c r="B28" s="14" t="inlineStr">
        <is>
          <t>الاستثمار</t>
        </is>
      </c>
      <c r="C28" s="49" t="n"/>
      <c r="D28" s="49" t="n"/>
      <c r="E28" s="49" t="n"/>
      <c r="F28" s="49" t="n"/>
      <c r="G28" s="16">
        <f>IFERROR(F28/D28,0)</f>
        <v/>
      </c>
      <c r="H28" s="7" t="n"/>
    </row>
    <row r="29">
      <c r="A29" s="7" t="n"/>
      <c r="B29" s="14" t="inlineStr">
        <is>
          <t>الاستثمار</t>
        </is>
      </c>
      <c r="C29" s="49" t="n"/>
      <c r="D29" s="49" t="n"/>
      <c r="E29" s="49" t="n"/>
      <c r="F29" s="49" t="n"/>
      <c r="G29" s="16">
        <f>IFERROR(F29/D29,0)</f>
        <v/>
      </c>
      <c r="H29" s="7" t="n"/>
    </row>
    <row r="30">
      <c r="A30" s="48" t="inlineStr">
        <is>
          <t>▾ مشاريع العقار</t>
        </is>
      </c>
    </row>
    <row r="31">
      <c r="A31" s="7" t="n"/>
      <c r="B31" s="14" t="inlineStr">
        <is>
          <t>العقار</t>
        </is>
      </c>
      <c r="C31" s="49" t="n"/>
      <c r="D31" s="49" t="n"/>
      <c r="E31" s="49" t="n"/>
      <c r="F31" s="49" t="n"/>
      <c r="G31" s="16">
        <f>IFERROR(F31/D31,0)</f>
        <v/>
      </c>
      <c r="H31" s="7" t="n"/>
    </row>
    <row r="32">
      <c r="A32" s="7" t="n"/>
      <c r="B32" s="14" t="inlineStr">
        <is>
          <t>العقار</t>
        </is>
      </c>
      <c r="C32" s="49" t="n"/>
      <c r="D32" s="49" t="n"/>
      <c r="E32" s="49" t="n"/>
      <c r="F32" s="49" t="n"/>
      <c r="G32" s="16">
        <f>IFERROR(F32/D32,0)</f>
        <v/>
      </c>
      <c r="H32" s="7" t="n"/>
    </row>
    <row r="33">
      <c r="A33" s="7" t="n"/>
      <c r="B33" s="14" t="inlineStr">
        <is>
          <t>العقار</t>
        </is>
      </c>
      <c r="C33" s="49" t="n"/>
      <c r="D33" s="49" t="n"/>
      <c r="E33" s="49" t="n"/>
      <c r="F33" s="49" t="n"/>
      <c r="G33" s="16">
        <f>IFERROR(F33/D33,0)</f>
        <v/>
      </c>
      <c r="H33" s="7" t="n"/>
    </row>
    <row r="34">
      <c r="A34" s="48" t="inlineStr">
        <is>
          <t>▾ مشاريع الموارد البشرية</t>
        </is>
      </c>
    </row>
    <row r="35">
      <c r="A35" s="7" t="n"/>
      <c r="B35" s="14" t="inlineStr">
        <is>
          <t>الموارد البشرية</t>
        </is>
      </c>
      <c r="C35" s="49" t="n"/>
      <c r="D35" s="49" t="n"/>
      <c r="E35" s="49" t="n"/>
      <c r="F35" s="49" t="n"/>
      <c r="G35" s="16">
        <f>IFERROR(F35/D35,0)</f>
        <v/>
      </c>
      <c r="H35" s="7" t="n"/>
    </row>
    <row r="36">
      <c r="A36" s="7" t="n"/>
      <c r="B36" s="14" t="inlineStr">
        <is>
          <t>الموارد البشرية</t>
        </is>
      </c>
      <c r="C36" s="49" t="n"/>
      <c r="D36" s="49" t="n"/>
      <c r="E36" s="49" t="n"/>
      <c r="F36" s="49" t="n"/>
      <c r="G36" s="16">
        <f>IFERROR(F36/D36,0)</f>
        <v/>
      </c>
      <c r="H36" s="7" t="n"/>
    </row>
    <row r="37">
      <c r="A37" s="7" t="n"/>
      <c r="B37" s="14" t="inlineStr">
        <is>
          <t>الموارد البشرية</t>
        </is>
      </c>
      <c r="C37" s="49" t="n"/>
      <c r="D37" s="49" t="n"/>
      <c r="E37" s="49" t="n"/>
      <c r="F37" s="49" t="n"/>
      <c r="G37" s="16">
        <f>IFERROR(F37/D37,0)</f>
        <v/>
      </c>
      <c r="H37" s="7" t="n"/>
    </row>
    <row r="38">
      <c r="A38" s="48" t="inlineStr">
        <is>
          <t>▾ مشاريع التسويق</t>
        </is>
      </c>
    </row>
    <row r="39">
      <c r="A39" s="7" t="n"/>
      <c r="B39" s="14" t="inlineStr">
        <is>
          <t>التسويق</t>
        </is>
      </c>
      <c r="C39" s="49" t="n"/>
      <c r="D39" s="49" t="n"/>
      <c r="E39" s="49" t="n"/>
      <c r="F39" s="49" t="n"/>
      <c r="G39" s="16">
        <f>IFERROR(F39/D39,0)</f>
        <v/>
      </c>
      <c r="H39" s="7" t="n"/>
    </row>
    <row r="40">
      <c r="A40" s="7" t="n"/>
      <c r="B40" s="14" t="inlineStr">
        <is>
          <t>التسويق</t>
        </is>
      </c>
      <c r="C40" s="49" t="n"/>
      <c r="D40" s="49" t="n"/>
      <c r="E40" s="49" t="n"/>
      <c r="F40" s="49" t="n"/>
      <c r="G40" s="16">
        <f>IFERROR(F40/D40,0)</f>
        <v/>
      </c>
      <c r="H40" s="7" t="n"/>
    </row>
    <row r="41">
      <c r="A41" s="7" t="n"/>
      <c r="B41" s="14" t="inlineStr">
        <is>
          <t>التسويق</t>
        </is>
      </c>
      <c r="C41" s="49" t="n"/>
      <c r="D41" s="49" t="n"/>
      <c r="E41" s="49" t="n"/>
      <c r="F41" s="49" t="n"/>
      <c r="G41" s="16">
        <f>IFERROR(F41/D41,0)</f>
        <v/>
      </c>
      <c r="H41" s="7" t="n"/>
    </row>
    <row r="42">
      <c r="A42" s="48" t="inlineStr">
        <is>
          <t>▾ مشاريع الجودة</t>
        </is>
      </c>
    </row>
    <row r="43">
      <c r="A43" s="7" t="n"/>
      <c r="B43" s="14" t="inlineStr">
        <is>
          <t>الجودة</t>
        </is>
      </c>
      <c r="C43" s="49" t="n"/>
      <c r="D43" s="49" t="n"/>
      <c r="E43" s="49" t="n"/>
      <c r="F43" s="49" t="n"/>
      <c r="G43" s="16">
        <f>IFERROR(F43/D43,0)</f>
        <v/>
      </c>
      <c r="H43" s="7" t="n"/>
    </row>
    <row r="44">
      <c r="A44" s="7" t="n"/>
      <c r="B44" s="14" t="inlineStr">
        <is>
          <t>الجودة</t>
        </is>
      </c>
      <c r="C44" s="49" t="n"/>
      <c r="D44" s="49" t="n"/>
      <c r="E44" s="49" t="n"/>
      <c r="F44" s="49" t="n"/>
      <c r="G44" s="16">
        <f>IFERROR(F44/D44,0)</f>
        <v/>
      </c>
      <c r="H44" s="7" t="n"/>
    </row>
    <row r="45">
      <c r="A45" s="7" t="n"/>
      <c r="B45" s="14" t="inlineStr">
        <is>
          <t>الجودة</t>
        </is>
      </c>
      <c r="C45" s="49" t="n"/>
      <c r="D45" s="49" t="n"/>
      <c r="E45" s="49" t="n"/>
      <c r="F45" s="49" t="n"/>
      <c r="G45" s="16">
        <f>IFERROR(F45/D45,0)</f>
        <v/>
      </c>
      <c r="H45" s="7" t="n"/>
    </row>
    <row r="46">
      <c r="A46" s="48" t="inlineStr">
        <is>
          <t>▾ مشاريع الإدارة القانونية</t>
        </is>
      </c>
    </row>
    <row r="47">
      <c r="A47" s="7" t="n"/>
      <c r="B47" s="14" t="inlineStr">
        <is>
          <t>الإدارة القانونية</t>
        </is>
      </c>
      <c r="C47" s="49" t="n"/>
      <c r="D47" s="49" t="n"/>
      <c r="E47" s="49" t="n"/>
      <c r="F47" s="49" t="n"/>
      <c r="G47" s="16">
        <f>IFERROR(F47/D47,0)</f>
        <v/>
      </c>
      <c r="H47" s="7" t="n"/>
    </row>
    <row r="48">
      <c r="A48" s="7" t="n"/>
      <c r="B48" s="14" t="inlineStr">
        <is>
          <t>الإدارة القانونية</t>
        </is>
      </c>
      <c r="C48" s="49" t="n"/>
      <c r="D48" s="49" t="n"/>
      <c r="E48" s="49" t="n"/>
      <c r="F48" s="49" t="n"/>
      <c r="G48" s="16">
        <f>IFERROR(F48/D48,0)</f>
        <v/>
      </c>
      <c r="H48" s="7" t="n"/>
    </row>
    <row r="49">
      <c r="A49" s="7" t="n"/>
      <c r="B49" s="14" t="inlineStr">
        <is>
          <t>الإدارة القانونية</t>
        </is>
      </c>
      <c r="C49" s="49" t="n"/>
      <c r="D49" s="49" t="n"/>
      <c r="E49" s="49" t="n"/>
      <c r="F49" s="49" t="n"/>
      <c r="G49" s="16">
        <f>IFERROR(F49/D49,0)</f>
        <v/>
      </c>
      <c r="H49" s="7" t="n"/>
    </row>
    <row r="50">
      <c r="A50" s="48" t="inlineStr">
        <is>
          <t>▾ مشاريع الإدارة المالية</t>
        </is>
      </c>
    </row>
    <row r="51">
      <c r="A51" s="7" t="n"/>
      <c r="B51" s="14" t="inlineStr">
        <is>
          <t>الإدارة المالية</t>
        </is>
      </c>
      <c r="C51" s="49" t="n"/>
      <c r="D51" s="49" t="n"/>
      <c r="E51" s="49" t="n"/>
      <c r="F51" s="49" t="n"/>
      <c r="G51" s="16">
        <f>IFERROR(F51/D51,0)</f>
        <v/>
      </c>
      <c r="H51" s="7" t="n"/>
    </row>
    <row r="52">
      <c r="A52" s="7" t="n"/>
      <c r="B52" s="14" t="inlineStr">
        <is>
          <t>الإدارة المالية</t>
        </is>
      </c>
      <c r="C52" s="49" t="n"/>
      <c r="D52" s="49" t="n"/>
      <c r="E52" s="49" t="n"/>
      <c r="F52" s="49" t="n"/>
      <c r="G52" s="16">
        <f>IFERROR(F52/D52,0)</f>
        <v/>
      </c>
      <c r="H52" s="7" t="n"/>
    </row>
    <row r="53">
      <c r="A53" s="7" t="n"/>
      <c r="B53" s="14" t="inlineStr">
        <is>
          <t>الإدارة المالية</t>
        </is>
      </c>
      <c r="C53" s="49" t="n"/>
      <c r="D53" s="49" t="n"/>
      <c r="E53" s="49" t="n"/>
      <c r="F53" s="49" t="n"/>
      <c r="G53" s="16">
        <f>IFERROR(F53/D53,0)</f>
        <v/>
      </c>
      <c r="H53" s="7" t="n"/>
    </row>
  </sheetData>
  <mergeCells count="12">
    <mergeCell ref="A18:H18"/>
    <mergeCell ref="A50:H50"/>
    <mergeCell ref="A3:H3"/>
    <mergeCell ref="A26:H26"/>
    <mergeCell ref="A30:H30"/>
    <mergeCell ref="A38:H38"/>
    <mergeCell ref="A42:H42"/>
    <mergeCell ref="A14:H14"/>
    <mergeCell ref="A1:H1"/>
    <mergeCell ref="A46:H46"/>
    <mergeCell ref="A22:H22"/>
    <mergeCell ref="A34:H34"/>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K190"/>
  <sheetViews>
    <sheetView showGridLines="0" rightToLeft="1" workbookViewId="0">
      <selection activeCell="A1" sqref="A1"/>
    </sheetView>
  </sheetViews>
  <sheetFormatPr baseColWidth="8" defaultRowHeight="15"/>
  <cols>
    <col width="4" customWidth="1" min="1" max="1"/>
    <col width="20" customWidth="1" min="2" max="2"/>
    <col width="42" customWidth="1" min="3" max="3"/>
    <col width="16" customWidth="1" min="4" max="4"/>
    <col width="24" customWidth="1" min="5" max="5"/>
    <col width="16" customWidth="1" min="6" max="6"/>
    <col width="12" customWidth="1" min="7" max="7"/>
    <col width="14" customWidth="1" min="8" max="8"/>
    <col width="10" customWidth="1" min="9" max="9"/>
  </cols>
  <sheetData>
    <row r="1">
      <c r="A1" s="25" t="inlineStr">
        <is>
          <t>#</t>
        </is>
      </c>
      <c r="B1" s="25" t="inlineStr">
        <is>
          <t>الإدارة</t>
        </is>
      </c>
      <c r="C1" s="25" t="inlineStr">
        <is>
          <t>المؤشر</t>
        </is>
      </c>
      <c r="D1" s="25" t="inlineStr">
        <is>
          <t>الركيزة</t>
        </is>
      </c>
      <c r="E1" s="25" t="inlineStr">
        <is>
          <t>المشروع</t>
        </is>
      </c>
      <c r="F1" s="25" t="inlineStr">
        <is>
          <t>منظور BSC</t>
        </is>
      </c>
      <c r="G1" s="25" t="inlineStr">
        <is>
          <t>نسبة التحقيق</t>
        </is>
      </c>
      <c r="H1" s="25" t="inlineStr">
        <is>
          <t>الحالة</t>
        </is>
      </c>
      <c r="I1" s="25" t="inlineStr">
        <is>
          <t>الوزن</t>
        </is>
      </c>
      <c r="J1" s="25" t="inlineStr">
        <is>
          <t>و×ن</t>
        </is>
      </c>
      <c r="K1" s="25" t="inlineStr">
        <is>
          <t>الوزن المتاح</t>
        </is>
      </c>
    </row>
    <row r="2">
      <c r="A2" s="23" t="n">
        <v>1</v>
      </c>
      <c r="B2" s="26" t="inlineStr">
        <is>
          <t>الإدارة التنفيذية</t>
        </is>
      </c>
      <c r="C2" s="26">
        <f>'الإدارة التنفيذية'!C4</f>
        <v/>
      </c>
      <c r="D2" s="23">
        <f>'الإدارة التنفيذية'!J4</f>
        <v/>
      </c>
      <c r="E2" s="26">
        <f>'الإدارة التنفيذية'!K4</f>
        <v/>
      </c>
      <c r="F2" s="23">
        <f>'الإدارة التنفيذية'!L4</f>
        <v/>
      </c>
      <c r="G2" s="50">
        <f>'الإدارة التنفيذية'!N4</f>
        <v/>
      </c>
      <c r="H2" s="23">
        <f>'الإدارة التنفيذية'!O4</f>
        <v/>
      </c>
      <c r="I2" s="28">
        <f>'الإدارة التنفيذية'!G4</f>
        <v/>
      </c>
      <c r="J2" s="23">
        <f>IF($G2="",0,$G2*$I2)</f>
        <v/>
      </c>
      <c r="K2" s="23">
        <f>IF($G2="",0,$I2)</f>
        <v/>
      </c>
    </row>
    <row r="3">
      <c r="A3" s="23" t="n">
        <v>2</v>
      </c>
      <c r="B3" s="26" t="inlineStr">
        <is>
          <t>الإدارة التنفيذية</t>
        </is>
      </c>
      <c r="C3" s="26">
        <f>'الإدارة التنفيذية'!C5</f>
        <v/>
      </c>
      <c r="D3" s="23">
        <f>'الإدارة التنفيذية'!J5</f>
        <v/>
      </c>
      <c r="E3" s="26">
        <f>'الإدارة التنفيذية'!K5</f>
        <v/>
      </c>
      <c r="F3" s="23">
        <f>'الإدارة التنفيذية'!L5</f>
        <v/>
      </c>
      <c r="G3" s="50">
        <f>'الإدارة التنفيذية'!N5</f>
        <v/>
      </c>
      <c r="H3" s="23">
        <f>'الإدارة التنفيذية'!O5</f>
        <v/>
      </c>
      <c r="I3" s="28">
        <f>'الإدارة التنفيذية'!G5</f>
        <v/>
      </c>
      <c r="J3" s="23">
        <f>IF($G3="",0,$G3*$I3)</f>
        <v/>
      </c>
      <c r="K3" s="23">
        <f>IF($G3="",0,$I3)</f>
        <v/>
      </c>
    </row>
    <row r="4">
      <c r="A4" s="23" t="n">
        <v>3</v>
      </c>
      <c r="B4" s="26" t="inlineStr">
        <is>
          <t>الإدارة التنفيذية</t>
        </is>
      </c>
      <c r="C4" s="26">
        <f>'الإدارة التنفيذية'!C6</f>
        <v/>
      </c>
      <c r="D4" s="23">
        <f>'الإدارة التنفيذية'!J6</f>
        <v/>
      </c>
      <c r="E4" s="26">
        <f>'الإدارة التنفيذية'!K6</f>
        <v/>
      </c>
      <c r="F4" s="23">
        <f>'الإدارة التنفيذية'!L6</f>
        <v/>
      </c>
      <c r="G4" s="50">
        <f>'الإدارة التنفيذية'!N6</f>
        <v/>
      </c>
      <c r="H4" s="23">
        <f>'الإدارة التنفيذية'!O6</f>
        <v/>
      </c>
      <c r="I4" s="28">
        <f>'الإدارة التنفيذية'!G6</f>
        <v/>
      </c>
      <c r="J4" s="23">
        <f>IF($G4="",0,$G4*$I4)</f>
        <v/>
      </c>
      <c r="K4" s="23">
        <f>IF($G4="",0,$I4)</f>
        <v/>
      </c>
    </row>
    <row r="5">
      <c r="A5" s="23" t="n">
        <v>4</v>
      </c>
      <c r="B5" s="26" t="inlineStr">
        <is>
          <t>الإدارة التنفيذية</t>
        </is>
      </c>
      <c r="C5" s="26">
        <f>'الإدارة التنفيذية'!C7</f>
        <v/>
      </c>
      <c r="D5" s="23">
        <f>'الإدارة التنفيذية'!J7</f>
        <v/>
      </c>
      <c r="E5" s="26">
        <f>'الإدارة التنفيذية'!K7</f>
        <v/>
      </c>
      <c r="F5" s="23">
        <f>'الإدارة التنفيذية'!L7</f>
        <v/>
      </c>
      <c r="G5" s="50">
        <f>'الإدارة التنفيذية'!N7</f>
        <v/>
      </c>
      <c r="H5" s="23">
        <f>'الإدارة التنفيذية'!O7</f>
        <v/>
      </c>
      <c r="I5" s="28">
        <f>'الإدارة التنفيذية'!G7</f>
        <v/>
      </c>
      <c r="J5" s="23">
        <f>IF($G5="",0,$G5*$I5)</f>
        <v/>
      </c>
      <c r="K5" s="23">
        <f>IF($G5="",0,$I5)</f>
        <v/>
      </c>
    </row>
    <row r="6">
      <c r="A6" s="23" t="n">
        <v>5</v>
      </c>
      <c r="B6" s="26" t="inlineStr">
        <is>
          <t>الإدارة التنفيذية</t>
        </is>
      </c>
      <c r="C6" s="26">
        <f>'الإدارة التنفيذية'!C8</f>
        <v/>
      </c>
      <c r="D6" s="23">
        <f>'الإدارة التنفيذية'!J8</f>
        <v/>
      </c>
      <c r="E6" s="26">
        <f>'الإدارة التنفيذية'!K8</f>
        <v/>
      </c>
      <c r="F6" s="23">
        <f>'الإدارة التنفيذية'!L8</f>
        <v/>
      </c>
      <c r="G6" s="50">
        <f>'الإدارة التنفيذية'!N8</f>
        <v/>
      </c>
      <c r="H6" s="23">
        <f>'الإدارة التنفيذية'!O8</f>
        <v/>
      </c>
      <c r="I6" s="28">
        <f>'الإدارة التنفيذية'!G8</f>
        <v/>
      </c>
      <c r="J6" s="23">
        <f>IF($G6="",0,$G6*$I6)</f>
        <v/>
      </c>
      <c r="K6" s="23">
        <f>IF($G6="",0,$I6)</f>
        <v/>
      </c>
    </row>
    <row r="7">
      <c r="A7" s="23" t="n">
        <v>6</v>
      </c>
      <c r="B7" s="26" t="inlineStr">
        <is>
          <t>الإدارة التنفيذية</t>
        </is>
      </c>
      <c r="C7" s="26">
        <f>'الإدارة التنفيذية'!C9</f>
        <v/>
      </c>
      <c r="D7" s="23">
        <f>'الإدارة التنفيذية'!J9</f>
        <v/>
      </c>
      <c r="E7" s="26">
        <f>'الإدارة التنفيذية'!K9</f>
        <v/>
      </c>
      <c r="F7" s="23">
        <f>'الإدارة التنفيذية'!L9</f>
        <v/>
      </c>
      <c r="G7" s="50">
        <f>'الإدارة التنفيذية'!N9</f>
        <v/>
      </c>
      <c r="H7" s="23">
        <f>'الإدارة التنفيذية'!O9</f>
        <v/>
      </c>
      <c r="I7" s="28">
        <f>'الإدارة التنفيذية'!G9</f>
        <v/>
      </c>
      <c r="J7" s="23">
        <f>IF($G7="",0,$G7*$I7)</f>
        <v/>
      </c>
      <c r="K7" s="23">
        <f>IF($G7="",0,$I7)</f>
        <v/>
      </c>
    </row>
    <row r="8">
      <c r="A8" s="23" t="n">
        <v>7</v>
      </c>
      <c r="B8" s="26" t="inlineStr">
        <is>
          <t>الإدارة التنفيذية</t>
        </is>
      </c>
      <c r="C8" s="26">
        <f>'الإدارة التنفيذية'!C10</f>
        <v/>
      </c>
      <c r="D8" s="23">
        <f>'الإدارة التنفيذية'!J10</f>
        <v/>
      </c>
      <c r="E8" s="26">
        <f>'الإدارة التنفيذية'!K10</f>
        <v/>
      </c>
      <c r="F8" s="23">
        <f>'الإدارة التنفيذية'!L10</f>
        <v/>
      </c>
      <c r="G8" s="50">
        <f>'الإدارة التنفيذية'!N10</f>
        <v/>
      </c>
      <c r="H8" s="23">
        <f>'الإدارة التنفيذية'!O10</f>
        <v/>
      </c>
      <c r="I8" s="28">
        <f>'الإدارة التنفيذية'!G10</f>
        <v/>
      </c>
      <c r="J8" s="23">
        <f>IF($G8="",0,$G8*$I8)</f>
        <v/>
      </c>
      <c r="K8" s="23">
        <f>IF($G8="",0,$I8)</f>
        <v/>
      </c>
    </row>
    <row r="9">
      <c r="A9" s="23" t="n">
        <v>8</v>
      </c>
      <c r="B9" s="26" t="inlineStr">
        <is>
          <t>الإدارة التنفيذية</t>
        </is>
      </c>
      <c r="C9" s="26">
        <f>'الإدارة التنفيذية'!C11</f>
        <v/>
      </c>
      <c r="D9" s="23">
        <f>'الإدارة التنفيذية'!J11</f>
        <v/>
      </c>
      <c r="E9" s="26">
        <f>'الإدارة التنفيذية'!K11</f>
        <v/>
      </c>
      <c r="F9" s="23">
        <f>'الإدارة التنفيذية'!L11</f>
        <v/>
      </c>
      <c r="G9" s="50">
        <f>'الإدارة التنفيذية'!N11</f>
        <v/>
      </c>
      <c r="H9" s="23">
        <f>'الإدارة التنفيذية'!O11</f>
        <v/>
      </c>
      <c r="I9" s="28">
        <f>'الإدارة التنفيذية'!G11</f>
        <v/>
      </c>
      <c r="J9" s="23">
        <f>IF($G9="",0,$G9*$I9)</f>
        <v/>
      </c>
      <c r="K9" s="23">
        <f>IF($G9="",0,$I9)</f>
        <v/>
      </c>
    </row>
    <row r="10">
      <c r="A10" s="23" t="n">
        <v>9</v>
      </c>
      <c r="B10" s="26" t="inlineStr">
        <is>
          <t>الإدارة التنفيذية</t>
        </is>
      </c>
      <c r="C10" s="26">
        <f>'الإدارة التنفيذية'!C12</f>
        <v/>
      </c>
      <c r="D10" s="23">
        <f>'الإدارة التنفيذية'!J12</f>
        <v/>
      </c>
      <c r="E10" s="26">
        <f>'الإدارة التنفيذية'!K12</f>
        <v/>
      </c>
      <c r="F10" s="23">
        <f>'الإدارة التنفيذية'!L12</f>
        <v/>
      </c>
      <c r="G10" s="50">
        <f>'الإدارة التنفيذية'!N12</f>
        <v/>
      </c>
      <c r="H10" s="23">
        <f>'الإدارة التنفيذية'!O12</f>
        <v/>
      </c>
      <c r="I10" s="28">
        <f>'الإدارة التنفيذية'!G12</f>
        <v/>
      </c>
      <c r="J10" s="23">
        <f>IF($G10="",0,$G10*$I10)</f>
        <v/>
      </c>
      <c r="K10" s="23">
        <f>IF($G10="",0,$I10)</f>
        <v/>
      </c>
    </row>
    <row r="11">
      <c r="A11" s="23" t="n">
        <v>10</v>
      </c>
      <c r="B11" s="26" t="inlineStr">
        <is>
          <t>الإدارة التنفيذية</t>
        </is>
      </c>
      <c r="C11" s="26">
        <f>'الإدارة التنفيذية'!C13</f>
        <v/>
      </c>
      <c r="D11" s="23">
        <f>'الإدارة التنفيذية'!J13</f>
        <v/>
      </c>
      <c r="E11" s="26">
        <f>'الإدارة التنفيذية'!K13</f>
        <v/>
      </c>
      <c r="F11" s="23">
        <f>'الإدارة التنفيذية'!L13</f>
        <v/>
      </c>
      <c r="G11" s="50">
        <f>'الإدارة التنفيذية'!N13</f>
        <v/>
      </c>
      <c r="H11" s="23">
        <f>'الإدارة التنفيذية'!O13</f>
        <v/>
      </c>
      <c r="I11" s="28">
        <f>'الإدارة التنفيذية'!G13</f>
        <v/>
      </c>
      <c r="J11" s="23">
        <f>IF($G11="",0,$G11*$I11)</f>
        <v/>
      </c>
      <c r="K11" s="23">
        <f>IF($G11="",0,$I11)</f>
        <v/>
      </c>
    </row>
    <row r="12">
      <c r="A12" s="23" t="n">
        <v>11</v>
      </c>
      <c r="B12" s="26" t="inlineStr">
        <is>
          <t>الامتياز التجاري</t>
        </is>
      </c>
      <c r="C12" s="26">
        <f>'الامتياز التجاري'!C4</f>
        <v/>
      </c>
      <c r="D12" s="23">
        <f>'الامتياز التجاري'!J4</f>
        <v/>
      </c>
      <c r="E12" s="26">
        <f>'الامتياز التجاري'!K4</f>
        <v/>
      </c>
      <c r="F12" s="23">
        <f>'الامتياز التجاري'!L4</f>
        <v/>
      </c>
      <c r="G12" s="50">
        <f>'الامتياز التجاري'!N4</f>
        <v/>
      </c>
      <c r="H12" s="23">
        <f>'الامتياز التجاري'!O4</f>
        <v/>
      </c>
      <c r="I12" s="28">
        <f>'الامتياز التجاري'!G4</f>
        <v/>
      </c>
      <c r="J12" s="23">
        <f>IF($G12="",0,$G12*$I12)</f>
        <v/>
      </c>
      <c r="K12" s="23">
        <f>IF($G12="",0,$I12)</f>
        <v/>
      </c>
    </row>
    <row r="13">
      <c r="A13" s="23" t="n">
        <v>12</v>
      </c>
      <c r="B13" s="26" t="inlineStr">
        <is>
          <t>الامتياز التجاري</t>
        </is>
      </c>
      <c r="C13" s="26">
        <f>'الامتياز التجاري'!C5</f>
        <v/>
      </c>
      <c r="D13" s="23">
        <f>'الامتياز التجاري'!J5</f>
        <v/>
      </c>
      <c r="E13" s="26">
        <f>'الامتياز التجاري'!K5</f>
        <v/>
      </c>
      <c r="F13" s="23">
        <f>'الامتياز التجاري'!L5</f>
        <v/>
      </c>
      <c r="G13" s="50">
        <f>'الامتياز التجاري'!N5</f>
        <v/>
      </c>
      <c r="H13" s="23">
        <f>'الامتياز التجاري'!O5</f>
        <v/>
      </c>
      <c r="I13" s="28">
        <f>'الامتياز التجاري'!G5</f>
        <v/>
      </c>
      <c r="J13" s="23">
        <f>IF($G13="",0,$G13*$I13)</f>
        <v/>
      </c>
      <c r="K13" s="23">
        <f>IF($G13="",0,$I13)</f>
        <v/>
      </c>
    </row>
    <row r="14">
      <c r="A14" s="23" t="n">
        <v>13</v>
      </c>
      <c r="B14" s="26" t="inlineStr">
        <is>
          <t>الامتياز التجاري</t>
        </is>
      </c>
      <c r="C14" s="26">
        <f>'الامتياز التجاري'!C6</f>
        <v/>
      </c>
      <c r="D14" s="23">
        <f>'الامتياز التجاري'!J6</f>
        <v/>
      </c>
      <c r="E14" s="26">
        <f>'الامتياز التجاري'!K6</f>
        <v/>
      </c>
      <c r="F14" s="23">
        <f>'الامتياز التجاري'!L6</f>
        <v/>
      </c>
      <c r="G14" s="50">
        <f>'الامتياز التجاري'!N6</f>
        <v/>
      </c>
      <c r="H14" s="23">
        <f>'الامتياز التجاري'!O6</f>
        <v/>
      </c>
      <c r="I14" s="28">
        <f>'الامتياز التجاري'!G6</f>
        <v/>
      </c>
      <c r="J14" s="23">
        <f>IF($G14="",0,$G14*$I14)</f>
        <v/>
      </c>
      <c r="K14" s="23">
        <f>IF($G14="",0,$I14)</f>
        <v/>
      </c>
    </row>
    <row r="15">
      <c r="A15" s="23" t="n">
        <v>14</v>
      </c>
      <c r="B15" s="26" t="inlineStr">
        <is>
          <t>الامتياز التجاري</t>
        </is>
      </c>
      <c r="C15" s="26">
        <f>'الامتياز التجاري'!C7</f>
        <v/>
      </c>
      <c r="D15" s="23">
        <f>'الامتياز التجاري'!J7</f>
        <v/>
      </c>
      <c r="E15" s="26">
        <f>'الامتياز التجاري'!K7</f>
        <v/>
      </c>
      <c r="F15" s="23">
        <f>'الامتياز التجاري'!L7</f>
        <v/>
      </c>
      <c r="G15" s="50">
        <f>'الامتياز التجاري'!N7</f>
        <v/>
      </c>
      <c r="H15" s="23">
        <f>'الامتياز التجاري'!O7</f>
        <v/>
      </c>
      <c r="I15" s="28">
        <f>'الامتياز التجاري'!G7</f>
        <v/>
      </c>
      <c r="J15" s="23">
        <f>IF($G15="",0,$G15*$I15)</f>
        <v/>
      </c>
      <c r="K15" s="23">
        <f>IF($G15="",0,$I15)</f>
        <v/>
      </c>
    </row>
    <row r="16">
      <c r="A16" s="23" t="n">
        <v>15</v>
      </c>
      <c r="B16" s="26" t="inlineStr">
        <is>
          <t>الامتياز التجاري</t>
        </is>
      </c>
      <c r="C16" s="26">
        <f>'الامتياز التجاري'!C8</f>
        <v/>
      </c>
      <c r="D16" s="23">
        <f>'الامتياز التجاري'!J8</f>
        <v/>
      </c>
      <c r="E16" s="26">
        <f>'الامتياز التجاري'!K8</f>
        <v/>
      </c>
      <c r="F16" s="23">
        <f>'الامتياز التجاري'!L8</f>
        <v/>
      </c>
      <c r="G16" s="50">
        <f>'الامتياز التجاري'!N8</f>
        <v/>
      </c>
      <c r="H16" s="23">
        <f>'الامتياز التجاري'!O8</f>
        <v/>
      </c>
      <c r="I16" s="28">
        <f>'الامتياز التجاري'!G8</f>
        <v/>
      </c>
      <c r="J16" s="23">
        <f>IF($G16="",0,$G16*$I16)</f>
        <v/>
      </c>
      <c r="K16" s="23">
        <f>IF($G16="",0,$I16)</f>
        <v/>
      </c>
    </row>
    <row r="17">
      <c r="A17" s="23" t="n">
        <v>16</v>
      </c>
      <c r="B17" s="26" t="inlineStr">
        <is>
          <t>الامتياز التجاري</t>
        </is>
      </c>
      <c r="C17" s="26">
        <f>'الامتياز التجاري'!C9</f>
        <v/>
      </c>
      <c r="D17" s="23">
        <f>'الامتياز التجاري'!J9</f>
        <v/>
      </c>
      <c r="E17" s="26">
        <f>'الامتياز التجاري'!K9</f>
        <v/>
      </c>
      <c r="F17" s="23">
        <f>'الامتياز التجاري'!L9</f>
        <v/>
      </c>
      <c r="G17" s="50">
        <f>'الامتياز التجاري'!N9</f>
        <v/>
      </c>
      <c r="H17" s="23">
        <f>'الامتياز التجاري'!O9</f>
        <v/>
      </c>
      <c r="I17" s="28">
        <f>'الامتياز التجاري'!G9</f>
        <v/>
      </c>
      <c r="J17" s="23">
        <f>IF($G17="",0,$G17*$I17)</f>
        <v/>
      </c>
      <c r="K17" s="23">
        <f>IF($G17="",0,$I17)</f>
        <v/>
      </c>
    </row>
    <row r="18">
      <c r="A18" s="23" t="n">
        <v>17</v>
      </c>
      <c r="B18" s="26" t="inlineStr">
        <is>
          <t>الامتياز التجاري</t>
        </is>
      </c>
      <c r="C18" s="26">
        <f>'الامتياز التجاري'!C10</f>
        <v/>
      </c>
      <c r="D18" s="23">
        <f>'الامتياز التجاري'!J10</f>
        <v/>
      </c>
      <c r="E18" s="26">
        <f>'الامتياز التجاري'!K10</f>
        <v/>
      </c>
      <c r="F18" s="23">
        <f>'الامتياز التجاري'!L10</f>
        <v/>
      </c>
      <c r="G18" s="50">
        <f>'الامتياز التجاري'!N10</f>
        <v/>
      </c>
      <c r="H18" s="23">
        <f>'الامتياز التجاري'!O10</f>
        <v/>
      </c>
      <c r="I18" s="28">
        <f>'الامتياز التجاري'!G10</f>
        <v/>
      </c>
      <c r="J18" s="23">
        <f>IF($G18="",0,$G18*$I18)</f>
        <v/>
      </c>
      <c r="K18" s="23">
        <f>IF($G18="",0,$I18)</f>
        <v/>
      </c>
    </row>
    <row r="19">
      <c r="A19" s="23" t="n">
        <v>18</v>
      </c>
      <c r="B19" s="26" t="inlineStr">
        <is>
          <t>الامتياز التجاري</t>
        </is>
      </c>
      <c r="C19" s="26">
        <f>'الامتياز التجاري'!C11</f>
        <v/>
      </c>
      <c r="D19" s="23">
        <f>'الامتياز التجاري'!J11</f>
        <v/>
      </c>
      <c r="E19" s="26">
        <f>'الامتياز التجاري'!K11</f>
        <v/>
      </c>
      <c r="F19" s="23">
        <f>'الامتياز التجاري'!L11</f>
        <v/>
      </c>
      <c r="G19" s="50">
        <f>'الامتياز التجاري'!N11</f>
        <v/>
      </c>
      <c r="H19" s="23">
        <f>'الامتياز التجاري'!O11</f>
        <v/>
      </c>
      <c r="I19" s="28">
        <f>'الامتياز التجاري'!G11</f>
        <v/>
      </c>
      <c r="J19" s="23">
        <f>IF($G19="",0,$G19*$I19)</f>
        <v/>
      </c>
      <c r="K19" s="23">
        <f>IF($G19="",0,$I19)</f>
        <v/>
      </c>
    </row>
    <row r="20">
      <c r="A20" s="23" t="n">
        <v>19</v>
      </c>
      <c r="B20" s="26" t="inlineStr">
        <is>
          <t>الامتياز التجاري</t>
        </is>
      </c>
      <c r="C20" s="26">
        <f>'الامتياز التجاري'!C12</f>
        <v/>
      </c>
      <c r="D20" s="23">
        <f>'الامتياز التجاري'!J12</f>
        <v/>
      </c>
      <c r="E20" s="26">
        <f>'الامتياز التجاري'!K12</f>
        <v/>
      </c>
      <c r="F20" s="23">
        <f>'الامتياز التجاري'!L12</f>
        <v/>
      </c>
      <c r="G20" s="50">
        <f>'الامتياز التجاري'!N12</f>
        <v/>
      </c>
      <c r="H20" s="23">
        <f>'الامتياز التجاري'!O12</f>
        <v/>
      </c>
      <c r="I20" s="28">
        <f>'الامتياز التجاري'!G12</f>
        <v/>
      </c>
      <c r="J20" s="23">
        <f>IF($G20="",0,$G20*$I20)</f>
        <v/>
      </c>
      <c r="K20" s="23">
        <f>IF($G20="",0,$I20)</f>
        <v/>
      </c>
    </row>
    <row r="21">
      <c r="A21" s="23" t="n">
        <v>20</v>
      </c>
      <c r="B21" s="26" t="inlineStr">
        <is>
          <t>الامتياز التجاري</t>
        </is>
      </c>
      <c r="C21" s="26">
        <f>'الامتياز التجاري'!C13</f>
        <v/>
      </c>
      <c r="D21" s="23">
        <f>'الامتياز التجاري'!J13</f>
        <v/>
      </c>
      <c r="E21" s="26">
        <f>'الامتياز التجاري'!K13</f>
        <v/>
      </c>
      <c r="F21" s="23">
        <f>'الامتياز التجاري'!L13</f>
        <v/>
      </c>
      <c r="G21" s="50">
        <f>'الامتياز التجاري'!N13</f>
        <v/>
      </c>
      <c r="H21" s="23">
        <f>'الامتياز التجاري'!O13</f>
        <v/>
      </c>
      <c r="I21" s="28">
        <f>'الامتياز التجاري'!G13</f>
        <v/>
      </c>
      <c r="J21" s="23">
        <f>IF($G21="",0,$G21*$I21)</f>
        <v/>
      </c>
      <c r="K21" s="23">
        <f>IF($G21="",0,$I21)</f>
        <v/>
      </c>
    </row>
    <row r="22">
      <c r="A22" s="23" t="n">
        <v>21</v>
      </c>
      <c r="B22" s="26" t="inlineStr">
        <is>
          <t>الامتياز التجاري</t>
        </is>
      </c>
      <c r="C22" s="26">
        <f>'الامتياز التجاري'!C14</f>
        <v/>
      </c>
      <c r="D22" s="23">
        <f>'الامتياز التجاري'!J14</f>
        <v/>
      </c>
      <c r="E22" s="26">
        <f>'الامتياز التجاري'!K14</f>
        <v/>
      </c>
      <c r="F22" s="23">
        <f>'الامتياز التجاري'!L14</f>
        <v/>
      </c>
      <c r="G22" s="50">
        <f>'الامتياز التجاري'!N14</f>
        <v/>
      </c>
      <c r="H22" s="23">
        <f>'الامتياز التجاري'!O14</f>
        <v/>
      </c>
      <c r="I22" s="28">
        <f>'الامتياز التجاري'!G14</f>
        <v/>
      </c>
      <c r="J22" s="23">
        <f>IF($G22="",0,$G22*$I22)</f>
        <v/>
      </c>
      <c r="K22" s="23">
        <f>IF($G22="",0,$I22)</f>
        <v/>
      </c>
    </row>
    <row r="23">
      <c r="A23" s="23" t="n">
        <v>22</v>
      </c>
      <c r="B23" s="26" t="inlineStr">
        <is>
          <t>الامتياز التجاري</t>
        </is>
      </c>
      <c r="C23" s="26">
        <f>'الامتياز التجاري'!C15</f>
        <v/>
      </c>
      <c r="D23" s="23">
        <f>'الامتياز التجاري'!J15</f>
        <v/>
      </c>
      <c r="E23" s="26">
        <f>'الامتياز التجاري'!K15</f>
        <v/>
      </c>
      <c r="F23" s="23">
        <f>'الامتياز التجاري'!L15</f>
        <v/>
      </c>
      <c r="G23" s="50">
        <f>'الامتياز التجاري'!N15</f>
        <v/>
      </c>
      <c r="H23" s="23">
        <f>'الامتياز التجاري'!O15</f>
        <v/>
      </c>
      <c r="I23" s="28">
        <f>'الامتياز التجاري'!G15</f>
        <v/>
      </c>
      <c r="J23" s="23">
        <f>IF($G23="",0,$G23*$I23)</f>
        <v/>
      </c>
      <c r="K23" s="23">
        <f>IF($G23="",0,$I23)</f>
        <v/>
      </c>
    </row>
    <row r="24">
      <c r="A24" s="23" t="n">
        <v>23</v>
      </c>
      <c r="B24" s="26" t="inlineStr">
        <is>
          <t>الامتياز التجاري</t>
        </is>
      </c>
      <c r="C24" s="26">
        <f>'الامتياز التجاري'!C16</f>
        <v/>
      </c>
      <c r="D24" s="23">
        <f>'الامتياز التجاري'!J16</f>
        <v/>
      </c>
      <c r="E24" s="26">
        <f>'الامتياز التجاري'!K16</f>
        <v/>
      </c>
      <c r="F24" s="23">
        <f>'الامتياز التجاري'!L16</f>
        <v/>
      </c>
      <c r="G24" s="50">
        <f>'الامتياز التجاري'!N16</f>
        <v/>
      </c>
      <c r="H24" s="23">
        <f>'الامتياز التجاري'!O16</f>
        <v/>
      </c>
      <c r="I24" s="28">
        <f>'الامتياز التجاري'!G16</f>
        <v/>
      </c>
      <c r="J24" s="23">
        <f>IF($G24="",0,$G24*$I24)</f>
        <v/>
      </c>
      <c r="K24" s="23">
        <f>IF($G24="",0,$I24)</f>
        <v/>
      </c>
    </row>
    <row r="25">
      <c r="A25" s="23" t="n">
        <v>24</v>
      </c>
      <c r="B25" s="26" t="inlineStr">
        <is>
          <t>الامتياز التجاري</t>
        </is>
      </c>
      <c r="C25" s="26">
        <f>'الامتياز التجاري'!C17</f>
        <v/>
      </c>
      <c r="D25" s="23">
        <f>'الامتياز التجاري'!J17</f>
        <v/>
      </c>
      <c r="E25" s="26">
        <f>'الامتياز التجاري'!K17</f>
        <v/>
      </c>
      <c r="F25" s="23">
        <f>'الامتياز التجاري'!L17</f>
        <v/>
      </c>
      <c r="G25" s="50">
        <f>'الامتياز التجاري'!N17</f>
        <v/>
      </c>
      <c r="H25" s="23">
        <f>'الامتياز التجاري'!O17</f>
        <v/>
      </c>
      <c r="I25" s="28">
        <f>'الامتياز التجاري'!G17</f>
        <v/>
      </c>
      <c r="J25" s="23">
        <f>IF($G25="",0,$G25*$I25)</f>
        <v/>
      </c>
      <c r="K25" s="23">
        <f>IF($G25="",0,$I25)</f>
        <v/>
      </c>
    </row>
    <row r="26">
      <c r="A26" s="23" t="n">
        <v>25</v>
      </c>
      <c r="B26" s="26" t="inlineStr">
        <is>
          <t>الامتياز التجاري</t>
        </is>
      </c>
      <c r="C26" s="26">
        <f>'الامتياز التجاري'!C18</f>
        <v/>
      </c>
      <c r="D26" s="23">
        <f>'الامتياز التجاري'!J18</f>
        <v/>
      </c>
      <c r="E26" s="26">
        <f>'الامتياز التجاري'!K18</f>
        <v/>
      </c>
      <c r="F26" s="23">
        <f>'الامتياز التجاري'!L18</f>
        <v/>
      </c>
      <c r="G26" s="50">
        <f>'الامتياز التجاري'!N18</f>
        <v/>
      </c>
      <c r="H26" s="23">
        <f>'الامتياز التجاري'!O18</f>
        <v/>
      </c>
      <c r="I26" s="28">
        <f>'الامتياز التجاري'!G18</f>
        <v/>
      </c>
      <c r="J26" s="23">
        <f>IF($G26="",0,$G26*$I26)</f>
        <v/>
      </c>
      <c r="K26" s="23">
        <f>IF($G26="",0,$I26)</f>
        <v/>
      </c>
    </row>
    <row r="27">
      <c r="A27" s="23" t="n">
        <v>26</v>
      </c>
      <c r="B27" s="26" t="inlineStr">
        <is>
          <t>الامتياز التجاري</t>
        </is>
      </c>
      <c r="C27" s="26">
        <f>'الامتياز التجاري'!C19</f>
        <v/>
      </c>
      <c r="D27" s="23">
        <f>'الامتياز التجاري'!J19</f>
        <v/>
      </c>
      <c r="E27" s="26">
        <f>'الامتياز التجاري'!K19</f>
        <v/>
      </c>
      <c r="F27" s="23">
        <f>'الامتياز التجاري'!L19</f>
        <v/>
      </c>
      <c r="G27" s="50">
        <f>'الامتياز التجاري'!N19</f>
        <v/>
      </c>
      <c r="H27" s="23">
        <f>'الامتياز التجاري'!O19</f>
        <v/>
      </c>
      <c r="I27" s="28">
        <f>'الامتياز التجاري'!G19</f>
        <v/>
      </c>
      <c r="J27" s="23">
        <f>IF($G27="",0,$G27*$I27)</f>
        <v/>
      </c>
      <c r="K27" s="23">
        <f>IF($G27="",0,$I27)</f>
        <v/>
      </c>
    </row>
    <row r="28">
      <c r="A28" s="23" t="n">
        <v>27</v>
      </c>
      <c r="B28" s="26" t="inlineStr">
        <is>
          <t>الامتياز التجاري</t>
        </is>
      </c>
      <c r="C28" s="26">
        <f>'الامتياز التجاري'!C20</f>
        <v/>
      </c>
      <c r="D28" s="23">
        <f>'الامتياز التجاري'!J20</f>
        <v/>
      </c>
      <c r="E28" s="26">
        <f>'الامتياز التجاري'!K20</f>
        <v/>
      </c>
      <c r="F28" s="23">
        <f>'الامتياز التجاري'!L20</f>
        <v/>
      </c>
      <c r="G28" s="50">
        <f>'الامتياز التجاري'!N20</f>
        <v/>
      </c>
      <c r="H28" s="23">
        <f>'الامتياز التجاري'!O20</f>
        <v/>
      </c>
      <c r="I28" s="28">
        <f>'الامتياز التجاري'!G20</f>
        <v/>
      </c>
      <c r="J28" s="23">
        <f>IF($G28="",0,$G28*$I28)</f>
        <v/>
      </c>
      <c r="K28" s="23">
        <f>IF($G28="",0,$I28)</f>
        <v/>
      </c>
    </row>
    <row r="29">
      <c r="A29" s="23" t="n">
        <v>28</v>
      </c>
      <c r="B29" s="26" t="inlineStr">
        <is>
          <t>الامتياز التجاري</t>
        </is>
      </c>
      <c r="C29" s="26">
        <f>'الامتياز التجاري'!C21</f>
        <v/>
      </c>
      <c r="D29" s="23">
        <f>'الامتياز التجاري'!J21</f>
        <v/>
      </c>
      <c r="E29" s="26">
        <f>'الامتياز التجاري'!K21</f>
        <v/>
      </c>
      <c r="F29" s="23">
        <f>'الامتياز التجاري'!L21</f>
        <v/>
      </c>
      <c r="G29" s="50">
        <f>'الامتياز التجاري'!N21</f>
        <v/>
      </c>
      <c r="H29" s="23">
        <f>'الامتياز التجاري'!O21</f>
        <v/>
      </c>
      <c r="I29" s="28">
        <f>'الامتياز التجاري'!G21</f>
        <v/>
      </c>
      <c r="J29" s="23">
        <f>IF($G29="",0,$G29*$I29)</f>
        <v/>
      </c>
      <c r="K29" s="23">
        <f>IF($G29="",0,$I29)</f>
        <v/>
      </c>
    </row>
    <row r="30">
      <c r="A30" s="23" t="n">
        <v>29</v>
      </c>
      <c r="B30" s="26" t="inlineStr">
        <is>
          <t>الامتياز التجاري</t>
        </is>
      </c>
      <c r="C30" s="26">
        <f>'الامتياز التجاري'!C22</f>
        <v/>
      </c>
      <c r="D30" s="23">
        <f>'الامتياز التجاري'!J22</f>
        <v/>
      </c>
      <c r="E30" s="26">
        <f>'الامتياز التجاري'!K22</f>
        <v/>
      </c>
      <c r="F30" s="23">
        <f>'الامتياز التجاري'!L22</f>
        <v/>
      </c>
      <c r="G30" s="50">
        <f>'الامتياز التجاري'!N22</f>
        <v/>
      </c>
      <c r="H30" s="23">
        <f>'الامتياز التجاري'!O22</f>
        <v/>
      </c>
      <c r="I30" s="28">
        <f>'الامتياز التجاري'!G22</f>
        <v/>
      </c>
      <c r="J30" s="23">
        <f>IF($G30="",0,$G30*$I30)</f>
        <v/>
      </c>
      <c r="K30" s="23">
        <f>IF($G30="",0,$I30)</f>
        <v/>
      </c>
    </row>
    <row r="31">
      <c r="A31" s="23" t="n">
        <v>30</v>
      </c>
      <c r="B31" s="26" t="inlineStr">
        <is>
          <t>الامتياز التجاري</t>
        </is>
      </c>
      <c r="C31" s="26">
        <f>'الامتياز التجاري'!C23</f>
        <v/>
      </c>
      <c r="D31" s="23">
        <f>'الامتياز التجاري'!J23</f>
        <v/>
      </c>
      <c r="E31" s="26">
        <f>'الامتياز التجاري'!K23</f>
        <v/>
      </c>
      <c r="F31" s="23">
        <f>'الامتياز التجاري'!L23</f>
        <v/>
      </c>
      <c r="G31" s="50">
        <f>'الامتياز التجاري'!N23</f>
        <v/>
      </c>
      <c r="H31" s="23">
        <f>'الامتياز التجاري'!O23</f>
        <v/>
      </c>
      <c r="I31" s="28">
        <f>'الامتياز التجاري'!G23</f>
        <v/>
      </c>
      <c r="J31" s="23">
        <f>IF($G31="",0,$G31*$I31)</f>
        <v/>
      </c>
      <c r="K31" s="23">
        <f>IF($G31="",0,$I31)</f>
        <v/>
      </c>
    </row>
    <row r="32">
      <c r="A32" s="23" t="n">
        <v>31</v>
      </c>
      <c r="B32" s="26" t="inlineStr">
        <is>
          <t>الامتياز التجاري</t>
        </is>
      </c>
      <c r="C32" s="26">
        <f>'الامتياز التجاري'!C24</f>
        <v/>
      </c>
      <c r="D32" s="23">
        <f>'الامتياز التجاري'!J24</f>
        <v/>
      </c>
      <c r="E32" s="26">
        <f>'الامتياز التجاري'!K24</f>
        <v/>
      </c>
      <c r="F32" s="23">
        <f>'الامتياز التجاري'!L24</f>
        <v/>
      </c>
      <c r="G32" s="50">
        <f>'الامتياز التجاري'!N24</f>
        <v/>
      </c>
      <c r="H32" s="23">
        <f>'الامتياز التجاري'!O24</f>
        <v/>
      </c>
      <c r="I32" s="28">
        <f>'الامتياز التجاري'!G24</f>
        <v/>
      </c>
      <c r="J32" s="23">
        <f>IF($G32="",0,$G32*$I32)</f>
        <v/>
      </c>
      <c r="K32" s="23">
        <f>IF($G32="",0,$I32)</f>
        <v/>
      </c>
    </row>
    <row r="33">
      <c r="A33" s="23" t="n">
        <v>32</v>
      </c>
      <c r="B33" s="26" t="inlineStr">
        <is>
          <t>الامتياز التجاري</t>
        </is>
      </c>
      <c r="C33" s="26">
        <f>'الامتياز التجاري'!C25</f>
        <v/>
      </c>
      <c r="D33" s="23">
        <f>'الامتياز التجاري'!J25</f>
        <v/>
      </c>
      <c r="E33" s="26">
        <f>'الامتياز التجاري'!K25</f>
        <v/>
      </c>
      <c r="F33" s="23">
        <f>'الامتياز التجاري'!L25</f>
        <v/>
      </c>
      <c r="G33" s="50">
        <f>'الامتياز التجاري'!N25</f>
        <v/>
      </c>
      <c r="H33" s="23">
        <f>'الامتياز التجاري'!O25</f>
        <v/>
      </c>
      <c r="I33" s="28">
        <f>'الامتياز التجاري'!G25</f>
        <v/>
      </c>
      <c r="J33" s="23">
        <f>IF($G33="",0,$G33*$I33)</f>
        <v/>
      </c>
      <c r="K33" s="23">
        <f>IF($G33="",0,$I33)</f>
        <v/>
      </c>
    </row>
    <row r="34">
      <c r="A34" s="23" t="n">
        <v>33</v>
      </c>
      <c r="B34" s="26" t="inlineStr">
        <is>
          <t>الامتياز التجاري</t>
        </is>
      </c>
      <c r="C34" s="26">
        <f>'الامتياز التجاري'!C26</f>
        <v/>
      </c>
      <c r="D34" s="23">
        <f>'الامتياز التجاري'!J26</f>
        <v/>
      </c>
      <c r="E34" s="26">
        <f>'الامتياز التجاري'!K26</f>
        <v/>
      </c>
      <c r="F34" s="23">
        <f>'الامتياز التجاري'!L26</f>
        <v/>
      </c>
      <c r="G34" s="50">
        <f>'الامتياز التجاري'!N26</f>
        <v/>
      </c>
      <c r="H34" s="23">
        <f>'الامتياز التجاري'!O26</f>
        <v/>
      </c>
      <c r="I34" s="28">
        <f>'الامتياز التجاري'!G26</f>
        <v/>
      </c>
      <c r="J34" s="23">
        <f>IF($G34="",0,$G34*$I34)</f>
        <v/>
      </c>
      <c r="K34" s="23">
        <f>IF($G34="",0,$I34)</f>
        <v/>
      </c>
    </row>
    <row r="35">
      <c r="A35" s="23" t="n">
        <v>34</v>
      </c>
      <c r="B35" s="26" t="inlineStr">
        <is>
          <t>الامتياز التجاري</t>
        </is>
      </c>
      <c r="C35" s="26">
        <f>'الامتياز التجاري'!C27</f>
        <v/>
      </c>
      <c r="D35" s="23">
        <f>'الامتياز التجاري'!J27</f>
        <v/>
      </c>
      <c r="E35" s="26">
        <f>'الامتياز التجاري'!K27</f>
        <v/>
      </c>
      <c r="F35" s="23">
        <f>'الامتياز التجاري'!L27</f>
        <v/>
      </c>
      <c r="G35" s="50">
        <f>'الامتياز التجاري'!N27</f>
        <v/>
      </c>
      <c r="H35" s="23">
        <f>'الامتياز التجاري'!O27</f>
        <v/>
      </c>
      <c r="I35" s="28">
        <f>'الامتياز التجاري'!G27</f>
        <v/>
      </c>
      <c r="J35" s="23">
        <f>IF($G35="",0,$G35*$I35)</f>
        <v/>
      </c>
      <c r="K35" s="23">
        <f>IF($G35="",0,$I35)</f>
        <v/>
      </c>
    </row>
    <row r="36">
      <c r="A36" s="23" t="n">
        <v>35</v>
      </c>
      <c r="B36" s="26" t="inlineStr">
        <is>
          <t>الامتياز التجاري</t>
        </is>
      </c>
      <c r="C36" s="26">
        <f>'الامتياز التجاري'!C28</f>
        <v/>
      </c>
      <c r="D36" s="23">
        <f>'الامتياز التجاري'!J28</f>
        <v/>
      </c>
      <c r="E36" s="26">
        <f>'الامتياز التجاري'!K28</f>
        <v/>
      </c>
      <c r="F36" s="23">
        <f>'الامتياز التجاري'!L28</f>
        <v/>
      </c>
      <c r="G36" s="50">
        <f>'الامتياز التجاري'!N28</f>
        <v/>
      </c>
      <c r="H36" s="23">
        <f>'الامتياز التجاري'!O28</f>
        <v/>
      </c>
      <c r="I36" s="28">
        <f>'الامتياز التجاري'!G28</f>
        <v/>
      </c>
      <c r="J36" s="23">
        <f>IF($G36="",0,$G36*$I36)</f>
        <v/>
      </c>
      <c r="K36" s="23">
        <f>IF($G36="",0,$I36)</f>
        <v/>
      </c>
    </row>
    <row r="37">
      <c r="A37" s="23" t="n">
        <v>36</v>
      </c>
      <c r="B37" s="26" t="inlineStr">
        <is>
          <t>الامتياز التجاري</t>
        </is>
      </c>
      <c r="C37" s="26">
        <f>'الامتياز التجاري'!C29</f>
        <v/>
      </c>
      <c r="D37" s="23">
        <f>'الامتياز التجاري'!J29</f>
        <v/>
      </c>
      <c r="E37" s="26">
        <f>'الامتياز التجاري'!K29</f>
        <v/>
      </c>
      <c r="F37" s="23">
        <f>'الامتياز التجاري'!L29</f>
        <v/>
      </c>
      <c r="G37" s="50">
        <f>'الامتياز التجاري'!N29</f>
        <v/>
      </c>
      <c r="H37" s="23">
        <f>'الامتياز التجاري'!O29</f>
        <v/>
      </c>
      <c r="I37" s="28">
        <f>'الامتياز التجاري'!G29</f>
        <v/>
      </c>
      <c r="J37" s="23">
        <f>IF($G37="",0,$G37*$I37)</f>
        <v/>
      </c>
      <c r="K37" s="23">
        <f>IF($G37="",0,$I37)</f>
        <v/>
      </c>
    </row>
    <row r="38">
      <c r="A38" s="23" t="n">
        <v>37</v>
      </c>
      <c r="B38" s="26" t="inlineStr">
        <is>
          <t>الامتياز التجاري</t>
        </is>
      </c>
      <c r="C38" s="26">
        <f>'الامتياز التجاري'!C30</f>
        <v/>
      </c>
      <c r="D38" s="23">
        <f>'الامتياز التجاري'!J30</f>
        <v/>
      </c>
      <c r="E38" s="26">
        <f>'الامتياز التجاري'!K30</f>
        <v/>
      </c>
      <c r="F38" s="23">
        <f>'الامتياز التجاري'!L30</f>
        <v/>
      </c>
      <c r="G38" s="50">
        <f>'الامتياز التجاري'!N30</f>
        <v/>
      </c>
      <c r="H38" s="23">
        <f>'الامتياز التجاري'!O30</f>
        <v/>
      </c>
      <c r="I38" s="28">
        <f>'الامتياز التجاري'!G30</f>
        <v/>
      </c>
      <c r="J38" s="23">
        <f>IF($G38="",0,$G38*$I38)</f>
        <v/>
      </c>
      <c r="K38" s="23">
        <f>IF($G38="",0,$I38)</f>
        <v/>
      </c>
    </row>
    <row r="39">
      <c r="A39" s="23" t="n">
        <v>38</v>
      </c>
      <c r="B39" s="26" t="inlineStr">
        <is>
          <t>الامتياز التجاري</t>
        </is>
      </c>
      <c r="C39" s="26">
        <f>'الامتياز التجاري'!C31</f>
        <v/>
      </c>
      <c r="D39" s="23">
        <f>'الامتياز التجاري'!J31</f>
        <v/>
      </c>
      <c r="E39" s="26">
        <f>'الامتياز التجاري'!K31</f>
        <v/>
      </c>
      <c r="F39" s="23">
        <f>'الامتياز التجاري'!L31</f>
        <v/>
      </c>
      <c r="G39" s="50">
        <f>'الامتياز التجاري'!N31</f>
        <v/>
      </c>
      <c r="H39" s="23">
        <f>'الامتياز التجاري'!O31</f>
        <v/>
      </c>
      <c r="I39" s="28">
        <f>'الامتياز التجاري'!G31</f>
        <v/>
      </c>
      <c r="J39" s="23">
        <f>IF($G39="",0,$G39*$I39)</f>
        <v/>
      </c>
      <c r="K39" s="23">
        <f>IF($G39="",0,$I39)</f>
        <v/>
      </c>
    </row>
    <row r="40">
      <c r="A40" s="23" t="n">
        <v>39</v>
      </c>
      <c r="B40" s="26" t="inlineStr">
        <is>
          <t>الامتياز التجاري</t>
        </is>
      </c>
      <c r="C40" s="26">
        <f>'الامتياز التجاري'!C32</f>
        <v/>
      </c>
      <c r="D40" s="23">
        <f>'الامتياز التجاري'!J32</f>
        <v/>
      </c>
      <c r="E40" s="26">
        <f>'الامتياز التجاري'!K32</f>
        <v/>
      </c>
      <c r="F40" s="23">
        <f>'الامتياز التجاري'!L32</f>
        <v/>
      </c>
      <c r="G40" s="50">
        <f>'الامتياز التجاري'!N32</f>
        <v/>
      </c>
      <c r="H40" s="23">
        <f>'الامتياز التجاري'!O32</f>
        <v/>
      </c>
      <c r="I40" s="28">
        <f>'الامتياز التجاري'!G32</f>
        <v/>
      </c>
      <c r="J40" s="23">
        <f>IF($G40="",0,$G40*$I40)</f>
        <v/>
      </c>
      <c r="K40" s="23">
        <f>IF($G40="",0,$I40)</f>
        <v/>
      </c>
    </row>
    <row r="41">
      <c r="A41" s="23" t="n">
        <v>40</v>
      </c>
      <c r="B41" s="26" t="inlineStr">
        <is>
          <t>الامتياز التجاري</t>
        </is>
      </c>
      <c r="C41" s="26">
        <f>'الامتياز التجاري'!C33</f>
        <v/>
      </c>
      <c r="D41" s="23">
        <f>'الامتياز التجاري'!J33</f>
        <v/>
      </c>
      <c r="E41" s="26">
        <f>'الامتياز التجاري'!K33</f>
        <v/>
      </c>
      <c r="F41" s="23">
        <f>'الامتياز التجاري'!L33</f>
        <v/>
      </c>
      <c r="G41" s="50">
        <f>'الامتياز التجاري'!N33</f>
        <v/>
      </c>
      <c r="H41" s="23">
        <f>'الامتياز التجاري'!O33</f>
        <v/>
      </c>
      <c r="I41" s="28">
        <f>'الامتياز التجاري'!G33</f>
        <v/>
      </c>
      <c r="J41" s="23">
        <f>IF($G41="",0,$G41*$I41)</f>
        <v/>
      </c>
      <c r="K41" s="23">
        <f>IF($G41="",0,$I41)</f>
        <v/>
      </c>
    </row>
    <row r="42">
      <c r="A42" s="23" t="n">
        <v>41</v>
      </c>
      <c r="B42" s="26" t="inlineStr">
        <is>
          <t>الامتياز التجاري</t>
        </is>
      </c>
      <c r="C42" s="26">
        <f>'الامتياز التجاري'!C34</f>
        <v/>
      </c>
      <c r="D42" s="23">
        <f>'الامتياز التجاري'!J34</f>
        <v/>
      </c>
      <c r="E42" s="26">
        <f>'الامتياز التجاري'!K34</f>
        <v/>
      </c>
      <c r="F42" s="23">
        <f>'الامتياز التجاري'!L34</f>
        <v/>
      </c>
      <c r="G42" s="50">
        <f>'الامتياز التجاري'!N34</f>
        <v/>
      </c>
      <c r="H42" s="23">
        <f>'الامتياز التجاري'!O34</f>
        <v/>
      </c>
      <c r="I42" s="28">
        <f>'الامتياز التجاري'!G34</f>
        <v/>
      </c>
      <c r="J42" s="23">
        <f>IF($G42="",0,$G42*$I42)</f>
        <v/>
      </c>
      <c r="K42" s="23">
        <f>IF($G42="",0,$I42)</f>
        <v/>
      </c>
    </row>
    <row r="43">
      <c r="A43" s="23" t="n">
        <v>42</v>
      </c>
      <c r="B43" s="26" t="inlineStr">
        <is>
          <t>الامتياز التجاري</t>
        </is>
      </c>
      <c r="C43" s="26">
        <f>'الامتياز التجاري'!C35</f>
        <v/>
      </c>
      <c r="D43" s="23">
        <f>'الامتياز التجاري'!J35</f>
        <v/>
      </c>
      <c r="E43" s="26">
        <f>'الامتياز التجاري'!K35</f>
        <v/>
      </c>
      <c r="F43" s="23">
        <f>'الامتياز التجاري'!L35</f>
        <v/>
      </c>
      <c r="G43" s="50">
        <f>'الامتياز التجاري'!N35</f>
        <v/>
      </c>
      <c r="H43" s="23">
        <f>'الامتياز التجاري'!O35</f>
        <v/>
      </c>
      <c r="I43" s="28">
        <f>'الامتياز التجاري'!G35</f>
        <v/>
      </c>
      <c r="J43" s="23">
        <f>IF($G43="",0,$G43*$I43)</f>
        <v/>
      </c>
      <c r="K43" s="23">
        <f>IF($G43="",0,$I43)</f>
        <v/>
      </c>
    </row>
    <row r="44">
      <c r="A44" s="23" t="n">
        <v>43</v>
      </c>
      <c r="B44" s="26" t="inlineStr">
        <is>
          <t>الامتياز التجاري</t>
        </is>
      </c>
      <c r="C44" s="26">
        <f>'الامتياز التجاري'!C36</f>
        <v/>
      </c>
      <c r="D44" s="23">
        <f>'الامتياز التجاري'!J36</f>
        <v/>
      </c>
      <c r="E44" s="26">
        <f>'الامتياز التجاري'!K36</f>
        <v/>
      </c>
      <c r="F44" s="23">
        <f>'الامتياز التجاري'!L36</f>
        <v/>
      </c>
      <c r="G44" s="50">
        <f>'الامتياز التجاري'!N36</f>
        <v/>
      </c>
      <c r="H44" s="23">
        <f>'الامتياز التجاري'!O36</f>
        <v/>
      </c>
      <c r="I44" s="28">
        <f>'الامتياز التجاري'!G36</f>
        <v/>
      </c>
      <c r="J44" s="23">
        <f>IF($G44="",0,$G44*$I44)</f>
        <v/>
      </c>
      <c r="K44" s="23">
        <f>IF($G44="",0,$I44)</f>
        <v/>
      </c>
    </row>
    <row r="45">
      <c r="A45" s="23" t="n">
        <v>44</v>
      </c>
      <c r="B45" s="26" t="inlineStr">
        <is>
          <t>الامتياز التجاري</t>
        </is>
      </c>
      <c r="C45" s="26">
        <f>'الامتياز التجاري'!C37</f>
        <v/>
      </c>
      <c r="D45" s="23">
        <f>'الامتياز التجاري'!J37</f>
        <v/>
      </c>
      <c r="E45" s="26">
        <f>'الامتياز التجاري'!K37</f>
        <v/>
      </c>
      <c r="F45" s="23">
        <f>'الامتياز التجاري'!L37</f>
        <v/>
      </c>
      <c r="G45" s="50">
        <f>'الامتياز التجاري'!N37</f>
        <v/>
      </c>
      <c r="H45" s="23">
        <f>'الامتياز التجاري'!O37</f>
        <v/>
      </c>
      <c r="I45" s="28">
        <f>'الامتياز التجاري'!G37</f>
        <v/>
      </c>
      <c r="J45" s="23">
        <f>IF($G45="",0,$G45*$I45)</f>
        <v/>
      </c>
      <c r="K45" s="23">
        <f>IF($G45="",0,$I45)</f>
        <v/>
      </c>
    </row>
    <row r="46">
      <c r="A46" s="23" t="n">
        <v>45</v>
      </c>
      <c r="B46" s="26" t="inlineStr">
        <is>
          <t>الامتياز التجاري</t>
        </is>
      </c>
      <c r="C46" s="26">
        <f>'الامتياز التجاري'!C38</f>
        <v/>
      </c>
      <c r="D46" s="23">
        <f>'الامتياز التجاري'!J38</f>
        <v/>
      </c>
      <c r="E46" s="26">
        <f>'الامتياز التجاري'!K38</f>
        <v/>
      </c>
      <c r="F46" s="23">
        <f>'الامتياز التجاري'!L38</f>
        <v/>
      </c>
      <c r="G46" s="50">
        <f>'الامتياز التجاري'!N38</f>
        <v/>
      </c>
      <c r="H46" s="23">
        <f>'الامتياز التجاري'!O38</f>
        <v/>
      </c>
      <c r="I46" s="28">
        <f>'الامتياز التجاري'!G38</f>
        <v/>
      </c>
      <c r="J46" s="23">
        <f>IF($G46="",0,$G46*$I46)</f>
        <v/>
      </c>
      <c r="K46" s="23">
        <f>IF($G46="",0,$I46)</f>
        <v/>
      </c>
    </row>
    <row r="47">
      <c r="A47" s="23" t="n">
        <v>46</v>
      </c>
      <c r="B47" s="26" t="inlineStr">
        <is>
          <t>الامتياز التجاري</t>
        </is>
      </c>
      <c r="C47" s="26">
        <f>'الامتياز التجاري'!C39</f>
        <v/>
      </c>
      <c r="D47" s="23">
        <f>'الامتياز التجاري'!J39</f>
        <v/>
      </c>
      <c r="E47" s="26">
        <f>'الامتياز التجاري'!K39</f>
        <v/>
      </c>
      <c r="F47" s="23">
        <f>'الامتياز التجاري'!L39</f>
        <v/>
      </c>
      <c r="G47" s="50">
        <f>'الامتياز التجاري'!N39</f>
        <v/>
      </c>
      <c r="H47" s="23">
        <f>'الامتياز التجاري'!O39</f>
        <v/>
      </c>
      <c r="I47" s="28">
        <f>'الامتياز التجاري'!G39</f>
        <v/>
      </c>
      <c r="J47" s="23">
        <f>IF($G47="",0,$G47*$I47)</f>
        <v/>
      </c>
      <c r="K47" s="23">
        <f>IF($G47="",0,$I47)</f>
        <v/>
      </c>
    </row>
    <row r="48">
      <c r="A48" s="23" t="n">
        <v>47</v>
      </c>
      <c r="B48" s="26" t="inlineStr">
        <is>
          <t>التشغيل والمحطات</t>
        </is>
      </c>
      <c r="C48" s="26">
        <f>'التشغيل والمحطات'!C4</f>
        <v/>
      </c>
      <c r="D48" s="23">
        <f>'التشغيل والمحطات'!J4</f>
        <v/>
      </c>
      <c r="E48" s="26">
        <f>'التشغيل والمحطات'!K4</f>
        <v/>
      </c>
      <c r="F48" s="23">
        <f>'التشغيل والمحطات'!L4</f>
        <v/>
      </c>
      <c r="G48" s="50">
        <f>'التشغيل والمحطات'!N4</f>
        <v/>
      </c>
      <c r="H48" s="23">
        <f>'التشغيل والمحطات'!O4</f>
        <v/>
      </c>
      <c r="I48" s="28">
        <f>'التشغيل والمحطات'!G4</f>
        <v/>
      </c>
      <c r="J48" s="23">
        <f>IF($G48="",0,$G48*$I48)</f>
        <v/>
      </c>
      <c r="K48" s="23">
        <f>IF($G48="",0,$I48)</f>
        <v/>
      </c>
    </row>
    <row r="49">
      <c r="A49" s="23" t="n">
        <v>48</v>
      </c>
      <c r="B49" s="26" t="inlineStr">
        <is>
          <t>التشغيل والمحطات</t>
        </is>
      </c>
      <c r="C49" s="26">
        <f>'التشغيل والمحطات'!C5</f>
        <v/>
      </c>
      <c r="D49" s="23">
        <f>'التشغيل والمحطات'!J5</f>
        <v/>
      </c>
      <c r="E49" s="26">
        <f>'التشغيل والمحطات'!K5</f>
        <v/>
      </c>
      <c r="F49" s="23">
        <f>'التشغيل والمحطات'!L5</f>
        <v/>
      </c>
      <c r="G49" s="50">
        <f>'التشغيل والمحطات'!N5</f>
        <v/>
      </c>
      <c r="H49" s="23">
        <f>'التشغيل والمحطات'!O5</f>
        <v/>
      </c>
      <c r="I49" s="28">
        <f>'التشغيل والمحطات'!G5</f>
        <v/>
      </c>
      <c r="J49" s="23">
        <f>IF($G49="",0,$G49*$I49)</f>
        <v/>
      </c>
      <c r="K49" s="23">
        <f>IF($G49="",0,$I49)</f>
        <v/>
      </c>
    </row>
    <row r="50">
      <c r="A50" s="23" t="n">
        <v>49</v>
      </c>
      <c r="B50" s="26" t="inlineStr">
        <is>
          <t>التشغيل والمحطات</t>
        </is>
      </c>
      <c r="C50" s="26">
        <f>'التشغيل والمحطات'!C6</f>
        <v/>
      </c>
      <c r="D50" s="23">
        <f>'التشغيل والمحطات'!J6</f>
        <v/>
      </c>
      <c r="E50" s="26">
        <f>'التشغيل والمحطات'!K6</f>
        <v/>
      </c>
      <c r="F50" s="23">
        <f>'التشغيل والمحطات'!L6</f>
        <v/>
      </c>
      <c r="G50" s="50">
        <f>'التشغيل والمحطات'!N6</f>
        <v/>
      </c>
      <c r="H50" s="23">
        <f>'التشغيل والمحطات'!O6</f>
        <v/>
      </c>
      <c r="I50" s="28">
        <f>'التشغيل والمحطات'!G6</f>
        <v/>
      </c>
      <c r="J50" s="23">
        <f>IF($G50="",0,$G50*$I50)</f>
        <v/>
      </c>
      <c r="K50" s="23">
        <f>IF($G50="",0,$I50)</f>
        <v/>
      </c>
    </row>
    <row r="51">
      <c r="A51" s="23" t="n">
        <v>50</v>
      </c>
      <c r="B51" s="26" t="inlineStr">
        <is>
          <t>التشغيل والمحطات</t>
        </is>
      </c>
      <c r="C51" s="26">
        <f>'التشغيل والمحطات'!C7</f>
        <v/>
      </c>
      <c r="D51" s="23">
        <f>'التشغيل والمحطات'!J7</f>
        <v/>
      </c>
      <c r="E51" s="26">
        <f>'التشغيل والمحطات'!K7</f>
        <v/>
      </c>
      <c r="F51" s="23">
        <f>'التشغيل والمحطات'!L7</f>
        <v/>
      </c>
      <c r="G51" s="50">
        <f>'التشغيل والمحطات'!N7</f>
        <v/>
      </c>
      <c r="H51" s="23">
        <f>'التشغيل والمحطات'!O7</f>
        <v/>
      </c>
      <c r="I51" s="28">
        <f>'التشغيل والمحطات'!G7</f>
        <v/>
      </c>
      <c r="J51" s="23">
        <f>IF($G51="",0,$G51*$I51)</f>
        <v/>
      </c>
      <c r="K51" s="23">
        <f>IF($G51="",0,$I51)</f>
        <v/>
      </c>
    </row>
    <row r="52">
      <c r="A52" s="23" t="n">
        <v>51</v>
      </c>
      <c r="B52" s="26" t="inlineStr">
        <is>
          <t>التشغيل والمحطات</t>
        </is>
      </c>
      <c r="C52" s="26">
        <f>'التشغيل والمحطات'!C8</f>
        <v/>
      </c>
      <c r="D52" s="23">
        <f>'التشغيل والمحطات'!J8</f>
        <v/>
      </c>
      <c r="E52" s="26">
        <f>'التشغيل والمحطات'!K8</f>
        <v/>
      </c>
      <c r="F52" s="23">
        <f>'التشغيل والمحطات'!L8</f>
        <v/>
      </c>
      <c r="G52" s="50">
        <f>'التشغيل والمحطات'!N8</f>
        <v/>
      </c>
      <c r="H52" s="23">
        <f>'التشغيل والمحطات'!O8</f>
        <v/>
      </c>
      <c r="I52" s="28">
        <f>'التشغيل والمحطات'!G8</f>
        <v/>
      </c>
      <c r="J52" s="23">
        <f>IF($G52="",0,$G52*$I52)</f>
        <v/>
      </c>
      <c r="K52" s="23">
        <f>IF($G52="",0,$I52)</f>
        <v/>
      </c>
    </row>
    <row r="53">
      <c r="A53" s="23" t="n">
        <v>52</v>
      </c>
      <c r="B53" s="26" t="inlineStr">
        <is>
          <t>التشغيل والمحطات</t>
        </is>
      </c>
      <c r="C53" s="26">
        <f>'التشغيل والمحطات'!C9</f>
        <v/>
      </c>
      <c r="D53" s="23">
        <f>'التشغيل والمحطات'!J9</f>
        <v/>
      </c>
      <c r="E53" s="26">
        <f>'التشغيل والمحطات'!K9</f>
        <v/>
      </c>
      <c r="F53" s="23">
        <f>'التشغيل والمحطات'!L9</f>
        <v/>
      </c>
      <c r="G53" s="50">
        <f>'التشغيل والمحطات'!N9</f>
        <v/>
      </c>
      <c r="H53" s="23">
        <f>'التشغيل والمحطات'!O9</f>
        <v/>
      </c>
      <c r="I53" s="28">
        <f>'التشغيل والمحطات'!G9</f>
        <v/>
      </c>
      <c r="J53" s="23">
        <f>IF($G53="",0,$G53*$I53)</f>
        <v/>
      </c>
      <c r="K53" s="23">
        <f>IF($G53="",0,$I53)</f>
        <v/>
      </c>
    </row>
    <row r="54">
      <c r="A54" s="23" t="n">
        <v>53</v>
      </c>
      <c r="B54" s="26" t="inlineStr">
        <is>
          <t>التشغيل والمحطات</t>
        </is>
      </c>
      <c r="C54" s="26">
        <f>'التشغيل والمحطات'!C10</f>
        <v/>
      </c>
      <c r="D54" s="23">
        <f>'التشغيل والمحطات'!J10</f>
        <v/>
      </c>
      <c r="E54" s="26">
        <f>'التشغيل والمحطات'!K10</f>
        <v/>
      </c>
      <c r="F54" s="23">
        <f>'التشغيل والمحطات'!L10</f>
        <v/>
      </c>
      <c r="G54" s="50">
        <f>'التشغيل والمحطات'!N10</f>
        <v/>
      </c>
      <c r="H54" s="23">
        <f>'التشغيل والمحطات'!O10</f>
        <v/>
      </c>
      <c r="I54" s="28">
        <f>'التشغيل والمحطات'!G10</f>
        <v/>
      </c>
      <c r="J54" s="23">
        <f>IF($G54="",0,$G54*$I54)</f>
        <v/>
      </c>
      <c r="K54" s="23">
        <f>IF($G54="",0,$I54)</f>
        <v/>
      </c>
    </row>
    <row r="55">
      <c r="A55" s="23" t="n">
        <v>54</v>
      </c>
      <c r="B55" s="26" t="inlineStr">
        <is>
          <t>التشغيل والمحطات</t>
        </is>
      </c>
      <c r="C55" s="26">
        <f>'التشغيل والمحطات'!C11</f>
        <v/>
      </c>
      <c r="D55" s="23">
        <f>'التشغيل والمحطات'!J11</f>
        <v/>
      </c>
      <c r="E55" s="26">
        <f>'التشغيل والمحطات'!K11</f>
        <v/>
      </c>
      <c r="F55" s="23">
        <f>'التشغيل والمحطات'!L11</f>
        <v/>
      </c>
      <c r="G55" s="50">
        <f>'التشغيل والمحطات'!N11</f>
        <v/>
      </c>
      <c r="H55" s="23">
        <f>'التشغيل والمحطات'!O11</f>
        <v/>
      </c>
      <c r="I55" s="28">
        <f>'التشغيل والمحطات'!G11</f>
        <v/>
      </c>
      <c r="J55" s="23">
        <f>IF($G55="",0,$G55*$I55)</f>
        <v/>
      </c>
      <c r="K55" s="23">
        <f>IF($G55="",0,$I55)</f>
        <v/>
      </c>
    </row>
    <row r="56">
      <c r="A56" s="23" t="n">
        <v>55</v>
      </c>
      <c r="B56" s="26" t="inlineStr">
        <is>
          <t>التشغيل والمحطات</t>
        </is>
      </c>
      <c r="C56" s="26">
        <f>'التشغيل والمحطات'!C12</f>
        <v/>
      </c>
      <c r="D56" s="23">
        <f>'التشغيل والمحطات'!J12</f>
        <v/>
      </c>
      <c r="E56" s="26">
        <f>'التشغيل والمحطات'!K12</f>
        <v/>
      </c>
      <c r="F56" s="23">
        <f>'التشغيل والمحطات'!L12</f>
        <v/>
      </c>
      <c r="G56" s="50">
        <f>'التشغيل والمحطات'!N12</f>
        <v/>
      </c>
      <c r="H56" s="23">
        <f>'التشغيل والمحطات'!O12</f>
        <v/>
      </c>
      <c r="I56" s="28">
        <f>'التشغيل والمحطات'!G12</f>
        <v/>
      </c>
      <c r="J56" s="23">
        <f>IF($G56="",0,$G56*$I56)</f>
        <v/>
      </c>
      <c r="K56" s="23">
        <f>IF($G56="",0,$I56)</f>
        <v/>
      </c>
    </row>
    <row r="57">
      <c r="A57" s="23" t="n">
        <v>56</v>
      </c>
      <c r="B57" s="26" t="inlineStr">
        <is>
          <t>التشغيل والمحطات</t>
        </is>
      </c>
      <c r="C57" s="26">
        <f>'التشغيل والمحطات'!C13</f>
        <v/>
      </c>
      <c r="D57" s="23">
        <f>'التشغيل والمحطات'!J13</f>
        <v/>
      </c>
      <c r="E57" s="26">
        <f>'التشغيل والمحطات'!K13</f>
        <v/>
      </c>
      <c r="F57" s="23">
        <f>'التشغيل والمحطات'!L13</f>
        <v/>
      </c>
      <c r="G57" s="50">
        <f>'التشغيل والمحطات'!N13</f>
        <v/>
      </c>
      <c r="H57" s="23">
        <f>'التشغيل والمحطات'!O13</f>
        <v/>
      </c>
      <c r="I57" s="28">
        <f>'التشغيل والمحطات'!G13</f>
        <v/>
      </c>
      <c r="J57" s="23">
        <f>IF($G57="",0,$G57*$I57)</f>
        <v/>
      </c>
      <c r="K57" s="23">
        <f>IF($G57="",0,$I57)</f>
        <v/>
      </c>
    </row>
    <row r="58">
      <c r="A58" s="23" t="n">
        <v>57</v>
      </c>
      <c r="B58" s="26" t="inlineStr">
        <is>
          <t>التشغيل والمحطات</t>
        </is>
      </c>
      <c r="C58" s="26">
        <f>'التشغيل والمحطات'!C14</f>
        <v/>
      </c>
      <c r="D58" s="23">
        <f>'التشغيل والمحطات'!J14</f>
        <v/>
      </c>
      <c r="E58" s="26">
        <f>'التشغيل والمحطات'!K14</f>
        <v/>
      </c>
      <c r="F58" s="23">
        <f>'التشغيل والمحطات'!L14</f>
        <v/>
      </c>
      <c r="G58" s="50">
        <f>'التشغيل والمحطات'!N14</f>
        <v/>
      </c>
      <c r="H58" s="23">
        <f>'التشغيل والمحطات'!O14</f>
        <v/>
      </c>
      <c r="I58" s="28">
        <f>'التشغيل والمحطات'!G14</f>
        <v/>
      </c>
      <c r="J58" s="23">
        <f>IF($G58="",0,$G58*$I58)</f>
        <v/>
      </c>
      <c r="K58" s="23">
        <f>IF($G58="",0,$I58)</f>
        <v/>
      </c>
    </row>
    <row r="59">
      <c r="A59" s="23" t="n">
        <v>58</v>
      </c>
      <c r="B59" s="26" t="inlineStr">
        <is>
          <t>التشغيل والمحطات</t>
        </is>
      </c>
      <c r="C59" s="26">
        <f>'التشغيل والمحطات'!C15</f>
        <v/>
      </c>
      <c r="D59" s="23">
        <f>'التشغيل والمحطات'!J15</f>
        <v/>
      </c>
      <c r="E59" s="26">
        <f>'التشغيل والمحطات'!K15</f>
        <v/>
      </c>
      <c r="F59" s="23">
        <f>'التشغيل والمحطات'!L15</f>
        <v/>
      </c>
      <c r="G59" s="50">
        <f>'التشغيل والمحطات'!N15</f>
        <v/>
      </c>
      <c r="H59" s="23">
        <f>'التشغيل والمحطات'!O15</f>
        <v/>
      </c>
      <c r="I59" s="28">
        <f>'التشغيل والمحطات'!G15</f>
        <v/>
      </c>
      <c r="J59" s="23">
        <f>IF($G59="",0,$G59*$I59)</f>
        <v/>
      </c>
      <c r="K59" s="23">
        <f>IF($G59="",0,$I59)</f>
        <v/>
      </c>
    </row>
    <row r="60">
      <c r="A60" s="23" t="n">
        <v>59</v>
      </c>
      <c r="B60" s="26" t="inlineStr">
        <is>
          <t>التشغيل والمحطات</t>
        </is>
      </c>
      <c r="C60" s="26">
        <f>'التشغيل والمحطات'!C16</f>
        <v/>
      </c>
      <c r="D60" s="23">
        <f>'التشغيل والمحطات'!J16</f>
        <v/>
      </c>
      <c r="E60" s="26">
        <f>'التشغيل والمحطات'!K16</f>
        <v/>
      </c>
      <c r="F60" s="23">
        <f>'التشغيل والمحطات'!L16</f>
        <v/>
      </c>
      <c r="G60" s="50">
        <f>'التشغيل والمحطات'!N16</f>
        <v/>
      </c>
      <c r="H60" s="23">
        <f>'التشغيل والمحطات'!O16</f>
        <v/>
      </c>
      <c r="I60" s="28">
        <f>'التشغيل والمحطات'!G16</f>
        <v/>
      </c>
      <c r="J60" s="23">
        <f>IF($G60="",0,$G60*$I60)</f>
        <v/>
      </c>
      <c r="K60" s="23">
        <f>IF($G60="",0,$I60)</f>
        <v/>
      </c>
    </row>
    <row r="61">
      <c r="A61" s="23" t="n">
        <v>60</v>
      </c>
      <c r="B61" s="26" t="inlineStr">
        <is>
          <t>التشغيل والمحطات</t>
        </is>
      </c>
      <c r="C61" s="26">
        <f>'التشغيل والمحطات'!C17</f>
        <v/>
      </c>
      <c r="D61" s="23">
        <f>'التشغيل والمحطات'!J17</f>
        <v/>
      </c>
      <c r="E61" s="26">
        <f>'التشغيل والمحطات'!K17</f>
        <v/>
      </c>
      <c r="F61" s="23">
        <f>'التشغيل والمحطات'!L17</f>
        <v/>
      </c>
      <c r="G61" s="50">
        <f>'التشغيل والمحطات'!N17</f>
        <v/>
      </c>
      <c r="H61" s="23">
        <f>'التشغيل والمحطات'!O17</f>
        <v/>
      </c>
      <c r="I61" s="28">
        <f>'التشغيل والمحطات'!G17</f>
        <v/>
      </c>
      <c r="J61" s="23">
        <f>IF($G61="",0,$G61*$I61)</f>
        <v/>
      </c>
      <c r="K61" s="23">
        <f>IF($G61="",0,$I61)</f>
        <v/>
      </c>
    </row>
    <row r="62">
      <c r="A62" s="23" t="n">
        <v>61</v>
      </c>
      <c r="B62" s="26" t="inlineStr">
        <is>
          <t>التشغيل والمحطات</t>
        </is>
      </c>
      <c r="C62" s="26">
        <f>'التشغيل والمحطات'!C18</f>
        <v/>
      </c>
      <c r="D62" s="23">
        <f>'التشغيل والمحطات'!J18</f>
        <v/>
      </c>
      <c r="E62" s="26">
        <f>'التشغيل والمحطات'!K18</f>
        <v/>
      </c>
      <c r="F62" s="23">
        <f>'التشغيل والمحطات'!L18</f>
        <v/>
      </c>
      <c r="G62" s="50">
        <f>'التشغيل والمحطات'!N18</f>
        <v/>
      </c>
      <c r="H62" s="23">
        <f>'التشغيل والمحطات'!O18</f>
        <v/>
      </c>
      <c r="I62" s="28">
        <f>'التشغيل والمحطات'!G18</f>
        <v/>
      </c>
      <c r="J62" s="23">
        <f>IF($G62="",0,$G62*$I62)</f>
        <v/>
      </c>
      <c r="K62" s="23">
        <f>IF($G62="",0,$I62)</f>
        <v/>
      </c>
    </row>
    <row r="63">
      <c r="A63" s="23" t="n">
        <v>62</v>
      </c>
      <c r="B63" s="26" t="inlineStr">
        <is>
          <t>التشغيل والمحطات</t>
        </is>
      </c>
      <c r="C63" s="26">
        <f>'التشغيل والمحطات'!C19</f>
        <v/>
      </c>
      <c r="D63" s="23">
        <f>'التشغيل والمحطات'!J19</f>
        <v/>
      </c>
      <c r="E63" s="26">
        <f>'التشغيل والمحطات'!K19</f>
        <v/>
      </c>
      <c r="F63" s="23">
        <f>'التشغيل والمحطات'!L19</f>
        <v/>
      </c>
      <c r="G63" s="50">
        <f>'التشغيل والمحطات'!N19</f>
        <v/>
      </c>
      <c r="H63" s="23">
        <f>'التشغيل والمحطات'!O19</f>
        <v/>
      </c>
      <c r="I63" s="28">
        <f>'التشغيل والمحطات'!G19</f>
        <v/>
      </c>
      <c r="J63" s="23">
        <f>IF($G63="",0,$G63*$I63)</f>
        <v/>
      </c>
      <c r="K63" s="23">
        <f>IF($G63="",0,$I63)</f>
        <v/>
      </c>
    </row>
    <row r="64">
      <c r="A64" s="23" t="n">
        <v>63</v>
      </c>
      <c r="B64" s="26" t="inlineStr">
        <is>
          <t>الاستثمار</t>
        </is>
      </c>
      <c r="C64" s="26">
        <f>'الاستثمار'!C4</f>
        <v/>
      </c>
      <c r="D64" s="23">
        <f>'الاستثمار'!J4</f>
        <v/>
      </c>
      <c r="E64" s="26">
        <f>'الاستثمار'!K4</f>
        <v/>
      </c>
      <c r="F64" s="23">
        <f>'الاستثمار'!L4</f>
        <v/>
      </c>
      <c r="G64" s="50">
        <f>'الاستثمار'!N4</f>
        <v/>
      </c>
      <c r="H64" s="23">
        <f>'الاستثمار'!O4</f>
        <v/>
      </c>
      <c r="I64" s="28">
        <f>'الاستثمار'!G4</f>
        <v/>
      </c>
      <c r="J64" s="23">
        <f>IF($G64="",0,$G64*$I64)</f>
        <v/>
      </c>
      <c r="K64" s="23">
        <f>IF($G64="",0,$I64)</f>
        <v/>
      </c>
    </row>
    <row r="65">
      <c r="A65" s="23" t="n">
        <v>64</v>
      </c>
      <c r="B65" s="26" t="inlineStr">
        <is>
          <t>الاستثمار</t>
        </is>
      </c>
      <c r="C65" s="26">
        <f>'الاستثمار'!C5</f>
        <v/>
      </c>
      <c r="D65" s="23">
        <f>'الاستثمار'!J5</f>
        <v/>
      </c>
      <c r="E65" s="26">
        <f>'الاستثمار'!K5</f>
        <v/>
      </c>
      <c r="F65" s="23">
        <f>'الاستثمار'!L5</f>
        <v/>
      </c>
      <c r="G65" s="50">
        <f>'الاستثمار'!N5</f>
        <v/>
      </c>
      <c r="H65" s="23">
        <f>'الاستثمار'!O5</f>
        <v/>
      </c>
      <c r="I65" s="28">
        <f>'الاستثمار'!G5</f>
        <v/>
      </c>
      <c r="J65" s="23">
        <f>IF($G65="",0,$G65*$I65)</f>
        <v/>
      </c>
      <c r="K65" s="23">
        <f>IF($G65="",0,$I65)</f>
        <v/>
      </c>
    </row>
    <row r="66">
      <c r="A66" s="23" t="n">
        <v>65</v>
      </c>
      <c r="B66" s="26" t="inlineStr">
        <is>
          <t>الاستثمار</t>
        </is>
      </c>
      <c r="C66" s="26">
        <f>'الاستثمار'!C6</f>
        <v/>
      </c>
      <c r="D66" s="23">
        <f>'الاستثمار'!J6</f>
        <v/>
      </c>
      <c r="E66" s="26">
        <f>'الاستثمار'!K6</f>
        <v/>
      </c>
      <c r="F66" s="23">
        <f>'الاستثمار'!L6</f>
        <v/>
      </c>
      <c r="G66" s="50">
        <f>'الاستثمار'!N6</f>
        <v/>
      </c>
      <c r="H66" s="23">
        <f>'الاستثمار'!O6</f>
        <v/>
      </c>
      <c r="I66" s="28">
        <f>'الاستثمار'!G6</f>
        <v/>
      </c>
      <c r="J66" s="23">
        <f>IF($G66="",0,$G66*$I66)</f>
        <v/>
      </c>
      <c r="K66" s="23">
        <f>IF($G66="",0,$I66)</f>
        <v/>
      </c>
    </row>
    <row r="67">
      <c r="A67" s="23" t="n">
        <v>66</v>
      </c>
      <c r="B67" s="26" t="inlineStr">
        <is>
          <t>الاستثمار</t>
        </is>
      </c>
      <c r="C67" s="26">
        <f>'الاستثمار'!C7</f>
        <v/>
      </c>
      <c r="D67" s="23">
        <f>'الاستثمار'!J7</f>
        <v/>
      </c>
      <c r="E67" s="26">
        <f>'الاستثمار'!K7</f>
        <v/>
      </c>
      <c r="F67" s="23">
        <f>'الاستثمار'!L7</f>
        <v/>
      </c>
      <c r="G67" s="50">
        <f>'الاستثمار'!N7</f>
        <v/>
      </c>
      <c r="H67" s="23">
        <f>'الاستثمار'!O7</f>
        <v/>
      </c>
      <c r="I67" s="28">
        <f>'الاستثمار'!G7</f>
        <v/>
      </c>
      <c r="J67" s="23">
        <f>IF($G67="",0,$G67*$I67)</f>
        <v/>
      </c>
      <c r="K67" s="23">
        <f>IF($G67="",0,$I67)</f>
        <v/>
      </c>
    </row>
    <row r="68">
      <c r="A68" s="23" t="n">
        <v>67</v>
      </c>
      <c r="B68" s="26" t="inlineStr">
        <is>
          <t>الاستثمار</t>
        </is>
      </c>
      <c r="C68" s="26">
        <f>'الاستثمار'!C8</f>
        <v/>
      </c>
      <c r="D68" s="23">
        <f>'الاستثمار'!J8</f>
        <v/>
      </c>
      <c r="E68" s="26">
        <f>'الاستثمار'!K8</f>
        <v/>
      </c>
      <c r="F68" s="23">
        <f>'الاستثمار'!L8</f>
        <v/>
      </c>
      <c r="G68" s="50">
        <f>'الاستثمار'!N8</f>
        <v/>
      </c>
      <c r="H68" s="23">
        <f>'الاستثمار'!O8</f>
        <v/>
      </c>
      <c r="I68" s="28">
        <f>'الاستثمار'!G8</f>
        <v/>
      </c>
      <c r="J68" s="23">
        <f>IF($G68="",0,$G68*$I68)</f>
        <v/>
      </c>
      <c r="K68" s="23">
        <f>IF($G68="",0,$I68)</f>
        <v/>
      </c>
    </row>
    <row r="69">
      <c r="A69" s="23" t="n">
        <v>68</v>
      </c>
      <c r="B69" s="26" t="inlineStr">
        <is>
          <t>الاستثمار</t>
        </is>
      </c>
      <c r="C69" s="26">
        <f>'الاستثمار'!C9</f>
        <v/>
      </c>
      <c r="D69" s="23">
        <f>'الاستثمار'!J9</f>
        <v/>
      </c>
      <c r="E69" s="26">
        <f>'الاستثمار'!K9</f>
        <v/>
      </c>
      <c r="F69" s="23">
        <f>'الاستثمار'!L9</f>
        <v/>
      </c>
      <c r="G69" s="50">
        <f>'الاستثمار'!N9</f>
        <v/>
      </c>
      <c r="H69" s="23">
        <f>'الاستثمار'!O9</f>
        <v/>
      </c>
      <c r="I69" s="28">
        <f>'الاستثمار'!G9</f>
        <v/>
      </c>
      <c r="J69" s="23">
        <f>IF($G69="",0,$G69*$I69)</f>
        <v/>
      </c>
      <c r="K69" s="23">
        <f>IF($G69="",0,$I69)</f>
        <v/>
      </c>
    </row>
    <row r="70">
      <c r="A70" s="23" t="n">
        <v>69</v>
      </c>
      <c r="B70" s="26" t="inlineStr">
        <is>
          <t>الاستثمار</t>
        </is>
      </c>
      <c r="C70" s="26">
        <f>'الاستثمار'!C10</f>
        <v/>
      </c>
      <c r="D70" s="23">
        <f>'الاستثمار'!J10</f>
        <v/>
      </c>
      <c r="E70" s="26">
        <f>'الاستثمار'!K10</f>
        <v/>
      </c>
      <c r="F70" s="23">
        <f>'الاستثمار'!L10</f>
        <v/>
      </c>
      <c r="G70" s="50">
        <f>'الاستثمار'!N10</f>
        <v/>
      </c>
      <c r="H70" s="23">
        <f>'الاستثمار'!O10</f>
        <v/>
      </c>
      <c r="I70" s="28">
        <f>'الاستثمار'!G10</f>
        <v/>
      </c>
      <c r="J70" s="23">
        <f>IF($G70="",0,$G70*$I70)</f>
        <v/>
      </c>
      <c r="K70" s="23">
        <f>IF($G70="",0,$I70)</f>
        <v/>
      </c>
    </row>
    <row r="71">
      <c r="A71" s="23" t="n">
        <v>70</v>
      </c>
      <c r="B71" s="26" t="inlineStr">
        <is>
          <t>الاستثمار</t>
        </is>
      </c>
      <c r="C71" s="26">
        <f>'الاستثمار'!C11</f>
        <v/>
      </c>
      <c r="D71" s="23">
        <f>'الاستثمار'!J11</f>
        <v/>
      </c>
      <c r="E71" s="26">
        <f>'الاستثمار'!K11</f>
        <v/>
      </c>
      <c r="F71" s="23">
        <f>'الاستثمار'!L11</f>
        <v/>
      </c>
      <c r="G71" s="50">
        <f>'الاستثمار'!N11</f>
        <v/>
      </c>
      <c r="H71" s="23">
        <f>'الاستثمار'!O11</f>
        <v/>
      </c>
      <c r="I71" s="28">
        <f>'الاستثمار'!G11</f>
        <v/>
      </c>
      <c r="J71" s="23">
        <f>IF($G71="",0,$G71*$I71)</f>
        <v/>
      </c>
      <c r="K71" s="23">
        <f>IF($G71="",0,$I71)</f>
        <v/>
      </c>
    </row>
    <row r="72">
      <c r="A72" s="23" t="n">
        <v>71</v>
      </c>
      <c r="B72" s="26" t="inlineStr">
        <is>
          <t>الاستثمار</t>
        </is>
      </c>
      <c r="C72" s="26">
        <f>'الاستثمار'!C12</f>
        <v/>
      </c>
      <c r="D72" s="23">
        <f>'الاستثمار'!J12</f>
        <v/>
      </c>
      <c r="E72" s="26">
        <f>'الاستثمار'!K12</f>
        <v/>
      </c>
      <c r="F72" s="23">
        <f>'الاستثمار'!L12</f>
        <v/>
      </c>
      <c r="G72" s="50">
        <f>'الاستثمار'!N12</f>
        <v/>
      </c>
      <c r="H72" s="23">
        <f>'الاستثمار'!O12</f>
        <v/>
      </c>
      <c r="I72" s="28">
        <f>'الاستثمار'!G12</f>
        <v/>
      </c>
      <c r="J72" s="23">
        <f>IF($G72="",0,$G72*$I72)</f>
        <v/>
      </c>
      <c r="K72" s="23">
        <f>IF($G72="",0,$I72)</f>
        <v/>
      </c>
    </row>
    <row r="73">
      <c r="A73" s="23" t="n">
        <v>72</v>
      </c>
      <c r="B73" s="26" t="inlineStr">
        <is>
          <t>الاستثمار</t>
        </is>
      </c>
      <c r="C73" s="26">
        <f>'الاستثمار'!C13</f>
        <v/>
      </c>
      <c r="D73" s="23">
        <f>'الاستثمار'!J13</f>
        <v/>
      </c>
      <c r="E73" s="26">
        <f>'الاستثمار'!K13</f>
        <v/>
      </c>
      <c r="F73" s="23">
        <f>'الاستثمار'!L13</f>
        <v/>
      </c>
      <c r="G73" s="50">
        <f>'الاستثمار'!N13</f>
        <v/>
      </c>
      <c r="H73" s="23">
        <f>'الاستثمار'!O13</f>
        <v/>
      </c>
      <c r="I73" s="28">
        <f>'الاستثمار'!G13</f>
        <v/>
      </c>
      <c r="J73" s="23">
        <f>IF($G73="",0,$G73*$I73)</f>
        <v/>
      </c>
      <c r="K73" s="23">
        <f>IF($G73="",0,$I73)</f>
        <v/>
      </c>
    </row>
    <row r="74">
      <c r="A74" s="23" t="n">
        <v>73</v>
      </c>
      <c r="B74" s="26" t="inlineStr">
        <is>
          <t>الاستثمار</t>
        </is>
      </c>
      <c r="C74" s="26">
        <f>'الاستثمار'!C14</f>
        <v/>
      </c>
      <c r="D74" s="23">
        <f>'الاستثمار'!J14</f>
        <v/>
      </c>
      <c r="E74" s="26">
        <f>'الاستثمار'!K14</f>
        <v/>
      </c>
      <c r="F74" s="23">
        <f>'الاستثمار'!L14</f>
        <v/>
      </c>
      <c r="G74" s="50">
        <f>'الاستثمار'!N14</f>
        <v/>
      </c>
      <c r="H74" s="23">
        <f>'الاستثمار'!O14</f>
        <v/>
      </c>
      <c r="I74" s="28">
        <f>'الاستثمار'!G14</f>
        <v/>
      </c>
      <c r="J74" s="23">
        <f>IF($G74="",0,$G74*$I74)</f>
        <v/>
      </c>
      <c r="K74" s="23">
        <f>IF($G74="",0,$I74)</f>
        <v/>
      </c>
    </row>
    <row r="75">
      <c r="A75" s="23" t="n">
        <v>74</v>
      </c>
      <c r="B75" s="26" t="inlineStr">
        <is>
          <t>الاستثمار</t>
        </is>
      </c>
      <c r="C75" s="26">
        <f>'الاستثمار'!C15</f>
        <v/>
      </c>
      <c r="D75" s="23">
        <f>'الاستثمار'!J15</f>
        <v/>
      </c>
      <c r="E75" s="26">
        <f>'الاستثمار'!K15</f>
        <v/>
      </c>
      <c r="F75" s="23">
        <f>'الاستثمار'!L15</f>
        <v/>
      </c>
      <c r="G75" s="50">
        <f>'الاستثمار'!N15</f>
        <v/>
      </c>
      <c r="H75" s="23">
        <f>'الاستثمار'!O15</f>
        <v/>
      </c>
      <c r="I75" s="28">
        <f>'الاستثمار'!G15</f>
        <v/>
      </c>
      <c r="J75" s="23">
        <f>IF($G75="",0,$G75*$I75)</f>
        <v/>
      </c>
      <c r="K75" s="23">
        <f>IF($G75="",0,$I75)</f>
        <v/>
      </c>
    </row>
    <row r="76">
      <c r="A76" s="23" t="n">
        <v>75</v>
      </c>
      <c r="B76" s="26" t="inlineStr">
        <is>
          <t>الاستثمار</t>
        </is>
      </c>
      <c r="C76" s="26">
        <f>'الاستثمار'!C16</f>
        <v/>
      </c>
      <c r="D76" s="23">
        <f>'الاستثمار'!J16</f>
        <v/>
      </c>
      <c r="E76" s="26">
        <f>'الاستثمار'!K16</f>
        <v/>
      </c>
      <c r="F76" s="23">
        <f>'الاستثمار'!L16</f>
        <v/>
      </c>
      <c r="G76" s="50">
        <f>'الاستثمار'!N16</f>
        <v/>
      </c>
      <c r="H76" s="23">
        <f>'الاستثمار'!O16</f>
        <v/>
      </c>
      <c r="I76" s="28">
        <f>'الاستثمار'!G16</f>
        <v/>
      </c>
      <c r="J76" s="23">
        <f>IF($G76="",0,$G76*$I76)</f>
        <v/>
      </c>
      <c r="K76" s="23">
        <f>IF($G76="",0,$I76)</f>
        <v/>
      </c>
    </row>
    <row r="77">
      <c r="A77" s="23" t="n">
        <v>76</v>
      </c>
      <c r="B77" s="26" t="inlineStr">
        <is>
          <t>الاستثمار</t>
        </is>
      </c>
      <c r="C77" s="26">
        <f>'الاستثمار'!C17</f>
        <v/>
      </c>
      <c r="D77" s="23">
        <f>'الاستثمار'!J17</f>
        <v/>
      </c>
      <c r="E77" s="26">
        <f>'الاستثمار'!K17</f>
        <v/>
      </c>
      <c r="F77" s="23">
        <f>'الاستثمار'!L17</f>
        <v/>
      </c>
      <c r="G77" s="50">
        <f>'الاستثمار'!N17</f>
        <v/>
      </c>
      <c r="H77" s="23">
        <f>'الاستثمار'!O17</f>
        <v/>
      </c>
      <c r="I77" s="28">
        <f>'الاستثمار'!G17</f>
        <v/>
      </c>
      <c r="J77" s="23">
        <f>IF($G77="",0,$G77*$I77)</f>
        <v/>
      </c>
      <c r="K77" s="23">
        <f>IF($G77="",0,$I77)</f>
        <v/>
      </c>
    </row>
    <row r="78">
      <c r="A78" s="23" t="n">
        <v>77</v>
      </c>
      <c r="B78" s="26" t="inlineStr">
        <is>
          <t>الاستثمار</t>
        </is>
      </c>
      <c r="C78" s="26">
        <f>'الاستثمار'!C18</f>
        <v/>
      </c>
      <c r="D78" s="23">
        <f>'الاستثمار'!J18</f>
        <v/>
      </c>
      <c r="E78" s="26">
        <f>'الاستثمار'!K18</f>
        <v/>
      </c>
      <c r="F78" s="23">
        <f>'الاستثمار'!L18</f>
        <v/>
      </c>
      <c r="G78" s="50">
        <f>'الاستثمار'!N18</f>
        <v/>
      </c>
      <c r="H78" s="23">
        <f>'الاستثمار'!O18</f>
        <v/>
      </c>
      <c r="I78" s="28">
        <f>'الاستثمار'!G18</f>
        <v/>
      </c>
      <c r="J78" s="23">
        <f>IF($G78="",0,$G78*$I78)</f>
        <v/>
      </c>
      <c r="K78" s="23">
        <f>IF($G78="",0,$I78)</f>
        <v/>
      </c>
    </row>
    <row r="79">
      <c r="A79" s="23" t="n">
        <v>78</v>
      </c>
      <c r="B79" s="26" t="inlineStr">
        <is>
          <t>الاستثمار</t>
        </is>
      </c>
      <c r="C79" s="26">
        <f>'الاستثمار'!C19</f>
        <v/>
      </c>
      <c r="D79" s="23">
        <f>'الاستثمار'!J19</f>
        <v/>
      </c>
      <c r="E79" s="26">
        <f>'الاستثمار'!K19</f>
        <v/>
      </c>
      <c r="F79" s="23">
        <f>'الاستثمار'!L19</f>
        <v/>
      </c>
      <c r="G79" s="50">
        <f>'الاستثمار'!N19</f>
        <v/>
      </c>
      <c r="H79" s="23">
        <f>'الاستثمار'!O19</f>
        <v/>
      </c>
      <c r="I79" s="28">
        <f>'الاستثمار'!G19</f>
        <v/>
      </c>
      <c r="J79" s="23">
        <f>IF($G79="",0,$G79*$I79)</f>
        <v/>
      </c>
      <c r="K79" s="23">
        <f>IF($G79="",0,$I79)</f>
        <v/>
      </c>
    </row>
    <row r="80">
      <c r="A80" s="23" t="n">
        <v>79</v>
      </c>
      <c r="B80" s="26" t="inlineStr">
        <is>
          <t>الاستثمار</t>
        </is>
      </c>
      <c r="C80" s="26">
        <f>'الاستثمار'!C20</f>
        <v/>
      </c>
      <c r="D80" s="23">
        <f>'الاستثمار'!J20</f>
        <v/>
      </c>
      <c r="E80" s="26">
        <f>'الاستثمار'!K20</f>
        <v/>
      </c>
      <c r="F80" s="23">
        <f>'الاستثمار'!L20</f>
        <v/>
      </c>
      <c r="G80" s="50">
        <f>'الاستثمار'!N20</f>
        <v/>
      </c>
      <c r="H80" s="23">
        <f>'الاستثمار'!O20</f>
        <v/>
      </c>
      <c r="I80" s="28">
        <f>'الاستثمار'!G20</f>
        <v/>
      </c>
      <c r="J80" s="23">
        <f>IF($G80="",0,$G80*$I80)</f>
        <v/>
      </c>
      <c r="K80" s="23">
        <f>IF($G80="",0,$I80)</f>
        <v/>
      </c>
    </row>
    <row r="81">
      <c r="A81" s="23" t="n">
        <v>80</v>
      </c>
      <c r="B81" s="26" t="inlineStr">
        <is>
          <t>الاستثمار</t>
        </is>
      </c>
      <c r="C81" s="26">
        <f>'الاستثمار'!C21</f>
        <v/>
      </c>
      <c r="D81" s="23">
        <f>'الاستثمار'!J21</f>
        <v/>
      </c>
      <c r="E81" s="26">
        <f>'الاستثمار'!K21</f>
        <v/>
      </c>
      <c r="F81" s="23">
        <f>'الاستثمار'!L21</f>
        <v/>
      </c>
      <c r="G81" s="50">
        <f>'الاستثمار'!N21</f>
        <v/>
      </c>
      <c r="H81" s="23">
        <f>'الاستثمار'!O21</f>
        <v/>
      </c>
      <c r="I81" s="28">
        <f>'الاستثمار'!G21</f>
        <v/>
      </c>
      <c r="J81" s="23">
        <f>IF($G81="",0,$G81*$I81)</f>
        <v/>
      </c>
      <c r="K81" s="23">
        <f>IF($G81="",0,$I81)</f>
        <v/>
      </c>
    </row>
    <row r="82">
      <c r="A82" s="23" t="n">
        <v>81</v>
      </c>
      <c r="B82" s="26" t="inlineStr">
        <is>
          <t>الاستثمار</t>
        </is>
      </c>
      <c r="C82" s="26">
        <f>'الاستثمار'!C22</f>
        <v/>
      </c>
      <c r="D82" s="23">
        <f>'الاستثمار'!J22</f>
        <v/>
      </c>
      <c r="E82" s="26">
        <f>'الاستثمار'!K22</f>
        <v/>
      </c>
      <c r="F82" s="23">
        <f>'الاستثمار'!L22</f>
        <v/>
      </c>
      <c r="G82" s="50">
        <f>'الاستثمار'!N22</f>
        <v/>
      </c>
      <c r="H82" s="23">
        <f>'الاستثمار'!O22</f>
        <v/>
      </c>
      <c r="I82" s="28">
        <f>'الاستثمار'!G22</f>
        <v/>
      </c>
      <c r="J82" s="23">
        <f>IF($G82="",0,$G82*$I82)</f>
        <v/>
      </c>
      <c r="K82" s="23">
        <f>IF($G82="",0,$I82)</f>
        <v/>
      </c>
    </row>
    <row r="83">
      <c r="A83" s="23" t="n">
        <v>82</v>
      </c>
      <c r="B83" s="26" t="inlineStr">
        <is>
          <t>الاستثمار</t>
        </is>
      </c>
      <c r="C83" s="26">
        <f>'الاستثمار'!C23</f>
        <v/>
      </c>
      <c r="D83" s="23">
        <f>'الاستثمار'!J23</f>
        <v/>
      </c>
      <c r="E83" s="26">
        <f>'الاستثمار'!K23</f>
        <v/>
      </c>
      <c r="F83" s="23">
        <f>'الاستثمار'!L23</f>
        <v/>
      </c>
      <c r="G83" s="50">
        <f>'الاستثمار'!N23</f>
        <v/>
      </c>
      <c r="H83" s="23">
        <f>'الاستثمار'!O23</f>
        <v/>
      </c>
      <c r="I83" s="28">
        <f>'الاستثمار'!G23</f>
        <v/>
      </c>
      <c r="J83" s="23">
        <f>IF($G83="",0,$G83*$I83)</f>
        <v/>
      </c>
      <c r="K83" s="23">
        <f>IF($G83="",0,$I83)</f>
        <v/>
      </c>
    </row>
    <row r="84">
      <c r="A84" s="23" t="n">
        <v>83</v>
      </c>
      <c r="B84" s="26" t="inlineStr">
        <is>
          <t>الاستثمار</t>
        </is>
      </c>
      <c r="C84" s="26">
        <f>'الاستثمار'!C24</f>
        <v/>
      </c>
      <c r="D84" s="23">
        <f>'الاستثمار'!J24</f>
        <v/>
      </c>
      <c r="E84" s="26">
        <f>'الاستثمار'!K24</f>
        <v/>
      </c>
      <c r="F84" s="23">
        <f>'الاستثمار'!L24</f>
        <v/>
      </c>
      <c r="G84" s="50">
        <f>'الاستثمار'!N24</f>
        <v/>
      </c>
      <c r="H84" s="23">
        <f>'الاستثمار'!O24</f>
        <v/>
      </c>
      <c r="I84" s="28">
        <f>'الاستثمار'!G24</f>
        <v/>
      </c>
      <c r="J84" s="23">
        <f>IF($G84="",0,$G84*$I84)</f>
        <v/>
      </c>
      <c r="K84" s="23">
        <f>IF($G84="",0,$I84)</f>
        <v/>
      </c>
    </row>
    <row r="85">
      <c r="A85" s="23" t="n">
        <v>84</v>
      </c>
      <c r="B85" s="26" t="inlineStr">
        <is>
          <t>الاستثمار</t>
        </is>
      </c>
      <c r="C85" s="26">
        <f>'الاستثمار'!C25</f>
        <v/>
      </c>
      <c r="D85" s="23">
        <f>'الاستثمار'!J25</f>
        <v/>
      </c>
      <c r="E85" s="26">
        <f>'الاستثمار'!K25</f>
        <v/>
      </c>
      <c r="F85" s="23">
        <f>'الاستثمار'!L25</f>
        <v/>
      </c>
      <c r="G85" s="50">
        <f>'الاستثمار'!N25</f>
        <v/>
      </c>
      <c r="H85" s="23">
        <f>'الاستثمار'!O25</f>
        <v/>
      </c>
      <c r="I85" s="28">
        <f>'الاستثمار'!G25</f>
        <v/>
      </c>
      <c r="J85" s="23">
        <f>IF($G85="",0,$G85*$I85)</f>
        <v/>
      </c>
      <c r="K85" s="23">
        <f>IF($G85="",0,$I85)</f>
        <v/>
      </c>
    </row>
    <row r="86">
      <c r="A86" s="23" t="n">
        <v>85</v>
      </c>
      <c r="B86" s="26" t="inlineStr">
        <is>
          <t>الاستثمار</t>
        </is>
      </c>
      <c r="C86" s="26">
        <f>'الاستثمار'!C26</f>
        <v/>
      </c>
      <c r="D86" s="23">
        <f>'الاستثمار'!J26</f>
        <v/>
      </c>
      <c r="E86" s="26">
        <f>'الاستثمار'!K26</f>
        <v/>
      </c>
      <c r="F86" s="23">
        <f>'الاستثمار'!L26</f>
        <v/>
      </c>
      <c r="G86" s="50">
        <f>'الاستثمار'!N26</f>
        <v/>
      </c>
      <c r="H86" s="23">
        <f>'الاستثمار'!O26</f>
        <v/>
      </c>
      <c r="I86" s="28">
        <f>'الاستثمار'!G26</f>
        <v/>
      </c>
      <c r="J86" s="23">
        <f>IF($G86="",0,$G86*$I86)</f>
        <v/>
      </c>
      <c r="K86" s="23">
        <f>IF($G86="",0,$I86)</f>
        <v/>
      </c>
    </row>
    <row r="87">
      <c r="A87" s="23" t="n">
        <v>86</v>
      </c>
      <c r="B87" s="26" t="inlineStr">
        <is>
          <t>الاستثمار</t>
        </is>
      </c>
      <c r="C87" s="26">
        <f>'الاستثمار'!C27</f>
        <v/>
      </c>
      <c r="D87" s="23">
        <f>'الاستثمار'!J27</f>
        <v/>
      </c>
      <c r="E87" s="26">
        <f>'الاستثمار'!K27</f>
        <v/>
      </c>
      <c r="F87" s="23">
        <f>'الاستثمار'!L27</f>
        <v/>
      </c>
      <c r="G87" s="50">
        <f>'الاستثمار'!N27</f>
        <v/>
      </c>
      <c r="H87" s="23">
        <f>'الاستثمار'!O27</f>
        <v/>
      </c>
      <c r="I87" s="28">
        <f>'الاستثمار'!G27</f>
        <v/>
      </c>
      <c r="J87" s="23">
        <f>IF($G87="",0,$G87*$I87)</f>
        <v/>
      </c>
      <c r="K87" s="23">
        <f>IF($G87="",0,$I87)</f>
        <v/>
      </c>
    </row>
    <row r="88">
      <c r="A88" s="23" t="n">
        <v>87</v>
      </c>
      <c r="B88" s="26" t="inlineStr">
        <is>
          <t>العقار</t>
        </is>
      </c>
      <c r="C88" s="26">
        <f>'العقار'!C4</f>
        <v/>
      </c>
      <c r="D88" s="23">
        <f>'العقار'!J4</f>
        <v/>
      </c>
      <c r="E88" s="26">
        <f>'العقار'!K4</f>
        <v/>
      </c>
      <c r="F88" s="23">
        <f>'العقار'!L4</f>
        <v/>
      </c>
      <c r="G88" s="50">
        <f>'العقار'!N4</f>
        <v/>
      </c>
      <c r="H88" s="23">
        <f>'العقار'!O4</f>
        <v/>
      </c>
      <c r="I88" s="28">
        <f>'العقار'!G4</f>
        <v/>
      </c>
      <c r="J88" s="23">
        <f>IF($G88="",0,$G88*$I88)</f>
        <v/>
      </c>
      <c r="K88" s="23">
        <f>IF($G88="",0,$I88)</f>
        <v/>
      </c>
    </row>
    <row r="89">
      <c r="A89" s="23" t="n">
        <v>88</v>
      </c>
      <c r="B89" s="26" t="inlineStr">
        <is>
          <t>العقار</t>
        </is>
      </c>
      <c r="C89" s="26">
        <f>'العقار'!C5</f>
        <v/>
      </c>
      <c r="D89" s="23">
        <f>'العقار'!J5</f>
        <v/>
      </c>
      <c r="E89" s="26">
        <f>'العقار'!K5</f>
        <v/>
      </c>
      <c r="F89" s="23">
        <f>'العقار'!L5</f>
        <v/>
      </c>
      <c r="G89" s="50">
        <f>'العقار'!N5</f>
        <v/>
      </c>
      <c r="H89" s="23">
        <f>'العقار'!O5</f>
        <v/>
      </c>
      <c r="I89" s="28">
        <f>'العقار'!G5</f>
        <v/>
      </c>
      <c r="J89" s="23">
        <f>IF($G89="",0,$G89*$I89)</f>
        <v/>
      </c>
      <c r="K89" s="23">
        <f>IF($G89="",0,$I89)</f>
        <v/>
      </c>
    </row>
    <row r="90">
      <c r="A90" s="23" t="n">
        <v>89</v>
      </c>
      <c r="B90" s="26" t="inlineStr">
        <is>
          <t>العقار</t>
        </is>
      </c>
      <c r="C90" s="26">
        <f>'العقار'!C6</f>
        <v/>
      </c>
      <c r="D90" s="23">
        <f>'العقار'!J6</f>
        <v/>
      </c>
      <c r="E90" s="26">
        <f>'العقار'!K6</f>
        <v/>
      </c>
      <c r="F90" s="23">
        <f>'العقار'!L6</f>
        <v/>
      </c>
      <c r="G90" s="50">
        <f>'العقار'!N6</f>
        <v/>
      </c>
      <c r="H90" s="23">
        <f>'العقار'!O6</f>
        <v/>
      </c>
      <c r="I90" s="28">
        <f>'العقار'!G6</f>
        <v/>
      </c>
      <c r="J90" s="23">
        <f>IF($G90="",0,$G90*$I90)</f>
        <v/>
      </c>
      <c r="K90" s="23">
        <f>IF($G90="",0,$I90)</f>
        <v/>
      </c>
    </row>
    <row r="91">
      <c r="A91" s="23" t="n">
        <v>90</v>
      </c>
      <c r="B91" s="26" t="inlineStr">
        <is>
          <t>العقار</t>
        </is>
      </c>
      <c r="C91" s="26">
        <f>'العقار'!C7</f>
        <v/>
      </c>
      <c r="D91" s="23">
        <f>'العقار'!J7</f>
        <v/>
      </c>
      <c r="E91" s="26">
        <f>'العقار'!K7</f>
        <v/>
      </c>
      <c r="F91" s="23">
        <f>'العقار'!L7</f>
        <v/>
      </c>
      <c r="G91" s="50">
        <f>'العقار'!N7</f>
        <v/>
      </c>
      <c r="H91" s="23">
        <f>'العقار'!O7</f>
        <v/>
      </c>
      <c r="I91" s="28">
        <f>'العقار'!G7</f>
        <v/>
      </c>
      <c r="J91" s="23">
        <f>IF($G91="",0,$G91*$I91)</f>
        <v/>
      </c>
      <c r="K91" s="23">
        <f>IF($G91="",0,$I91)</f>
        <v/>
      </c>
    </row>
    <row r="92">
      <c r="A92" s="23" t="n">
        <v>91</v>
      </c>
      <c r="B92" s="26" t="inlineStr">
        <is>
          <t>العقار</t>
        </is>
      </c>
      <c r="C92" s="26">
        <f>'العقار'!C8</f>
        <v/>
      </c>
      <c r="D92" s="23">
        <f>'العقار'!J8</f>
        <v/>
      </c>
      <c r="E92" s="26">
        <f>'العقار'!K8</f>
        <v/>
      </c>
      <c r="F92" s="23">
        <f>'العقار'!L8</f>
        <v/>
      </c>
      <c r="G92" s="50">
        <f>'العقار'!N8</f>
        <v/>
      </c>
      <c r="H92" s="23">
        <f>'العقار'!O8</f>
        <v/>
      </c>
      <c r="I92" s="28">
        <f>'العقار'!G8</f>
        <v/>
      </c>
      <c r="J92" s="23">
        <f>IF($G92="",0,$G92*$I92)</f>
        <v/>
      </c>
      <c r="K92" s="23">
        <f>IF($G92="",0,$I92)</f>
        <v/>
      </c>
    </row>
    <row r="93">
      <c r="A93" s="23" t="n">
        <v>92</v>
      </c>
      <c r="B93" s="26" t="inlineStr">
        <is>
          <t>العقار</t>
        </is>
      </c>
      <c r="C93" s="26">
        <f>'العقار'!C9</f>
        <v/>
      </c>
      <c r="D93" s="23">
        <f>'العقار'!J9</f>
        <v/>
      </c>
      <c r="E93" s="26">
        <f>'العقار'!K9</f>
        <v/>
      </c>
      <c r="F93" s="23">
        <f>'العقار'!L9</f>
        <v/>
      </c>
      <c r="G93" s="50">
        <f>'العقار'!N9</f>
        <v/>
      </c>
      <c r="H93" s="23">
        <f>'العقار'!O9</f>
        <v/>
      </c>
      <c r="I93" s="28">
        <f>'العقار'!G9</f>
        <v/>
      </c>
      <c r="J93" s="23">
        <f>IF($G93="",0,$G93*$I93)</f>
        <v/>
      </c>
      <c r="K93" s="23">
        <f>IF($G93="",0,$I93)</f>
        <v/>
      </c>
    </row>
    <row r="94">
      <c r="A94" s="23" t="n">
        <v>93</v>
      </c>
      <c r="B94" s="26" t="inlineStr">
        <is>
          <t>العقار</t>
        </is>
      </c>
      <c r="C94" s="26">
        <f>'العقار'!C10</f>
        <v/>
      </c>
      <c r="D94" s="23">
        <f>'العقار'!J10</f>
        <v/>
      </c>
      <c r="E94" s="26">
        <f>'العقار'!K10</f>
        <v/>
      </c>
      <c r="F94" s="23">
        <f>'العقار'!L10</f>
        <v/>
      </c>
      <c r="G94" s="50">
        <f>'العقار'!N10</f>
        <v/>
      </c>
      <c r="H94" s="23">
        <f>'العقار'!O10</f>
        <v/>
      </c>
      <c r="I94" s="28">
        <f>'العقار'!G10</f>
        <v/>
      </c>
      <c r="J94" s="23">
        <f>IF($G94="",0,$G94*$I94)</f>
        <v/>
      </c>
      <c r="K94" s="23">
        <f>IF($G94="",0,$I94)</f>
        <v/>
      </c>
    </row>
    <row r="95">
      <c r="A95" s="23" t="n">
        <v>94</v>
      </c>
      <c r="B95" s="26" t="inlineStr">
        <is>
          <t>العقار</t>
        </is>
      </c>
      <c r="C95" s="26">
        <f>'العقار'!C11</f>
        <v/>
      </c>
      <c r="D95" s="23">
        <f>'العقار'!J11</f>
        <v/>
      </c>
      <c r="E95" s="26">
        <f>'العقار'!K11</f>
        <v/>
      </c>
      <c r="F95" s="23">
        <f>'العقار'!L11</f>
        <v/>
      </c>
      <c r="G95" s="50">
        <f>'العقار'!N11</f>
        <v/>
      </c>
      <c r="H95" s="23">
        <f>'العقار'!O11</f>
        <v/>
      </c>
      <c r="I95" s="28">
        <f>'العقار'!G11</f>
        <v/>
      </c>
      <c r="J95" s="23">
        <f>IF($G95="",0,$G95*$I95)</f>
        <v/>
      </c>
      <c r="K95" s="23">
        <f>IF($G95="",0,$I95)</f>
        <v/>
      </c>
    </row>
    <row r="96">
      <c r="A96" s="23" t="n">
        <v>95</v>
      </c>
      <c r="B96" s="26" t="inlineStr">
        <is>
          <t>العقار</t>
        </is>
      </c>
      <c r="C96" s="26">
        <f>'العقار'!C12</f>
        <v/>
      </c>
      <c r="D96" s="23">
        <f>'العقار'!J12</f>
        <v/>
      </c>
      <c r="E96" s="26">
        <f>'العقار'!K12</f>
        <v/>
      </c>
      <c r="F96" s="23">
        <f>'العقار'!L12</f>
        <v/>
      </c>
      <c r="G96" s="50">
        <f>'العقار'!N12</f>
        <v/>
      </c>
      <c r="H96" s="23">
        <f>'العقار'!O12</f>
        <v/>
      </c>
      <c r="I96" s="28">
        <f>'العقار'!G12</f>
        <v/>
      </c>
      <c r="J96" s="23">
        <f>IF($G96="",0,$G96*$I96)</f>
        <v/>
      </c>
      <c r="K96" s="23">
        <f>IF($G96="",0,$I96)</f>
        <v/>
      </c>
    </row>
    <row r="97">
      <c r="A97" s="23" t="n">
        <v>96</v>
      </c>
      <c r="B97" s="26" t="inlineStr">
        <is>
          <t>العقار</t>
        </is>
      </c>
      <c r="C97" s="26">
        <f>'العقار'!C13</f>
        <v/>
      </c>
      <c r="D97" s="23">
        <f>'العقار'!J13</f>
        <v/>
      </c>
      <c r="E97" s="26">
        <f>'العقار'!K13</f>
        <v/>
      </c>
      <c r="F97" s="23">
        <f>'العقار'!L13</f>
        <v/>
      </c>
      <c r="G97" s="50">
        <f>'العقار'!N13</f>
        <v/>
      </c>
      <c r="H97" s="23">
        <f>'العقار'!O13</f>
        <v/>
      </c>
      <c r="I97" s="28">
        <f>'العقار'!G13</f>
        <v/>
      </c>
      <c r="J97" s="23">
        <f>IF($G97="",0,$G97*$I97)</f>
        <v/>
      </c>
      <c r="K97" s="23">
        <f>IF($G97="",0,$I97)</f>
        <v/>
      </c>
    </row>
    <row r="98">
      <c r="A98" s="23" t="n">
        <v>97</v>
      </c>
      <c r="B98" s="26" t="inlineStr">
        <is>
          <t>العقار</t>
        </is>
      </c>
      <c r="C98" s="26">
        <f>'العقار'!C14</f>
        <v/>
      </c>
      <c r="D98" s="23">
        <f>'العقار'!J14</f>
        <v/>
      </c>
      <c r="E98" s="26">
        <f>'العقار'!K14</f>
        <v/>
      </c>
      <c r="F98" s="23">
        <f>'العقار'!L14</f>
        <v/>
      </c>
      <c r="G98" s="50">
        <f>'العقار'!N14</f>
        <v/>
      </c>
      <c r="H98" s="23">
        <f>'العقار'!O14</f>
        <v/>
      </c>
      <c r="I98" s="28">
        <f>'العقار'!G14</f>
        <v/>
      </c>
      <c r="J98" s="23">
        <f>IF($G98="",0,$G98*$I98)</f>
        <v/>
      </c>
      <c r="K98" s="23">
        <f>IF($G98="",0,$I98)</f>
        <v/>
      </c>
    </row>
    <row r="99">
      <c r="A99" s="23" t="n">
        <v>98</v>
      </c>
      <c r="B99" s="26" t="inlineStr">
        <is>
          <t>العقار</t>
        </is>
      </c>
      <c r="C99" s="26">
        <f>'العقار'!C15</f>
        <v/>
      </c>
      <c r="D99" s="23">
        <f>'العقار'!J15</f>
        <v/>
      </c>
      <c r="E99" s="26">
        <f>'العقار'!K15</f>
        <v/>
      </c>
      <c r="F99" s="23">
        <f>'العقار'!L15</f>
        <v/>
      </c>
      <c r="G99" s="50">
        <f>'العقار'!N15</f>
        <v/>
      </c>
      <c r="H99" s="23">
        <f>'العقار'!O15</f>
        <v/>
      </c>
      <c r="I99" s="28">
        <f>'العقار'!G15</f>
        <v/>
      </c>
      <c r="J99" s="23">
        <f>IF($G99="",0,$G99*$I99)</f>
        <v/>
      </c>
      <c r="K99" s="23">
        <f>IF($G99="",0,$I99)</f>
        <v/>
      </c>
    </row>
    <row r="100">
      <c r="A100" s="23" t="n">
        <v>99</v>
      </c>
      <c r="B100" s="26" t="inlineStr">
        <is>
          <t>العقار</t>
        </is>
      </c>
      <c r="C100" s="26">
        <f>'العقار'!C16</f>
        <v/>
      </c>
      <c r="D100" s="23">
        <f>'العقار'!J16</f>
        <v/>
      </c>
      <c r="E100" s="26">
        <f>'العقار'!K16</f>
        <v/>
      </c>
      <c r="F100" s="23">
        <f>'العقار'!L16</f>
        <v/>
      </c>
      <c r="G100" s="50">
        <f>'العقار'!N16</f>
        <v/>
      </c>
      <c r="H100" s="23">
        <f>'العقار'!O16</f>
        <v/>
      </c>
      <c r="I100" s="28">
        <f>'العقار'!G16</f>
        <v/>
      </c>
      <c r="J100" s="23">
        <f>IF($G100="",0,$G100*$I100)</f>
        <v/>
      </c>
      <c r="K100" s="23">
        <f>IF($G100="",0,$I100)</f>
        <v/>
      </c>
    </row>
    <row r="101">
      <c r="A101" s="23" t="n">
        <v>100</v>
      </c>
      <c r="B101" s="26" t="inlineStr">
        <is>
          <t>العقار</t>
        </is>
      </c>
      <c r="C101" s="26">
        <f>'العقار'!C17</f>
        <v/>
      </c>
      <c r="D101" s="23">
        <f>'العقار'!J17</f>
        <v/>
      </c>
      <c r="E101" s="26">
        <f>'العقار'!K17</f>
        <v/>
      </c>
      <c r="F101" s="23">
        <f>'العقار'!L17</f>
        <v/>
      </c>
      <c r="G101" s="50">
        <f>'العقار'!N17</f>
        <v/>
      </c>
      <c r="H101" s="23">
        <f>'العقار'!O17</f>
        <v/>
      </c>
      <c r="I101" s="28">
        <f>'العقار'!G17</f>
        <v/>
      </c>
      <c r="J101" s="23">
        <f>IF($G101="",0,$G101*$I101)</f>
        <v/>
      </c>
      <c r="K101" s="23">
        <f>IF($G101="",0,$I101)</f>
        <v/>
      </c>
    </row>
    <row r="102">
      <c r="A102" s="23" t="n">
        <v>101</v>
      </c>
      <c r="B102" s="26" t="inlineStr">
        <is>
          <t>العقار</t>
        </is>
      </c>
      <c r="C102" s="26">
        <f>'العقار'!C18</f>
        <v/>
      </c>
      <c r="D102" s="23">
        <f>'العقار'!J18</f>
        <v/>
      </c>
      <c r="E102" s="26">
        <f>'العقار'!K18</f>
        <v/>
      </c>
      <c r="F102" s="23">
        <f>'العقار'!L18</f>
        <v/>
      </c>
      <c r="G102" s="50">
        <f>'العقار'!N18</f>
        <v/>
      </c>
      <c r="H102" s="23">
        <f>'العقار'!O18</f>
        <v/>
      </c>
      <c r="I102" s="28">
        <f>'العقار'!G18</f>
        <v/>
      </c>
      <c r="J102" s="23">
        <f>IF($G102="",0,$G102*$I102)</f>
        <v/>
      </c>
      <c r="K102" s="23">
        <f>IF($G102="",0,$I102)</f>
        <v/>
      </c>
    </row>
    <row r="103">
      <c r="A103" s="23" t="n">
        <v>102</v>
      </c>
      <c r="B103" s="26" t="inlineStr">
        <is>
          <t>العقار</t>
        </is>
      </c>
      <c r="C103" s="26">
        <f>'العقار'!C19</f>
        <v/>
      </c>
      <c r="D103" s="23">
        <f>'العقار'!J19</f>
        <v/>
      </c>
      <c r="E103" s="26">
        <f>'العقار'!K19</f>
        <v/>
      </c>
      <c r="F103" s="23">
        <f>'العقار'!L19</f>
        <v/>
      </c>
      <c r="G103" s="50">
        <f>'العقار'!N19</f>
        <v/>
      </c>
      <c r="H103" s="23">
        <f>'العقار'!O19</f>
        <v/>
      </c>
      <c r="I103" s="28">
        <f>'العقار'!G19</f>
        <v/>
      </c>
      <c r="J103" s="23">
        <f>IF($G103="",0,$G103*$I103)</f>
        <v/>
      </c>
      <c r="K103" s="23">
        <f>IF($G103="",0,$I103)</f>
        <v/>
      </c>
    </row>
    <row r="104">
      <c r="A104" s="23" t="n">
        <v>103</v>
      </c>
      <c r="B104" s="26" t="inlineStr">
        <is>
          <t>التقنية الرقمية</t>
        </is>
      </c>
      <c r="C104" s="26">
        <f>'التقنية الرقمية'!C4</f>
        <v/>
      </c>
      <c r="D104" s="23">
        <f>'التقنية الرقمية'!J4</f>
        <v/>
      </c>
      <c r="E104" s="26">
        <f>'التقنية الرقمية'!K4</f>
        <v/>
      </c>
      <c r="F104" s="23">
        <f>'التقنية الرقمية'!L4</f>
        <v/>
      </c>
      <c r="G104" s="50">
        <f>'التقنية الرقمية'!N4</f>
        <v/>
      </c>
      <c r="H104" s="23">
        <f>'التقنية الرقمية'!O4</f>
        <v/>
      </c>
      <c r="I104" s="28">
        <f>'التقنية الرقمية'!G4</f>
        <v/>
      </c>
      <c r="J104" s="23">
        <f>IF($G104="",0,$G104*$I104)</f>
        <v/>
      </c>
      <c r="K104" s="23">
        <f>IF($G104="",0,$I104)</f>
        <v/>
      </c>
    </row>
    <row r="105">
      <c r="A105" s="23" t="n">
        <v>104</v>
      </c>
      <c r="B105" s="26" t="inlineStr">
        <is>
          <t>التقنية الرقمية</t>
        </is>
      </c>
      <c r="C105" s="26">
        <f>'التقنية الرقمية'!C5</f>
        <v/>
      </c>
      <c r="D105" s="23">
        <f>'التقنية الرقمية'!J5</f>
        <v/>
      </c>
      <c r="E105" s="26">
        <f>'التقنية الرقمية'!K5</f>
        <v/>
      </c>
      <c r="F105" s="23">
        <f>'التقنية الرقمية'!L5</f>
        <v/>
      </c>
      <c r="G105" s="50">
        <f>'التقنية الرقمية'!N5</f>
        <v/>
      </c>
      <c r="H105" s="23">
        <f>'التقنية الرقمية'!O5</f>
        <v/>
      </c>
      <c r="I105" s="28">
        <f>'التقنية الرقمية'!G5</f>
        <v/>
      </c>
      <c r="J105" s="23">
        <f>IF($G105="",0,$G105*$I105)</f>
        <v/>
      </c>
      <c r="K105" s="23">
        <f>IF($G105="",0,$I105)</f>
        <v/>
      </c>
    </row>
    <row r="106">
      <c r="A106" s="23" t="n">
        <v>105</v>
      </c>
      <c r="B106" s="26" t="inlineStr">
        <is>
          <t>التقنية الرقمية</t>
        </is>
      </c>
      <c r="C106" s="26">
        <f>'التقنية الرقمية'!C6</f>
        <v/>
      </c>
      <c r="D106" s="23">
        <f>'التقنية الرقمية'!J6</f>
        <v/>
      </c>
      <c r="E106" s="26">
        <f>'التقنية الرقمية'!K6</f>
        <v/>
      </c>
      <c r="F106" s="23">
        <f>'التقنية الرقمية'!L6</f>
        <v/>
      </c>
      <c r="G106" s="50">
        <f>'التقنية الرقمية'!N6</f>
        <v/>
      </c>
      <c r="H106" s="23">
        <f>'التقنية الرقمية'!O6</f>
        <v/>
      </c>
      <c r="I106" s="28">
        <f>'التقنية الرقمية'!G6</f>
        <v/>
      </c>
      <c r="J106" s="23">
        <f>IF($G106="",0,$G106*$I106)</f>
        <v/>
      </c>
      <c r="K106" s="23">
        <f>IF($G106="",0,$I106)</f>
        <v/>
      </c>
    </row>
    <row r="107">
      <c r="A107" s="23" t="n">
        <v>106</v>
      </c>
      <c r="B107" s="26" t="inlineStr">
        <is>
          <t>التقنية الرقمية</t>
        </is>
      </c>
      <c r="C107" s="26">
        <f>'التقنية الرقمية'!C7</f>
        <v/>
      </c>
      <c r="D107" s="23">
        <f>'التقنية الرقمية'!J7</f>
        <v/>
      </c>
      <c r="E107" s="26">
        <f>'التقنية الرقمية'!K7</f>
        <v/>
      </c>
      <c r="F107" s="23">
        <f>'التقنية الرقمية'!L7</f>
        <v/>
      </c>
      <c r="G107" s="50">
        <f>'التقنية الرقمية'!N7</f>
        <v/>
      </c>
      <c r="H107" s="23">
        <f>'التقنية الرقمية'!O7</f>
        <v/>
      </c>
      <c r="I107" s="28">
        <f>'التقنية الرقمية'!G7</f>
        <v/>
      </c>
      <c r="J107" s="23">
        <f>IF($G107="",0,$G107*$I107)</f>
        <v/>
      </c>
      <c r="K107" s="23">
        <f>IF($G107="",0,$I107)</f>
        <v/>
      </c>
    </row>
    <row r="108">
      <c r="A108" s="23" t="n">
        <v>107</v>
      </c>
      <c r="B108" s="26" t="inlineStr">
        <is>
          <t>التقنية الرقمية</t>
        </is>
      </c>
      <c r="C108" s="26">
        <f>'التقنية الرقمية'!C8</f>
        <v/>
      </c>
      <c r="D108" s="23">
        <f>'التقنية الرقمية'!J8</f>
        <v/>
      </c>
      <c r="E108" s="26">
        <f>'التقنية الرقمية'!K8</f>
        <v/>
      </c>
      <c r="F108" s="23">
        <f>'التقنية الرقمية'!L8</f>
        <v/>
      </c>
      <c r="G108" s="50">
        <f>'التقنية الرقمية'!N8</f>
        <v/>
      </c>
      <c r="H108" s="23">
        <f>'التقنية الرقمية'!O8</f>
        <v/>
      </c>
      <c r="I108" s="28">
        <f>'التقنية الرقمية'!G8</f>
        <v/>
      </c>
      <c r="J108" s="23">
        <f>IF($G108="",0,$G108*$I108)</f>
        <v/>
      </c>
      <c r="K108" s="23">
        <f>IF($G108="",0,$I108)</f>
        <v/>
      </c>
    </row>
    <row r="109">
      <c r="A109" s="23" t="n">
        <v>108</v>
      </c>
      <c r="B109" s="26" t="inlineStr">
        <is>
          <t>التقنية الرقمية</t>
        </is>
      </c>
      <c r="C109" s="26">
        <f>'التقنية الرقمية'!C9</f>
        <v/>
      </c>
      <c r="D109" s="23">
        <f>'التقنية الرقمية'!J9</f>
        <v/>
      </c>
      <c r="E109" s="26">
        <f>'التقنية الرقمية'!K9</f>
        <v/>
      </c>
      <c r="F109" s="23">
        <f>'التقنية الرقمية'!L9</f>
        <v/>
      </c>
      <c r="G109" s="50">
        <f>'التقنية الرقمية'!N9</f>
        <v/>
      </c>
      <c r="H109" s="23">
        <f>'التقنية الرقمية'!O9</f>
        <v/>
      </c>
      <c r="I109" s="28">
        <f>'التقنية الرقمية'!G9</f>
        <v/>
      </c>
      <c r="J109" s="23">
        <f>IF($G109="",0,$G109*$I109)</f>
        <v/>
      </c>
      <c r="K109" s="23">
        <f>IF($G109="",0,$I109)</f>
        <v/>
      </c>
    </row>
    <row r="110">
      <c r="A110" s="23" t="n">
        <v>109</v>
      </c>
      <c r="B110" s="26" t="inlineStr">
        <is>
          <t>التقنية الرقمية</t>
        </is>
      </c>
      <c r="C110" s="26">
        <f>'التقنية الرقمية'!C10</f>
        <v/>
      </c>
      <c r="D110" s="23">
        <f>'التقنية الرقمية'!J10</f>
        <v/>
      </c>
      <c r="E110" s="26">
        <f>'التقنية الرقمية'!K10</f>
        <v/>
      </c>
      <c r="F110" s="23">
        <f>'التقنية الرقمية'!L10</f>
        <v/>
      </c>
      <c r="G110" s="50">
        <f>'التقنية الرقمية'!N10</f>
        <v/>
      </c>
      <c r="H110" s="23">
        <f>'التقنية الرقمية'!O10</f>
        <v/>
      </c>
      <c r="I110" s="28">
        <f>'التقنية الرقمية'!G10</f>
        <v/>
      </c>
      <c r="J110" s="23">
        <f>IF($G110="",0,$G110*$I110)</f>
        <v/>
      </c>
      <c r="K110" s="23">
        <f>IF($G110="",0,$I110)</f>
        <v/>
      </c>
    </row>
    <row r="111">
      <c r="A111" s="23" t="n">
        <v>110</v>
      </c>
      <c r="B111" s="26" t="inlineStr">
        <is>
          <t>التقنية الرقمية</t>
        </is>
      </c>
      <c r="C111" s="26">
        <f>'التقنية الرقمية'!C11</f>
        <v/>
      </c>
      <c r="D111" s="23">
        <f>'التقنية الرقمية'!J11</f>
        <v/>
      </c>
      <c r="E111" s="26">
        <f>'التقنية الرقمية'!K11</f>
        <v/>
      </c>
      <c r="F111" s="23">
        <f>'التقنية الرقمية'!L11</f>
        <v/>
      </c>
      <c r="G111" s="50">
        <f>'التقنية الرقمية'!N11</f>
        <v/>
      </c>
      <c r="H111" s="23">
        <f>'التقنية الرقمية'!O11</f>
        <v/>
      </c>
      <c r="I111" s="28">
        <f>'التقنية الرقمية'!G11</f>
        <v/>
      </c>
      <c r="J111" s="23">
        <f>IF($G111="",0,$G111*$I111)</f>
        <v/>
      </c>
      <c r="K111" s="23">
        <f>IF($G111="",0,$I111)</f>
        <v/>
      </c>
    </row>
    <row r="112">
      <c r="A112" s="23" t="n">
        <v>111</v>
      </c>
      <c r="B112" s="26" t="inlineStr">
        <is>
          <t>التقنية الرقمية</t>
        </is>
      </c>
      <c r="C112" s="26">
        <f>'التقنية الرقمية'!C12</f>
        <v/>
      </c>
      <c r="D112" s="23">
        <f>'التقنية الرقمية'!J12</f>
        <v/>
      </c>
      <c r="E112" s="26">
        <f>'التقنية الرقمية'!K12</f>
        <v/>
      </c>
      <c r="F112" s="23">
        <f>'التقنية الرقمية'!L12</f>
        <v/>
      </c>
      <c r="G112" s="50">
        <f>'التقنية الرقمية'!N12</f>
        <v/>
      </c>
      <c r="H112" s="23">
        <f>'التقنية الرقمية'!O12</f>
        <v/>
      </c>
      <c r="I112" s="28">
        <f>'التقنية الرقمية'!G12</f>
        <v/>
      </c>
      <c r="J112" s="23">
        <f>IF($G112="",0,$G112*$I112)</f>
        <v/>
      </c>
      <c r="K112" s="23">
        <f>IF($G112="",0,$I112)</f>
        <v/>
      </c>
    </row>
    <row r="113">
      <c r="A113" s="23" t="n">
        <v>112</v>
      </c>
      <c r="B113" s="26" t="inlineStr">
        <is>
          <t>الموارد البشرية</t>
        </is>
      </c>
      <c r="C113" s="26">
        <f>'الموارد البشرية'!C4</f>
        <v/>
      </c>
      <c r="D113" s="23">
        <f>'الموارد البشرية'!J4</f>
        <v/>
      </c>
      <c r="E113" s="26">
        <f>'الموارد البشرية'!K4</f>
        <v/>
      </c>
      <c r="F113" s="23">
        <f>'الموارد البشرية'!L4</f>
        <v/>
      </c>
      <c r="G113" s="50">
        <f>'الموارد البشرية'!N4</f>
        <v/>
      </c>
      <c r="H113" s="23">
        <f>'الموارد البشرية'!O4</f>
        <v/>
      </c>
      <c r="I113" s="28">
        <f>'الموارد البشرية'!G4</f>
        <v/>
      </c>
      <c r="J113" s="23">
        <f>IF($G113="",0,$G113*$I113)</f>
        <v/>
      </c>
      <c r="K113" s="23">
        <f>IF($G113="",0,$I113)</f>
        <v/>
      </c>
    </row>
    <row r="114">
      <c r="A114" s="23" t="n">
        <v>113</v>
      </c>
      <c r="B114" s="26" t="inlineStr">
        <is>
          <t>الموارد البشرية</t>
        </is>
      </c>
      <c r="C114" s="26">
        <f>'الموارد البشرية'!C5</f>
        <v/>
      </c>
      <c r="D114" s="23">
        <f>'الموارد البشرية'!J5</f>
        <v/>
      </c>
      <c r="E114" s="26">
        <f>'الموارد البشرية'!K5</f>
        <v/>
      </c>
      <c r="F114" s="23">
        <f>'الموارد البشرية'!L5</f>
        <v/>
      </c>
      <c r="G114" s="50">
        <f>'الموارد البشرية'!N5</f>
        <v/>
      </c>
      <c r="H114" s="23">
        <f>'الموارد البشرية'!O5</f>
        <v/>
      </c>
      <c r="I114" s="28">
        <f>'الموارد البشرية'!G5</f>
        <v/>
      </c>
      <c r="J114" s="23">
        <f>IF($G114="",0,$G114*$I114)</f>
        <v/>
      </c>
      <c r="K114" s="23">
        <f>IF($G114="",0,$I114)</f>
        <v/>
      </c>
    </row>
    <row r="115">
      <c r="A115" s="23" t="n">
        <v>114</v>
      </c>
      <c r="B115" s="26" t="inlineStr">
        <is>
          <t>الموارد البشرية</t>
        </is>
      </c>
      <c r="C115" s="26">
        <f>'الموارد البشرية'!C6</f>
        <v/>
      </c>
      <c r="D115" s="23">
        <f>'الموارد البشرية'!J6</f>
        <v/>
      </c>
      <c r="E115" s="26">
        <f>'الموارد البشرية'!K6</f>
        <v/>
      </c>
      <c r="F115" s="23">
        <f>'الموارد البشرية'!L6</f>
        <v/>
      </c>
      <c r="G115" s="50">
        <f>'الموارد البشرية'!N6</f>
        <v/>
      </c>
      <c r="H115" s="23">
        <f>'الموارد البشرية'!O6</f>
        <v/>
      </c>
      <c r="I115" s="28">
        <f>'الموارد البشرية'!G6</f>
        <v/>
      </c>
      <c r="J115" s="23">
        <f>IF($G115="",0,$G115*$I115)</f>
        <v/>
      </c>
      <c r="K115" s="23">
        <f>IF($G115="",0,$I115)</f>
        <v/>
      </c>
    </row>
    <row r="116">
      <c r="A116" s="23" t="n">
        <v>115</v>
      </c>
      <c r="B116" s="26" t="inlineStr">
        <is>
          <t>الموارد البشرية</t>
        </is>
      </c>
      <c r="C116" s="26">
        <f>'الموارد البشرية'!C7</f>
        <v/>
      </c>
      <c r="D116" s="23">
        <f>'الموارد البشرية'!J7</f>
        <v/>
      </c>
      <c r="E116" s="26">
        <f>'الموارد البشرية'!K7</f>
        <v/>
      </c>
      <c r="F116" s="23">
        <f>'الموارد البشرية'!L7</f>
        <v/>
      </c>
      <c r="G116" s="50">
        <f>'الموارد البشرية'!N7</f>
        <v/>
      </c>
      <c r="H116" s="23">
        <f>'الموارد البشرية'!O7</f>
        <v/>
      </c>
      <c r="I116" s="28">
        <f>'الموارد البشرية'!G7</f>
        <v/>
      </c>
      <c r="J116" s="23">
        <f>IF($G116="",0,$G116*$I116)</f>
        <v/>
      </c>
      <c r="K116" s="23">
        <f>IF($G116="",0,$I116)</f>
        <v/>
      </c>
    </row>
    <row r="117">
      <c r="A117" s="23" t="n">
        <v>116</v>
      </c>
      <c r="B117" s="26" t="inlineStr">
        <is>
          <t>الموارد البشرية</t>
        </is>
      </c>
      <c r="C117" s="26">
        <f>'الموارد البشرية'!C8</f>
        <v/>
      </c>
      <c r="D117" s="23">
        <f>'الموارد البشرية'!J8</f>
        <v/>
      </c>
      <c r="E117" s="26">
        <f>'الموارد البشرية'!K8</f>
        <v/>
      </c>
      <c r="F117" s="23">
        <f>'الموارد البشرية'!L8</f>
        <v/>
      </c>
      <c r="G117" s="50">
        <f>'الموارد البشرية'!N8</f>
        <v/>
      </c>
      <c r="H117" s="23">
        <f>'الموارد البشرية'!O8</f>
        <v/>
      </c>
      <c r="I117" s="28">
        <f>'الموارد البشرية'!G8</f>
        <v/>
      </c>
      <c r="J117" s="23">
        <f>IF($G117="",0,$G117*$I117)</f>
        <v/>
      </c>
      <c r="K117" s="23">
        <f>IF($G117="",0,$I117)</f>
        <v/>
      </c>
    </row>
    <row r="118">
      <c r="A118" s="23" t="n">
        <v>117</v>
      </c>
      <c r="B118" s="26" t="inlineStr">
        <is>
          <t>الموارد البشرية</t>
        </is>
      </c>
      <c r="C118" s="26">
        <f>'الموارد البشرية'!C9</f>
        <v/>
      </c>
      <c r="D118" s="23">
        <f>'الموارد البشرية'!J9</f>
        <v/>
      </c>
      <c r="E118" s="26">
        <f>'الموارد البشرية'!K9</f>
        <v/>
      </c>
      <c r="F118" s="23">
        <f>'الموارد البشرية'!L9</f>
        <v/>
      </c>
      <c r="G118" s="50">
        <f>'الموارد البشرية'!N9</f>
        <v/>
      </c>
      <c r="H118" s="23">
        <f>'الموارد البشرية'!O9</f>
        <v/>
      </c>
      <c r="I118" s="28">
        <f>'الموارد البشرية'!G9</f>
        <v/>
      </c>
      <c r="J118" s="23">
        <f>IF($G118="",0,$G118*$I118)</f>
        <v/>
      </c>
      <c r="K118" s="23">
        <f>IF($G118="",0,$I118)</f>
        <v/>
      </c>
    </row>
    <row r="119">
      <c r="A119" s="23" t="n">
        <v>118</v>
      </c>
      <c r="B119" s="26" t="inlineStr">
        <is>
          <t>الموارد البشرية</t>
        </is>
      </c>
      <c r="C119" s="26">
        <f>'الموارد البشرية'!C10</f>
        <v/>
      </c>
      <c r="D119" s="23">
        <f>'الموارد البشرية'!J10</f>
        <v/>
      </c>
      <c r="E119" s="26">
        <f>'الموارد البشرية'!K10</f>
        <v/>
      </c>
      <c r="F119" s="23">
        <f>'الموارد البشرية'!L10</f>
        <v/>
      </c>
      <c r="G119" s="50">
        <f>'الموارد البشرية'!N10</f>
        <v/>
      </c>
      <c r="H119" s="23">
        <f>'الموارد البشرية'!O10</f>
        <v/>
      </c>
      <c r="I119" s="28">
        <f>'الموارد البشرية'!G10</f>
        <v/>
      </c>
      <c r="J119" s="23">
        <f>IF($G119="",0,$G119*$I119)</f>
        <v/>
      </c>
      <c r="K119" s="23">
        <f>IF($G119="",0,$I119)</f>
        <v/>
      </c>
    </row>
    <row r="120">
      <c r="A120" s="23" t="n">
        <v>119</v>
      </c>
      <c r="B120" s="26" t="inlineStr">
        <is>
          <t>الموارد البشرية</t>
        </is>
      </c>
      <c r="C120" s="26">
        <f>'الموارد البشرية'!C11</f>
        <v/>
      </c>
      <c r="D120" s="23">
        <f>'الموارد البشرية'!J11</f>
        <v/>
      </c>
      <c r="E120" s="26">
        <f>'الموارد البشرية'!K11</f>
        <v/>
      </c>
      <c r="F120" s="23">
        <f>'الموارد البشرية'!L11</f>
        <v/>
      </c>
      <c r="G120" s="50">
        <f>'الموارد البشرية'!N11</f>
        <v/>
      </c>
      <c r="H120" s="23">
        <f>'الموارد البشرية'!O11</f>
        <v/>
      </c>
      <c r="I120" s="28">
        <f>'الموارد البشرية'!G11</f>
        <v/>
      </c>
      <c r="J120" s="23">
        <f>IF($G120="",0,$G120*$I120)</f>
        <v/>
      </c>
      <c r="K120" s="23">
        <f>IF($G120="",0,$I120)</f>
        <v/>
      </c>
    </row>
    <row r="121">
      <c r="A121" s="23" t="n">
        <v>120</v>
      </c>
      <c r="B121" s="26" t="inlineStr">
        <is>
          <t>الموارد البشرية</t>
        </is>
      </c>
      <c r="C121" s="26">
        <f>'الموارد البشرية'!C12</f>
        <v/>
      </c>
      <c r="D121" s="23">
        <f>'الموارد البشرية'!J12</f>
        <v/>
      </c>
      <c r="E121" s="26">
        <f>'الموارد البشرية'!K12</f>
        <v/>
      </c>
      <c r="F121" s="23">
        <f>'الموارد البشرية'!L12</f>
        <v/>
      </c>
      <c r="G121" s="50">
        <f>'الموارد البشرية'!N12</f>
        <v/>
      </c>
      <c r="H121" s="23">
        <f>'الموارد البشرية'!O12</f>
        <v/>
      </c>
      <c r="I121" s="28">
        <f>'الموارد البشرية'!G12</f>
        <v/>
      </c>
      <c r="J121" s="23">
        <f>IF($G121="",0,$G121*$I121)</f>
        <v/>
      </c>
      <c r="K121" s="23">
        <f>IF($G121="",0,$I121)</f>
        <v/>
      </c>
    </row>
    <row r="122">
      <c r="A122" s="23" t="n">
        <v>121</v>
      </c>
      <c r="B122" s="26" t="inlineStr">
        <is>
          <t>الموارد البشرية</t>
        </is>
      </c>
      <c r="C122" s="26">
        <f>'الموارد البشرية'!C13</f>
        <v/>
      </c>
      <c r="D122" s="23">
        <f>'الموارد البشرية'!J13</f>
        <v/>
      </c>
      <c r="E122" s="26">
        <f>'الموارد البشرية'!K13</f>
        <v/>
      </c>
      <c r="F122" s="23">
        <f>'الموارد البشرية'!L13</f>
        <v/>
      </c>
      <c r="G122" s="50">
        <f>'الموارد البشرية'!N13</f>
        <v/>
      </c>
      <c r="H122" s="23">
        <f>'الموارد البشرية'!O13</f>
        <v/>
      </c>
      <c r="I122" s="28">
        <f>'الموارد البشرية'!G13</f>
        <v/>
      </c>
      <c r="J122" s="23">
        <f>IF($G122="",0,$G122*$I122)</f>
        <v/>
      </c>
      <c r="K122" s="23">
        <f>IF($G122="",0,$I122)</f>
        <v/>
      </c>
    </row>
    <row r="123">
      <c r="A123" s="23" t="n">
        <v>122</v>
      </c>
      <c r="B123" s="26" t="inlineStr">
        <is>
          <t>الموارد البشرية</t>
        </is>
      </c>
      <c r="C123" s="26">
        <f>'الموارد البشرية'!C14</f>
        <v/>
      </c>
      <c r="D123" s="23">
        <f>'الموارد البشرية'!J14</f>
        <v/>
      </c>
      <c r="E123" s="26">
        <f>'الموارد البشرية'!K14</f>
        <v/>
      </c>
      <c r="F123" s="23">
        <f>'الموارد البشرية'!L14</f>
        <v/>
      </c>
      <c r="G123" s="50">
        <f>'الموارد البشرية'!N14</f>
        <v/>
      </c>
      <c r="H123" s="23">
        <f>'الموارد البشرية'!O14</f>
        <v/>
      </c>
      <c r="I123" s="28">
        <f>'الموارد البشرية'!G14</f>
        <v/>
      </c>
      <c r="J123" s="23">
        <f>IF($G123="",0,$G123*$I123)</f>
        <v/>
      </c>
      <c r="K123" s="23">
        <f>IF($G123="",0,$I123)</f>
        <v/>
      </c>
    </row>
    <row r="124">
      <c r="A124" s="23" t="n">
        <v>123</v>
      </c>
      <c r="B124" s="26" t="inlineStr">
        <is>
          <t>الموارد البشرية</t>
        </is>
      </c>
      <c r="C124" s="26">
        <f>'الموارد البشرية'!C15</f>
        <v/>
      </c>
      <c r="D124" s="23">
        <f>'الموارد البشرية'!J15</f>
        <v/>
      </c>
      <c r="E124" s="26">
        <f>'الموارد البشرية'!K15</f>
        <v/>
      </c>
      <c r="F124" s="23">
        <f>'الموارد البشرية'!L15</f>
        <v/>
      </c>
      <c r="G124" s="50">
        <f>'الموارد البشرية'!N15</f>
        <v/>
      </c>
      <c r="H124" s="23">
        <f>'الموارد البشرية'!O15</f>
        <v/>
      </c>
      <c r="I124" s="28">
        <f>'الموارد البشرية'!G15</f>
        <v/>
      </c>
      <c r="J124" s="23">
        <f>IF($G124="",0,$G124*$I124)</f>
        <v/>
      </c>
      <c r="K124" s="23">
        <f>IF($G124="",0,$I124)</f>
        <v/>
      </c>
    </row>
    <row r="125">
      <c r="A125" s="23" t="n">
        <v>124</v>
      </c>
      <c r="B125" s="26" t="inlineStr">
        <is>
          <t>الموارد البشرية</t>
        </is>
      </c>
      <c r="C125" s="26">
        <f>'الموارد البشرية'!C16</f>
        <v/>
      </c>
      <c r="D125" s="23">
        <f>'الموارد البشرية'!J16</f>
        <v/>
      </c>
      <c r="E125" s="26">
        <f>'الموارد البشرية'!K16</f>
        <v/>
      </c>
      <c r="F125" s="23">
        <f>'الموارد البشرية'!L16</f>
        <v/>
      </c>
      <c r="G125" s="50">
        <f>'الموارد البشرية'!N16</f>
        <v/>
      </c>
      <c r="H125" s="23">
        <f>'الموارد البشرية'!O16</f>
        <v/>
      </c>
      <c r="I125" s="28">
        <f>'الموارد البشرية'!G16</f>
        <v/>
      </c>
      <c r="J125" s="23">
        <f>IF($G125="",0,$G125*$I125)</f>
        <v/>
      </c>
      <c r="K125" s="23">
        <f>IF($G125="",0,$I125)</f>
        <v/>
      </c>
    </row>
    <row r="126">
      <c r="A126" s="23" t="n">
        <v>125</v>
      </c>
      <c r="B126" s="26" t="inlineStr">
        <is>
          <t>الموارد البشرية</t>
        </is>
      </c>
      <c r="C126" s="26">
        <f>'الموارد البشرية'!C17</f>
        <v/>
      </c>
      <c r="D126" s="23">
        <f>'الموارد البشرية'!J17</f>
        <v/>
      </c>
      <c r="E126" s="26">
        <f>'الموارد البشرية'!K17</f>
        <v/>
      </c>
      <c r="F126" s="23">
        <f>'الموارد البشرية'!L17</f>
        <v/>
      </c>
      <c r="G126" s="50">
        <f>'الموارد البشرية'!N17</f>
        <v/>
      </c>
      <c r="H126" s="23">
        <f>'الموارد البشرية'!O17</f>
        <v/>
      </c>
      <c r="I126" s="28">
        <f>'الموارد البشرية'!G17</f>
        <v/>
      </c>
      <c r="J126" s="23">
        <f>IF($G126="",0,$G126*$I126)</f>
        <v/>
      </c>
      <c r="K126" s="23">
        <f>IF($G126="",0,$I126)</f>
        <v/>
      </c>
    </row>
    <row r="127">
      <c r="A127" s="23" t="n">
        <v>126</v>
      </c>
      <c r="B127" s="26" t="inlineStr">
        <is>
          <t>الموارد البشرية</t>
        </is>
      </c>
      <c r="C127" s="26">
        <f>'الموارد البشرية'!C18</f>
        <v/>
      </c>
      <c r="D127" s="23">
        <f>'الموارد البشرية'!J18</f>
        <v/>
      </c>
      <c r="E127" s="26">
        <f>'الموارد البشرية'!K18</f>
        <v/>
      </c>
      <c r="F127" s="23">
        <f>'الموارد البشرية'!L18</f>
        <v/>
      </c>
      <c r="G127" s="50">
        <f>'الموارد البشرية'!N18</f>
        <v/>
      </c>
      <c r="H127" s="23">
        <f>'الموارد البشرية'!O18</f>
        <v/>
      </c>
      <c r="I127" s="28">
        <f>'الموارد البشرية'!G18</f>
        <v/>
      </c>
      <c r="J127" s="23">
        <f>IF($G127="",0,$G127*$I127)</f>
        <v/>
      </c>
      <c r="K127" s="23">
        <f>IF($G127="",0,$I127)</f>
        <v/>
      </c>
    </row>
    <row r="128">
      <c r="A128" s="23" t="n">
        <v>127</v>
      </c>
      <c r="B128" s="26" t="inlineStr">
        <is>
          <t>الموارد البشرية</t>
        </is>
      </c>
      <c r="C128" s="26">
        <f>'الموارد البشرية'!C19</f>
        <v/>
      </c>
      <c r="D128" s="23">
        <f>'الموارد البشرية'!J19</f>
        <v/>
      </c>
      <c r="E128" s="26">
        <f>'الموارد البشرية'!K19</f>
        <v/>
      </c>
      <c r="F128" s="23">
        <f>'الموارد البشرية'!L19</f>
        <v/>
      </c>
      <c r="G128" s="50">
        <f>'الموارد البشرية'!N19</f>
        <v/>
      </c>
      <c r="H128" s="23">
        <f>'الموارد البشرية'!O19</f>
        <v/>
      </c>
      <c r="I128" s="28">
        <f>'الموارد البشرية'!G19</f>
        <v/>
      </c>
      <c r="J128" s="23">
        <f>IF($G128="",0,$G128*$I128)</f>
        <v/>
      </c>
      <c r="K128" s="23">
        <f>IF($G128="",0,$I128)</f>
        <v/>
      </c>
    </row>
    <row r="129">
      <c r="A129" s="23" t="n">
        <v>128</v>
      </c>
      <c r="B129" s="26" t="inlineStr">
        <is>
          <t>الموارد البشرية</t>
        </is>
      </c>
      <c r="C129" s="26">
        <f>'الموارد البشرية'!C20</f>
        <v/>
      </c>
      <c r="D129" s="23">
        <f>'الموارد البشرية'!J20</f>
        <v/>
      </c>
      <c r="E129" s="26">
        <f>'الموارد البشرية'!K20</f>
        <v/>
      </c>
      <c r="F129" s="23">
        <f>'الموارد البشرية'!L20</f>
        <v/>
      </c>
      <c r="G129" s="50">
        <f>'الموارد البشرية'!N20</f>
        <v/>
      </c>
      <c r="H129" s="23">
        <f>'الموارد البشرية'!O20</f>
        <v/>
      </c>
      <c r="I129" s="28">
        <f>'الموارد البشرية'!G20</f>
        <v/>
      </c>
      <c r="J129" s="23">
        <f>IF($G129="",0,$G129*$I129)</f>
        <v/>
      </c>
      <c r="K129" s="23">
        <f>IF($G129="",0,$I129)</f>
        <v/>
      </c>
    </row>
    <row r="130">
      <c r="A130" s="23" t="n">
        <v>129</v>
      </c>
      <c r="B130" s="26" t="inlineStr">
        <is>
          <t>التسويق</t>
        </is>
      </c>
      <c r="C130" s="26">
        <f>'التسويق'!C4</f>
        <v/>
      </c>
      <c r="D130" s="23">
        <f>'التسويق'!J4</f>
        <v/>
      </c>
      <c r="E130" s="26">
        <f>'التسويق'!K4</f>
        <v/>
      </c>
      <c r="F130" s="23">
        <f>'التسويق'!L4</f>
        <v/>
      </c>
      <c r="G130" s="50">
        <f>'التسويق'!N4</f>
        <v/>
      </c>
      <c r="H130" s="23">
        <f>'التسويق'!O4</f>
        <v/>
      </c>
      <c r="I130" s="28">
        <f>'التسويق'!G4</f>
        <v/>
      </c>
      <c r="J130" s="23">
        <f>IF($G130="",0,$G130*$I130)</f>
        <v/>
      </c>
      <c r="K130" s="23">
        <f>IF($G130="",0,$I130)</f>
        <v/>
      </c>
    </row>
    <row r="131">
      <c r="A131" s="23" t="n">
        <v>130</v>
      </c>
      <c r="B131" s="26" t="inlineStr">
        <is>
          <t>التسويق</t>
        </is>
      </c>
      <c r="C131" s="26">
        <f>'التسويق'!C5</f>
        <v/>
      </c>
      <c r="D131" s="23">
        <f>'التسويق'!J5</f>
        <v/>
      </c>
      <c r="E131" s="26">
        <f>'التسويق'!K5</f>
        <v/>
      </c>
      <c r="F131" s="23">
        <f>'التسويق'!L5</f>
        <v/>
      </c>
      <c r="G131" s="50">
        <f>'التسويق'!N5</f>
        <v/>
      </c>
      <c r="H131" s="23">
        <f>'التسويق'!O5</f>
        <v/>
      </c>
      <c r="I131" s="28">
        <f>'التسويق'!G5</f>
        <v/>
      </c>
      <c r="J131" s="23">
        <f>IF($G131="",0,$G131*$I131)</f>
        <v/>
      </c>
      <c r="K131" s="23">
        <f>IF($G131="",0,$I131)</f>
        <v/>
      </c>
    </row>
    <row r="132">
      <c r="A132" s="23" t="n">
        <v>131</v>
      </c>
      <c r="B132" s="26" t="inlineStr">
        <is>
          <t>التسويق</t>
        </is>
      </c>
      <c r="C132" s="26">
        <f>'التسويق'!C6</f>
        <v/>
      </c>
      <c r="D132" s="23">
        <f>'التسويق'!J6</f>
        <v/>
      </c>
      <c r="E132" s="26">
        <f>'التسويق'!K6</f>
        <v/>
      </c>
      <c r="F132" s="23">
        <f>'التسويق'!L6</f>
        <v/>
      </c>
      <c r="G132" s="50">
        <f>'التسويق'!N6</f>
        <v/>
      </c>
      <c r="H132" s="23">
        <f>'التسويق'!O6</f>
        <v/>
      </c>
      <c r="I132" s="28">
        <f>'التسويق'!G6</f>
        <v/>
      </c>
      <c r="J132" s="23">
        <f>IF($G132="",0,$G132*$I132)</f>
        <v/>
      </c>
      <c r="K132" s="23">
        <f>IF($G132="",0,$I132)</f>
        <v/>
      </c>
    </row>
    <row r="133">
      <c r="A133" s="23" t="n">
        <v>132</v>
      </c>
      <c r="B133" s="26" t="inlineStr">
        <is>
          <t>التسويق</t>
        </is>
      </c>
      <c r="C133" s="26">
        <f>'التسويق'!C7</f>
        <v/>
      </c>
      <c r="D133" s="23">
        <f>'التسويق'!J7</f>
        <v/>
      </c>
      <c r="E133" s="26">
        <f>'التسويق'!K7</f>
        <v/>
      </c>
      <c r="F133" s="23">
        <f>'التسويق'!L7</f>
        <v/>
      </c>
      <c r="G133" s="50">
        <f>'التسويق'!N7</f>
        <v/>
      </c>
      <c r="H133" s="23">
        <f>'التسويق'!O7</f>
        <v/>
      </c>
      <c r="I133" s="28">
        <f>'التسويق'!G7</f>
        <v/>
      </c>
      <c r="J133" s="23">
        <f>IF($G133="",0,$G133*$I133)</f>
        <v/>
      </c>
      <c r="K133" s="23">
        <f>IF($G133="",0,$I133)</f>
        <v/>
      </c>
    </row>
    <row r="134">
      <c r="A134" s="23" t="n">
        <v>133</v>
      </c>
      <c r="B134" s="26" t="inlineStr">
        <is>
          <t>التسويق</t>
        </is>
      </c>
      <c r="C134" s="26">
        <f>'التسويق'!C8</f>
        <v/>
      </c>
      <c r="D134" s="23">
        <f>'التسويق'!J8</f>
        <v/>
      </c>
      <c r="E134" s="26">
        <f>'التسويق'!K8</f>
        <v/>
      </c>
      <c r="F134" s="23">
        <f>'التسويق'!L8</f>
        <v/>
      </c>
      <c r="G134" s="50">
        <f>'التسويق'!N8</f>
        <v/>
      </c>
      <c r="H134" s="23">
        <f>'التسويق'!O8</f>
        <v/>
      </c>
      <c r="I134" s="28">
        <f>'التسويق'!G8</f>
        <v/>
      </c>
      <c r="J134" s="23">
        <f>IF($G134="",0,$G134*$I134)</f>
        <v/>
      </c>
      <c r="K134" s="23">
        <f>IF($G134="",0,$I134)</f>
        <v/>
      </c>
    </row>
    <row r="135">
      <c r="A135" s="23" t="n">
        <v>134</v>
      </c>
      <c r="B135" s="26" t="inlineStr">
        <is>
          <t>التسويق</t>
        </is>
      </c>
      <c r="C135" s="26">
        <f>'التسويق'!C9</f>
        <v/>
      </c>
      <c r="D135" s="23">
        <f>'التسويق'!J9</f>
        <v/>
      </c>
      <c r="E135" s="26">
        <f>'التسويق'!K9</f>
        <v/>
      </c>
      <c r="F135" s="23">
        <f>'التسويق'!L9</f>
        <v/>
      </c>
      <c r="G135" s="50">
        <f>'التسويق'!N9</f>
        <v/>
      </c>
      <c r="H135" s="23">
        <f>'التسويق'!O9</f>
        <v/>
      </c>
      <c r="I135" s="28">
        <f>'التسويق'!G9</f>
        <v/>
      </c>
      <c r="J135" s="23">
        <f>IF($G135="",0,$G135*$I135)</f>
        <v/>
      </c>
      <c r="K135" s="23">
        <f>IF($G135="",0,$I135)</f>
        <v/>
      </c>
    </row>
    <row r="136">
      <c r="A136" s="23" t="n">
        <v>135</v>
      </c>
      <c r="B136" s="26" t="inlineStr">
        <is>
          <t>التسويق</t>
        </is>
      </c>
      <c r="C136" s="26">
        <f>'التسويق'!C10</f>
        <v/>
      </c>
      <c r="D136" s="23">
        <f>'التسويق'!J10</f>
        <v/>
      </c>
      <c r="E136" s="26">
        <f>'التسويق'!K10</f>
        <v/>
      </c>
      <c r="F136" s="23">
        <f>'التسويق'!L10</f>
        <v/>
      </c>
      <c r="G136" s="50">
        <f>'التسويق'!N10</f>
        <v/>
      </c>
      <c r="H136" s="23">
        <f>'التسويق'!O10</f>
        <v/>
      </c>
      <c r="I136" s="28">
        <f>'التسويق'!G10</f>
        <v/>
      </c>
      <c r="J136" s="23">
        <f>IF($G136="",0,$G136*$I136)</f>
        <v/>
      </c>
      <c r="K136" s="23">
        <f>IF($G136="",0,$I136)</f>
        <v/>
      </c>
    </row>
    <row r="137">
      <c r="A137" s="23" t="n">
        <v>136</v>
      </c>
      <c r="B137" s="26" t="inlineStr">
        <is>
          <t>التسويق</t>
        </is>
      </c>
      <c r="C137" s="26">
        <f>'التسويق'!C11</f>
        <v/>
      </c>
      <c r="D137" s="23">
        <f>'التسويق'!J11</f>
        <v/>
      </c>
      <c r="E137" s="26">
        <f>'التسويق'!K11</f>
        <v/>
      </c>
      <c r="F137" s="23">
        <f>'التسويق'!L11</f>
        <v/>
      </c>
      <c r="G137" s="50">
        <f>'التسويق'!N11</f>
        <v/>
      </c>
      <c r="H137" s="23">
        <f>'التسويق'!O11</f>
        <v/>
      </c>
      <c r="I137" s="28">
        <f>'التسويق'!G11</f>
        <v/>
      </c>
      <c r="J137" s="23">
        <f>IF($G137="",0,$G137*$I137)</f>
        <v/>
      </c>
      <c r="K137" s="23">
        <f>IF($G137="",0,$I137)</f>
        <v/>
      </c>
    </row>
    <row r="138">
      <c r="A138" s="23" t="n">
        <v>137</v>
      </c>
      <c r="B138" s="26" t="inlineStr">
        <is>
          <t>التسويق</t>
        </is>
      </c>
      <c r="C138" s="26">
        <f>'التسويق'!C12</f>
        <v/>
      </c>
      <c r="D138" s="23">
        <f>'التسويق'!J12</f>
        <v/>
      </c>
      <c r="E138" s="26">
        <f>'التسويق'!K12</f>
        <v/>
      </c>
      <c r="F138" s="23">
        <f>'التسويق'!L12</f>
        <v/>
      </c>
      <c r="G138" s="50">
        <f>'التسويق'!N12</f>
        <v/>
      </c>
      <c r="H138" s="23">
        <f>'التسويق'!O12</f>
        <v/>
      </c>
      <c r="I138" s="28">
        <f>'التسويق'!G12</f>
        <v/>
      </c>
      <c r="J138" s="23">
        <f>IF($G138="",0,$G138*$I138)</f>
        <v/>
      </c>
      <c r="K138" s="23">
        <f>IF($G138="",0,$I138)</f>
        <v/>
      </c>
    </row>
    <row r="139">
      <c r="A139" s="23" t="n">
        <v>138</v>
      </c>
      <c r="B139" s="26" t="inlineStr">
        <is>
          <t>التسويق</t>
        </is>
      </c>
      <c r="C139" s="26">
        <f>'التسويق'!C13</f>
        <v/>
      </c>
      <c r="D139" s="23">
        <f>'التسويق'!J13</f>
        <v/>
      </c>
      <c r="E139" s="26">
        <f>'التسويق'!K13</f>
        <v/>
      </c>
      <c r="F139" s="23">
        <f>'التسويق'!L13</f>
        <v/>
      </c>
      <c r="G139" s="50">
        <f>'التسويق'!N13</f>
        <v/>
      </c>
      <c r="H139" s="23">
        <f>'التسويق'!O13</f>
        <v/>
      </c>
      <c r="I139" s="28">
        <f>'التسويق'!G13</f>
        <v/>
      </c>
      <c r="J139" s="23">
        <f>IF($G139="",0,$G139*$I139)</f>
        <v/>
      </c>
      <c r="K139" s="23">
        <f>IF($G139="",0,$I139)</f>
        <v/>
      </c>
    </row>
    <row r="140">
      <c r="A140" s="23" t="n">
        <v>139</v>
      </c>
      <c r="B140" s="26" t="inlineStr">
        <is>
          <t>التسويق</t>
        </is>
      </c>
      <c r="C140" s="26">
        <f>'التسويق'!C14</f>
        <v/>
      </c>
      <c r="D140" s="23">
        <f>'التسويق'!J14</f>
        <v/>
      </c>
      <c r="E140" s="26">
        <f>'التسويق'!K14</f>
        <v/>
      </c>
      <c r="F140" s="23">
        <f>'التسويق'!L14</f>
        <v/>
      </c>
      <c r="G140" s="50">
        <f>'التسويق'!N14</f>
        <v/>
      </c>
      <c r="H140" s="23">
        <f>'التسويق'!O14</f>
        <v/>
      </c>
      <c r="I140" s="28">
        <f>'التسويق'!G14</f>
        <v/>
      </c>
      <c r="J140" s="23">
        <f>IF($G140="",0,$G140*$I140)</f>
        <v/>
      </c>
      <c r="K140" s="23">
        <f>IF($G140="",0,$I140)</f>
        <v/>
      </c>
    </row>
    <row r="141">
      <c r="A141" s="23" t="n">
        <v>140</v>
      </c>
      <c r="B141" s="26" t="inlineStr">
        <is>
          <t>التسويق</t>
        </is>
      </c>
      <c r="C141" s="26">
        <f>'التسويق'!C15</f>
        <v/>
      </c>
      <c r="D141" s="23">
        <f>'التسويق'!J15</f>
        <v/>
      </c>
      <c r="E141" s="26">
        <f>'التسويق'!K15</f>
        <v/>
      </c>
      <c r="F141" s="23">
        <f>'التسويق'!L15</f>
        <v/>
      </c>
      <c r="G141" s="50">
        <f>'التسويق'!N15</f>
        <v/>
      </c>
      <c r="H141" s="23">
        <f>'التسويق'!O15</f>
        <v/>
      </c>
      <c r="I141" s="28">
        <f>'التسويق'!G15</f>
        <v/>
      </c>
      <c r="J141" s="23">
        <f>IF($G141="",0,$G141*$I141)</f>
        <v/>
      </c>
      <c r="K141" s="23">
        <f>IF($G141="",0,$I141)</f>
        <v/>
      </c>
    </row>
    <row r="142">
      <c r="A142" s="23" t="n">
        <v>141</v>
      </c>
      <c r="B142" s="26" t="inlineStr">
        <is>
          <t>التسويق</t>
        </is>
      </c>
      <c r="C142" s="26">
        <f>'التسويق'!C16</f>
        <v/>
      </c>
      <c r="D142" s="23">
        <f>'التسويق'!J16</f>
        <v/>
      </c>
      <c r="E142" s="26">
        <f>'التسويق'!K16</f>
        <v/>
      </c>
      <c r="F142" s="23">
        <f>'التسويق'!L16</f>
        <v/>
      </c>
      <c r="G142" s="50">
        <f>'التسويق'!N16</f>
        <v/>
      </c>
      <c r="H142" s="23">
        <f>'التسويق'!O16</f>
        <v/>
      </c>
      <c r="I142" s="28">
        <f>'التسويق'!G16</f>
        <v/>
      </c>
      <c r="J142" s="23">
        <f>IF($G142="",0,$G142*$I142)</f>
        <v/>
      </c>
      <c r="K142" s="23">
        <f>IF($G142="",0,$I142)</f>
        <v/>
      </c>
    </row>
    <row r="143">
      <c r="A143" s="23" t="n">
        <v>142</v>
      </c>
      <c r="B143" s="26" t="inlineStr">
        <is>
          <t>التسويق</t>
        </is>
      </c>
      <c r="C143" s="26">
        <f>'التسويق'!C17</f>
        <v/>
      </c>
      <c r="D143" s="23">
        <f>'التسويق'!J17</f>
        <v/>
      </c>
      <c r="E143" s="26">
        <f>'التسويق'!K17</f>
        <v/>
      </c>
      <c r="F143" s="23">
        <f>'التسويق'!L17</f>
        <v/>
      </c>
      <c r="G143" s="50">
        <f>'التسويق'!N17</f>
        <v/>
      </c>
      <c r="H143" s="23">
        <f>'التسويق'!O17</f>
        <v/>
      </c>
      <c r="I143" s="28">
        <f>'التسويق'!G17</f>
        <v/>
      </c>
      <c r="J143" s="23">
        <f>IF($G143="",0,$G143*$I143)</f>
        <v/>
      </c>
      <c r="K143" s="23">
        <f>IF($G143="",0,$I143)</f>
        <v/>
      </c>
    </row>
    <row r="144">
      <c r="A144" s="23" t="n">
        <v>143</v>
      </c>
      <c r="B144" s="26" t="inlineStr">
        <is>
          <t>التسويق</t>
        </is>
      </c>
      <c r="C144" s="26">
        <f>'التسويق'!C18</f>
        <v/>
      </c>
      <c r="D144" s="23">
        <f>'التسويق'!J18</f>
        <v/>
      </c>
      <c r="E144" s="26">
        <f>'التسويق'!K18</f>
        <v/>
      </c>
      <c r="F144" s="23">
        <f>'التسويق'!L18</f>
        <v/>
      </c>
      <c r="G144" s="50">
        <f>'التسويق'!N18</f>
        <v/>
      </c>
      <c r="H144" s="23">
        <f>'التسويق'!O18</f>
        <v/>
      </c>
      <c r="I144" s="28">
        <f>'التسويق'!G18</f>
        <v/>
      </c>
      <c r="J144" s="23">
        <f>IF($G144="",0,$G144*$I144)</f>
        <v/>
      </c>
      <c r="K144" s="23">
        <f>IF($G144="",0,$I144)</f>
        <v/>
      </c>
    </row>
    <row r="145">
      <c r="A145" s="23" t="n">
        <v>144</v>
      </c>
      <c r="B145" s="26" t="inlineStr">
        <is>
          <t>الجودة</t>
        </is>
      </c>
      <c r="C145" s="26">
        <f>'الجودة'!C4</f>
        <v/>
      </c>
      <c r="D145" s="23">
        <f>'الجودة'!J4</f>
        <v/>
      </c>
      <c r="E145" s="26">
        <f>'الجودة'!K4</f>
        <v/>
      </c>
      <c r="F145" s="23">
        <f>'الجودة'!L4</f>
        <v/>
      </c>
      <c r="G145" s="50">
        <f>'الجودة'!N4</f>
        <v/>
      </c>
      <c r="H145" s="23">
        <f>'الجودة'!O4</f>
        <v/>
      </c>
      <c r="I145" s="28">
        <f>'الجودة'!G4</f>
        <v/>
      </c>
      <c r="J145" s="23">
        <f>IF($G145="",0,$G145*$I145)</f>
        <v/>
      </c>
      <c r="K145" s="23">
        <f>IF($G145="",0,$I145)</f>
        <v/>
      </c>
    </row>
    <row r="146">
      <c r="A146" s="23" t="n">
        <v>145</v>
      </c>
      <c r="B146" s="26" t="inlineStr">
        <is>
          <t>الجودة</t>
        </is>
      </c>
      <c r="C146" s="26">
        <f>'الجودة'!C5</f>
        <v/>
      </c>
      <c r="D146" s="23">
        <f>'الجودة'!J5</f>
        <v/>
      </c>
      <c r="E146" s="26">
        <f>'الجودة'!K5</f>
        <v/>
      </c>
      <c r="F146" s="23">
        <f>'الجودة'!L5</f>
        <v/>
      </c>
      <c r="G146" s="50">
        <f>'الجودة'!N5</f>
        <v/>
      </c>
      <c r="H146" s="23">
        <f>'الجودة'!O5</f>
        <v/>
      </c>
      <c r="I146" s="28">
        <f>'الجودة'!G5</f>
        <v/>
      </c>
      <c r="J146" s="23">
        <f>IF($G146="",0,$G146*$I146)</f>
        <v/>
      </c>
      <c r="K146" s="23">
        <f>IF($G146="",0,$I146)</f>
        <v/>
      </c>
    </row>
    <row r="147">
      <c r="A147" s="23" t="n">
        <v>146</v>
      </c>
      <c r="B147" s="26" t="inlineStr">
        <is>
          <t>الجودة</t>
        </is>
      </c>
      <c r="C147" s="26">
        <f>'الجودة'!C6</f>
        <v/>
      </c>
      <c r="D147" s="23">
        <f>'الجودة'!J6</f>
        <v/>
      </c>
      <c r="E147" s="26">
        <f>'الجودة'!K6</f>
        <v/>
      </c>
      <c r="F147" s="23">
        <f>'الجودة'!L6</f>
        <v/>
      </c>
      <c r="G147" s="50">
        <f>'الجودة'!N6</f>
        <v/>
      </c>
      <c r="H147" s="23">
        <f>'الجودة'!O6</f>
        <v/>
      </c>
      <c r="I147" s="28">
        <f>'الجودة'!G6</f>
        <v/>
      </c>
      <c r="J147" s="23">
        <f>IF($G147="",0,$G147*$I147)</f>
        <v/>
      </c>
      <c r="K147" s="23">
        <f>IF($G147="",0,$I147)</f>
        <v/>
      </c>
    </row>
    <row r="148">
      <c r="A148" s="23" t="n">
        <v>147</v>
      </c>
      <c r="B148" s="26" t="inlineStr">
        <is>
          <t>الجودة</t>
        </is>
      </c>
      <c r="C148" s="26">
        <f>'الجودة'!C7</f>
        <v/>
      </c>
      <c r="D148" s="23">
        <f>'الجودة'!J7</f>
        <v/>
      </c>
      <c r="E148" s="26">
        <f>'الجودة'!K7</f>
        <v/>
      </c>
      <c r="F148" s="23">
        <f>'الجودة'!L7</f>
        <v/>
      </c>
      <c r="G148" s="50">
        <f>'الجودة'!N7</f>
        <v/>
      </c>
      <c r="H148" s="23">
        <f>'الجودة'!O7</f>
        <v/>
      </c>
      <c r="I148" s="28">
        <f>'الجودة'!G7</f>
        <v/>
      </c>
      <c r="J148" s="23">
        <f>IF($G148="",0,$G148*$I148)</f>
        <v/>
      </c>
      <c r="K148" s="23">
        <f>IF($G148="",0,$I148)</f>
        <v/>
      </c>
    </row>
    <row r="149">
      <c r="A149" s="23" t="n">
        <v>148</v>
      </c>
      <c r="B149" s="26" t="inlineStr">
        <is>
          <t>الجودة</t>
        </is>
      </c>
      <c r="C149" s="26">
        <f>'الجودة'!C8</f>
        <v/>
      </c>
      <c r="D149" s="23">
        <f>'الجودة'!J8</f>
        <v/>
      </c>
      <c r="E149" s="26">
        <f>'الجودة'!K8</f>
        <v/>
      </c>
      <c r="F149" s="23">
        <f>'الجودة'!L8</f>
        <v/>
      </c>
      <c r="G149" s="50">
        <f>'الجودة'!N8</f>
        <v/>
      </c>
      <c r="H149" s="23">
        <f>'الجودة'!O8</f>
        <v/>
      </c>
      <c r="I149" s="28">
        <f>'الجودة'!G8</f>
        <v/>
      </c>
      <c r="J149" s="23">
        <f>IF($G149="",0,$G149*$I149)</f>
        <v/>
      </c>
      <c r="K149" s="23">
        <f>IF($G149="",0,$I149)</f>
        <v/>
      </c>
    </row>
    <row r="150">
      <c r="A150" s="23" t="n">
        <v>149</v>
      </c>
      <c r="B150" s="26" t="inlineStr">
        <is>
          <t>الجودة</t>
        </is>
      </c>
      <c r="C150" s="26">
        <f>'الجودة'!C9</f>
        <v/>
      </c>
      <c r="D150" s="23">
        <f>'الجودة'!J9</f>
        <v/>
      </c>
      <c r="E150" s="26">
        <f>'الجودة'!K9</f>
        <v/>
      </c>
      <c r="F150" s="23">
        <f>'الجودة'!L9</f>
        <v/>
      </c>
      <c r="G150" s="50">
        <f>'الجودة'!N9</f>
        <v/>
      </c>
      <c r="H150" s="23">
        <f>'الجودة'!O9</f>
        <v/>
      </c>
      <c r="I150" s="28">
        <f>'الجودة'!G9</f>
        <v/>
      </c>
      <c r="J150" s="23">
        <f>IF($G150="",0,$G150*$I150)</f>
        <v/>
      </c>
      <c r="K150" s="23">
        <f>IF($G150="",0,$I150)</f>
        <v/>
      </c>
    </row>
    <row r="151">
      <c r="A151" s="23" t="n">
        <v>150</v>
      </c>
      <c r="B151" s="26" t="inlineStr">
        <is>
          <t>الجودة</t>
        </is>
      </c>
      <c r="C151" s="26">
        <f>'الجودة'!C10</f>
        <v/>
      </c>
      <c r="D151" s="23">
        <f>'الجودة'!J10</f>
        <v/>
      </c>
      <c r="E151" s="26">
        <f>'الجودة'!K10</f>
        <v/>
      </c>
      <c r="F151" s="23">
        <f>'الجودة'!L10</f>
        <v/>
      </c>
      <c r="G151" s="50">
        <f>'الجودة'!N10</f>
        <v/>
      </c>
      <c r="H151" s="23">
        <f>'الجودة'!O10</f>
        <v/>
      </c>
      <c r="I151" s="28">
        <f>'الجودة'!G10</f>
        <v/>
      </c>
      <c r="J151" s="23">
        <f>IF($G151="",0,$G151*$I151)</f>
        <v/>
      </c>
      <c r="K151" s="23">
        <f>IF($G151="",0,$I151)</f>
        <v/>
      </c>
    </row>
    <row r="152">
      <c r="A152" s="23" t="n">
        <v>151</v>
      </c>
      <c r="B152" s="26" t="inlineStr">
        <is>
          <t>الجودة</t>
        </is>
      </c>
      <c r="C152" s="26">
        <f>'الجودة'!C11</f>
        <v/>
      </c>
      <c r="D152" s="23">
        <f>'الجودة'!J11</f>
        <v/>
      </c>
      <c r="E152" s="26">
        <f>'الجودة'!K11</f>
        <v/>
      </c>
      <c r="F152" s="23">
        <f>'الجودة'!L11</f>
        <v/>
      </c>
      <c r="G152" s="50">
        <f>'الجودة'!N11</f>
        <v/>
      </c>
      <c r="H152" s="23">
        <f>'الجودة'!O11</f>
        <v/>
      </c>
      <c r="I152" s="28">
        <f>'الجودة'!G11</f>
        <v/>
      </c>
      <c r="J152" s="23">
        <f>IF($G152="",0,$G152*$I152)</f>
        <v/>
      </c>
      <c r="K152" s="23">
        <f>IF($G152="",0,$I152)</f>
        <v/>
      </c>
    </row>
    <row r="153">
      <c r="A153" s="23" t="n">
        <v>152</v>
      </c>
      <c r="B153" s="26" t="inlineStr">
        <is>
          <t>الجودة</t>
        </is>
      </c>
      <c r="C153" s="26">
        <f>'الجودة'!C12</f>
        <v/>
      </c>
      <c r="D153" s="23">
        <f>'الجودة'!J12</f>
        <v/>
      </c>
      <c r="E153" s="26">
        <f>'الجودة'!K12</f>
        <v/>
      </c>
      <c r="F153" s="23">
        <f>'الجودة'!L12</f>
        <v/>
      </c>
      <c r="G153" s="50">
        <f>'الجودة'!N12</f>
        <v/>
      </c>
      <c r="H153" s="23">
        <f>'الجودة'!O12</f>
        <v/>
      </c>
      <c r="I153" s="28">
        <f>'الجودة'!G12</f>
        <v/>
      </c>
      <c r="J153" s="23">
        <f>IF($G153="",0,$G153*$I153)</f>
        <v/>
      </c>
      <c r="K153" s="23">
        <f>IF($G153="",0,$I153)</f>
        <v/>
      </c>
    </row>
    <row r="154">
      <c r="A154" s="23" t="n">
        <v>153</v>
      </c>
      <c r="B154" s="26" t="inlineStr">
        <is>
          <t>الجودة</t>
        </is>
      </c>
      <c r="C154" s="26">
        <f>'الجودة'!C13</f>
        <v/>
      </c>
      <c r="D154" s="23">
        <f>'الجودة'!J13</f>
        <v/>
      </c>
      <c r="E154" s="26">
        <f>'الجودة'!K13</f>
        <v/>
      </c>
      <c r="F154" s="23">
        <f>'الجودة'!L13</f>
        <v/>
      </c>
      <c r="G154" s="50">
        <f>'الجودة'!N13</f>
        <v/>
      </c>
      <c r="H154" s="23">
        <f>'الجودة'!O13</f>
        <v/>
      </c>
      <c r="I154" s="28">
        <f>'الجودة'!G13</f>
        <v/>
      </c>
      <c r="J154" s="23">
        <f>IF($G154="",0,$G154*$I154)</f>
        <v/>
      </c>
      <c r="K154" s="23">
        <f>IF($G154="",0,$I154)</f>
        <v/>
      </c>
    </row>
    <row r="155">
      <c r="A155" s="23" t="n">
        <v>154</v>
      </c>
      <c r="B155" s="26" t="inlineStr">
        <is>
          <t>الجودة</t>
        </is>
      </c>
      <c r="C155" s="26">
        <f>'الجودة'!C14</f>
        <v/>
      </c>
      <c r="D155" s="23">
        <f>'الجودة'!J14</f>
        <v/>
      </c>
      <c r="E155" s="26">
        <f>'الجودة'!K14</f>
        <v/>
      </c>
      <c r="F155" s="23">
        <f>'الجودة'!L14</f>
        <v/>
      </c>
      <c r="G155" s="50">
        <f>'الجودة'!N14</f>
        <v/>
      </c>
      <c r="H155" s="23">
        <f>'الجودة'!O14</f>
        <v/>
      </c>
      <c r="I155" s="28">
        <f>'الجودة'!G14</f>
        <v/>
      </c>
      <c r="J155" s="23">
        <f>IF($G155="",0,$G155*$I155)</f>
        <v/>
      </c>
      <c r="K155" s="23">
        <f>IF($G155="",0,$I155)</f>
        <v/>
      </c>
    </row>
    <row r="156">
      <c r="A156" s="23" t="n">
        <v>155</v>
      </c>
      <c r="B156" s="26" t="inlineStr">
        <is>
          <t>الجودة</t>
        </is>
      </c>
      <c r="C156" s="26">
        <f>'الجودة'!C15</f>
        <v/>
      </c>
      <c r="D156" s="23">
        <f>'الجودة'!J15</f>
        <v/>
      </c>
      <c r="E156" s="26">
        <f>'الجودة'!K15</f>
        <v/>
      </c>
      <c r="F156" s="23">
        <f>'الجودة'!L15</f>
        <v/>
      </c>
      <c r="G156" s="50">
        <f>'الجودة'!N15</f>
        <v/>
      </c>
      <c r="H156" s="23">
        <f>'الجودة'!O15</f>
        <v/>
      </c>
      <c r="I156" s="28">
        <f>'الجودة'!G15</f>
        <v/>
      </c>
      <c r="J156" s="23">
        <f>IF($G156="",0,$G156*$I156)</f>
        <v/>
      </c>
      <c r="K156" s="23">
        <f>IF($G156="",0,$I156)</f>
        <v/>
      </c>
    </row>
    <row r="157">
      <c r="A157" s="23" t="n">
        <v>156</v>
      </c>
      <c r="B157" s="26" t="inlineStr">
        <is>
          <t>الجودة</t>
        </is>
      </c>
      <c r="C157" s="26">
        <f>'الجودة'!C16</f>
        <v/>
      </c>
      <c r="D157" s="23">
        <f>'الجودة'!J16</f>
        <v/>
      </c>
      <c r="E157" s="26">
        <f>'الجودة'!K16</f>
        <v/>
      </c>
      <c r="F157" s="23">
        <f>'الجودة'!L16</f>
        <v/>
      </c>
      <c r="G157" s="50">
        <f>'الجودة'!N16</f>
        <v/>
      </c>
      <c r="H157" s="23">
        <f>'الجودة'!O16</f>
        <v/>
      </c>
      <c r="I157" s="28">
        <f>'الجودة'!G16</f>
        <v/>
      </c>
      <c r="J157" s="23">
        <f>IF($G157="",0,$G157*$I157)</f>
        <v/>
      </c>
      <c r="K157" s="23">
        <f>IF($G157="",0,$I157)</f>
        <v/>
      </c>
    </row>
    <row r="158">
      <c r="A158" s="23" t="n">
        <v>157</v>
      </c>
      <c r="B158" s="26" t="inlineStr">
        <is>
          <t>الجودة</t>
        </is>
      </c>
      <c r="C158" s="26">
        <f>'الجودة'!C17</f>
        <v/>
      </c>
      <c r="D158" s="23">
        <f>'الجودة'!J17</f>
        <v/>
      </c>
      <c r="E158" s="26">
        <f>'الجودة'!K17</f>
        <v/>
      </c>
      <c r="F158" s="23">
        <f>'الجودة'!L17</f>
        <v/>
      </c>
      <c r="G158" s="50">
        <f>'الجودة'!N17</f>
        <v/>
      </c>
      <c r="H158" s="23">
        <f>'الجودة'!O17</f>
        <v/>
      </c>
      <c r="I158" s="28">
        <f>'الجودة'!G17</f>
        <v/>
      </c>
      <c r="J158" s="23">
        <f>IF($G158="",0,$G158*$I158)</f>
        <v/>
      </c>
      <c r="K158" s="23">
        <f>IF($G158="",0,$I158)</f>
        <v/>
      </c>
    </row>
    <row r="159">
      <c r="A159" s="23" t="n">
        <v>158</v>
      </c>
      <c r="B159" s="26" t="inlineStr">
        <is>
          <t>الإدارة القانونية</t>
        </is>
      </c>
      <c r="C159" s="26">
        <f>'الإدارة القانونية'!C4</f>
        <v/>
      </c>
      <c r="D159" s="23">
        <f>'الإدارة القانونية'!J4</f>
        <v/>
      </c>
      <c r="E159" s="26">
        <f>'الإدارة القانونية'!K4</f>
        <v/>
      </c>
      <c r="F159" s="23">
        <f>'الإدارة القانونية'!L4</f>
        <v/>
      </c>
      <c r="G159" s="50">
        <f>'الإدارة القانونية'!N4</f>
        <v/>
      </c>
      <c r="H159" s="23">
        <f>'الإدارة القانونية'!O4</f>
        <v/>
      </c>
      <c r="I159" s="28">
        <f>'الإدارة القانونية'!G4</f>
        <v/>
      </c>
      <c r="J159" s="23">
        <f>IF($G159="",0,$G159*$I159)</f>
        <v/>
      </c>
      <c r="K159" s="23">
        <f>IF($G159="",0,$I159)</f>
        <v/>
      </c>
    </row>
    <row r="160">
      <c r="A160" s="23" t="n">
        <v>159</v>
      </c>
      <c r="B160" s="26" t="inlineStr">
        <is>
          <t>الإدارة القانونية</t>
        </is>
      </c>
      <c r="C160" s="26">
        <f>'الإدارة القانونية'!C5</f>
        <v/>
      </c>
      <c r="D160" s="23">
        <f>'الإدارة القانونية'!J5</f>
        <v/>
      </c>
      <c r="E160" s="26">
        <f>'الإدارة القانونية'!K5</f>
        <v/>
      </c>
      <c r="F160" s="23">
        <f>'الإدارة القانونية'!L5</f>
        <v/>
      </c>
      <c r="G160" s="50">
        <f>'الإدارة القانونية'!N5</f>
        <v/>
      </c>
      <c r="H160" s="23">
        <f>'الإدارة القانونية'!O5</f>
        <v/>
      </c>
      <c r="I160" s="28">
        <f>'الإدارة القانونية'!G5</f>
        <v/>
      </c>
      <c r="J160" s="23">
        <f>IF($G160="",0,$G160*$I160)</f>
        <v/>
      </c>
      <c r="K160" s="23">
        <f>IF($G160="",0,$I160)</f>
        <v/>
      </c>
    </row>
    <row r="161">
      <c r="A161" s="23" t="n">
        <v>160</v>
      </c>
      <c r="B161" s="26" t="inlineStr">
        <is>
          <t>الإدارة القانونية</t>
        </is>
      </c>
      <c r="C161" s="26">
        <f>'الإدارة القانونية'!C6</f>
        <v/>
      </c>
      <c r="D161" s="23">
        <f>'الإدارة القانونية'!J6</f>
        <v/>
      </c>
      <c r="E161" s="26">
        <f>'الإدارة القانونية'!K6</f>
        <v/>
      </c>
      <c r="F161" s="23">
        <f>'الإدارة القانونية'!L6</f>
        <v/>
      </c>
      <c r="G161" s="50">
        <f>'الإدارة القانونية'!N6</f>
        <v/>
      </c>
      <c r="H161" s="23">
        <f>'الإدارة القانونية'!O6</f>
        <v/>
      </c>
      <c r="I161" s="28">
        <f>'الإدارة القانونية'!G6</f>
        <v/>
      </c>
      <c r="J161" s="23">
        <f>IF($G161="",0,$G161*$I161)</f>
        <v/>
      </c>
      <c r="K161" s="23">
        <f>IF($G161="",0,$I161)</f>
        <v/>
      </c>
    </row>
    <row r="162">
      <c r="A162" s="23" t="n">
        <v>161</v>
      </c>
      <c r="B162" s="26" t="inlineStr">
        <is>
          <t>الإدارة القانونية</t>
        </is>
      </c>
      <c r="C162" s="26">
        <f>'الإدارة القانونية'!C7</f>
        <v/>
      </c>
      <c r="D162" s="23">
        <f>'الإدارة القانونية'!J7</f>
        <v/>
      </c>
      <c r="E162" s="26">
        <f>'الإدارة القانونية'!K7</f>
        <v/>
      </c>
      <c r="F162" s="23">
        <f>'الإدارة القانونية'!L7</f>
        <v/>
      </c>
      <c r="G162" s="50">
        <f>'الإدارة القانونية'!N7</f>
        <v/>
      </c>
      <c r="H162" s="23">
        <f>'الإدارة القانونية'!O7</f>
        <v/>
      </c>
      <c r="I162" s="28">
        <f>'الإدارة القانونية'!G7</f>
        <v/>
      </c>
      <c r="J162" s="23">
        <f>IF($G162="",0,$G162*$I162)</f>
        <v/>
      </c>
      <c r="K162" s="23">
        <f>IF($G162="",0,$I162)</f>
        <v/>
      </c>
    </row>
    <row r="163">
      <c r="A163" s="23" t="n">
        <v>162</v>
      </c>
      <c r="B163" s="26" t="inlineStr">
        <is>
          <t>الإدارة القانونية</t>
        </is>
      </c>
      <c r="C163" s="26">
        <f>'الإدارة القانونية'!C8</f>
        <v/>
      </c>
      <c r="D163" s="23">
        <f>'الإدارة القانونية'!J8</f>
        <v/>
      </c>
      <c r="E163" s="26">
        <f>'الإدارة القانونية'!K8</f>
        <v/>
      </c>
      <c r="F163" s="23">
        <f>'الإدارة القانونية'!L8</f>
        <v/>
      </c>
      <c r="G163" s="50">
        <f>'الإدارة القانونية'!N8</f>
        <v/>
      </c>
      <c r="H163" s="23">
        <f>'الإدارة القانونية'!O8</f>
        <v/>
      </c>
      <c r="I163" s="28">
        <f>'الإدارة القانونية'!G8</f>
        <v/>
      </c>
      <c r="J163" s="23">
        <f>IF($G163="",0,$G163*$I163)</f>
        <v/>
      </c>
      <c r="K163" s="23">
        <f>IF($G163="",0,$I163)</f>
        <v/>
      </c>
    </row>
    <row r="164">
      <c r="A164" s="23" t="n">
        <v>163</v>
      </c>
      <c r="B164" s="26" t="inlineStr">
        <is>
          <t>الإدارة القانونية</t>
        </is>
      </c>
      <c r="C164" s="26">
        <f>'الإدارة القانونية'!C9</f>
        <v/>
      </c>
      <c r="D164" s="23">
        <f>'الإدارة القانونية'!J9</f>
        <v/>
      </c>
      <c r="E164" s="26">
        <f>'الإدارة القانونية'!K9</f>
        <v/>
      </c>
      <c r="F164" s="23">
        <f>'الإدارة القانونية'!L9</f>
        <v/>
      </c>
      <c r="G164" s="50">
        <f>'الإدارة القانونية'!N9</f>
        <v/>
      </c>
      <c r="H164" s="23">
        <f>'الإدارة القانونية'!O9</f>
        <v/>
      </c>
      <c r="I164" s="28">
        <f>'الإدارة القانونية'!G9</f>
        <v/>
      </c>
      <c r="J164" s="23">
        <f>IF($G164="",0,$G164*$I164)</f>
        <v/>
      </c>
      <c r="K164" s="23">
        <f>IF($G164="",0,$I164)</f>
        <v/>
      </c>
    </row>
    <row r="165">
      <c r="A165" s="23" t="n">
        <v>164</v>
      </c>
      <c r="B165" s="26" t="inlineStr">
        <is>
          <t>الإدارة القانونية</t>
        </is>
      </c>
      <c r="C165" s="26">
        <f>'الإدارة القانونية'!C10</f>
        <v/>
      </c>
      <c r="D165" s="23">
        <f>'الإدارة القانونية'!J10</f>
        <v/>
      </c>
      <c r="E165" s="26">
        <f>'الإدارة القانونية'!K10</f>
        <v/>
      </c>
      <c r="F165" s="23">
        <f>'الإدارة القانونية'!L10</f>
        <v/>
      </c>
      <c r="G165" s="50">
        <f>'الإدارة القانونية'!N10</f>
        <v/>
      </c>
      <c r="H165" s="23">
        <f>'الإدارة القانونية'!O10</f>
        <v/>
      </c>
      <c r="I165" s="28">
        <f>'الإدارة القانونية'!G10</f>
        <v/>
      </c>
      <c r="J165" s="23">
        <f>IF($G165="",0,$G165*$I165)</f>
        <v/>
      </c>
      <c r="K165" s="23">
        <f>IF($G165="",0,$I165)</f>
        <v/>
      </c>
    </row>
    <row r="166">
      <c r="A166" s="23" t="n">
        <v>165</v>
      </c>
      <c r="B166" s="26" t="inlineStr">
        <is>
          <t>الإدارة القانونية</t>
        </is>
      </c>
      <c r="C166" s="26">
        <f>'الإدارة القانونية'!C11</f>
        <v/>
      </c>
      <c r="D166" s="23">
        <f>'الإدارة القانونية'!J11</f>
        <v/>
      </c>
      <c r="E166" s="26">
        <f>'الإدارة القانونية'!K11</f>
        <v/>
      </c>
      <c r="F166" s="23">
        <f>'الإدارة القانونية'!L11</f>
        <v/>
      </c>
      <c r="G166" s="50">
        <f>'الإدارة القانونية'!N11</f>
        <v/>
      </c>
      <c r="H166" s="23">
        <f>'الإدارة القانونية'!O11</f>
        <v/>
      </c>
      <c r="I166" s="28">
        <f>'الإدارة القانونية'!G11</f>
        <v/>
      </c>
      <c r="J166" s="23">
        <f>IF($G166="",0,$G166*$I166)</f>
        <v/>
      </c>
      <c r="K166" s="23">
        <f>IF($G166="",0,$I166)</f>
        <v/>
      </c>
    </row>
    <row r="167">
      <c r="A167" s="23" t="n">
        <v>166</v>
      </c>
      <c r="B167" s="26" t="inlineStr">
        <is>
          <t>الإدارة المالية</t>
        </is>
      </c>
      <c r="C167" s="26">
        <f>'الإدارة المالية'!C4</f>
        <v/>
      </c>
      <c r="D167" s="23">
        <f>'الإدارة المالية'!J4</f>
        <v/>
      </c>
      <c r="E167" s="26">
        <f>'الإدارة المالية'!K4</f>
        <v/>
      </c>
      <c r="F167" s="23">
        <f>'الإدارة المالية'!L4</f>
        <v/>
      </c>
      <c r="G167" s="50">
        <f>'الإدارة المالية'!N4</f>
        <v/>
      </c>
      <c r="H167" s="23">
        <f>'الإدارة المالية'!O4</f>
        <v/>
      </c>
      <c r="I167" s="28">
        <f>'الإدارة المالية'!G4</f>
        <v/>
      </c>
      <c r="J167" s="23">
        <f>IF($G167="",0,$G167*$I167)</f>
        <v/>
      </c>
      <c r="K167" s="23">
        <f>IF($G167="",0,$I167)</f>
        <v/>
      </c>
    </row>
    <row r="168">
      <c r="A168" s="23" t="n">
        <v>167</v>
      </c>
      <c r="B168" s="26" t="inlineStr">
        <is>
          <t>الإدارة المالية</t>
        </is>
      </c>
      <c r="C168" s="26">
        <f>'الإدارة المالية'!C5</f>
        <v/>
      </c>
      <c r="D168" s="23">
        <f>'الإدارة المالية'!J5</f>
        <v/>
      </c>
      <c r="E168" s="26">
        <f>'الإدارة المالية'!K5</f>
        <v/>
      </c>
      <c r="F168" s="23">
        <f>'الإدارة المالية'!L5</f>
        <v/>
      </c>
      <c r="G168" s="50">
        <f>'الإدارة المالية'!N5</f>
        <v/>
      </c>
      <c r="H168" s="23">
        <f>'الإدارة المالية'!O5</f>
        <v/>
      </c>
      <c r="I168" s="28">
        <f>'الإدارة المالية'!G5</f>
        <v/>
      </c>
      <c r="J168" s="23">
        <f>IF($G168="",0,$G168*$I168)</f>
        <v/>
      </c>
      <c r="K168" s="23">
        <f>IF($G168="",0,$I168)</f>
        <v/>
      </c>
    </row>
    <row r="169">
      <c r="A169" s="23" t="n">
        <v>168</v>
      </c>
      <c r="B169" s="26" t="inlineStr">
        <is>
          <t>الإدارة المالية</t>
        </is>
      </c>
      <c r="C169" s="26">
        <f>'الإدارة المالية'!C6</f>
        <v/>
      </c>
      <c r="D169" s="23">
        <f>'الإدارة المالية'!J6</f>
        <v/>
      </c>
      <c r="E169" s="26">
        <f>'الإدارة المالية'!K6</f>
        <v/>
      </c>
      <c r="F169" s="23">
        <f>'الإدارة المالية'!L6</f>
        <v/>
      </c>
      <c r="G169" s="50">
        <f>'الإدارة المالية'!N6</f>
        <v/>
      </c>
      <c r="H169" s="23">
        <f>'الإدارة المالية'!O6</f>
        <v/>
      </c>
      <c r="I169" s="28">
        <f>'الإدارة المالية'!G6</f>
        <v/>
      </c>
      <c r="J169" s="23">
        <f>IF($G169="",0,$G169*$I169)</f>
        <v/>
      </c>
      <c r="K169" s="23">
        <f>IF($G169="",0,$I169)</f>
        <v/>
      </c>
    </row>
    <row r="170">
      <c r="A170" s="23" t="n">
        <v>169</v>
      </c>
      <c r="B170" s="26" t="inlineStr">
        <is>
          <t>الإدارة المالية</t>
        </is>
      </c>
      <c r="C170" s="26">
        <f>'الإدارة المالية'!C7</f>
        <v/>
      </c>
      <c r="D170" s="23">
        <f>'الإدارة المالية'!J7</f>
        <v/>
      </c>
      <c r="E170" s="26">
        <f>'الإدارة المالية'!K7</f>
        <v/>
      </c>
      <c r="F170" s="23">
        <f>'الإدارة المالية'!L7</f>
        <v/>
      </c>
      <c r="G170" s="50">
        <f>'الإدارة المالية'!N7</f>
        <v/>
      </c>
      <c r="H170" s="23">
        <f>'الإدارة المالية'!O7</f>
        <v/>
      </c>
      <c r="I170" s="28">
        <f>'الإدارة المالية'!G7</f>
        <v/>
      </c>
      <c r="J170" s="23">
        <f>IF($G170="",0,$G170*$I170)</f>
        <v/>
      </c>
      <c r="K170" s="23">
        <f>IF($G170="",0,$I170)</f>
        <v/>
      </c>
    </row>
    <row r="171">
      <c r="A171" s="23" t="n">
        <v>170</v>
      </c>
      <c r="B171" s="26" t="inlineStr">
        <is>
          <t>الإدارة المالية</t>
        </is>
      </c>
      <c r="C171" s="26">
        <f>'الإدارة المالية'!C8</f>
        <v/>
      </c>
      <c r="D171" s="23">
        <f>'الإدارة المالية'!J8</f>
        <v/>
      </c>
      <c r="E171" s="26">
        <f>'الإدارة المالية'!K8</f>
        <v/>
      </c>
      <c r="F171" s="23">
        <f>'الإدارة المالية'!L8</f>
        <v/>
      </c>
      <c r="G171" s="50">
        <f>'الإدارة المالية'!N8</f>
        <v/>
      </c>
      <c r="H171" s="23">
        <f>'الإدارة المالية'!O8</f>
        <v/>
      </c>
      <c r="I171" s="28">
        <f>'الإدارة المالية'!G8</f>
        <v/>
      </c>
      <c r="J171" s="23">
        <f>IF($G171="",0,$G171*$I171)</f>
        <v/>
      </c>
      <c r="K171" s="23">
        <f>IF($G171="",0,$I171)</f>
        <v/>
      </c>
    </row>
    <row r="172">
      <c r="A172" s="23" t="n">
        <v>171</v>
      </c>
      <c r="B172" s="26" t="inlineStr">
        <is>
          <t>الإدارة المالية</t>
        </is>
      </c>
      <c r="C172" s="26">
        <f>'الإدارة المالية'!C9</f>
        <v/>
      </c>
      <c r="D172" s="23">
        <f>'الإدارة المالية'!J9</f>
        <v/>
      </c>
      <c r="E172" s="26">
        <f>'الإدارة المالية'!K9</f>
        <v/>
      </c>
      <c r="F172" s="23">
        <f>'الإدارة المالية'!L9</f>
        <v/>
      </c>
      <c r="G172" s="50">
        <f>'الإدارة المالية'!N9</f>
        <v/>
      </c>
      <c r="H172" s="23">
        <f>'الإدارة المالية'!O9</f>
        <v/>
      </c>
      <c r="I172" s="28">
        <f>'الإدارة المالية'!G9</f>
        <v/>
      </c>
      <c r="J172" s="23">
        <f>IF($G172="",0,$G172*$I172)</f>
        <v/>
      </c>
      <c r="K172" s="23">
        <f>IF($G172="",0,$I172)</f>
        <v/>
      </c>
    </row>
    <row r="173">
      <c r="A173" s="23" t="n">
        <v>172</v>
      </c>
      <c r="B173" s="26" t="inlineStr">
        <is>
          <t>الإدارة المالية</t>
        </is>
      </c>
      <c r="C173" s="26">
        <f>'الإدارة المالية'!C10</f>
        <v/>
      </c>
      <c r="D173" s="23">
        <f>'الإدارة المالية'!J10</f>
        <v/>
      </c>
      <c r="E173" s="26">
        <f>'الإدارة المالية'!K10</f>
        <v/>
      </c>
      <c r="F173" s="23">
        <f>'الإدارة المالية'!L10</f>
        <v/>
      </c>
      <c r="G173" s="50">
        <f>'الإدارة المالية'!N10</f>
        <v/>
      </c>
      <c r="H173" s="23">
        <f>'الإدارة المالية'!O10</f>
        <v/>
      </c>
      <c r="I173" s="28">
        <f>'الإدارة المالية'!G10</f>
        <v/>
      </c>
      <c r="J173" s="23">
        <f>IF($G173="",0,$G173*$I173)</f>
        <v/>
      </c>
      <c r="K173" s="23">
        <f>IF($G173="",0,$I173)</f>
        <v/>
      </c>
    </row>
    <row r="174">
      <c r="A174" s="23" t="n">
        <v>173</v>
      </c>
      <c r="B174" s="26" t="inlineStr">
        <is>
          <t>الإدارة المالية</t>
        </is>
      </c>
      <c r="C174" s="26">
        <f>'الإدارة المالية'!C11</f>
        <v/>
      </c>
      <c r="D174" s="23">
        <f>'الإدارة المالية'!J11</f>
        <v/>
      </c>
      <c r="E174" s="26">
        <f>'الإدارة المالية'!K11</f>
        <v/>
      </c>
      <c r="F174" s="23">
        <f>'الإدارة المالية'!L11</f>
        <v/>
      </c>
      <c r="G174" s="50">
        <f>'الإدارة المالية'!N11</f>
        <v/>
      </c>
      <c r="H174" s="23">
        <f>'الإدارة المالية'!O11</f>
        <v/>
      </c>
      <c r="I174" s="28">
        <f>'الإدارة المالية'!G11</f>
        <v/>
      </c>
      <c r="J174" s="23">
        <f>IF($G174="",0,$G174*$I174)</f>
        <v/>
      </c>
      <c r="K174" s="23">
        <f>IF($G174="",0,$I174)</f>
        <v/>
      </c>
    </row>
    <row r="175">
      <c r="A175" s="23" t="n">
        <v>174</v>
      </c>
      <c r="B175" s="26" t="inlineStr">
        <is>
          <t>الإدارة المالية</t>
        </is>
      </c>
      <c r="C175" s="26">
        <f>'الإدارة المالية'!C12</f>
        <v/>
      </c>
      <c r="D175" s="23">
        <f>'الإدارة المالية'!J12</f>
        <v/>
      </c>
      <c r="E175" s="26">
        <f>'الإدارة المالية'!K12</f>
        <v/>
      </c>
      <c r="F175" s="23">
        <f>'الإدارة المالية'!L12</f>
        <v/>
      </c>
      <c r="G175" s="50">
        <f>'الإدارة المالية'!N12</f>
        <v/>
      </c>
      <c r="H175" s="23">
        <f>'الإدارة المالية'!O12</f>
        <v/>
      </c>
      <c r="I175" s="28">
        <f>'الإدارة المالية'!G12</f>
        <v/>
      </c>
      <c r="J175" s="23">
        <f>IF($G175="",0,$G175*$I175)</f>
        <v/>
      </c>
      <c r="K175" s="23">
        <f>IF($G175="",0,$I175)</f>
        <v/>
      </c>
    </row>
    <row r="176">
      <c r="A176" s="23" t="n">
        <v>175</v>
      </c>
      <c r="B176" s="26" t="inlineStr">
        <is>
          <t>الإدارة المالية</t>
        </is>
      </c>
      <c r="C176" s="26">
        <f>'الإدارة المالية'!C13</f>
        <v/>
      </c>
      <c r="D176" s="23">
        <f>'الإدارة المالية'!J13</f>
        <v/>
      </c>
      <c r="E176" s="26">
        <f>'الإدارة المالية'!K13</f>
        <v/>
      </c>
      <c r="F176" s="23">
        <f>'الإدارة المالية'!L13</f>
        <v/>
      </c>
      <c r="G176" s="50">
        <f>'الإدارة المالية'!N13</f>
        <v/>
      </c>
      <c r="H176" s="23">
        <f>'الإدارة المالية'!O13</f>
        <v/>
      </c>
      <c r="I176" s="28">
        <f>'الإدارة المالية'!G13</f>
        <v/>
      </c>
      <c r="J176" s="23">
        <f>IF($G176="",0,$G176*$I176)</f>
        <v/>
      </c>
      <c r="K176" s="23">
        <f>IF($G176="",0,$I176)</f>
        <v/>
      </c>
    </row>
    <row r="177">
      <c r="A177" s="23" t="n">
        <v>176</v>
      </c>
      <c r="B177" s="26" t="inlineStr">
        <is>
          <t>الإدارة المالية</t>
        </is>
      </c>
      <c r="C177" s="26">
        <f>'الإدارة المالية'!C14</f>
        <v/>
      </c>
      <c r="D177" s="23">
        <f>'الإدارة المالية'!J14</f>
        <v/>
      </c>
      <c r="E177" s="26">
        <f>'الإدارة المالية'!K14</f>
        <v/>
      </c>
      <c r="F177" s="23">
        <f>'الإدارة المالية'!L14</f>
        <v/>
      </c>
      <c r="G177" s="50">
        <f>'الإدارة المالية'!N14</f>
        <v/>
      </c>
      <c r="H177" s="23">
        <f>'الإدارة المالية'!O14</f>
        <v/>
      </c>
      <c r="I177" s="28">
        <f>'الإدارة المالية'!G14</f>
        <v/>
      </c>
      <c r="J177" s="23">
        <f>IF($G177="",0,$G177*$I177)</f>
        <v/>
      </c>
      <c r="K177" s="23">
        <f>IF($G177="",0,$I177)</f>
        <v/>
      </c>
    </row>
    <row r="178">
      <c r="A178" s="23" t="n">
        <v>177</v>
      </c>
      <c r="B178" s="26" t="inlineStr">
        <is>
          <t>الإدارة المالية</t>
        </is>
      </c>
      <c r="C178" s="26">
        <f>'الإدارة المالية'!C15</f>
        <v/>
      </c>
      <c r="D178" s="23">
        <f>'الإدارة المالية'!J15</f>
        <v/>
      </c>
      <c r="E178" s="26">
        <f>'الإدارة المالية'!K15</f>
        <v/>
      </c>
      <c r="F178" s="23">
        <f>'الإدارة المالية'!L15</f>
        <v/>
      </c>
      <c r="G178" s="50">
        <f>'الإدارة المالية'!N15</f>
        <v/>
      </c>
      <c r="H178" s="23">
        <f>'الإدارة المالية'!O15</f>
        <v/>
      </c>
      <c r="I178" s="28">
        <f>'الإدارة المالية'!G15</f>
        <v/>
      </c>
      <c r="J178" s="23">
        <f>IF($G178="",0,$G178*$I178)</f>
        <v/>
      </c>
      <c r="K178" s="23">
        <f>IF($G178="",0,$I178)</f>
        <v/>
      </c>
    </row>
    <row r="179">
      <c r="A179" s="23" t="n">
        <v>178</v>
      </c>
      <c r="B179" s="26" t="inlineStr">
        <is>
          <t>الإدارة المالية</t>
        </is>
      </c>
      <c r="C179" s="26">
        <f>'الإدارة المالية'!C16</f>
        <v/>
      </c>
      <c r="D179" s="23">
        <f>'الإدارة المالية'!J16</f>
        <v/>
      </c>
      <c r="E179" s="26">
        <f>'الإدارة المالية'!K16</f>
        <v/>
      </c>
      <c r="F179" s="23">
        <f>'الإدارة المالية'!L16</f>
        <v/>
      </c>
      <c r="G179" s="50">
        <f>'الإدارة المالية'!N16</f>
        <v/>
      </c>
      <c r="H179" s="23">
        <f>'الإدارة المالية'!O16</f>
        <v/>
      </c>
      <c r="I179" s="28">
        <f>'الإدارة المالية'!G16</f>
        <v/>
      </c>
      <c r="J179" s="23">
        <f>IF($G179="",0,$G179*$I179)</f>
        <v/>
      </c>
      <c r="K179" s="23">
        <f>IF($G179="",0,$I179)</f>
        <v/>
      </c>
    </row>
    <row r="180">
      <c r="A180" s="23" t="n">
        <v>179</v>
      </c>
      <c r="B180" s="26" t="inlineStr">
        <is>
          <t>الإدارة المالية</t>
        </is>
      </c>
      <c r="C180" s="26">
        <f>'الإدارة المالية'!C17</f>
        <v/>
      </c>
      <c r="D180" s="23">
        <f>'الإدارة المالية'!J17</f>
        <v/>
      </c>
      <c r="E180" s="26">
        <f>'الإدارة المالية'!K17</f>
        <v/>
      </c>
      <c r="F180" s="23">
        <f>'الإدارة المالية'!L17</f>
        <v/>
      </c>
      <c r="G180" s="50">
        <f>'الإدارة المالية'!N17</f>
        <v/>
      </c>
      <c r="H180" s="23">
        <f>'الإدارة المالية'!O17</f>
        <v/>
      </c>
      <c r="I180" s="28">
        <f>'الإدارة المالية'!G17</f>
        <v/>
      </c>
      <c r="J180" s="23">
        <f>IF($G180="",0,$G180*$I180)</f>
        <v/>
      </c>
      <c r="K180" s="23">
        <f>IF($G180="",0,$I180)</f>
        <v/>
      </c>
    </row>
    <row r="181">
      <c r="A181" s="23" t="n">
        <v>180</v>
      </c>
      <c r="B181" s="26" t="inlineStr">
        <is>
          <t>الإدارة المالية</t>
        </is>
      </c>
      <c r="C181" s="26">
        <f>'الإدارة المالية'!C18</f>
        <v/>
      </c>
      <c r="D181" s="23">
        <f>'الإدارة المالية'!J18</f>
        <v/>
      </c>
      <c r="E181" s="26">
        <f>'الإدارة المالية'!K18</f>
        <v/>
      </c>
      <c r="F181" s="23">
        <f>'الإدارة المالية'!L18</f>
        <v/>
      </c>
      <c r="G181" s="50">
        <f>'الإدارة المالية'!N18</f>
        <v/>
      </c>
      <c r="H181" s="23">
        <f>'الإدارة المالية'!O18</f>
        <v/>
      </c>
      <c r="I181" s="28">
        <f>'الإدارة المالية'!G18</f>
        <v/>
      </c>
      <c r="J181" s="23">
        <f>IF($G181="",0,$G181*$I181)</f>
        <v/>
      </c>
      <c r="K181" s="23">
        <f>IF($G181="",0,$I181)</f>
        <v/>
      </c>
    </row>
    <row r="182">
      <c r="A182" s="23" t="n">
        <v>181</v>
      </c>
      <c r="B182" s="26" t="inlineStr">
        <is>
          <t>الإدارة المالية</t>
        </is>
      </c>
      <c r="C182" s="26">
        <f>'الإدارة المالية'!C19</f>
        <v/>
      </c>
      <c r="D182" s="23">
        <f>'الإدارة المالية'!J19</f>
        <v/>
      </c>
      <c r="E182" s="26">
        <f>'الإدارة المالية'!K19</f>
        <v/>
      </c>
      <c r="F182" s="23">
        <f>'الإدارة المالية'!L19</f>
        <v/>
      </c>
      <c r="G182" s="50">
        <f>'الإدارة المالية'!N19</f>
        <v/>
      </c>
      <c r="H182" s="23">
        <f>'الإدارة المالية'!O19</f>
        <v/>
      </c>
      <c r="I182" s="28">
        <f>'الإدارة المالية'!G19</f>
        <v/>
      </c>
      <c r="J182" s="23">
        <f>IF($G182="",0,$G182*$I182)</f>
        <v/>
      </c>
      <c r="K182" s="23">
        <f>IF($G182="",0,$I182)</f>
        <v/>
      </c>
    </row>
    <row r="183">
      <c r="A183" s="23" t="n">
        <v>182</v>
      </c>
      <c r="B183" s="26" t="inlineStr">
        <is>
          <t>الإدارة المالية</t>
        </is>
      </c>
      <c r="C183" s="26">
        <f>'الإدارة المالية'!C20</f>
        <v/>
      </c>
      <c r="D183" s="23">
        <f>'الإدارة المالية'!J20</f>
        <v/>
      </c>
      <c r="E183" s="26">
        <f>'الإدارة المالية'!K20</f>
        <v/>
      </c>
      <c r="F183" s="23">
        <f>'الإدارة المالية'!L20</f>
        <v/>
      </c>
      <c r="G183" s="50">
        <f>'الإدارة المالية'!N20</f>
        <v/>
      </c>
      <c r="H183" s="23">
        <f>'الإدارة المالية'!O20</f>
        <v/>
      </c>
      <c r="I183" s="28">
        <f>'الإدارة المالية'!G20</f>
        <v/>
      </c>
      <c r="J183" s="23">
        <f>IF($G183="",0,$G183*$I183)</f>
        <v/>
      </c>
      <c r="K183" s="23">
        <f>IF($G183="",0,$I183)</f>
        <v/>
      </c>
    </row>
    <row r="184">
      <c r="A184" s="23" t="n">
        <v>183</v>
      </c>
      <c r="B184" s="26" t="inlineStr">
        <is>
          <t>الإدارة المالية</t>
        </is>
      </c>
      <c r="C184" s="26">
        <f>'الإدارة المالية'!C21</f>
        <v/>
      </c>
      <c r="D184" s="23">
        <f>'الإدارة المالية'!J21</f>
        <v/>
      </c>
      <c r="E184" s="26">
        <f>'الإدارة المالية'!K21</f>
        <v/>
      </c>
      <c r="F184" s="23">
        <f>'الإدارة المالية'!L21</f>
        <v/>
      </c>
      <c r="G184" s="50">
        <f>'الإدارة المالية'!N21</f>
        <v/>
      </c>
      <c r="H184" s="23">
        <f>'الإدارة المالية'!O21</f>
        <v/>
      </c>
      <c r="I184" s="28">
        <f>'الإدارة المالية'!G21</f>
        <v/>
      </c>
      <c r="J184" s="23">
        <f>IF($G184="",0,$G184*$I184)</f>
        <v/>
      </c>
      <c r="K184" s="23">
        <f>IF($G184="",0,$I184)</f>
        <v/>
      </c>
    </row>
    <row r="185">
      <c r="A185" s="23" t="n">
        <v>184</v>
      </c>
      <c r="B185" s="26" t="inlineStr">
        <is>
          <t>الإدارة المالية</t>
        </is>
      </c>
      <c r="C185" s="26">
        <f>'الإدارة المالية'!C22</f>
        <v/>
      </c>
      <c r="D185" s="23">
        <f>'الإدارة المالية'!J22</f>
        <v/>
      </c>
      <c r="E185" s="26">
        <f>'الإدارة المالية'!K22</f>
        <v/>
      </c>
      <c r="F185" s="23">
        <f>'الإدارة المالية'!L22</f>
        <v/>
      </c>
      <c r="G185" s="50">
        <f>'الإدارة المالية'!N22</f>
        <v/>
      </c>
      <c r="H185" s="23">
        <f>'الإدارة المالية'!O22</f>
        <v/>
      </c>
      <c r="I185" s="28">
        <f>'الإدارة المالية'!G22</f>
        <v/>
      </c>
      <c r="J185" s="23">
        <f>IF($G185="",0,$G185*$I185)</f>
        <v/>
      </c>
      <c r="K185" s="23">
        <f>IF($G185="",0,$I185)</f>
        <v/>
      </c>
    </row>
    <row r="186">
      <c r="A186" s="23" t="n">
        <v>185</v>
      </c>
      <c r="B186" s="26" t="inlineStr">
        <is>
          <t>الإدارة المالية</t>
        </is>
      </c>
      <c r="C186" s="26">
        <f>'الإدارة المالية'!C23</f>
        <v/>
      </c>
      <c r="D186" s="23">
        <f>'الإدارة المالية'!J23</f>
        <v/>
      </c>
      <c r="E186" s="26">
        <f>'الإدارة المالية'!K23</f>
        <v/>
      </c>
      <c r="F186" s="23">
        <f>'الإدارة المالية'!L23</f>
        <v/>
      </c>
      <c r="G186" s="50">
        <f>'الإدارة المالية'!N23</f>
        <v/>
      </c>
      <c r="H186" s="23">
        <f>'الإدارة المالية'!O23</f>
        <v/>
      </c>
      <c r="I186" s="28">
        <f>'الإدارة المالية'!G23</f>
        <v/>
      </c>
      <c r="J186" s="23">
        <f>IF($G186="",0,$G186*$I186)</f>
        <v/>
      </c>
      <c r="K186" s="23">
        <f>IF($G186="",0,$I186)</f>
        <v/>
      </c>
    </row>
    <row r="187">
      <c r="A187" s="23" t="n">
        <v>186</v>
      </c>
      <c r="B187" s="26" t="inlineStr">
        <is>
          <t>الإدارة المالية</t>
        </is>
      </c>
      <c r="C187" s="26">
        <f>'الإدارة المالية'!C24</f>
        <v/>
      </c>
      <c r="D187" s="23">
        <f>'الإدارة المالية'!J24</f>
        <v/>
      </c>
      <c r="E187" s="26">
        <f>'الإدارة المالية'!K24</f>
        <v/>
      </c>
      <c r="F187" s="23">
        <f>'الإدارة المالية'!L24</f>
        <v/>
      </c>
      <c r="G187" s="50">
        <f>'الإدارة المالية'!N24</f>
        <v/>
      </c>
      <c r="H187" s="23">
        <f>'الإدارة المالية'!O24</f>
        <v/>
      </c>
      <c r="I187" s="28">
        <f>'الإدارة المالية'!G24</f>
        <v/>
      </c>
      <c r="J187" s="23">
        <f>IF($G187="",0,$G187*$I187)</f>
        <v/>
      </c>
      <c r="K187" s="23">
        <f>IF($G187="",0,$I187)</f>
        <v/>
      </c>
    </row>
    <row r="188">
      <c r="A188" s="23" t="n">
        <v>187</v>
      </c>
      <c r="B188" s="26" t="inlineStr">
        <is>
          <t>الإدارة المالية</t>
        </is>
      </c>
      <c r="C188" s="26">
        <f>'الإدارة المالية'!C25</f>
        <v/>
      </c>
      <c r="D188" s="23">
        <f>'الإدارة المالية'!J25</f>
        <v/>
      </c>
      <c r="E188" s="26">
        <f>'الإدارة المالية'!K25</f>
        <v/>
      </c>
      <c r="F188" s="23">
        <f>'الإدارة المالية'!L25</f>
        <v/>
      </c>
      <c r="G188" s="50">
        <f>'الإدارة المالية'!N25</f>
        <v/>
      </c>
      <c r="H188" s="23">
        <f>'الإدارة المالية'!O25</f>
        <v/>
      </c>
      <c r="I188" s="28">
        <f>'الإدارة المالية'!G25</f>
        <v/>
      </c>
      <c r="J188" s="23">
        <f>IF($G188="",0,$G188*$I188)</f>
        <v/>
      </c>
      <c r="K188" s="23">
        <f>IF($G188="",0,$I188)</f>
        <v/>
      </c>
    </row>
    <row r="189">
      <c r="A189" s="23" t="n">
        <v>188</v>
      </c>
      <c r="B189" s="26" t="inlineStr">
        <is>
          <t>الإدارة المالية</t>
        </is>
      </c>
      <c r="C189" s="26">
        <f>'الإدارة المالية'!C26</f>
        <v/>
      </c>
      <c r="D189" s="23">
        <f>'الإدارة المالية'!J26</f>
        <v/>
      </c>
      <c r="E189" s="26">
        <f>'الإدارة المالية'!K26</f>
        <v/>
      </c>
      <c r="F189" s="23">
        <f>'الإدارة المالية'!L26</f>
        <v/>
      </c>
      <c r="G189" s="50">
        <f>'الإدارة المالية'!N26</f>
        <v/>
      </c>
      <c r="H189" s="23">
        <f>'الإدارة المالية'!O26</f>
        <v/>
      </c>
      <c r="I189" s="28">
        <f>'الإدارة المالية'!G26</f>
        <v/>
      </c>
      <c r="J189" s="23">
        <f>IF($G189="",0,$G189*$I189)</f>
        <v/>
      </c>
      <c r="K189" s="23">
        <f>IF($G189="",0,$I189)</f>
        <v/>
      </c>
    </row>
    <row r="190">
      <c r="A190" s="23" t="n">
        <v>189</v>
      </c>
      <c r="B190" s="26" t="inlineStr">
        <is>
          <t>الإدارة المالية</t>
        </is>
      </c>
      <c r="C190" s="26">
        <f>'الإدارة المالية'!C27</f>
        <v/>
      </c>
      <c r="D190" s="23">
        <f>'الإدارة المالية'!J27</f>
        <v/>
      </c>
      <c r="E190" s="26">
        <f>'الإدارة المالية'!K27</f>
        <v/>
      </c>
      <c r="F190" s="23">
        <f>'الإدارة المالية'!L27</f>
        <v/>
      </c>
      <c r="G190" s="50">
        <f>'الإدارة المالية'!N27</f>
        <v/>
      </c>
      <c r="H190" s="23">
        <f>'الإدارة المالية'!O27</f>
        <v/>
      </c>
      <c r="I190" s="28">
        <f>'الإدارة المالية'!G27</f>
        <v/>
      </c>
      <c r="J190" s="23">
        <f>IF($G190="",0,$G190*$I190)</f>
        <v/>
      </c>
      <c r="K190" s="23">
        <f>IF($G190="",0,$I190)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2026-06-25T08:10:43Z</dcterms:created>
  <dcterms:modified xmlns:dcterms="http://purl.org/dc/terms/" xmlns:xsi="http://www.w3.org/2001/XMLSchema-instance" xsi:type="dcterms:W3CDTF">2026-06-25T08:10:44Z</dcterms:modified>
</cp:coreProperties>
</file>