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الشهري'!$A$3:$X$214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المؤشرات'!$A$2:$N$213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'العقار'!$A$3:$R$22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'التسويق'!$A$3:$R$20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المؤشرات'!$G$2:$G$212,'قاعدة المؤشرات'!$D$2:$D$212,"النمو"),"—")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المؤشرات'!$G$2:$G$212,'قاعدة المؤشرات'!$D$2:$D$212,"الابتكار"),"—")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المؤشرات'!$G$2:$G$212,'قاعدة المؤشرات'!$D$2:$D$212,"الاستدامة"),"—")</f>
        <v/>
      </c>
      <c r="D10" s="11" t="inlineStr">
        <is>
          <t>وصول العلاقات العامة (PR)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 (Uptime)</t>
        </is>
      </c>
      <c r="E12" s="7" t="n"/>
      <c r="F12" s="12" t="n">
        <v>0.7222222222222222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2</v>
      </c>
      <c r="B65" s="21">
        <f>'التسويق'!C5</f>
        <v/>
      </c>
      <c r="C65" s="22">
        <f>'التسويق'!I5</f>
        <v/>
      </c>
      <c r="D65" s="23">
        <f>'التسويق'!M5</f>
        <v/>
      </c>
      <c r="E65" s="10">
        <f>'التسويق'!N5</f>
        <v/>
      </c>
      <c r="F65" s="20">
        <f>'التسويق'!O5</f>
        <v/>
      </c>
      <c r="G65" s="24">
        <f>'التسويق'!G5</f>
        <v/>
      </c>
    </row>
    <row r="66" ht="22" customHeight="1">
      <c r="A66" s="20" t="n">
        <v>3</v>
      </c>
      <c r="B66" s="21">
        <f>'التسويق'!C6</f>
        <v/>
      </c>
      <c r="C66" s="22">
        <f>'التسويق'!I6</f>
        <v/>
      </c>
      <c r="D66" s="23">
        <f>'التسويق'!M6</f>
        <v/>
      </c>
      <c r="E66" s="10">
        <f>'التسويق'!N6</f>
        <v/>
      </c>
      <c r="F66" s="20">
        <f>'التسويق'!O6</f>
        <v/>
      </c>
      <c r="G66" s="24">
        <f>'التسويق'!G6</f>
        <v/>
      </c>
    </row>
    <row r="67" ht="22" customHeight="1">
      <c r="A67" s="20" t="n">
        <v>4</v>
      </c>
      <c r="B67" s="21">
        <f>'التسويق'!C8</f>
        <v/>
      </c>
      <c r="C67" s="22">
        <f>'التسويق'!I8</f>
        <v/>
      </c>
      <c r="D67" s="23">
        <f>'التسويق'!M8</f>
        <v/>
      </c>
      <c r="E67" s="10">
        <f>'التسويق'!N8</f>
        <v/>
      </c>
      <c r="F67" s="20">
        <f>'التسويق'!O8</f>
        <v/>
      </c>
      <c r="G67" s="24">
        <f>'التسويق'!G8</f>
        <v/>
      </c>
    </row>
    <row r="68" ht="22" customHeight="1">
      <c r="A68" s="20" t="n">
        <v>5</v>
      </c>
      <c r="B68" s="21">
        <f>'التسويق'!C19</f>
        <v/>
      </c>
      <c r="C68" s="22">
        <f>'التسويق'!I19</f>
        <v/>
      </c>
      <c r="D68" s="23">
        <f>'التسويق'!M19</f>
        <v/>
      </c>
      <c r="E68" s="10">
        <f>'التسويق'!N19</f>
        <v/>
      </c>
      <c r="F68" s="20">
        <f>'التسويق'!O19</f>
        <v/>
      </c>
      <c r="G68" s="24">
        <f>'التسويق'!G19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المؤشرات'!$J$2:$J$212,'قاعدة المؤشرات'!$B$2:$B$212,"الإدارة التنفيذية",'قاعدة المؤشرات'!$L$2:$L$212,"النمو")/SUMIFS('قاعدة المؤشرات'!$K$2:$K$212,'قاعدة المؤشرات'!$B$2:$B$212,"الإدارة التنفيذية",'قاعدة المؤشرات'!$L$2:$L$212,"النمو"),"")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المؤشرات'!$G$2:$G$212,'قاعدة المؤشرات'!$B$2:$B$212,"الإدارة التنفيذية",'قاعدة المؤشرات'!$L$2:$L$212,"النمو"))</f>
        <v/>
      </c>
      <c r="H3" s="30">
        <f>COUNTIFS('قاعدة المؤشرات'!$H$2:$H$212,"🔴 تحت الهدف",'قاعدة المؤشرات'!$B$2:$B$212,"الإدارة التنفيذية",'قاعدة المؤشرات'!$L$2:$L$212,"النمو")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المؤشرات'!$J$2:$J$212,'قاعدة المؤشرات'!$B$2:$B$212,"الإدارة التنفيذية",'قاعدة المؤشرات'!$L$2:$L$212,"الابتكار")/SUMIFS('قاعدة المؤشرات'!$K$2:$K$212,'قاعدة المؤشرات'!$B$2:$B$212,"الإدارة التنفيذية",'قاعدة المؤشرات'!$L$2:$L$212,"الابتكار"),"")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المؤشرات'!$G$2:$G$212,'قاعدة المؤشرات'!$B$2:$B$212,"الإدارة التنفيذية",'قاعدة المؤشرات'!$L$2:$L$212,"الابتكار"))</f>
        <v/>
      </c>
      <c r="H4" s="30">
        <f>COUNTIFS('قاعدة المؤشرات'!$H$2:$H$212,"🔴 تحت الهدف",'قاعدة المؤشرات'!$B$2:$B$212,"الإدارة التنفيذية",'قاعدة المؤشرات'!$L$2:$L$212,"الابتكار")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المؤشرات'!$J$2:$J$212,'قاعدة المؤشرات'!$B$2:$B$212,"الإدارة التنفيذية",'قاعدة المؤشرات'!$L$2:$L$212,"الاستدامة")/SUMIFS('قاعدة المؤشرات'!$K$2:$K$212,'قاعدة المؤشرات'!$B$2:$B$212,"الإدارة التنفيذية",'قاعدة المؤشرات'!$L$2:$L$212,"الاستدامة"),"")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المؤشرات'!$G$2:$G$212,'قاعدة المؤشرات'!$B$2:$B$212,"الإدارة التنفيذية",'قاعدة المؤشرات'!$L$2:$L$212,"الاستدامة"))</f>
        <v/>
      </c>
      <c r="H5" s="30">
        <f>COUNTIFS('قاعدة المؤشرات'!$H$2:$H$212,"🔴 تحت الهدف",'قاعدة المؤشرات'!$B$2:$B$212,"الإدارة التنفيذية",'قاعدة المؤشرات'!$L$2:$L$212,"الاستدامة")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المؤشرات'!$J$2:$J$212,'قاعدة المؤشرات'!$B$2:$B$212,"الإدارة التنفيذية",'قاعدة المؤشرات'!$L$2:$L$212,"الحوكمة")/SUMIFS('قاعدة المؤشرات'!$K$2:$K$212,'قاعدة المؤشرات'!$B$2:$B$212,"الإدارة التنفيذية",'قاعدة المؤشرات'!$L$2:$L$212,"الحوكمة"),"")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المؤشرات'!$G$2:$G$212,'قاعدة المؤشرات'!$B$2:$B$212,"الإدارة التنفيذية",'قاعدة المؤشرات'!$L$2:$L$212,"الحوكمة"))</f>
        <v/>
      </c>
      <c r="H6" s="30">
        <f>COUNTIFS('قاعدة المؤشرات'!$H$2:$H$212,"🔴 تحت الهدف",'قاعدة المؤشرات'!$B$2:$B$212,"الإدارة التنفيذية",'قاعدة المؤشرات'!$L$2:$L$212,"الحوكمة")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المؤشرات'!$J$2:$J$212,'قاعدة المؤشرات'!$B$2:$B$212,"الامتياز التجاري",'قاعدة المؤشرات'!$L$2:$L$212,"النمو والتوسع")/SUMIFS('قاعدة المؤشرات'!$K$2:$K$212,'قاعدة المؤشرات'!$B$2:$B$212,"الامتياز التجاري",'قاعدة المؤشرات'!$L$2:$L$212,"النمو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المؤشرات'!$G$2:$G$212,'قاعدة المؤشرات'!$B$2:$B$212,"الامتياز التجاري",'قاعدة المؤشرات'!$L$2:$L$212,"النمو والتوسع"))</f>
        <v/>
      </c>
      <c r="H7" s="30">
        <f>COUNTIFS('قاعدة المؤشرات'!$H$2:$H$212,"🔴 تحت الهدف",'قاعدة المؤشرات'!$B$2:$B$212,"الامتياز التجاري",'قاعدة المؤشرات'!$L$2:$L$212,"النمو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المؤشرات'!$J$2:$J$212,'قاعدة المؤشرات'!$B$2:$B$212,"الامتياز التجاري",'قاعدة المؤشرات'!$L$2:$L$212,"المبيعات والأداء التجاري")/SUMIFS('قاعدة المؤشرات'!$K$2:$K$212,'قاعدة المؤشرات'!$B$2:$B$212,"الامتياز التجاري",'قاعدة المؤشرات'!$L$2:$L$212,"المبيعات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المؤشرات'!$G$2:$G$212,'قاعدة المؤشرات'!$B$2:$B$212,"الامتياز التجاري",'قاعدة المؤشرات'!$L$2:$L$212,"المبيعات والأداء التجاري"))</f>
        <v/>
      </c>
      <c r="H8" s="30">
        <f>COUNTIFS('قاعدة المؤشرات'!$H$2:$H$212,"🔴 تحت الهدف",'قاعدة المؤشرات'!$B$2:$B$212,"الامتياز التجاري",'قاعدة المؤشرات'!$L$2:$L$212,"المبيعات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المؤشرات'!$J$2:$J$212,'قاعدة المؤشرات'!$B$2:$B$212,"الامتياز التجاري",'قاعدة المؤشرات'!$L$2:$L$212,"الأداء المالي")/SUMIFS('قاعدة المؤشرات'!$K$2:$K$212,'قاعدة المؤشرات'!$B$2:$B$212,"الامتياز التجاري",'قاعدة المؤشرات'!$L$2:$L$212,"الأداء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المؤشرات'!$G$2:$G$212,'قاعدة المؤشرات'!$B$2:$B$212,"الامتياز التجاري",'قاعدة المؤشرات'!$L$2:$L$212,"الأداء المالي"))</f>
        <v/>
      </c>
      <c r="H9" s="30">
        <f>COUNTIFS('قاعدة المؤشرات'!$H$2:$H$212,"🔴 تحت الهدف",'قاعدة المؤشرات'!$B$2:$B$212,"الامتياز التجاري",'قاعدة المؤشرات'!$L$2:$L$212,"الأداء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المؤشرات'!$J$2:$J$212,'قاعدة المؤشرات'!$B$2:$B$212,"الامتياز التجاري",'قاعدة المؤشرات'!$L$2:$L$212,"التشغيل والجودة")/SUMIFS('قاعدة المؤشرات'!$K$2:$K$212,'قاعدة المؤشرات'!$B$2:$B$212,"الامتياز التجاري",'قاعدة المؤشرات'!$L$2:$L$212,"التشغيل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المؤشرات'!$G$2:$G$212,'قاعدة المؤشرات'!$B$2:$B$212,"الامتياز التجاري",'قاعدة المؤشرات'!$L$2:$L$212,"التشغيل والجودة"))</f>
        <v/>
      </c>
      <c r="H10" s="30">
        <f>COUNTIFS('قاعدة المؤشرات'!$H$2:$H$212,"🔴 تحت الهدف",'قاعدة المؤشرات'!$B$2:$B$212,"الامتياز التجاري",'قاعدة المؤشرات'!$L$2:$L$212,"التشغيل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المؤشرات'!$J$2:$J$212,'قاعدة المؤشرات'!$B$2:$B$212,"الامتياز التجاري",'قاعدة المؤشرات'!$L$2:$L$212,"الهوية والتسويق")/SUMIFS('قاعدة المؤشرات'!$K$2:$K$212,'قاعدة المؤشرات'!$B$2:$B$212,"الامتياز التجاري",'قاعدة المؤشرات'!$L$2:$L$212,"الهوية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المؤشرات'!$G$2:$G$212,'قاعدة المؤشرات'!$B$2:$B$212,"الامتياز التجاري",'قاعدة المؤشرات'!$L$2:$L$212,"الهوية والتسويق"))</f>
        <v/>
      </c>
      <c r="H11" s="30">
        <f>COUNTIFS('قاعدة المؤشرات'!$H$2:$H$212,"🔴 تحت الهدف",'قاعدة المؤشرات'!$B$2:$B$212,"الامتياز التجاري",'قاعدة المؤشرات'!$L$2:$L$212,"الهوية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المؤشرات'!$J$2:$J$212,'قاعدة المؤشرات'!$B$2:$B$212,"الامتياز التجاري",'قاعدة المؤشرات'!$L$2:$L$212,"تجربة العملاء والشركاء")/SUMIFS('قاعدة المؤشرات'!$K$2:$K$212,'قاعدة المؤشرات'!$B$2:$B$212,"الامتياز التجاري",'قاعدة المؤشرات'!$L$2:$L$212,"تجربة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المؤشرات'!$G$2:$G$212,'قاعدة المؤشرات'!$B$2:$B$212,"الامتياز التجاري",'قاعدة المؤشرات'!$L$2:$L$212,"تجربة العملاء والشركاء"))</f>
        <v/>
      </c>
      <c r="H12" s="30">
        <f>COUNTIFS('قاعدة المؤشرات'!$H$2:$H$212,"🔴 تحت الهدف",'قاعدة المؤشرات'!$B$2:$B$212,"الامتياز التجاري",'قاعدة المؤشرات'!$L$2:$L$212,"تجربة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المؤشرات'!$J$2:$J$212,'قاعدة المؤشرات'!$B$2:$B$212,"الامتياز التجاري",'قاعدة المؤشرات'!$L$2:$L$212,"استدامة الشراكة والامتثال")/SUMIFS('قاعدة المؤشرات'!$K$2:$K$212,'قاعدة المؤشرات'!$B$2:$B$212,"الامتياز التجاري",'قاعدة المؤشرات'!$L$2:$L$212,"استدامة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المؤشرات'!$G$2:$G$212,'قاعدة المؤشرات'!$B$2:$B$212,"الامتياز التجاري",'قاعدة المؤشرات'!$L$2:$L$212,"استدامة الشراكة والامتثال"))</f>
        <v/>
      </c>
      <c r="H13" s="30">
        <f>COUNTIFS('قاعدة المؤشرات'!$H$2:$H$212,"🔴 تحت الهدف",'قاعدة المؤشرات'!$B$2:$B$212,"الامتياز التجاري",'قاعدة المؤشرات'!$L$2:$L$212,"استدامة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المؤشرات'!$J$2:$J$212,'قاعدة المؤشرات'!$B$2:$B$212,"التشغيل والمحطات",'قاعدة المؤشرات'!$L$2:$L$212,"النمو والأداء والكفاءة التشغيلية")/SUMIFS('قاعدة المؤشرات'!$K$2:$K$212,'قاعدة المؤشرات'!$B$2:$B$212,"التشغيل والمحطات",'قاعدة المؤشرات'!$L$2:$L$212,"النمو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المؤشرات'!$G$2:$G$212,'قاعدة المؤشرات'!$B$2:$B$212,"التشغيل والمحطات",'قاعدة المؤشرات'!$L$2:$L$212,"النمو والأداء والكفاءة التشغيلية"))</f>
        <v/>
      </c>
      <c r="H14" s="30">
        <f>COUNTIFS('قاعدة المؤشرات'!$H$2:$H$212,"🔴 تحت الهدف",'قاعدة المؤشرات'!$B$2:$B$212,"التشغيل والمحطات",'قاعدة المؤشرات'!$L$2:$L$212,"النمو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المؤشرات'!$J$2:$J$212,'قاعدة المؤشرات'!$B$2:$B$212,"التشغيل والمحطات",'قاعدة المؤشرات'!$L$2:$L$212,"جودة التشغيل")/SUMIFS('قاعدة المؤشرات'!$K$2:$K$212,'قاعدة المؤشرات'!$B$2:$B$212,"التشغيل والمحطات",'قاعدة المؤشرات'!$L$2:$L$212,"جودة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المؤشرات'!$G$2:$G$212,'قاعدة المؤشرات'!$B$2:$B$212,"التشغيل والمحطات",'قاعدة المؤشرات'!$L$2:$L$212,"جودة التشغيل"))</f>
        <v/>
      </c>
      <c r="H15" s="30">
        <f>COUNTIFS('قاعدة المؤشرات'!$H$2:$H$212,"🔴 تحت الهدف",'قاعدة المؤشرات'!$B$2:$B$212,"التشغيل والمحطات",'قاعدة المؤشرات'!$L$2:$L$212,"جودة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المؤشرات'!$J$2:$J$212,'قاعدة المؤشرات'!$B$2:$B$212,"التشغيل والمحطات",'قاعدة المؤشرات'!$L$2:$L$212,"السلامة والتراخيص والامتثال")/SUMIFS('قاعدة المؤشرات'!$K$2:$K$212,'قاعدة المؤشرات'!$B$2:$B$212,"التشغيل والمحطات",'قاعدة المؤشرات'!$L$2:$L$212,"السلامة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المؤشرات'!$G$2:$G$212,'قاعدة المؤشرات'!$B$2:$B$212,"التشغيل والمحطات",'قاعدة المؤشرات'!$L$2:$L$212,"السلامة والتراخيص والامتثال"))</f>
        <v/>
      </c>
      <c r="H16" s="30">
        <f>COUNTIFS('قاعدة المؤشرات'!$H$2:$H$212,"🔴 تحت الهدف",'قاعدة المؤشرات'!$B$2:$B$212,"التشغيل والمحطات",'قاعدة المؤشرات'!$L$2:$L$212,"السلامة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المؤشرات'!$J$2:$J$212,'قاعدة المؤشرات'!$B$2:$B$212,"التشغيل والمحطات",'قاعدة المؤشرات'!$L$2:$L$212,"النظافة والبيئة والهوية البصرية")/SUMIFS('قاعدة المؤشرات'!$K$2:$K$212,'قاعدة المؤشرات'!$B$2:$B$212,"التشغيل والمحطات",'قاعدة المؤشرات'!$L$2:$L$212,"النظافة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المؤشرات'!$G$2:$G$212,'قاعدة المؤشرات'!$B$2:$B$212,"التشغيل والمحطات",'قاعدة المؤشرات'!$L$2:$L$212,"النظافة والبيئة والهوية البصرية"))</f>
        <v/>
      </c>
      <c r="H17" s="30">
        <f>COUNTIFS('قاعدة المؤشرات'!$H$2:$H$212,"🔴 تحت الهدف",'قاعدة المؤشرات'!$B$2:$B$212,"التشغيل والمحطات",'قاعدة المؤشرات'!$L$2:$L$212,"النظافة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المؤشرات'!$J$2:$J$212,'قاعدة المؤشرات'!$B$2:$B$212,"التشغيل والمحطات",'قاعدة المؤشرات'!$L$2:$L$212,"تجربة العميل والرضا")/SUMIFS('قاعدة المؤشرات'!$K$2:$K$212,'قاعدة المؤشرات'!$B$2:$B$212,"التشغيل والمحطات",'قاعدة المؤشرات'!$L$2:$L$212,"تجربة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المؤشرات'!$G$2:$G$212,'قاعدة المؤشرات'!$B$2:$B$212,"التشغيل والمحطات",'قاعدة المؤشرات'!$L$2:$L$212,"تجربة العميل والرضا"))</f>
        <v/>
      </c>
      <c r="H18" s="30">
        <f>COUNTIFS('قاعدة المؤشرات'!$H$2:$H$212,"🔴 تحت الهدف",'قاعدة المؤشرات'!$B$2:$B$212,"التشغيل والمحطات",'قاعدة المؤشرات'!$L$2:$L$212,"تجربة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المؤشرات'!$J$2:$J$212,'قاعدة المؤشرات'!$B$2:$B$212,"الاستثمار",'قاعدة المؤشرات'!$L$2:$L$212,"الفرص والنمو")/SUMIFS('قاعدة المؤشرات'!$K$2:$K$212,'قاعدة المؤشرات'!$B$2:$B$212,"الاستثمار",'قاعدة المؤشرات'!$L$2:$L$212,"الفرص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المؤشرات'!$G$2:$G$212,'قاعدة المؤشرات'!$B$2:$B$212,"الاستثمار",'قاعدة المؤشرات'!$L$2:$L$212,"الفرص والنمو"))</f>
        <v/>
      </c>
      <c r="H19" s="30">
        <f>COUNTIFS('قاعدة المؤشرات'!$H$2:$H$212,"🔴 تحت الهدف",'قاعدة المؤشرات'!$B$2:$B$212,"الاستثمار",'قاعدة المؤشرات'!$L$2:$L$212,"الفرص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المؤشرات'!$J$2:$J$212,'قاعدة المؤشرات'!$B$2:$B$212,"الاستثمار",'قاعدة المؤشرات'!$L$2:$L$212,"العائد والربحية")/SUMIFS('قاعدة المؤشرات'!$K$2:$K$212,'قاعدة المؤشرات'!$B$2:$B$212,"الاستثمار",'قاعدة المؤشرات'!$L$2:$L$212,"العائد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المؤشرات'!$G$2:$G$212,'قاعدة المؤشرات'!$B$2:$B$212,"الاستثمار",'قاعدة المؤشرات'!$L$2:$L$212,"العائد والربحية"))</f>
        <v/>
      </c>
      <c r="H20" s="30">
        <f>COUNTIFS('قاعدة المؤشرات'!$H$2:$H$212,"🔴 تحت الهدف",'قاعدة المؤشرات'!$B$2:$B$212,"الاستثمار",'قاعدة المؤشرات'!$L$2:$L$212,"العائد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المؤشرات'!$J$2:$J$212,'قاعدة المؤشرات'!$B$2:$B$212,"الاستثمار",'قاعدة المؤشرات'!$L$2:$L$212,"الكفاءة التشغيلية")/SUMIFS('قاعدة المؤشرات'!$K$2:$K$212,'قاعدة المؤشرات'!$B$2:$B$212,"الاستثمار",'قاعدة المؤشرات'!$L$2:$L$212,"الكفاءة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المؤشرات'!$G$2:$G$212,'قاعدة المؤشرات'!$B$2:$B$212,"الاستثمار",'قاعدة المؤشرات'!$L$2:$L$212,"الكفاءة التشغيلية"))</f>
        <v/>
      </c>
      <c r="H21" s="30">
        <f>COUNTIFS('قاعدة المؤشرات'!$H$2:$H$212,"🔴 تحت الهدف",'قاعدة المؤشرات'!$B$2:$B$212,"الاستثمار",'قاعدة المؤشرات'!$L$2:$L$212,"الكفاءة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المؤشرات'!$J$2:$J$212,'قاعدة المؤشرات'!$B$2:$B$212,"الاستثمار",'قاعدة المؤشرات'!$L$2:$L$212,"الجودة الإدارية والامتثال")/SUMIFS('قاعدة المؤشرات'!$K$2:$K$212,'قاعدة المؤشرات'!$B$2:$B$212,"الاستثمار",'قاعدة المؤشرات'!$L$2:$L$212,"الجودة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المؤشرات'!$G$2:$G$212,'قاعدة المؤشرات'!$B$2:$B$212,"الاستثمار",'قاعدة المؤشرات'!$L$2:$L$212,"الجودة الإدارية والامتثال"))</f>
        <v/>
      </c>
      <c r="H22" s="30">
        <f>COUNTIFS('قاعدة المؤشرات'!$H$2:$H$212,"🔴 تحت الهدف",'قاعدة المؤشرات'!$B$2:$B$212,"الاستثمار",'قاعدة المؤشرات'!$L$2:$L$212,"الجودة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المؤشرات'!$J$2:$J$212,'قاعدة المؤشرات'!$B$2:$B$212,"الاستثمار",'قاعدة المؤشرات'!$L$2:$L$212,"رضا المستثمرين")/SUMIFS('قاعدة المؤشرات'!$K$2:$K$212,'قاعدة المؤشرات'!$B$2:$B$212,"الاستثمار",'قاعدة المؤشرات'!$L$2:$L$212,"رضا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المؤشرات'!$G$2:$G$212,'قاعدة المؤشرات'!$B$2:$B$212,"الاستثمار",'قاعدة المؤشرات'!$L$2:$L$212,"رضا المستثمرين"))</f>
        <v/>
      </c>
      <c r="H23" s="30">
        <f>COUNTIFS('قاعدة المؤشرات'!$H$2:$H$212,"🔴 تحت الهدف",'قاعدة المؤشرات'!$B$2:$B$212,"الاستثمار",'قاعدة المؤشرات'!$L$2:$L$212,"رضا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6</v>
      </c>
      <c r="E24" s="28">
        <f>IFERROR(SUMIFS('قاعدة المؤشرات'!$J$2:$J$212,'قاعدة المؤشرات'!$B$2:$B$212,"العقار",'قاعدة المؤشرات'!$L$2:$L$212,"التأجير والإشغال")/SUMIFS('قاعدة المؤشرات'!$K$2:$K$212,'قاعدة المؤشرات'!$B$2:$B$212,"العقار",'قاعدة المؤشرات'!$L$2:$L$212,"التأجير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المؤشرات'!$G$2:$G$212,'قاعدة المؤشرات'!$B$2:$B$212,"العقار",'قاعدة المؤشرات'!$L$2:$L$212,"التأجير والإشغال"))</f>
        <v/>
      </c>
      <c r="H24" s="30">
        <f>COUNTIFS('قاعدة المؤشرات'!$H$2:$H$212,"🔴 تحت الهدف",'قاعدة المؤشرات'!$B$2:$B$212,"العقار",'قاعدة المؤشرات'!$L$2:$L$212,"التأجير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المؤشرات'!$J$2:$J$212,'قاعدة المؤشرات'!$B$2:$B$212,"العقار",'قاعدة المؤشرات'!$L$2:$L$212,"كفاءة التحصيل")/SUMIFS('قاعدة المؤشرات'!$K$2:$K$212,'قاعدة المؤشرات'!$B$2:$B$212,"العقار",'قاعدة المؤشرات'!$L$2:$L$212,"كفاءة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المؤشرات'!$G$2:$G$212,'قاعدة المؤشرات'!$B$2:$B$212,"العقار",'قاعدة المؤشرات'!$L$2:$L$212,"كفاءة التحصيل"))</f>
        <v/>
      </c>
      <c r="H25" s="30">
        <f>COUNTIFS('قاعدة المؤشرات'!$H$2:$H$212,"🔴 تحت الهدف",'قاعدة المؤشرات'!$B$2:$B$212,"العقار",'قاعدة المؤشرات'!$L$2:$L$212,"كفاءة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المؤشرات'!$J$2:$J$212,'قاعدة المؤشرات'!$B$2:$B$212,"العقار",'قاعدة المؤشرات'!$L$2:$L$212,"تشغيل وخدمة الوحدات")/SUMIFS('قاعدة المؤشرات'!$K$2:$K$212,'قاعدة المؤشرات'!$B$2:$B$212,"العقار",'قاعدة المؤشرات'!$L$2:$L$212,"تشغيل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المؤشرات'!$G$2:$G$212,'قاعدة المؤشرات'!$B$2:$B$212,"العقار",'قاعدة المؤشرات'!$L$2:$L$212,"تشغيل وخدمة الوحدات"))</f>
        <v/>
      </c>
      <c r="H26" s="30">
        <f>COUNTIFS('قاعدة المؤشرات'!$H$2:$H$212,"🔴 تحت الهدف",'قاعدة المؤشرات'!$B$2:$B$212,"العقار",'قاعدة المؤشرات'!$L$2:$L$212,"تشغيل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المؤشرات'!$J$2:$J$212,'قاعدة المؤشرات'!$B$2:$B$212,"العقار",'قاعدة المؤشرات'!$L$2:$L$212,"رضا واستبقاء المستأجرين")/SUMIFS('قاعدة المؤشرات'!$K$2:$K$212,'قاعدة المؤشرات'!$B$2:$B$212,"العقار",'قاعدة المؤشرات'!$L$2:$L$212,"رضا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المؤشرات'!$G$2:$G$212,'قاعدة المؤشرات'!$B$2:$B$212,"العقار",'قاعدة المؤشرات'!$L$2:$L$212,"رضا واستبقاء المستأجرين"))</f>
        <v/>
      </c>
      <c r="H27" s="30">
        <f>COUNTIFS('قاعدة المؤشرات'!$H$2:$H$212,"🔴 تحت الهدف",'قاعدة المؤشرات'!$B$2:$B$212,"العقار",'قاعدة المؤشرات'!$L$2:$L$212,"رضا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المؤشرات'!$J$2:$J$212,'قاعدة المؤشرات'!$B$2:$B$212,"العقار",'قاعدة المؤشرات'!$L$2:$L$212,"ساحات درب")/SUMIFS('قاعدة المؤشرات'!$K$2:$K$212,'قاعدة المؤشرات'!$B$2:$B$212,"العقار",'قاعدة المؤشرات'!$L$2:$L$212,"ساحات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المؤشرات'!$G$2:$G$212,'قاعدة المؤشرات'!$B$2:$B$212,"العقار",'قاعدة المؤشرات'!$L$2:$L$212,"ساحات درب"))</f>
        <v/>
      </c>
      <c r="H28" s="30">
        <f>COUNTIFS('قاعدة المؤشرات'!$H$2:$H$212,"🔴 تحت الهدف",'قاعدة المؤشرات'!$B$2:$B$212,"العقار",'قاعدة المؤشرات'!$L$2:$L$212,"ساحات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المؤشرات'!$J$2:$J$212,'قاعدة المؤشرات'!$B$2:$B$212,"إدارة المشاريع",'قاعدة المؤشرات'!$L$2:$L$212,"تسليم محطات الشركة")/SUMIFS('قاعدة المؤشرات'!$K$2:$K$212,'قاعدة المؤشرات'!$B$2:$B$212,"إدارة المشاريع",'قاعدة المؤشرات'!$L$2:$L$212,"تسليم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المؤشرات'!$G$2:$G$212,'قاعدة المؤشرات'!$B$2:$B$212,"إدارة المشاريع",'قاعدة المؤشرات'!$L$2:$L$212,"تسليم محطات الشركة"))</f>
        <v/>
      </c>
      <c r="H29" s="30">
        <f>COUNTIFS('قاعدة المؤشرات'!$H$2:$H$212,"🔴 تحت الهدف",'قاعدة المؤشرات'!$B$2:$B$212,"إدارة المشاريع",'قاعدة المؤشرات'!$L$2:$L$212,"تسليم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المؤشرات'!$J$2:$J$212,'قاعدة المؤشرات'!$B$2:$B$212,"إدارة المشاريع",'قاعدة المؤشرات'!$L$2:$L$212,"الإشراف على الامتياز")/SUMIFS('قاعدة المؤشرات'!$K$2:$K$212,'قاعدة المؤشرات'!$B$2:$B$212,"إدارة المشاريع",'قاعدة المؤشرات'!$L$2:$L$212,"الإشراف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المؤشرات'!$G$2:$G$212,'قاعدة المؤشرات'!$B$2:$B$212,"إدارة المشاريع",'قاعدة المؤشرات'!$L$2:$L$212,"الإشراف على الامتياز"))</f>
        <v/>
      </c>
      <c r="H30" s="30">
        <f>COUNTIFS('قاعدة المؤشرات'!$H$2:$H$212,"🔴 تحت الهدف",'قاعدة المؤشرات'!$B$2:$B$212,"إدارة المشاريع",'قاعدة المؤشرات'!$L$2:$L$212,"الإشراف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المؤشرات'!$J$2:$J$212,'قاعدة المؤشرات'!$B$2:$B$212,"إدارة المشاريع",'قاعدة المؤشرات'!$L$2:$L$212,"الجودة والمقاولون")/SUMIFS('قاعدة المؤشرات'!$K$2:$K$212,'قاعدة المؤشرات'!$B$2:$B$212,"إدارة المشاريع",'قاعدة المؤشرات'!$L$2:$L$212,"الجودة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المؤشرات'!$G$2:$G$212,'قاعدة المؤشرات'!$B$2:$B$212,"إدارة المشاريع",'قاعدة المؤشرات'!$L$2:$L$212,"الجودة والمقاولون"))</f>
        <v/>
      </c>
      <c r="H31" s="30">
        <f>COUNTIFS('قاعدة المؤشرات'!$H$2:$H$212,"🔴 تحت الهدف",'قاعدة المؤشرات'!$B$2:$B$212,"إدارة المشاريع",'قاعدة المؤشرات'!$L$2:$L$212,"الجودة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المؤشرات'!$J$2:$J$212,'قاعدة المؤشرات'!$B$2:$B$212,"إدارة المشاريع",'قاعدة المؤشرات'!$L$2:$L$212,"الالتزام بالخطة")/SUMIFS('قاعدة المؤشرات'!$K$2:$K$212,'قاعدة المؤشرات'!$B$2:$B$212,"إدارة المشاريع",'قاعدة المؤشرات'!$L$2:$L$212,"الالتزام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المؤشرات'!$G$2:$G$212,'قاعدة المؤشرات'!$B$2:$B$212,"إدارة المشاريع",'قاعدة المؤشرات'!$L$2:$L$212,"الالتزام بالخطة"))</f>
        <v/>
      </c>
      <c r="H32" s="30">
        <f>COUNTIFS('قاعدة المؤشرات'!$H$2:$H$212,"🔴 تحت الهدف",'قاعدة المؤشرات'!$B$2:$B$212,"إدارة المشاريع",'قاعدة المؤشرات'!$L$2:$L$212,"الالتزام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المؤشرات'!$J$2:$J$212,'قاعدة المؤشرات'!$B$2:$B$212,"إدارة المشاريع",'قاعدة المؤشرات'!$L$2:$L$212,"التصاميم وأوامر التغيير")/SUMIFS('قاعدة المؤشرات'!$K$2:$K$212,'قاعدة المؤشرات'!$B$2:$B$212,"إدارة المشاريع",'قاعدة المؤشرات'!$L$2:$L$212,"التصاميم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المؤشرات'!$G$2:$G$212,'قاعدة المؤشرات'!$B$2:$B$212,"إدارة المشاريع",'قاعدة المؤشرات'!$L$2:$L$212,"التصاميم وأوامر التغيير"))</f>
        <v/>
      </c>
      <c r="H33" s="30">
        <f>COUNTIFS('قاعدة المؤشرات'!$H$2:$H$212,"🔴 تحت الهدف",'قاعدة المؤشرات'!$B$2:$B$212,"إدارة المشاريع",'قاعدة المؤشرات'!$L$2:$L$212,"التصاميم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المؤشرات'!$J$2:$J$212,'قاعدة المؤشرات'!$B$2:$B$212,"سلاسل الإمداد",'قاعدة المؤشرات'!$L$2:$L$212,"خدمة العميل والتوفّر")/SUMIFS('قاعدة المؤشرات'!$K$2:$K$212,'قاعدة المؤشرات'!$B$2:$B$212,"سلاسل الإمداد",'قاعدة المؤشرات'!$L$2:$L$212,"خدمة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المؤشرات'!$G$2:$G$212,'قاعدة المؤشرات'!$B$2:$B$212,"سلاسل الإمداد",'قاعدة المؤشرات'!$L$2:$L$212,"خدمة العميل والتوفّر"))</f>
        <v/>
      </c>
      <c r="H34" s="30">
        <f>COUNTIFS('قاعدة المؤشرات'!$H$2:$H$212,"🔴 تحت الهدف",'قاعدة المؤشرات'!$B$2:$B$212,"سلاسل الإمداد",'قاعدة المؤشرات'!$L$2:$L$212,"خدمة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المؤشرات'!$J$2:$J$212,'قاعدة المؤشرات'!$B$2:$B$212,"سلاسل الإمداد",'قاعدة المؤشرات'!$L$2:$L$212,"المخزون")/SUMIFS('قاعدة المؤشرات'!$K$2:$K$212,'قاعدة المؤشرات'!$B$2:$B$212,"سلاسل الإمداد",'قاعدة المؤشرات'!$L$2:$L$212,"المخزون"),"")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المؤشرات'!$G$2:$G$212,'قاعدة المؤشرات'!$B$2:$B$212,"سلاسل الإمداد",'قاعدة المؤشرات'!$L$2:$L$212,"المخزون"))</f>
        <v/>
      </c>
      <c r="H35" s="30">
        <f>COUNTIFS('قاعدة المؤشرات'!$H$2:$H$212,"🔴 تحت الهدف",'قاعدة المؤشرات'!$B$2:$B$212,"سلاسل الإمداد",'قاعدة المؤشرات'!$L$2:$L$212,"المخزون")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المؤشرات'!$J$2:$J$212,'قاعدة المؤشرات'!$B$2:$B$212,"سلاسل الإمداد",'قاعدة المؤشرات'!$L$2:$L$212,"المشتريات")/SUMIFS('قاعدة المؤشرات'!$K$2:$K$212,'قاعدة المؤشرات'!$B$2:$B$212,"سلاسل الإمداد",'قاعدة المؤشرات'!$L$2:$L$212,"المشتريات"),"")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المؤشرات'!$G$2:$G$212,'قاعدة المؤشرات'!$B$2:$B$212,"سلاسل الإمداد",'قاعدة المؤشرات'!$L$2:$L$212,"المشتريات"))</f>
        <v/>
      </c>
      <c r="H36" s="30">
        <f>COUNTIFS('قاعدة المؤشرات'!$H$2:$H$212,"🔴 تحت الهدف",'قاعدة المؤشرات'!$B$2:$B$212,"سلاسل الإمداد",'قاعدة المؤشرات'!$L$2:$L$212,"المشتريات")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المؤشرات'!$J$2:$J$212,'قاعدة المؤشرات'!$B$2:$B$212,"سلاسل الإمداد",'قاعدة المؤشرات'!$L$2:$L$212,"التوريد والتسليم")/SUMIFS('قاعدة المؤشرات'!$K$2:$K$212,'قاعدة المؤشرات'!$B$2:$B$212,"سلاسل الإمداد",'قاعدة المؤشرات'!$L$2:$L$212,"التوريد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المؤشرات'!$G$2:$G$212,'قاعدة المؤشرات'!$B$2:$B$212,"سلاسل الإمداد",'قاعدة المؤشرات'!$L$2:$L$212,"التوريد والتسليم"))</f>
        <v/>
      </c>
      <c r="H37" s="30">
        <f>COUNTIFS('قاعدة المؤشرات'!$H$2:$H$212,"🔴 تحت الهدف",'قاعدة المؤشرات'!$B$2:$B$212,"سلاسل الإمداد",'قاعدة المؤشرات'!$L$2:$L$212,"التوريد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المؤشرات'!$J$2:$J$212,'قاعدة المؤشرات'!$B$2:$B$212,"سلاسل الإمداد",'قاعدة المؤشرات'!$L$2:$L$212,"النقل والأسطول")/SUMIFS('قاعدة المؤشرات'!$K$2:$K$212,'قاعدة المؤشرات'!$B$2:$B$212,"سلاسل الإمداد",'قاعدة المؤشرات'!$L$2:$L$212,"النقل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المؤشرات'!$G$2:$G$212,'قاعدة المؤشرات'!$B$2:$B$212,"سلاسل الإمداد",'قاعدة المؤشرات'!$L$2:$L$212,"النقل والأسطول"))</f>
        <v/>
      </c>
      <c r="H38" s="30">
        <f>COUNTIFS('قاعدة المؤشرات'!$H$2:$H$212,"🔴 تحت الهدف",'قاعدة المؤشرات'!$B$2:$B$212,"سلاسل الإمداد",'قاعدة المؤشرات'!$L$2:$L$212,"النقل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المؤشرات'!$J$2:$J$212,'قاعدة المؤشرات'!$B$2:$B$212,"سلاسل الإمداد",'قاعدة المؤشرات'!$L$2:$L$212,"الموردون والرضا")/SUMIFS('قاعدة المؤشرات'!$K$2:$K$212,'قاعدة المؤشرات'!$B$2:$B$212,"سلاسل الإمداد",'قاعدة المؤشرات'!$L$2:$L$212,"الموردون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المؤشرات'!$G$2:$G$212,'قاعدة المؤشرات'!$B$2:$B$212,"سلاسل الإمداد",'قاعدة المؤشرات'!$L$2:$L$212,"الموردون والرضا"))</f>
        <v/>
      </c>
      <c r="H39" s="30">
        <f>COUNTIFS('قاعدة المؤشرات'!$H$2:$H$212,"🔴 تحت الهدف",'قاعدة المؤشرات'!$B$2:$B$212,"سلاسل الإمداد",'قاعدة المؤشرات'!$L$2:$L$212,"الموردون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المؤشرات'!$J$2:$J$212,'قاعدة المؤشرات'!$B$2:$B$212,"الصيانة والأتمتة",'قاعدة المؤشرات'!$L$2:$L$212,"جاهزية الأصول")/SUMIFS('قاعدة المؤشرات'!$K$2:$K$212,'قاعدة المؤشرات'!$B$2:$B$212,"الصيانة والأتمتة",'قاعدة المؤشرات'!$L$2:$L$212,"جاهزية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المؤشرات'!$G$2:$G$212,'قاعدة المؤشرات'!$B$2:$B$212,"الصيانة والأتمتة",'قاعدة المؤشرات'!$L$2:$L$212,"جاهزية الأصول"))</f>
        <v/>
      </c>
      <c r="H40" s="30">
        <f>COUNTIFS('قاعدة المؤشرات'!$H$2:$H$212,"🔴 تحت الهدف",'قاعدة المؤشرات'!$B$2:$B$212,"الصيانة والأتمتة",'قاعدة المؤشرات'!$L$2:$L$212,"جاهزية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المؤشرات'!$J$2:$J$212,'قاعدة المؤشرات'!$B$2:$B$212,"الصيانة والأتمتة",'قاعدة المؤشرات'!$L$2:$L$212,"الاستجابة والإصلاح")/SUMIFS('قاعدة المؤشرات'!$K$2:$K$212,'قاعدة المؤشرات'!$B$2:$B$212,"الصيانة والأتمتة",'قاعدة المؤشرات'!$L$2:$L$212,"الاستجابة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المؤشرات'!$G$2:$G$212,'قاعدة المؤشرات'!$B$2:$B$212,"الصيانة والأتمتة",'قاعدة المؤشرات'!$L$2:$L$212,"الاستجابة والإصلاح"))</f>
        <v/>
      </c>
      <c r="H41" s="30">
        <f>COUNTIFS('قاعدة المؤشرات'!$H$2:$H$212,"🔴 تحت الهدف",'قاعدة المؤشرات'!$B$2:$B$212,"الصيانة والأتمتة",'قاعدة المؤشرات'!$L$2:$L$212,"الاستجابة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المؤشرات'!$J$2:$J$212,'قاعدة المؤشرات'!$B$2:$B$212,"الصيانة والأتمتة",'قاعدة المؤشرات'!$L$2:$L$212,"استمرارية التشغيل")/SUMIFS('قاعدة المؤشرات'!$K$2:$K$212,'قاعدة المؤشرات'!$B$2:$B$212,"الصيانة والأتمتة",'قاعدة المؤشرات'!$L$2:$L$212,"استمرارية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المؤشرات'!$G$2:$G$212,'قاعدة المؤشرات'!$B$2:$B$212,"الصيانة والأتمتة",'قاعدة المؤشرات'!$L$2:$L$212,"استمرارية التشغيل"))</f>
        <v/>
      </c>
      <c r="H42" s="30">
        <f>COUNTIFS('قاعدة المؤشرات'!$H$2:$H$212,"🔴 تحت الهدف",'قاعدة المؤشرات'!$B$2:$B$212,"الصيانة والأتمتة",'قاعدة المؤشرات'!$L$2:$L$212,"استمرارية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المؤشرات'!$J$2:$J$212,'قاعدة المؤشرات'!$B$2:$B$212,"الصيانة والأتمتة",'قاعدة المؤشرات'!$L$2:$L$212,"موثوقية الأتمتة")/SUMIFS('قاعدة المؤشرات'!$K$2:$K$212,'قاعدة المؤشرات'!$B$2:$B$212,"الصيانة والأتمتة",'قاعدة المؤشرات'!$L$2:$L$212,"موثوقية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المؤشرات'!$G$2:$G$212,'قاعدة المؤشرات'!$B$2:$B$212,"الصيانة والأتمتة",'قاعدة المؤشرات'!$L$2:$L$212,"موثوقية الأتمتة"))</f>
        <v/>
      </c>
      <c r="H43" s="30">
        <f>COUNTIFS('قاعدة المؤشرات'!$H$2:$H$212,"🔴 تحت الهدف",'قاعدة المؤشرات'!$B$2:$B$212,"الصيانة والأتمتة",'قاعدة المؤشرات'!$L$2:$L$212,"موثوقية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المؤشرات'!$J$2:$J$212,'قاعدة المؤشرات'!$B$2:$B$212,"الصيانة والأتمتة",'قاعدة المؤشرات'!$L$2:$L$212,"كفاءة التكاليف")/SUMIFS('قاعدة المؤشرات'!$K$2:$K$212,'قاعدة المؤشرات'!$B$2:$B$212,"الصيانة والأتمتة",'قاعدة المؤشرات'!$L$2:$L$212,"كفاءة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المؤشرات'!$G$2:$G$212,'قاعدة المؤشرات'!$B$2:$B$212,"الصيانة والأتمتة",'قاعدة المؤشرات'!$L$2:$L$212,"كفاءة التكاليف"))</f>
        <v/>
      </c>
      <c r="H44" s="30">
        <f>COUNTIFS('قاعدة المؤشرات'!$H$2:$H$212,"🔴 تحت الهدف",'قاعدة المؤشرات'!$B$2:$B$212,"الصيانة والأتمتة",'قاعدة المؤشرات'!$L$2:$L$212,"كفاءة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المؤشرات'!$J$2:$J$212,'قاعدة المؤشرات'!$B$2:$B$212,"التقنية الرقمية",'قاعدة المؤشرات'!$L$2:$L$212,"توفّر واستقرار الأنظمة")/SUMIFS('قاعدة المؤشرات'!$K$2:$K$212,'قاعدة المؤشرات'!$B$2:$B$212,"التقنية الرقمية",'قاعدة المؤشرات'!$L$2:$L$212,"توفّر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المؤشرات'!$G$2:$G$212,'قاعدة المؤشرات'!$B$2:$B$212,"التقنية الرقمية",'قاعدة المؤشرات'!$L$2:$L$212,"توفّر واستقرار الأنظمة"))</f>
        <v/>
      </c>
      <c r="H45" s="30">
        <f>COUNTIFS('قاعدة المؤشرات'!$H$2:$H$212,"🔴 تحت الهدف",'قاعدة المؤشرات'!$B$2:$B$212,"التقنية الرقمية",'قاعدة المؤشرات'!$L$2:$L$212,"توفّر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المؤشرات'!$J$2:$J$212,'قاعدة المؤشرات'!$B$2:$B$212,"التقنية الرقمية",'قاعدة المؤشرات'!$L$2:$L$212,"المشاريع التقنية")/SUMIFS('قاعدة المؤشرات'!$K$2:$K$212,'قاعدة المؤشرات'!$B$2:$B$212,"التقنية الرقمية",'قاعدة المؤشرات'!$L$2:$L$212,"المشاريع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المؤشرات'!$G$2:$G$212,'قاعدة المؤشرات'!$B$2:$B$212,"التقنية الرقمية",'قاعدة المؤشرات'!$L$2:$L$212,"المشاريع التقنية"))</f>
        <v/>
      </c>
      <c r="H46" s="30">
        <f>COUNTIFS('قاعدة المؤشرات'!$H$2:$H$212,"🔴 تحت الهدف",'قاعدة المؤشرات'!$B$2:$B$212,"التقنية الرقمية",'قاعدة المؤشرات'!$L$2:$L$212,"المشاريع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المؤشرات'!$J$2:$J$212,'قاعدة المؤشرات'!$B$2:$B$212,"التقنية الرقمية",'قاعدة المؤشرات'!$L$2:$L$212,"الأمن والصلاحيات")/SUMIFS('قاعدة المؤشرات'!$K$2:$K$212,'قاعدة المؤشرات'!$B$2:$B$212,"التقنية الرقمية",'قاعدة المؤشرات'!$L$2:$L$212,"الأمن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المؤشرات'!$G$2:$G$212,'قاعدة المؤشرات'!$B$2:$B$212,"التقنية الرقمية",'قاعدة المؤشرات'!$L$2:$L$212,"الأمن والصلاحيات"))</f>
        <v/>
      </c>
      <c r="H47" s="30">
        <f>COUNTIFS('قاعدة المؤشرات'!$H$2:$H$212,"🔴 تحت الهدف",'قاعدة المؤشرات'!$B$2:$B$212,"التقنية الرقمية",'قاعدة المؤشرات'!$L$2:$L$212,"الأمن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المؤشرات'!$J$2:$J$212,'قاعدة المؤشرات'!$B$2:$B$212,"التقنية الرقمية",'قاعدة المؤشرات'!$L$2:$L$212,"الحوكمة والبيانات")/SUMIFS('قاعدة المؤشرات'!$K$2:$K$212,'قاعدة المؤشرات'!$B$2:$B$212,"التقنية الرقمية",'قاعدة المؤشرات'!$L$2:$L$212,"الحوكمة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المؤشرات'!$G$2:$G$212,'قاعدة المؤشرات'!$B$2:$B$212,"التقنية الرقمية",'قاعدة المؤشرات'!$L$2:$L$212,"الحوكمة والبيانات"))</f>
        <v/>
      </c>
      <c r="H48" s="30">
        <f>COUNTIFS('قاعدة المؤشرات'!$H$2:$H$212,"🔴 تحت الهدف",'قاعدة المؤشرات'!$B$2:$B$212,"التقنية الرقمية",'قاعدة المؤشرات'!$L$2:$L$212,"الحوكمة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المؤشرات'!$J$2:$J$212,'قاعدة المؤشرات'!$B$2:$B$212,"التقنية الرقمية",'قاعدة المؤشرات'!$L$2:$L$212,"الصيانة والرضا")/SUMIFS('قاعدة المؤشرات'!$K$2:$K$212,'قاعدة المؤشرات'!$B$2:$B$212,"التقنية الرقمية",'قاعدة المؤشرات'!$L$2:$L$212,"الصيانة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المؤشرات'!$G$2:$G$212,'قاعدة المؤشرات'!$B$2:$B$212,"التقنية الرقمية",'قاعدة المؤشرات'!$L$2:$L$212,"الصيانة والرضا"))</f>
        <v/>
      </c>
      <c r="H49" s="30">
        <f>COUNTIFS('قاعدة المؤشرات'!$H$2:$H$212,"🔴 تحت الهدف",'قاعدة المؤشرات'!$B$2:$B$212,"التقنية الرقمية",'قاعدة المؤشرات'!$L$2:$L$212,"الصيانة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المؤشرات'!$J$2:$J$212,'قاعدة المؤشرات'!$B$2:$B$212,"الموارد البشرية",'قاعدة المؤشرات'!$L$2:$L$212,"الامتثال والالتزام")/SUMIFS('قاعدة المؤشرات'!$K$2:$K$212,'قاعدة المؤشرات'!$B$2:$B$212,"الموارد البشرية",'قاعدة المؤشرات'!$L$2:$L$212,"الامتثال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المؤشرات'!$G$2:$G$212,'قاعدة المؤشرات'!$B$2:$B$212,"الموارد البشرية",'قاعدة المؤشرات'!$L$2:$L$212,"الامتثال والالتزام"))</f>
        <v/>
      </c>
      <c r="H50" s="30">
        <f>COUNTIFS('قاعدة المؤشرات'!$H$2:$H$212,"🔴 تحت الهدف",'قاعدة المؤشرات'!$B$2:$B$212,"الموارد البشرية",'قاعدة المؤشرات'!$L$2:$L$212,"الامتثال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المؤشرات'!$J$2:$J$212,'قاعدة المؤشرات'!$B$2:$B$212,"الموارد البشرية",'قاعدة المؤشرات'!$L$2:$L$212,"خدمات الموظفين")/SUMIFS('قاعدة المؤشرات'!$K$2:$K$212,'قاعدة المؤشرات'!$B$2:$B$212,"الموارد البشرية",'قاعدة المؤشرات'!$L$2:$L$212,"خدمات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المؤشرات'!$G$2:$G$212,'قاعدة المؤشرات'!$B$2:$B$212,"الموارد البشرية",'قاعدة المؤشرات'!$L$2:$L$212,"خدمات الموظفين"))</f>
        <v/>
      </c>
      <c r="H51" s="30">
        <f>COUNTIFS('قاعدة المؤشرات'!$H$2:$H$212,"🔴 تحت الهدف",'قاعدة المؤشرات'!$B$2:$B$212,"الموارد البشرية",'قاعدة المؤشرات'!$L$2:$L$212,"خدمات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المؤشرات'!$J$2:$J$212,'قاعدة المؤشرات'!$B$2:$B$212,"الموارد البشرية",'قاعدة المؤشرات'!$L$2:$L$212,"التشغيل والتغطية")/SUMIFS('قاعدة المؤشرات'!$K$2:$K$212,'قاعدة المؤشرات'!$B$2:$B$212,"الموارد البشرية",'قاعدة المؤشرات'!$L$2:$L$212,"التشغيل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المؤشرات'!$G$2:$G$212,'قاعدة المؤشرات'!$B$2:$B$212,"الموارد البشرية",'قاعدة المؤشرات'!$L$2:$L$212,"التشغيل والتغطية"))</f>
        <v/>
      </c>
      <c r="H52" s="30">
        <f>COUNTIFS('قاعدة المؤشرات'!$H$2:$H$212,"🔴 تحت الهدف",'قاعدة المؤشرات'!$B$2:$B$212,"الموارد البشرية",'قاعدة المؤشرات'!$L$2:$L$212,"التشغيل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المؤشرات'!$J$2:$J$212,'قاعدة المؤشرات'!$B$2:$B$212,"الموارد البشرية",'قاعدة المؤشرات'!$L$2:$L$212,"الاستقطاب")/SUMIFS('قاعدة المؤشرات'!$K$2:$K$212,'قاعدة المؤشرات'!$B$2:$B$212,"الموارد البشرية",'قاعدة المؤشرات'!$L$2:$L$212,"الاستقطاب"),"")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المؤشرات'!$G$2:$G$212,'قاعدة المؤشرات'!$B$2:$B$212,"الموارد البشرية",'قاعدة المؤشرات'!$L$2:$L$212,"الاستقطاب"))</f>
        <v/>
      </c>
      <c r="H53" s="30">
        <f>COUNTIFS('قاعدة المؤشرات'!$H$2:$H$212,"🔴 تحت الهدف",'قاعدة المؤشرات'!$B$2:$B$212,"الموارد البشرية",'قاعدة المؤشرات'!$L$2:$L$212,"الاستقطاب")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المؤشرات'!$J$2:$J$212,'قاعدة المؤشرات'!$B$2:$B$212,"الموارد البشرية",'قاعدة المؤشرات'!$L$2:$L$212,"التكلفة والرواتب")/SUMIFS('قاعدة المؤشرات'!$K$2:$K$212,'قاعدة المؤشرات'!$B$2:$B$212,"الموارد البشرية",'قاعدة المؤشرات'!$L$2:$L$212,"التكلفة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المؤشرات'!$G$2:$G$212,'قاعدة المؤشرات'!$B$2:$B$212,"الموارد البشرية",'قاعدة المؤشرات'!$L$2:$L$212,"التكلفة والرواتب"))</f>
        <v/>
      </c>
      <c r="H54" s="30">
        <f>COUNTIFS('قاعدة المؤشرات'!$H$2:$H$212,"🔴 تحت الهدف",'قاعدة المؤشرات'!$B$2:$B$212,"الموارد البشرية",'قاعدة المؤشرات'!$L$2:$L$212,"التكلفة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3</v>
      </c>
      <c r="E55" s="28">
        <f>IFERROR(SUMIFS('قاعدة المؤشرات'!$J$2:$J$212,'قاعدة المؤشرات'!$B$2:$B$212,"الموارد البشرية",'قاعدة المؤشرات'!$L$2:$L$212,"الاستقرار والتطوير")/SUMIFS('قاعدة المؤشرات'!$K$2:$K$212,'قاعدة المؤشرات'!$B$2:$B$212,"الموارد البشرية",'قاعدة المؤشرات'!$L$2:$L$212,"الاستقرار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المؤشرات'!$G$2:$G$212,'قاعدة المؤشرات'!$B$2:$B$212,"الموارد البشرية",'قاعدة المؤشرات'!$L$2:$L$212,"الاستقرار والتطوير"))</f>
        <v/>
      </c>
      <c r="H55" s="30">
        <f>COUNTIFS('قاعدة المؤشرات'!$H$2:$H$212,"🔴 تحت الهدف",'قاعدة المؤشرات'!$B$2:$B$212,"الموارد البشرية",'قاعدة المؤشرات'!$L$2:$L$212,"الاستقرار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4</v>
      </c>
      <c r="E56" s="28">
        <f>IFERROR(SUMIFS('قاعدة المؤشرات'!$J$2:$J$212,'قاعدة المؤشرات'!$B$2:$B$212,"التسويق",'قاعدة المؤشرات'!$L$2:$L$212,"الاكتساب والعائد")/SUMIFS('قاعدة المؤشرات'!$K$2:$K$212,'قاعدة المؤشرات'!$B$2:$B$212,"التسويق",'قاعدة المؤشرات'!$L$2:$L$212,"الاكتساب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المؤشرات'!$G$2:$G$212,'قاعدة المؤشرات'!$B$2:$B$212,"التسويق",'قاعدة المؤشرات'!$L$2:$L$212,"الاكتساب والعائد"))</f>
        <v/>
      </c>
      <c r="H56" s="30">
        <f>COUNTIFS('قاعدة المؤشرات'!$H$2:$H$212,"🔴 تحت الهدف",'قاعدة المؤشرات'!$B$2:$B$212,"التسويق",'قاعدة المؤشرات'!$L$2:$L$212,"الاكتساب والعائد")</f>
        <v/>
      </c>
      <c r="I56" s="31" t="inlineStr">
        <is>
          <t>عملاء تجاريون جدد · تكلفة اكتساب العميل (CAC) · العائد على الإنفاق التسويقي (ROMI)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المؤشرات'!$J$2:$J$212,'قاعدة المؤشرات'!$B$2:$B$212,"التسويق",'قاعدة المؤشرات'!$L$2:$L$212,"الوعي والوصول")/SUMIFS('قاعدة المؤشرات'!$K$2:$K$212,'قاعدة المؤشرات'!$B$2:$B$212,"التسويق",'قاعدة المؤشرات'!$L$2:$L$212,"الوعي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المؤشرات'!$G$2:$G$212,'قاعدة المؤشرات'!$B$2:$B$212,"التسويق",'قاعدة المؤشرات'!$L$2:$L$212,"الوعي والوصول"))</f>
        <v/>
      </c>
      <c r="H57" s="30">
        <f>COUNTIFS('قاعدة المؤشرات'!$H$2:$H$212,"🔴 تحت الهدف",'قاعدة المؤشرات'!$B$2:$B$212,"التسويق",'قاعدة المؤشرات'!$L$2:$L$212,"الوعي والوصول")</f>
        <v/>
      </c>
      <c r="I57" s="31" t="inlineStr">
        <is>
          <t>نمو الوصول المؤهل · وصول العلاقات العامة (PR)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المؤشرات'!$J$2:$J$212,'قاعدة المؤشرات'!$B$2:$B$212,"التسويق",'قاعدة المؤشرات'!$L$2:$L$212,"التفاعل والمجتمع")/SUMIFS('قاعدة المؤشرات'!$K$2:$K$212,'قاعدة المؤشرات'!$B$2:$B$212,"التسويق",'قاعدة المؤشرات'!$L$2:$L$212,"التفاعل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المؤشرات'!$G$2:$G$212,'قاعدة المؤشرات'!$B$2:$B$212,"التسويق",'قاعدة المؤشرات'!$L$2:$L$212,"التفاعل والمجتمع"))</f>
        <v/>
      </c>
      <c r="H58" s="30">
        <f>COUNTIFS('قاعدة المؤشرات'!$H$2:$H$212,"🔴 تحت الهدف",'قاعدة المؤشرات'!$B$2:$B$212,"التسويق",'قاعدة المؤشرات'!$L$2:$L$212,"التفاعل والمجتمع")</f>
        <v/>
      </c>
      <c r="I58" s="31" t="inlineStr">
        <is>
          <t>معدل التفاعل (Engagement)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المؤشرات'!$J$2:$J$212,'قاعدة المؤشرات'!$B$2:$B$212,"التسويق",'قاعدة المؤشرات'!$L$2:$L$212,"السمعة وتجربة العلامة")/SUMIFS('قاعدة المؤشرات'!$K$2:$K$212,'قاعدة المؤشرات'!$B$2:$B$212,"التسويق",'قاعدة المؤشرات'!$L$2:$L$212,"السمعة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المؤشرات'!$G$2:$G$212,'قاعدة المؤشرات'!$B$2:$B$212,"التسويق",'قاعدة المؤشرات'!$L$2:$L$212,"السمعة وتجربة العلامة"))</f>
        <v/>
      </c>
      <c r="H59" s="30">
        <f>COUNTIFS('قاعدة المؤشرات'!$H$2:$H$212,"🔴 تحت الهدف",'قاعدة المؤشرات'!$B$2:$B$212,"التسويق",'قاعدة المؤشرات'!$L$2:$L$212,"السمعة وتجربة العلامة")</f>
        <v/>
      </c>
      <c r="I59" s="31" t="inlineStr">
        <is>
          <t>نسبة الالتزام بالهوية البصرية · نسبة المشاعر الإيجابية للعلامة (Sentiment)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تانكي</t>
        </is>
      </c>
      <c r="D60" s="15" t="n">
        <v>2</v>
      </c>
      <c r="E60" s="28">
        <f>IFERROR(SUMIFS('قاعدة المؤشرات'!$J$2:$J$212,'قاعدة المؤشرات'!$B$2:$B$212,"التسويق",'قاعدة المؤشرات'!$L$2:$L$212,"نمو تطبيق تانكي")/SUMIFS('قاعدة المؤشرات'!$K$2:$K$212,'قاعدة المؤشرات'!$B$2:$B$212,"التسويق",'قاعدة المؤشرات'!$L$2:$L$212,"نمو تطبيق تانكي"),"")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المؤشرات'!$G$2:$G$212,'قاعدة المؤشرات'!$B$2:$B$212,"التسويق",'قاعدة المؤشرات'!$L$2:$L$212,"نمو تطبيق تانكي"))</f>
        <v/>
      </c>
      <c r="H60" s="30">
        <f>COUNTIFS('قاعدة المؤشرات'!$H$2:$H$212,"🔴 تحت الهدف",'قاعدة المؤشرات'!$B$2:$B$212,"التسويق",'قاعدة المؤشرات'!$L$2:$L$212,"نمو تطبيق تانكي")</f>
        <v/>
      </c>
      <c r="I60" s="31" t="inlineStr">
        <is>
          <t>المستخدمون النشطون شهرياً (MAU) · معدل احتفاظ مستخدمي تانكي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المؤشرات'!$J$2:$J$212,'قاعدة المؤشرات'!$B$2:$B$212,"الجودة",'قاعدة المؤشرات'!$L$2:$L$212,"الزيارات الميدانية ورفع الملاحظات")/SUMIFS('قاعدة المؤشرات'!$K$2:$K$212,'قاعدة المؤشرات'!$B$2:$B$212,"الجودة",'قاعدة المؤشرات'!$L$2:$L$212,"الزيارات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المؤشرات'!$G$2:$G$212,'قاعدة المؤشرات'!$B$2:$B$212,"الجودة",'قاعدة المؤشرات'!$L$2:$L$212,"الزيارات الميدانية ورفع الملاحظات"))</f>
        <v/>
      </c>
      <c r="H61" s="30">
        <f>COUNTIFS('قاعدة المؤشرات'!$H$2:$H$212,"🔴 تحت الهدف",'قاعدة المؤشرات'!$B$2:$B$212,"الجودة",'قاعدة المؤشرات'!$L$2:$L$212,"الزيارات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المؤشرات'!$J$2:$J$212,'قاعدة المؤشرات'!$B$2:$B$212,"الجودة",'قاعدة المؤشرات'!$L$2:$L$212,"متابعة إغلاق الملاحظات والتحقق")/SUMIFS('قاعدة المؤشرات'!$K$2:$K$212,'قاعدة المؤشرات'!$B$2:$B$212,"الجودة",'قاعدة المؤشرات'!$L$2:$L$212,"متابعة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المؤشرات'!$G$2:$G$212,'قاعدة المؤشرات'!$B$2:$B$212,"الجودة",'قاعدة المؤشرات'!$L$2:$L$212,"متابعة إغلاق الملاحظات والتحقق"))</f>
        <v/>
      </c>
      <c r="H62" s="30">
        <f>COUNTIFS('قاعدة المؤشرات'!$H$2:$H$212,"🔴 تحت الهدف",'قاعدة المؤشرات'!$B$2:$B$212,"الجودة",'قاعدة المؤشرات'!$L$2:$L$212,"متابعة إغلاق الملاحظات والتحقق")</f>
        <v/>
      </c>
      <c r="I62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المؤشرات'!$J$2:$J$212,'قاعدة المؤشرات'!$B$2:$B$212,"الجودة",'قاعدة المؤشرات'!$L$2:$L$212,"التدقيق الداخلي وعدم المطابقة")/SUMIFS('قاعدة المؤشرات'!$K$2:$K$212,'قاعدة المؤشرات'!$B$2:$B$212,"الجودة",'قاعدة المؤشرات'!$L$2:$L$212,"التدقيق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المؤشرات'!$G$2:$G$212,'قاعدة المؤشرات'!$B$2:$B$212,"الجودة",'قاعدة المؤشرات'!$L$2:$L$212,"التدقيق الداخلي وعدم المطابقة"))</f>
        <v/>
      </c>
      <c r="H63" s="30">
        <f>COUNTIFS('قاعدة المؤشرات'!$H$2:$H$212,"🔴 تحت الهدف",'قاعدة المؤشرات'!$B$2:$B$212,"الجودة",'قاعدة المؤشرات'!$L$2:$L$212,"التدقيق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المؤشرات'!$J$2:$J$212,'قاعدة المؤشرات'!$B$2:$B$212,"الجودة",'قاعدة المؤشرات'!$L$2:$L$212,"الإجراءات والسياسات والنماذج")/SUMIFS('قاعدة المؤشرات'!$K$2:$K$212,'قاعدة المؤشرات'!$B$2:$B$212,"الجودة",'قاعدة المؤشرات'!$L$2:$L$212,"الإجراءات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المؤشرات'!$G$2:$G$212,'قاعدة المؤشرات'!$B$2:$B$212,"الجودة",'قاعدة المؤشرات'!$L$2:$L$212,"الإجراءات والسياسات والنماذج"))</f>
        <v/>
      </c>
      <c r="H64" s="30">
        <f>COUNTIFS('قاعدة المؤشرات'!$H$2:$H$212,"🔴 تحت الهدف",'قاعدة المؤشرات'!$B$2:$B$212,"الجودة",'قاعدة المؤشرات'!$L$2:$L$212,"الإجراءات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المؤشرات'!$J$2:$J$212,'قاعدة المؤشرات'!$B$2:$B$212,"الجودة",'قاعدة المؤشرات'!$L$2:$L$212,"التحسين المستمر والتحليل")/SUMIFS('قاعدة المؤشرات'!$K$2:$K$212,'قاعدة المؤشرات'!$B$2:$B$212,"الجودة",'قاعدة المؤشرات'!$L$2:$L$212,"التحسين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المؤشرات'!$G$2:$G$212,'قاعدة المؤشرات'!$B$2:$B$212,"الجودة",'قاعدة المؤشرات'!$L$2:$L$212,"التحسين المستمر والتحليل"))</f>
        <v/>
      </c>
      <c r="H65" s="30">
        <f>COUNTIFS('قاعدة المؤشرات'!$H$2:$H$212,"🔴 تحت الهدف",'قاعدة المؤشرات'!$B$2:$B$212,"الجودة",'قاعدة المؤشرات'!$L$2:$L$212,"التحسين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المؤشرات'!$J$2:$J$212,'قاعدة المؤشرات'!$B$2:$B$212,"الجودة",'قاعدة المؤشرات'!$L$2:$L$212,"الرقمنة وجاهزية نظام الجودة")/SUMIFS('قاعدة المؤشرات'!$K$2:$K$212,'قاعدة المؤشرات'!$B$2:$B$212,"الجودة",'قاعدة المؤشرات'!$L$2:$L$212,"الرقمنة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المؤشرات'!$G$2:$G$212,'قاعدة المؤشرات'!$B$2:$B$212,"الجودة",'قاعدة المؤشرات'!$L$2:$L$212,"الرقمنة وجاهزية نظام الجودة"))</f>
        <v/>
      </c>
      <c r="H66" s="30">
        <f>COUNTIFS('قاعدة المؤشرات'!$H$2:$H$212,"🔴 تحت الهدف",'قاعدة المؤشرات'!$B$2:$B$212,"الجودة",'قاعدة المؤشرات'!$L$2:$L$212,"الرقمنة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المؤشرات'!$J$2:$J$212,'قاعدة المؤشرات'!$B$2:$B$212,"الإدارة القانونية",'قاعدة المؤشرات'!$L$2:$L$212,"أعمال العقود")/SUMIFS('قاعدة المؤشرات'!$K$2:$K$212,'قاعدة المؤشرات'!$B$2:$B$212,"الإدارة القانونية",'قاعدة المؤشرات'!$L$2:$L$212,"أعمال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المؤشرات'!$G$2:$G$212,'قاعدة المؤشرات'!$B$2:$B$212,"الإدارة القانونية",'قاعدة المؤشرات'!$L$2:$L$212,"أعمال العقود"))</f>
        <v/>
      </c>
      <c r="H67" s="30">
        <f>COUNTIFS('قاعدة المؤشرات'!$H$2:$H$212,"🔴 تحت الهدف",'قاعدة المؤشرات'!$B$2:$B$212,"الإدارة القانونية",'قاعدة المؤشرات'!$L$2:$L$212,"أعمال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المؤشرات'!$J$2:$J$212,'قاعدة المؤشرات'!$B$2:$B$212,"الإدارة القانونية",'قاعدة المؤشرات'!$L$2:$L$212,"أعمال القضايا")/SUMIFS('قاعدة المؤشرات'!$K$2:$K$212,'قاعدة المؤشرات'!$B$2:$B$212,"الإدارة القانونية",'قاعدة المؤشرات'!$L$2:$L$212,"أعمال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المؤشرات'!$G$2:$G$212,'قاعدة المؤشرات'!$B$2:$B$212,"الإدارة القانونية",'قاعدة المؤشرات'!$L$2:$L$212,"أعمال القضايا"))</f>
        <v/>
      </c>
      <c r="H68" s="30">
        <f>COUNTIFS('قاعدة المؤشرات'!$H$2:$H$212,"🔴 تحت الهدف",'قاعدة المؤشرات'!$B$2:$B$212,"الإدارة القانونية",'قاعدة المؤشرات'!$L$2:$L$212,"أعمال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المؤشرات'!$J$2:$J$212,'قاعدة المؤشرات'!$B$2:$B$212,"الإدارة القانونية",'قاعدة المؤشرات'!$L$2:$L$212,"الاستشارات القانونية")/SUMIFS('قاعدة المؤشرات'!$K$2:$K$212,'قاعدة المؤشرات'!$B$2:$B$212,"الإدارة القانونية",'قاعدة المؤشرات'!$L$2:$L$212,"الاستشارات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المؤشرات'!$G$2:$G$212,'قاعدة المؤشرات'!$B$2:$B$212,"الإدارة القانونية",'قاعدة المؤشرات'!$L$2:$L$212,"الاستشارات القانونية"))</f>
        <v/>
      </c>
      <c r="H69" s="30">
        <f>COUNTIFS('قاعدة المؤشرات'!$H$2:$H$212,"🔴 تحت الهدف",'قاعدة المؤشرات'!$B$2:$B$212,"الإدارة القانونية",'قاعدة المؤشرات'!$L$2:$L$212,"الاستشارات القانونية")</f>
        <v/>
      </c>
      <c r="I69" s="31" t="inlineStr">
        <is>
          <t>نسبة الاستشارات المُنجزة ضمن المدة المستهدفة (SLA)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المؤشرات'!$J$2:$J$212,'قاعدة المؤشرات'!$B$2:$B$212,"الإدارة القانونية",'قاعدة المؤشرات'!$L$2:$L$212,"التحقيق")/SUMIFS('قاعدة المؤشرات'!$K$2:$K$212,'قاعدة المؤشرات'!$B$2:$B$212,"الإدارة القانونية",'قاعدة المؤشرات'!$L$2:$L$212,"التحقيق"),"")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المؤشرات'!$G$2:$G$212,'قاعدة المؤشرات'!$B$2:$B$212,"الإدارة القانونية",'قاعدة المؤشرات'!$L$2:$L$212,"التحقيق"))</f>
        <v/>
      </c>
      <c r="H70" s="30">
        <f>COUNTIFS('قاعدة المؤشرات'!$H$2:$H$212,"🔴 تحت الهدف",'قاعدة المؤشرات'!$B$2:$B$212,"الإدارة القانونية",'قاعدة المؤشرات'!$L$2:$L$212,"التحقيق")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المؤشرات'!$J$2:$J$212,'قاعدة المؤشرات'!$B$2:$B$212,"الإدارة المالية",'قاعدة المؤشرات'!$L$2:$L$212,"المالية الاستراتيجية")/SUMIFS('قاعدة المؤشرات'!$K$2:$K$212,'قاعدة المؤشرات'!$B$2:$B$212,"الإدارة المالية",'قاعدة المؤشرات'!$L$2:$L$212,"المالية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المؤشرات'!$G$2:$G$212,'قاعدة المؤشرات'!$B$2:$B$212,"الإدارة المالية",'قاعدة المؤشرات'!$L$2:$L$212,"المالية الاستراتيجية"))</f>
        <v/>
      </c>
      <c r="H71" s="30">
        <f>COUNTIFS('قاعدة المؤشرات'!$H$2:$H$212,"🔴 تحت الهدف",'قاعدة المؤشرات'!$B$2:$B$212,"الإدارة المالية",'قاعدة المؤشرات'!$L$2:$L$212,"المالية الاستراتيجية")</f>
        <v/>
      </c>
      <c r="I71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المؤشرات'!$J$2:$J$212,'قاعدة المؤشرات'!$B$2:$B$212,"الإدارة المالية",'قاعدة المؤشرات'!$L$2:$L$212,"السيولة ورأس المال")/SUMIFS('قاعدة المؤشرات'!$K$2:$K$212,'قاعدة المؤشرات'!$B$2:$B$212,"الإدارة المالية",'قاعدة المؤشرات'!$L$2:$L$212,"السيولة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المؤشرات'!$G$2:$G$212,'قاعدة المؤشرات'!$B$2:$B$212,"الإدارة المالية",'قاعدة المؤشرات'!$L$2:$L$212,"السيولة ورأس المال"))</f>
        <v/>
      </c>
      <c r="H72" s="30">
        <f>COUNTIFS('قاعدة المؤشرات'!$H$2:$H$212,"🔴 تحت الهدف",'قاعدة المؤشرات'!$B$2:$B$212,"الإدارة المالية",'قاعدة المؤشرات'!$L$2:$L$212,"السيولة ورأس المال")</f>
        <v/>
      </c>
      <c r="I72" s="31" t="inlineStr">
        <is>
          <t>النسبة الجارية (Current Ratio)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المؤشرات'!$J$2:$J$212,'قاعدة المؤشرات'!$B$2:$B$212,"الإدارة المالية",'قاعدة المؤشرات'!$L$2:$L$212,"الذمم المدينة")/SUMIFS('قاعدة المؤشرات'!$K$2:$K$212,'قاعدة المؤشرات'!$B$2:$B$212,"الإدارة المالية",'قاعدة المؤشرات'!$L$2:$L$212,"الذمم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المؤشرات'!$G$2:$G$212,'قاعدة المؤشرات'!$B$2:$B$212,"الإدارة المالية",'قاعدة المؤشرات'!$L$2:$L$212,"الذمم المدينة"))</f>
        <v/>
      </c>
      <c r="H73" s="30">
        <f>COUNTIFS('قاعدة المؤشرات'!$H$2:$H$212,"🔴 تحت الهدف",'قاعدة المؤشرات'!$B$2:$B$212,"الإدارة المالية",'قاعدة المؤشرات'!$L$2:$L$212,"الذمم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المؤشرات'!$J$2:$J$212,'قاعدة المؤشرات'!$B$2:$B$212,"الإدارة المالية",'قاعدة المؤشرات'!$L$2:$L$212,"الذمم الدائنة")/SUMIFS('قاعدة المؤشرات'!$K$2:$K$212,'قاعدة المؤشرات'!$B$2:$B$212,"الإدارة المالية",'قاعدة المؤشرات'!$L$2:$L$212,"الذمم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المؤشرات'!$G$2:$G$212,'قاعدة المؤشرات'!$B$2:$B$212,"الإدارة المالية",'قاعدة المؤشرات'!$L$2:$L$212,"الذمم الدائنة"))</f>
        <v/>
      </c>
      <c r="H74" s="30">
        <f>COUNTIFS('قاعدة المؤشرات'!$H$2:$H$212,"🔴 تحت الهدف",'قاعدة المؤشرات'!$B$2:$B$212,"الإدارة المالية",'قاعدة المؤشرات'!$L$2:$L$212,"الذمم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المؤشرات'!$J$2:$J$212,'قاعدة المؤشرات'!$B$2:$B$212,"الإدارة المالية",'قاعدة المؤشرات'!$L$2:$L$212,"الخزينة")/SUMIFS('قاعدة المؤشرات'!$K$2:$K$212,'قاعدة المؤشرات'!$B$2:$B$212,"الإدارة المالية",'قاعدة المؤشرات'!$L$2:$L$212,"الخزينة"),"")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المؤشرات'!$G$2:$G$212,'قاعدة المؤشرات'!$B$2:$B$212,"الإدارة المالية",'قاعدة المؤشرات'!$L$2:$L$212,"الخزينة"))</f>
        <v/>
      </c>
      <c r="H75" s="30">
        <f>COUNTIFS('قاعدة المؤشرات'!$H$2:$H$212,"🔴 تحت الهدف",'قاعدة المؤشرات'!$B$2:$B$212,"الإدارة المالية",'قاعدة المؤشرات'!$L$2:$L$212,"الخزينة")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المؤشرات'!$J$2:$J$212,'قاعدة المؤشرات'!$B$2:$B$212,"الإدارة المالية",'قاعدة المؤشرات'!$L$2:$L$212,"صناعة الوقود")/SUMIFS('قاعدة المؤشرات'!$K$2:$K$212,'قاعدة المؤشرات'!$B$2:$B$212,"الإدارة المالية",'قاعدة المؤشرات'!$L$2:$L$212,"صناعة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المؤشرات'!$G$2:$G$212,'قاعدة المؤشرات'!$B$2:$B$212,"الإدارة المالية",'قاعدة المؤشرات'!$L$2:$L$212,"صناعة الوقود"))</f>
        <v/>
      </c>
      <c r="H76" s="30">
        <f>COUNTIFS('قاعدة المؤشرات'!$H$2:$H$212,"🔴 تحت الهدف",'قاعدة المؤشرات'!$B$2:$B$212,"الإدارة المالية",'قاعدة المؤشرات'!$L$2:$L$212,"صناعة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المؤشرات'!$J$2:$J$212,'قاعدة المؤشرات'!$B$2:$B$212,"الإدارة المالية",'قاعدة المؤشرات'!$L$2:$L$212,"الموازنة والتقارير")/SUMIFS('قاعدة المؤشرات'!$K$2:$K$212,'قاعدة المؤشرات'!$B$2:$B$212,"الإدارة المالية",'قاعدة المؤشرات'!$L$2:$L$212,"الموازنة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المؤشرات'!$G$2:$G$212,'قاعدة المؤشرات'!$B$2:$B$212,"الإدارة المالية",'قاعدة المؤشرات'!$L$2:$L$212,"الموازنة والتقارير"))</f>
        <v/>
      </c>
      <c r="H77" s="30">
        <f>COUNTIFS('قاعدة المؤشرات'!$H$2:$H$212,"🔴 تحت الهدف",'قاعدة المؤشرات'!$B$2:$B$212,"الإدارة المالية",'قاعدة المؤشرات'!$L$2:$L$212,"الموازنة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المؤشرات'!$E$2:$E$212,"التوسع في المواقع")</f>
        <v/>
      </c>
      <c r="E19" s="10">
        <f>IFERROR(AVERAGEIFS('قاعدة المؤشرات'!$G$2:$G$212,'قاعدة المؤشرات'!$E$2:$E$212,"التوسع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المؤشرات'!$E$2:$E$212,"الامتياز التجاري")</f>
        <v/>
      </c>
      <c r="E20" s="10">
        <f>IFERROR(AVERAGEIFS('قاعدة المؤشرات'!$G$2:$G$212,'قاعدة المؤشرات'!$E$2:$E$212,"الامتياز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المؤشرات'!$E$2:$E$212,"زيادة وصول العملاء")</f>
        <v/>
      </c>
      <c r="E21" s="10">
        <f>IFERROR(AVERAGEIFS('قاعدة المؤشرات'!$G$2:$G$212,'قاعدة المؤشرات'!$E$2:$E$212,"زيادة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المؤشرات'!$E$2:$E$212,"إطلاق مشاريع جديدة")</f>
        <v/>
      </c>
      <c r="E22" s="10">
        <f>IFERROR(AVERAGEIFS('قاعدة المؤشرات'!$G$2:$G$212,'قاعدة المؤشرات'!$E$2:$E$212,"إطلاق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المؤشرات'!$E$2:$E$212,"تطوير التصاميم والهوية")</f>
        <v/>
      </c>
      <c r="E23" s="10">
        <f>IFERROR(AVERAGEIFS('قاعدة المؤشرات'!$G$2:$G$212,'قاعدة المؤشرات'!$E$2:$E$212,"تطوير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المؤشرات'!$E$2:$E$212,"التحول التقني")</f>
        <v/>
      </c>
      <c r="E24" s="10">
        <f>IFERROR(AVERAGEIFS('قاعدة المؤشرات'!$G$2:$G$212,'قاعدة المؤشرات'!$E$2:$E$212,"التحول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المؤشرات'!$E$2:$E$212,"ساحات درب")</f>
        <v/>
      </c>
      <c r="E25" s="10">
        <f>IFERROR(AVERAGEIFS('قاعدة المؤشرات'!$G$2:$G$212,'قاعدة المؤشرات'!$E$2:$E$212,"ساحات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المؤشرات'!$E$2:$E$212,"تطبيق «تانكي»")</f>
        <v/>
      </c>
      <c r="E26" s="10">
        <f>IFERROR(AVERAGEIFS('قاعدة المؤشرات'!$G$2:$G$212,'قاعدة المؤشرات'!$E$2:$E$212,"تطبيق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المؤشرات'!$E$2:$E$212,"تعزيز تجربة العملاء")</f>
        <v/>
      </c>
      <c r="E27" s="10">
        <f>IFERROR(AVERAGEIFS('قاعدة المؤشرات'!$G$2:$G$212,'قاعدة المؤشرات'!$E$2:$E$212,"تعزيز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المؤشرات'!$E$2:$E$212,"جودة التشغيل")</f>
        <v/>
      </c>
      <c r="E28" s="10">
        <f>IFERROR(AVERAGEIFS('قاعدة المؤشرات'!$G$2:$G$212,'قاعدة المؤشرات'!$E$2:$E$212,"جودة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المؤشرات'!$E$2:$E$212,"منظومة التأجير")</f>
        <v/>
      </c>
      <c r="E29" s="10">
        <f>IFERROR(AVERAGEIFS('قاعدة المؤشرات'!$G$2:$G$212,'قاعدة المؤشرات'!$E$2:$E$212,"منظومة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المؤشرات'!$E$2:$E$212,"الاستثمار في الموظفين")</f>
        <v/>
      </c>
      <c r="E30" s="10">
        <f>IFERROR(AVERAGEIFS('قاعدة المؤشرات'!$G$2:$G$212,'قاعدة المؤشرات'!$E$2:$E$212,"الاستثمار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المؤشرات'!$G$2:$G$212,'قاعدة المؤشرات'!$F$2:$F$212,"مالي"),"—")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المؤشرات'!$G$2:$G$212,'قاعدة المؤشرات'!$E$2:$E$212,"زيادة وصول العملاء"),"—")</f>
        <v/>
      </c>
      <c r="E10" s="47">
        <f>IFERROR(AVERAGEIFS('قاعدة المؤشرات'!$G$2:$G$212,'قاعدة المؤشرات'!$E$2:$E$212,"تعزيز تجربة العملاء"),"—")</f>
        <v/>
      </c>
      <c r="H10" s="47">
        <f>IFERROR(AVERAGEIFS('قاعدة المؤشرات'!$G$2:$G$212,'قاعدة المؤشرات'!$E$2:$E$212,"تطبيق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المؤشرات'!$G$2:$G$212,'قاعدة المؤشرات'!$E$2:$E$212,"التوسع في المواقع"),"—")</f>
        <v/>
      </c>
      <c r="D14" s="49">
        <f>IFERROR(AVERAGEIFS('قاعدة المؤشرات'!$G$2:$G$212,'قاعدة المؤشرات'!$E$2:$E$212,"الامتياز التجاري"),"—")</f>
        <v/>
      </c>
      <c r="F14" s="49">
        <f>IFERROR(AVERAGEIFS('قاعدة المؤشرات'!$G$2:$G$212,'قاعدة المؤشرات'!$E$2:$E$212,"منظومة التأجير"),"—")</f>
        <v/>
      </c>
      <c r="H14" s="49">
        <f>IFERROR(AVERAGEIFS('قاعدة المؤشرات'!$G$2:$G$212,'قاعدة المؤشرات'!$E$2:$E$212,"ساحات درب"),"—")</f>
        <v/>
      </c>
      <c r="J14" s="49">
        <f>IFERROR(AVERAGEIFS('قاعدة المؤشرات'!$G$2:$G$212,'قاعدة المؤشرات'!$E$2:$E$212,"جودة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المؤشرات'!$G$2:$G$212,'قاعدة المؤشرات'!$E$2:$E$212,"الاستثمار في الموظفين"),"—")</f>
        <v/>
      </c>
      <c r="D18" s="51">
        <f>IFERROR(AVERAGEIFS('قاعدة المؤشرات'!$G$2:$G$212,'قاعدة المؤشرات'!$E$2:$E$212,"التحول التقني"),"—")</f>
        <v/>
      </c>
      <c r="F18" s="51">
        <f>IFERROR(AVERAGEIFS('قاعدة المؤشرات'!$G$2:$G$212,'قاعدة المؤشرات'!$E$2:$E$212,"إطلاق مشاريع جديدة"),"—")</f>
        <v/>
      </c>
      <c r="H18" s="51">
        <f>IFERROR(AVERAGEIFS('قاعدة المؤشرات'!$G$2:$G$212,'قاعدة المؤشرات'!$E$2:$E$212,"تطوير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المؤشرات'!$H$2:$H$212,"✅ محقق",'قاعدة المؤشرات'!$B$2:$B$212,"&lt;&gt;الإدارة التنفيذية")</f>
        <v/>
      </c>
      <c r="D5" s="5">
        <f>COUNTIFS('قاعدة المؤشرات'!$H$2:$H$212,"🟡 قريب",'قاعدة المؤشرات'!$B$2:$B$212,"&lt;&gt;الإدارة التنفيذية")</f>
        <v/>
      </c>
      <c r="E5" s="5">
        <f>COUNTIFS('قاعدة المؤشرات'!$H$2:$H$212,"🔴 تحت الهدف",'قاعدة المؤشرات'!$B$2:$B$212,"&lt;&gt;الإدارة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المؤشرات'!$B$2:$B$212,"الإدارة التنفيذية",'قاعدة المؤشرات'!$J$2:$J$212)/SUMIF('قاعدة المؤشرات'!$B$2:$B$212,"الإدارة التنفيذية",'قاعدة المؤشرات'!$K$2:$K$212),"—")</f>
        <v/>
      </c>
      <c r="D9" s="9" t="inlineStr">
        <is>
          <t>النمو</t>
        </is>
      </c>
      <c r="E9" s="10">
        <f>IFERROR(AVERAGEIFS('قاعدة المؤشرات'!$G$2:$G$212,'قاعدة المؤشرات'!$D$2:$D$212,"النمو"),"—")</f>
        <v/>
      </c>
      <c r="H9" s="15">
        <f>IFERROR(SUMIF('قاعدة المؤشرات'!$B$2:$B$212,"الإدارة التنفيذية",'قاعدة المؤشرات'!$J$2:$J$212)/SUMIF('قاعدة المؤشرات'!$B$2:$B$212,"الإدارة التنفيذية",'قاعدة المؤشرات'!$K$2:$K$212),0)</f>
        <v/>
      </c>
      <c r="I9" s="15" t="n">
        <v>0</v>
      </c>
      <c r="J9" s="15">
        <f>IF(SUMIF('قاعدة المؤشرات'!$B$2:$B$212,"الإدارة التنفيذية",'قاعدة المؤشرات'!$K$2:$K$212)=0,0,1)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المؤشرات'!$B$2:$B$212,"الامتياز التجاري",'قاعدة المؤشرات'!$J$2:$J$212)/SUMIF('قاعدة المؤشرات'!$B$2:$B$212,"الامتياز التجاري",'قاعدة المؤشرات'!$K$2:$K$212),"—")</f>
        <v/>
      </c>
      <c r="D10" s="9" t="inlineStr">
        <is>
          <t>الابتكار</t>
        </is>
      </c>
      <c r="E10" s="10">
        <f>IFERROR(AVERAGEIFS('قاعدة المؤشرات'!$G$2:$G$212,'قاعدة المؤشرات'!$D$2:$D$212,"الابتكار"),"—")</f>
        <v/>
      </c>
      <c r="H10" s="15">
        <f>IFERROR(SUMIF('قاعدة المؤشرات'!$B$2:$B$212,"الامتياز التجاري",'قاعدة المؤشرات'!$J$2:$J$212)/SUMIF('قاعدة المؤشرات'!$B$2:$B$212,"الامتياز التجاري",'قاعدة المؤشرات'!$K$2:$K$212),0)</f>
        <v/>
      </c>
      <c r="I10" s="15" t="n">
        <v>0.14</v>
      </c>
      <c r="J10" s="15">
        <f>IF(SUMIF('قاعدة المؤشرات'!$B$2:$B$212,"الامتياز التجاري",'قاعدة المؤشرات'!$K$2:$K$212)=0,0,1)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المؤشرات'!$B$2:$B$212,"التشغيل والمحطات",'قاعدة المؤشرات'!$J$2:$J$212)/SUMIF('قاعدة المؤشرات'!$B$2:$B$212,"التشغيل والمحطات",'قاعدة المؤشرات'!$K$2:$K$212),"—")</f>
        <v/>
      </c>
      <c r="D11" s="9" t="inlineStr">
        <is>
          <t>الاستدامة</t>
        </is>
      </c>
      <c r="E11" s="10">
        <f>IFERROR(AVERAGEIFS('قاعدة المؤشرات'!$G$2:$G$212,'قاعدة المؤشرات'!$D$2:$D$212,"الاستدامة"),"—")</f>
        <v/>
      </c>
      <c r="H11" s="15">
        <f>IFERROR(SUMIF('قاعدة المؤشرات'!$B$2:$B$212,"التشغيل والمحطات",'قاعدة المؤشرات'!$J$2:$J$212)/SUMIF('قاعدة المؤشرات'!$B$2:$B$212,"التشغيل والمحطات",'قاعدة المؤشرات'!$K$2:$K$212),0)</f>
        <v/>
      </c>
      <c r="I11" s="15" t="n">
        <v>0.12</v>
      </c>
      <c r="J11" s="15">
        <f>IF(SUMIF('قاعدة المؤشرات'!$B$2:$B$212,"التشغيل والمحطات",'قاعدة المؤشرات'!$K$2:$K$212)=0,0,1)</f>
        <v/>
      </c>
    </row>
    <row r="12">
      <c r="B12" s="9" t="inlineStr">
        <is>
          <t>الاستثمار</t>
        </is>
      </c>
      <c r="C12" s="10">
        <f>IFERROR(SUMIF('قاعدة المؤشرات'!$B$2:$B$212,"الاستثمار",'قاعدة المؤشرات'!$J$2:$J$212)/SUMIF('قاعدة المؤشرات'!$B$2:$B$212,"الاستثمار",'قاعدة المؤشرات'!$K$2:$K$212),"—")</f>
        <v/>
      </c>
      <c r="H12" s="15">
        <f>IFERROR(SUMIF('قاعدة المؤشرات'!$B$2:$B$212,"الاستثمار",'قاعدة المؤشرات'!$J$2:$J$212)/SUMIF('قاعدة المؤشرات'!$B$2:$B$212,"الاستثمار",'قاعدة المؤشرات'!$K$2:$K$212),0)</f>
        <v/>
      </c>
      <c r="I12" s="15" t="n">
        <v>0.11</v>
      </c>
      <c r="J12" s="15">
        <f>IF(SUMIF('قاعدة المؤشرات'!$B$2:$B$212,"الاستثمار",'قاعدة المؤشرات'!$K$2:$K$212)=0,0,1)</f>
        <v/>
      </c>
    </row>
    <row r="13">
      <c r="B13" s="9" t="inlineStr">
        <is>
          <t>العقار</t>
        </is>
      </c>
      <c r="C13" s="10">
        <f>IFERROR(SUMIF('قاعدة المؤشرات'!$B$2:$B$212,"العقار",'قاعدة المؤشرات'!$J$2:$J$212)/SUMIF('قاعدة المؤشرات'!$B$2:$B$212,"العقار",'قاعدة المؤشرات'!$K$2:$K$212),"—")</f>
        <v/>
      </c>
      <c r="D13" s="53" t="inlineStr">
        <is>
          <t>حسب منظور BSC</t>
        </is>
      </c>
      <c r="E13" s="7" t="n"/>
      <c r="H13" s="15">
        <f>IFERROR(SUMIF('قاعدة المؤشرات'!$B$2:$B$212,"العقار",'قاعدة المؤشرات'!$J$2:$J$212)/SUMIF('قاعدة المؤشرات'!$B$2:$B$212,"العقار",'قاعدة المؤشرات'!$K$2:$K$212),0)</f>
        <v/>
      </c>
      <c r="I13" s="15" t="n">
        <v>0.09</v>
      </c>
      <c r="J13" s="15">
        <f>IF(SUMIF('قاعدة المؤشرات'!$B$2:$B$212,"العقار",'قاعدة المؤشرات'!$K$2:$K$212)=0,0,1)</f>
        <v/>
      </c>
    </row>
    <row r="14">
      <c r="B14" s="9" t="inlineStr">
        <is>
          <t>إدارة المشاريع</t>
        </is>
      </c>
      <c r="C14" s="10">
        <f>IFERROR(SUMIF('قاعدة المؤشرات'!$B$2:$B$212,"إدارة المشاريع",'قاعدة المؤشرات'!$J$2:$J$212)/SUMIF('قاعدة المؤشرات'!$B$2:$B$212,"إدارة المشاريع",'قاعدة المؤشرات'!$K$2:$K$212),"—")</f>
        <v/>
      </c>
      <c r="D14" s="9" t="inlineStr">
        <is>
          <t>مالي</t>
        </is>
      </c>
      <c r="E14" s="10">
        <f>IFERROR(AVERAGEIFS('قاعدة المؤشرات'!$G$2:$G$212,'قاعدة المؤشرات'!$F$2:$F$212,"مالي"),"—")</f>
        <v/>
      </c>
      <c r="H14" s="15">
        <f>IFERROR(SUMIF('قاعدة المؤشرات'!$B$2:$B$212,"إدارة المشاريع",'قاعدة المؤشرات'!$J$2:$J$212)/SUMIF('قاعدة المؤشرات'!$B$2:$B$212,"إدارة المشاريع",'قاعدة المؤشرات'!$K$2:$K$212),0)</f>
        <v/>
      </c>
      <c r="I14" s="15" t="n">
        <v>0.08</v>
      </c>
      <c r="J14" s="15">
        <f>IF(SUMIF('قاعدة المؤشرات'!$B$2:$B$212,"إدارة المشاريع",'قاعدة المؤشرات'!$K$2:$K$212)=0,0,1)</f>
        <v/>
      </c>
    </row>
    <row r="15">
      <c r="B15" s="9" t="inlineStr">
        <is>
          <t>سلاسل الإمداد</t>
        </is>
      </c>
      <c r="C15" s="10">
        <f>IFERROR(SUMIF('قاعدة المؤشرات'!$B$2:$B$212,"سلاسل الإمداد",'قاعدة المؤشرات'!$J$2:$J$212)/SUMIF('قاعدة المؤشرات'!$B$2:$B$212,"سلاسل الإمداد",'قاعدة المؤشرات'!$K$2:$K$212),"—")</f>
        <v/>
      </c>
      <c r="D15" s="9" t="inlineStr">
        <is>
          <t>العملاء</t>
        </is>
      </c>
      <c r="E15" s="10">
        <f>IFERROR(AVERAGEIFS('قاعدة المؤشرات'!$G$2:$G$212,'قاعدة المؤشرات'!$F$2:$F$212,"العملاء"),"—")</f>
        <v/>
      </c>
      <c r="H15" s="15">
        <f>IFERROR(SUMIF('قاعدة المؤشرات'!$B$2:$B$212,"سلاسل الإمداد",'قاعدة المؤشرات'!$J$2:$J$212)/SUMIF('قاعدة المؤشرات'!$B$2:$B$212,"سلاسل الإمداد",'قاعدة المؤشرات'!$K$2:$K$212),0)</f>
        <v/>
      </c>
      <c r="I15" s="15" t="n">
        <v>0.1</v>
      </c>
      <c r="J15" s="15">
        <f>IF(SUMIF('قاعدة المؤشرات'!$B$2:$B$212,"سلاسل الإمداد",'قاعدة المؤشرات'!$K$2:$K$212)=0,0,1)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المؤشرات'!$B$2:$B$212,"الصيانة والأتمتة",'قاعدة المؤشرات'!$J$2:$J$212)/SUMIF('قاعدة المؤشرات'!$B$2:$B$212,"الصيانة والأتمتة",'قاعدة المؤشرات'!$K$2:$K$212),"—")</f>
        <v/>
      </c>
      <c r="D16" s="9" t="inlineStr">
        <is>
          <t>العمليات الداخلية</t>
        </is>
      </c>
      <c r="E16" s="10">
        <f>IFERROR(AVERAGEIFS('قاعدة المؤشرات'!$G$2:$G$212,'قاعدة المؤشرات'!$F$2:$F$212,"العمليات الداخلية"),"—")</f>
        <v/>
      </c>
      <c r="H16" s="15">
        <f>IFERROR(SUMIF('قاعدة المؤشرات'!$B$2:$B$212,"الصيانة والأتمتة",'قاعدة المؤشرات'!$J$2:$J$212)/SUMIF('قاعدة المؤشرات'!$B$2:$B$212,"الصيانة والأتمتة",'قاعدة المؤشرات'!$K$2:$K$212),0)</f>
        <v/>
      </c>
      <c r="I16" s="15" t="n">
        <v>0.07000000000000001</v>
      </c>
      <c r="J16" s="15">
        <f>IF(SUMIF('قاعدة المؤشرات'!$B$2:$B$212,"الصيانة والأتمتة",'قاعدة المؤشرات'!$K$2:$K$212)=0,0,1)</f>
        <v/>
      </c>
    </row>
    <row r="17">
      <c r="B17" s="9" t="inlineStr">
        <is>
          <t>التقنية الرقمية</t>
        </is>
      </c>
      <c r="C17" s="10">
        <f>IFERROR(SUMIF('قاعدة المؤشرات'!$B$2:$B$212,"التقنية الرقمية",'قاعدة المؤشرات'!$J$2:$J$212)/SUMIF('قاعدة المؤشرات'!$B$2:$B$212,"التقنية الرقمية",'قاعدة المؤشرات'!$K$2:$K$212),"—")</f>
        <v/>
      </c>
      <c r="D17" s="9" t="inlineStr">
        <is>
          <t>التعلّم والنمو</t>
        </is>
      </c>
      <c r="E17" s="10">
        <f>IFERROR(AVERAGEIFS('قاعدة المؤشرات'!$G$2:$G$212,'قاعدة المؤشرات'!$F$2:$F$212,"التعلّم والنمو"),"—")</f>
        <v/>
      </c>
      <c r="H17" s="15">
        <f>IFERROR(SUMIF('قاعدة المؤشرات'!$B$2:$B$212,"التقنية الرقمية",'قاعدة المؤشرات'!$J$2:$J$212)/SUMIF('قاعدة المؤشرات'!$B$2:$B$212,"التقنية الرقمية",'قاعدة المؤشرات'!$K$2:$K$212),0)</f>
        <v/>
      </c>
      <c r="I17" s="15" t="n">
        <v>0.04</v>
      </c>
      <c r="J17" s="15">
        <f>IF(SUMIF('قاعدة المؤشرات'!$B$2:$B$212,"التقنية الرقمية",'قاعدة المؤشرات'!$K$2:$K$212)=0,0,1)</f>
        <v/>
      </c>
    </row>
    <row r="18">
      <c r="B18" s="9" t="inlineStr">
        <is>
          <t>الموارد البشرية</t>
        </is>
      </c>
      <c r="C18" s="10">
        <f>IFERROR(SUMIF('قاعدة المؤشرات'!$B$2:$B$212,"الموارد البشرية",'قاعدة المؤشرات'!$J$2:$J$212)/SUMIF('قاعدة المؤشرات'!$B$2:$B$212,"الموارد البشرية",'قاعدة المؤشرات'!$K$2:$K$212),"—")</f>
        <v/>
      </c>
      <c r="H18" s="15">
        <f>IFERROR(SUMIF('قاعدة المؤشرات'!$B$2:$B$212,"الموارد البشرية",'قاعدة المؤشرات'!$J$2:$J$212)/SUMIF('قاعدة المؤشرات'!$B$2:$B$212,"الموارد البشرية",'قاعدة المؤشرات'!$K$2:$K$212),0)</f>
        <v/>
      </c>
      <c r="I18" s="15" t="n">
        <v>0.04</v>
      </c>
      <c r="J18" s="15">
        <f>IF(SUMIF('قاعدة المؤشرات'!$B$2:$B$212,"الموارد البشرية",'قاعدة المؤشرات'!$K$2:$K$212)=0,0,1)</f>
        <v/>
      </c>
    </row>
    <row r="19">
      <c r="B19" s="9" t="inlineStr">
        <is>
          <t>التسويق</t>
        </is>
      </c>
      <c r="C19" s="10">
        <f>IFERROR(SUMIF('قاعدة المؤشرات'!$B$2:$B$212,"التسويق",'قاعدة المؤشرات'!$J$2:$J$212)/SUMIF('قاعدة المؤشرات'!$B$2:$B$212,"التسويق",'قاعدة المؤشرات'!$K$2:$K$212),"—")</f>
        <v/>
      </c>
      <c r="H19" s="15">
        <f>IFERROR(SUMIF('قاعدة المؤشرات'!$B$2:$B$212,"التسويق",'قاعدة المؤشرات'!$J$2:$J$212)/SUMIF('قاعدة المؤشرات'!$B$2:$B$212,"التسويق",'قاعدة المؤشرات'!$K$2:$K$212),0)</f>
        <v/>
      </c>
      <c r="I19" s="15" t="n">
        <v>0.05</v>
      </c>
      <c r="J19" s="15">
        <f>IF(SUMIF('قاعدة المؤشرات'!$B$2:$B$212,"التسويق",'قاعدة المؤشرات'!$K$2:$K$212)=0,0,1)</f>
        <v/>
      </c>
    </row>
    <row r="20">
      <c r="B20" s="9" t="inlineStr">
        <is>
          <t>الجودة</t>
        </is>
      </c>
      <c r="C20" s="10">
        <f>IFERROR(SUMIF('قاعدة المؤشرات'!$B$2:$B$212,"الجودة",'قاعدة المؤشرات'!$J$2:$J$212)/SUMIF('قاعدة المؤشرات'!$B$2:$B$212,"الجودة",'قاعدة المؤشرات'!$K$2:$K$212),"—")</f>
        <v/>
      </c>
      <c r="H20" s="15">
        <f>IFERROR(SUMIF('قاعدة المؤشرات'!$B$2:$B$212,"الجودة",'قاعدة المؤشرات'!$J$2:$J$212)/SUMIF('قاعدة المؤشرات'!$B$2:$B$212,"الجودة",'قاعدة المؤشرات'!$K$2:$K$212),0)</f>
        <v/>
      </c>
      <c r="I20" s="15" t="n">
        <v>0.05</v>
      </c>
      <c r="J20" s="15">
        <f>IF(SUMIF('قاعدة المؤشرات'!$B$2:$B$212,"الجودة",'قاعدة المؤشرات'!$K$2:$K$212)=0,0,1)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المؤشرات'!$B$2:$B$212,"الإدارة القانونية",'قاعدة المؤشرات'!$J$2:$J$212)/SUMIF('قاعدة المؤشرات'!$B$2:$B$212,"الإدارة القانونية",'قاعدة المؤشرات'!$K$2:$K$212),"—")</f>
        <v/>
      </c>
      <c r="H21" s="15">
        <f>IFERROR(SUMIF('قاعدة المؤشرات'!$B$2:$B$212,"الإدارة القانونية",'قاعدة المؤشرات'!$J$2:$J$212)/SUMIF('قاعدة المؤشرات'!$B$2:$B$212,"الإدارة القانونية",'قاعدة المؤشرات'!$K$2:$K$212),0)</f>
        <v/>
      </c>
      <c r="I21" s="15" t="n">
        <v>0.03</v>
      </c>
      <c r="J21" s="15">
        <f>IF(SUMIF('قاعدة المؤشرات'!$B$2:$B$212,"الإدارة القانونية",'قاعدة المؤشرات'!$K$2:$K$212)=0,0,1)</f>
        <v/>
      </c>
    </row>
    <row r="22">
      <c r="B22" s="9" t="inlineStr">
        <is>
          <t>الإدارة المالية</t>
        </is>
      </c>
      <c r="C22" s="10">
        <f>IFERROR(SUMIF('قاعدة المؤشرات'!$B$2:$B$212,"الإدارة المالية",'قاعدة المؤشرات'!$J$2:$J$212)/SUMIF('قاعدة المؤشرات'!$B$2:$B$212,"الإدارة المالية",'قاعدة المؤشرات'!$K$2:$K$212),"—")</f>
        <v/>
      </c>
      <c r="H22" s="15">
        <f>IFERROR(SUMIF('قاعدة المؤشرات'!$B$2:$B$212,"الإدارة المالية",'قاعدة المؤشرات'!$J$2:$J$212)/SUMIF('قاعدة المؤشرات'!$B$2:$B$212,"الإدارة المالية",'قاعدة المؤشرات'!$K$2:$K$212),0)</f>
        <v/>
      </c>
      <c r="I22" s="15" t="n">
        <v>0.08</v>
      </c>
      <c r="J22" s="15">
        <f>IF(SUMIF('قاعدة المؤشرات'!$B$2:$B$212,"الإدارة المالية",'قاعدة المؤشرات'!$K$2:$K$212)=0,0,1)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 (PR)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 (Uptime)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 (SLA)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ISO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 (ROE)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 (eNPS)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SLA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 SLA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 (PM)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العقار</t>
        </is>
      </c>
      <c r="C61" s="21" t="inlineStr">
        <is>
          <t>عدد الأنشطة الجديدة على القطاع (دخلت المحطات لأول مرة)</t>
        </is>
      </c>
      <c r="D61" s="55" t="n">
        <v>3.994</v>
      </c>
      <c r="E61" s="55" t="n">
        <v>5</v>
      </c>
      <c r="F61" s="56" t="n">
        <v>0.7988000000000001</v>
      </c>
      <c r="G61" s="12" t="n">
        <v>0.2011999999999999</v>
      </c>
      <c r="H61" s="55" t="n">
        <v>7.988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57" t="n"/>
    </row>
    <row r="62">
      <c r="A62" s="15" t="n">
        <v>60</v>
      </c>
      <c r="B62" s="13" t="inlineStr">
        <is>
          <t>الامتياز التجاري</t>
        </is>
      </c>
      <c r="C62" s="21" t="inlineStr">
        <is>
          <t>نسبة التزام المحطات بالهوية المؤسسية</t>
        </is>
      </c>
      <c r="D62" s="55" t="n">
        <v>0.44</v>
      </c>
      <c r="E62" s="55" t="n">
        <v>0.55</v>
      </c>
      <c r="F62" s="56" t="n">
        <v>0.7999999999999999</v>
      </c>
      <c r="G62" s="12" t="n">
        <v>0.2000000000000001</v>
      </c>
      <c r="H62" s="55" t="n">
        <v>0.44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57" t="n"/>
    </row>
    <row r="63">
      <c r="A63" s="15" t="n">
        <v>61</v>
      </c>
      <c r="B63" s="13" t="inlineStr">
        <is>
          <t>الإدارة المالية</t>
        </is>
      </c>
      <c r="C63" s="21" t="inlineStr">
        <is>
          <t>هامش صافي الربح</t>
        </is>
      </c>
      <c r="D63" s="55" t="n">
        <v>0.008</v>
      </c>
      <c r="E63" s="55" t="n">
        <v>0.01</v>
      </c>
      <c r="F63" s="56" t="n">
        <v>0.8</v>
      </c>
      <c r="G63" s="12" t="n">
        <v>0.2</v>
      </c>
      <c r="H63" s="55" t="n">
        <v>0.008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المالي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متوسط تقييم المحطات على خرائط Google</t>
        </is>
      </c>
      <c r="D64" s="55" t="n">
        <v>3.602</v>
      </c>
      <c r="E64" s="55" t="n">
        <v>4.5</v>
      </c>
      <c r="F64" s="56" t="n">
        <v>0.8004444444444444</v>
      </c>
      <c r="G64" s="12" t="n">
        <v>0.1995555555555556</v>
      </c>
      <c r="H64" s="55" t="n">
        <v>3.602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الالتزام بمظهر وانضباط العاملين بالمحطات</t>
        </is>
      </c>
      <c r="D65" s="55" t="n">
        <v>0.761</v>
      </c>
      <c r="E65" s="55" t="n">
        <v>0.95</v>
      </c>
      <c r="F65" s="56" t="n">
        <v>0.8010526315789475</v>
      </c>
      <c r="G65" s="12" t="n">
        <v>0.1989473684210525</v>
      </c>
      <c r="H65" s="55" t="n">
        <v>0.761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سلاسل الإمداد</t>
        </is>
      </c>
      <c r="C66" s="21" t="inlineStr">
        <is>
          <t>نسبة تلبية طلبات المحطات من الوقود Fill Rate</t>
        </is>
      </c>
      <c r="D66" s="55" t="n">
        <v>0.786</v>
      </c>
      <c r="E66" s="55" t="n">
        <v>0.98</v>
      </c>
      <c r="F66" s="56" t="n">
        <v>0.8020408163265307</v>
      </c>
      <c r="G66" s="12" t="n">
        <v>0.1979591836734693</v>
      </c>
      <c r="H66" s="55" t="n">
        <v>0.786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سلاسل الإمداد</t>
        </is>
      </c>
      <c r="M66" s="57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إجمالي مبيعات وقود محطات الامتياز</t>
        </is>
      </c>
      <c r="D67" s="55" t="n">
        <v>576630340</v>
      </c>
      <c r="E67" s="55" t="n">
        <v>718838077</v>
      </c>
      <c r="F67" s="56" t="n">
        <v>0.8021699996840874</v>
      </c>
      <c r="G67" s="12" t="n">
        <v>0.1978300003159126</v>
      </c>
      <c r="H67" s="55" t="n">
        <v>1153260680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الامتياز</t>
        </is>
      </c>
      <c r="M67" s="57" t="n"/>
    </row>
    <row r="68">
      <c r="A68" s="15" t="n">
        <v>66</v>
      </c>
      <c r="B68" s="13" t="inlineStr">
        <is>
          <t>الجودة</t>
        </is>
      </c>
      <c r="C68" s="21" t="inlineStr">
        <is>
          <t>نسبة تنفيذ خطة التدقيق الداخلي</t>
        </is>
      </c>
      <c r="D68" s="55" t="n">
        <v>0.766</v>
      </c>
      <c r="E68" s="55" t="n">
        <v>0.95</v>
      </c>
      <c r="F68" s="56" t="n">
        <v>0.8063157894736842</v>
      </c>
      <c r="G68" s="12" t="n">
        <v>0.1936842105263158</v>
      </c>
      <c r="H68" s="55" t="n">
        <v>0.766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57" t="n"/>
    </row>
    <row r="69">
      <c r="A69" s="15" t="n">
        <v>67</v>
      </c>
      <c r="B69" s="13" t="inlineStr">
        <is>
          <t>التقنية الرقمية</t>
        </is>
      </c>
      <c r="C69" s="21" t="inlineStr">
        <is>
          <t>نسبة استقرار التشغيل التقني للمحطات</t>
        </is>
      </c>
      <c r="D69" s="55" t="n">
        <v>0.8</v>
      </c>
      <c r="E69" s="55" t="n">
        <v>0.99</v>
      </c>
      <c r="F69" s="56" t="n">
        <v>0.8080808080808082</v>
      </c>
      <c r="G69" s="12" t="n">
        <v>0.1919191919191918</v>
      </c>
      <c r="H69" s="55" t="n">
        <v>0.8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التقنية</t>
        </is>
      </c>
      <c r="M69" s="57" t="n"/>
    </row>
    <row r="70">
      <c r="A70" s="15" t="n">
        <v>68</v>
      </c>
      <c r="B70" s="13" t="inlineStr">
        <is>
          <t>الامتياز التجاري</t>
        </is>
      </c>
      <c r="C70" s="21" t="inlineStr">
        <is>
          <t>نسبة زيادة عدد أصحاب الامتياز</t>
        </is>
      </c>
      <c r="D70" s="55" t="n">
        <v>0.8100000000000001</v>
      </c>
      <c r="E70" s="55" t="n">
        <v>1</v>
      </c>
      <c r="F70" s="56" t="n">
        <v>0.8100000000000001</v>
      </c>
      <c r="G70" s="12" t="n">
        <v>0.1899999999999999</v>
      </c>
      <c r="H70" s="55" t="n">
        <v>0.8100000000000001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57" t="n"/>
    </row>
    <row r="71">
      <c r="A71" s="15" t="n">
        <v>69</v>
      </c>
      <c r="B71" s="13" t="inlineStr">
        <is>
          <t>الإدارة التنفيذية</t>
        </is>
      </c>
      <c r="C71" s="21" t="inlineStr">
        <is>
          <t>نسبة نمو إيرادات الشركة (سنوي)</t>
        </is>
      </c>
      <c r="D71" s="55" t="n">
        <v>0.122</v>
      </c>
      <c r="E71" s="55" t="n">
        <v>0.15</v>
      </c>
      <c r="F71" s="56" t="n">
        <v>0.8133333333333334</v>
      </c>
      <c r="G71" s="12" t="n">
        <v>0.1866666666666666</v>
      </c>
      <c r="H71" s="55" t="n">
        <v>0.122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الرئيس التنفيذي</t>
        </is>
      </c>
      <c r="M71" s="57" t="n"/>
    </row>
    <row r="72">
      <c r="A72" s="15" t="n">
        <v>70</v>
      </c>
      <c r="B72" s="13" t="inlineStr">
        <is>
          <t>الموارد البشرية</t>
        </is>
      </c>
      <c r="C72" s="21" t="inlineStr">
        <is>
          <t>نسبة إنجاز معاملات شؤون الموظفين ضمن المدة المستهدفة SLA</t>
        </is>
      </c>
      <c r="D72" s="55" t="n">
        <v>0.733</v>
      </c>
      <c r="E72" s="55" t="n">
        <v>0.9</v>
      </c>
      <c r="F72" s="56" t="n">
        <v>0.8144444444444444</v>
      </c>
      <c r="G72" s="12" t="n">
        <v>0.1855555555555556</v>
      </c>
      <c r="H72" s="55" t="n">
        <v>0.733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57" t="n"/>
    </row>
    <row r="73">
      <c r="A73" s="15" t="n">
        <v>71</v>
      </c>
      <c r="B73" s="13" t="inlineStr">
        <is>
          <t>الجودة</t>
        </is>
      </c>
      <c r="C73" s="21" t="inlineStr">
        <is>
          <t>نسبة فاعلية الإجراءات التصحيحية</t>
        </is>
      </c>
      <c r="D73" s="55" t="n">
        <v>0.774</v>
      </c>
      <c r="E73" s="55" t="n">
        <v>0.95</v>
      </c>
      <c r="F73" s="56" t="n">
        <v>0.8147368421052632</v>
      </c>
      <c r="G73" s="12" t="n">
        <v>0.1852631578947368</v>
      </c>
      <c r="H73" s="55" t="n">
        <v>0.774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نمو الوصول المؤهل</t>
        </is>
      </c>
      <c r="D74" s="55" t="n">
        <v>0.163</v>
      </c>
      <c r="E74" s="55" t="n">
        <v>0.2</v>
      </c>
      <c r="F74" s="56" t="n">
        <v>0.8149999999999999</v>
      </c>
      <c r="G74" s="12" t="n">
        <v>0.1850000000000001</v>
      </c>
      <c r="H74" s="55" t="n">
        <v>0.163</v>
      </c>
      <c r="I74" s="15" t="inlineStr">
        <is>
          <t>🟡 قريب</t>
        </is>
      </c>
      <c r="J74" s="11" t="inlineStr">
        <is>
          <t>فجوة محدودة — متابعة.</t>
        </is>
      </c>
      <c r="K74" s="11" t="inlineStr">
        <is>
          <t>متابعة أسبوعية لإغلاق الفجوة.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تحويل الفرص التسويقية إلى عقود</t>
        </is>
      </c>
      <c r="D75" s="55" t="n">
        <v>0.204</v>
      </c>
      <c r="E75" s="55" t="n">
        <v>0.25</v>
      </c>
      <c r="F75" s="56" t="n">
        <v>0.8159999999999999</v>
      </c>
      <c r="G75" s="12" t="n">
        <v>0.1840000000000001</v>
      </c>
      <c r="H75" s="55" t="n">
        <v>0.204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الإدارة القانونية</t>
        </is>
      </c>
      <c r="C76" s="21" t="inlineStr">
        <is>
          <t>نسبة القضايا المُغلقة لصالح الشركة</t>
        </is>
      </c>
      <c r="D76" s="55" t="n">
        <v>0.664</v>
      </c>
      <c r="E76" s="55" t="n">
        <v>0.8</v>
      </c>
      <c r="F76" s="56" t="n">
        <v>0.83</v>
      </c>
      <c r="G76" s="12" t="n">
        <v>0.17</v>
      </c>
      <c r="H76" s="55" t="n">
        <v>0.664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57" t="n"/>
    </row>
    <row r="77">
      <c r="A77" s="15" t="n">
        <v>75</v>
      </c>
      <c r="B77" s="13" t="inlineStr">
        <is>
          <t>العقار</t>
        </is>
      </c>
      <c r="C77" s="21" t="inlineStr">
        <is>
          <t>نمو العلامات التجارية (تراكمي — كل الوحدات)</t>
        </is>
      </c>
      <c r="D77" s="55" t="n">
        <v>204.2</v>
      </c>
      <c r="E77" s="55" t="n">
        <v>246</v>
      </c>
      <c r="F77" s="56" t="n">
        <v>0.8300813008130081</v>
      </c>
      <c r="G77" s="12" t="n">
        <v>0.1699186991869919</v>
      </c>
      <c r="H77" s="55" t="n">
        <v>204.2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57" t="n"/>
    </row>
    <row r="78">
      <c r="A78" s="15" t="n">
        <v>76</v>
      </c>
      <c r="B78" s="13" t="inlineStr">
        <is>
          <t>سلاسل الإمداد</t>
        </is>
      </c>
      <c r="C78" s="21" t="inlineStr">
        <is>
          <t>نسبة الالتزام بجدول النقل واستخدام الأسطول بكفاءة</t>
        </is>
      </c>
      <c r="D78" s="55" t="n">
        <v>0.751</v>
      </c>
      <c r="E78" s="55" t="n">
        <v>0.9</v>
      </c>
      <c r="F78" s="56" t="n">
        <v>0.8344444444444444</v>
      </c>
      <c r="G78" s="12" t="n">
        <v>0.1655555555555556</v>
      </c>
      <c r="H78" s="55" t="n">
        <v>0.751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سلاسل الإمداد</t>
        </is>
      </c>
      <c r="M78" s="57" t="n"/>
    </row>
    <row r="79">
      <c r="A79" s="15" t="n">
        <v>77</v>
      </c>
      <c r="B79" s="13" t="inlineStr">
        <is>
          <t>الإدارة القانونية</t>
        </is>
      </c>
      <c r="C79" s="21" t="inlineStr">
        <is>
          <t>نسبة إنجاز التحقيقات ضمن المدة المحددة</t>
        </is>
      </c>
      <c r="D79" s="55" t="n">
        <v>0.753</v>
      </c>
      <c r="E79" s="55" t="n">
        <v>0.9</v>
      </c>
      <c r="F79" s="56" t="n">
        <v>0.8366666666666667</v>
      </c>
      <c r="G79" s="12" t="n">
        <v>0.1633333333333333</v>
      </c>
      <c r="H79" s="55" t="n">
        <v>0.753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القانوني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 (Current Ratio)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 (Availability)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عدد محطات الشركة المشغّلة (تراكمي)</t>
        </is>
      </c>
      <c r="D101" s="55" t="n">
        <v>74.3</v>
      </c>
      <c r="E101" s="55" t="n">
        <v>85</v>
      </c>
      <c r="F101" s="56" t="n">
        <v>0.8741176470588234</v>
      </c>
      <c r="G101" s="12" t="n">
        <v>0.1258823529411766</v>
      </c>
      <c r="H101" s="55" t="n">
        <v>74.3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معدل تحويل فرص التأجير إلى عقود</t>
        </is>
      </c>
      <c r="D102" s="55" t="n">
        <v>0.175</v>
      </c>
      <c r="E102" s="55" t="n">
        <v>0.2</v>
      </c>
      <c r="F102" s="56" t="n">
        <v>0.8749999999999999</v>
      </c>
      <c r="G102" s="12" t="n">
        <v>0.1250000000000001</v>
      </c>
      <c r="H102" s="55" t="n">
        <v>0.175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متوسط زمن تسليم الوحدة</t>
        </is>
      </c>
      <c r="D103" s="55" t="n">
        <v>7.983</v>
      </c>
      <c r="E103" s="55" t="n">
        <v>7</v>
      </c>
      <c r="F103" s="56" t="n">
        <v>0.8768633345859953</v>
      </c>
      <c r="G103" s="12" t="n">
        <v>0.1231366654140047</v>
      </c>
      <c r="H103" s="55" t="n">
        <v>7.983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المحطات المشغّلة — الشركة (تراكمي)</t>
        </is>
      </c>
      <c r="D104" s="55" t="n">
        <v>206.1</v>
      </c>
      <c r="E104" s="55" t="n">
        <v>235</v>
      </c>
      <c r="F104" s="56" t="n">
        <v>0.8770212765957447</v>
      </c>
      <c r="G104" s="12" t="n">
        <v>0.1229787234042553</v>
      </c>
      <c r="H104" s="55" t="n">
        <v>206.1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نسبة تحقيق مستهدف مبيعات الوقود</t>
        </is>
      </c>
      <c r="D105" s="55" t="n">
        <v>0.881</v>
      </c>
      <c r="E105" s="55" t="n">
        <v>1</v>
      </c>
      <c r="F105" s="56" t="n">
        <v>0.881</v>
      </c>
      <c r="G105" s="12" t="n">
        <v>0.119</v>
      </c>
      <c r="H105" s="55" t="n">
        <v>0.881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التسويق</t>
        </is>
      </c>
      <c r="C106" s="21" t="inlineStr">
        <is>
          <t>المستخدمون النشطون شهرياً (MAU)</t>
        </is>
      </c>
      <c r="D106" s="55" t="n">
        <v>88203</v>
      </c>
      <c r="E106" s="55" t="n">
        <v>100000</v>
      </c>
      <c r="F106" s="56" t="n">
        <v>0.88203</v>
      </c>
      <c r="G106" s="12" t="n">
        <v>0.11797</v>
      </c>
      <c r="H106" s="55" t="n">
        <v>88203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التسويق</t>
        </is>
      </c>
      <c r="M106" s="57" t="n"/>
    </row>
    <row r="107">
      <c r="A107" s="15" t="n">
        <v>105</v>
      </c>
      <c r="B107" s="13" t="inlineStr">
        <is>
          <t>الجودة</t>
        </is>
      </c>
      <c r="C107" s="21" t="inlineStr">
        <is>
          <t>نسبة تنفيذ مبادرات التحسين المعتمدة</t>
        </is>
      </c>
      <c r="D107" s="55" t="n">
        <v>0.839</v>
      </c>
      <c r="E107" s="55" t="n">
        <v>0.95</v>
      </c>
      <c r="F107" s="56" t="n">
        <v>0.8831578947368421</v>
      </c>
      <c r="G107" s="12" t="n">
        <v>0.1168421052631579</v>
      </c>
      <c r="H107" s="55" t="n">
        <v>0.839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الالتزام بإجراءات التشغيل القياسية SOPs</t>
        </is>
      </c>
      <c r="D108" s="55" t="n">
        <v>0.84</v>
      </c>
      <c r="E108" s="55" t="n">
        <v>0.95</v>
      </c>
      <c r="F108" s="56" t="n">
        <v>0.8842105263157894</v>
      </c>
      <c r="G108" s="12" t="n">
        <v>0.1157894736842106</v>
      </c>
      <c r="H108" s="55" t="n">
        <v>0.84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استبقاء المستأجرين (تجديد وبلا إنهاء مبكر)</t>
        </is>
      </c>
      <c r="D109" s="55" t="n">
        <v>0.752</v>
      </c>
      <c r="E109" s="55" t="n">
        <v>0.85</v>
      </c>
      <c r="F109" s="56" t="n">
        <v>0.8847058823529412</v>
      </c>
      <c r="G109" s="12" t="n">
        <v>0.1152941176470588</v>
      </c>
      <c r="H109" s="55" t="n">
        <v>0.752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نسبة دقة الرواتب والمستحقات الشهرية</t>
        </is>
      </c>
      <c r="D110" s="55" t="n">
        <v>0.888</v>
      </c>
      <c r="E110" s="55" t="n">
        <v>0.995</v>
      </c>
      <c r="F110" s="56" t="n">
        <v>0.892462311557789</v>
      </c>
      <c r="G110" s="12" t="n">
        <v>0.107537688442211</v>
      </c>
      <c r="H110" s="55" t="n">
        <v>0.888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متوسط مدة إغلاق الشواغر المعتمدة</t>
        </is>
      </c>
      <c r="D111" s="55" t="n">
        <v>33.5</v>
      </c>
      <c r="E111" s="55" t="n">
        <v>30</v>
      </c>
      <c r="F111" s="56" t="n">
        <v>0.8955223880597015</v>
      </c>
      <c r="G111" s="12" t="n">
        <v>0.1044776119402985</v>
      </c>
      <c r="H111" s="55" t="n">
        <v>33.5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المقاولين بمعايير السلامة</t>
        </is>
      </c>
      <c r="D112" s="55" t="n">
        <v>0.852</v>
      </c>
      <c r="E112" s="55" t="n">
        <v>0.95</v>
      </c>
      <c r="F112" s="56" t="n">
        <v>0.8968421052631579</v>
      </c>
      <c r="G112" s="12" t="n">
        <v>0.1031578947368421</v>
      </c>
      <c r="H112" s="55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التشغيل والمحطات</t>
        </is>
      </c>
      <c r="C113" s="21" t="inlineStr">
        <is>
          <t>مؤشر الالتزام بالهوية البصرية والمظهر العام</t>
        </is>
      </c>
      <c r="D113" s="55" t="n">
        <v>85.59999999999999</v>
      </c>
      <c r="E113" s="55" t="n">
        <v>95</v>
      </c>
      <c r="F113" s="56" t="n">
        <v>0.9010526315789473</v>
      </c>
      <c r="G113" s="12" t="n">
        <v>0.09894736842105267</v>
      </c>
      <c r="H113" s="55" t="n">
        <v>85.59999999999999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57" t="n"/>
    </row>
    <row r="114">
      <c r="A114" s="15" t="n">
        <v>112</v>
      </c>
      <c r="B114" s="13" t="inlineStr">
        <is>
          <t>التسويق</t>
        </is>
      </c>
      <c r="C114" s="21" t="inlineStr">
        <is>
          <t>نسبة الالتزام بالهوية البصرية</t>
        </is>
      </c>
      <c r="D114" s="55" t="n">
        <v>0.902</v>
      </c>
      <c r="E114" s="55" t="n">
        <v>1</v>
      </c>
      <c r="F114" s="56" t="n">
        <v>0.902</v>
      </c>
      <c r="G114" s="12" t="n">
        <v>0.09799999999999998</v>
      </c>
      <c r="H114" s="55" t="n">
        <v>0.902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التسويق</t>
        </is>
      </c>
      <c r="M114" s="57" t="n"/>
    </row>
    <row r="115">
      <c r="A115" s="15" t="n">
        <v>113</v>
      </c>
      <c r="B115" s="13" t="inlineStr">
        <is>
          <t>الإدارة المالية</t>
        </is>
      </c>
      <c r="C115" s="21" t="inlineStr">
        <is>
          <t>نسبة التدفق النقدي التشغيلي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مراجعة وتحديث الإجراءات والسياسات حسب الخطة</t>
        </is>
      </c>
      <c r="D116" s="55" t="n">
        <v>0.859</v>
      </c>
      <c r="E116" s="55" t="n">
        <v>0.95</v>
      </c>
      <c r="F116" s="56" t="n">
        <v>0.9042105263157895</v>
      </c>
      <c r="G116" s="12" t="n">
        <v>0.09578947368421054</v>
      </c>
      <c r="H116" s="55" t="n">
        <v>0.859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الإدارة التنفيذية</t>
        </is>
      </c>
      <c r="C117" s="21" t="inlineStr">
        <is>
          <t>نسبة إنجاز مشاريع الخارطة التنفيذية</t>
        </is>
      </c>
      <c r="D117" s="55" t="n">
        <v>0.906</v>
      </c>
      <c r="E117" s="55" t="n">
        <v>1</v>
      </c>
      <c r="F117" s="56" t="n">
        <v>0.906</v>
      </c>
      <c r="G117" s="12" t="n">
        <v>0.09399999999999997</v>
      </c>
      <c r="H117" s="55" t="n">
        <v>0.906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الرئيس التنفيذي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مؤشر الالتزام بمتطلبات السلامة</t>
        </is>
      </c>
      <c r="D118" s="55" t="n">
        <v>86.09999999999999</v>
      </c>
      <c r="E118" s="55" t="n">
        <v>95</v>
      </c>
      <c r="F118" s="56" t="n">
        <v>0.9063157894736842</v>
      </c>
      <c r="G118" s="12" t="n">
        <v>0.09368421052631581</v>
      </c>
      <c r="H118" s="55" t="n">
        <v>86.09999999999999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العقار</t>
        </is>
      </c>
      <c r="C119" s="21" t="inlineStr">
        <is>
          <t>نسبة إشغال الوحدات</t>
        </is>
      </c>
      <c r="D119" s="55" t="n">
        <v>0.545</v>
      </c>
      <c r="E119" s="55" t="n">
        <v>0.6</v>
      </c>
      <c r="F119" s="56" t="n">
        <v>0.9083333333333334</v>
      </c>
      <c r="G119" s="12" t="n">
        <v>0.09166666666666656</v>
      </c>
      <c r="H119" s="55" t="n">
        <v>0.545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المتأخرات في السداد</t>
        </is>
      </c>
      <c r="D120" s="55" t="n">
        <v>0.055</v>
      </c>
      <c r="E120" s="55" t="n">
        <v>0.05</v>
      </c>
      <c r="F120" s="56" t="n">
        <v>0.9090909090909092</v>
      </c>
      <c r="G120" s="12" t="n">
        <v>0.09090909090909083</v>
      </c>
      <c r="H120" s="55" t="n">
        <v>0.055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إدارة المشاريع</t>
        </is>
      </c>
      <c r="C121" s="21" t="inlineStr">
        <is>
          <t>نسبة المشاريع المنفّذة ضمن الميزانية</t>
        </is>
      </c>
      <c r="D121" s="55" t="n">
        <v>0.774</v>
      </c>
      <c r="E121" s="55" t="n">
        <v>0.85</v>
      </c>
      <c r="F121" s="56" t="n">
        <v>0.9105882352941177</v>
      </c>
      <c r="G121" s="12" t="n">
        <v>0.0894117647058823</v>
      </c>
      <c r="H121" s="55" t="n">
        <v>0.774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إدارة المشاريع</t>
        </is>
      </c>
      <c r="M121" s="57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نسبة المحطات المستوفية لمعايير السلامة</t>
        </is>
      </c>
      <c r="D122" s="55" t="n">
        <v>0.911</v>
      </c>
      <c r="E122" s="55" t="n">
        <v>1</v>
      </c>
      <c r="F122" s="56" t="n">
        <v>0.911</v>
      </c>
      <c r="G122" s="12" t="n">
        <v>0.08899999999999997</v>
      </c>
      <c r="H122" s="55" t="n">
        <v>0.911</v>
      </c>
      <c r="I122" s="15" t="inlineStr">
        <is>
          <t>🔴 تحت الهدف</t>
        </is>
      </c>
      <c r="J122" s="11" t="inlineStr">
        <is>
          <t>انحراف جوهري — أولوية عاجلة.</t>
        </is>
      </c>
      <c r="K122" s="11" t="inlineStr">
        <is>
          <t>إجراء تصحيحي خلال 30 يوماً.</t>
        </is>
      </c>
      <c r="L122" s="15" t="inlineStr">
        <is>
          <t>مدير الامتياز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انخفاض الشكاوى التشغيلية والإدارية</t>
        </is>
      </c>
      <c r="D123" s="55" t="n">
        <v>0.274</v>
      </c>
      <c r="E123" s="55" t="n">
        <v>0.3</v>
      </c>
      <c r="F123" s="56" t="n">
        <v>0.9133333333333334</v>
      </c>
      <c r="G123" s="12" t="n">
        <v>0.08666666666666656</v>
      </c>
      <c r="H123" s="55" t="n">
        <v>0.274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متوسط وقت معالجة البلاغات التشغيلية</t>
        </is>
      </c>
      <c r="D124" s="55" t="n">
        <v>26.2</v>
      </c>
      <c r="E124" s="55" t="n">
        <v>24</v>
      </c>
      <c r="F124" s="56" t="n">
        <v>0.916030534351145</v>
      </c>
      <c r="G124" s="12" t="n">
        <v>0.08396946564885499</v>
      </c>
      <c r="H124" s="55" t="n">
        <v>26.2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سلاسل الإمداد</t>
        </is>
      </c>
      <c r="C125" s="21" t="inlineStr">
        <is>
          <t>دقة أوامر الشراء ومستنداتها</t>
        </is>
      </c>
      <c r="D125" s="55" t="n">
        <v>0.905</v>
      </c>
      <c r="E125" s="55" t="n">
        <v>0.98</v>
      </c>
      <c r="F125" s="56" t="n">
        <v>0.9234693877551021</v>
      </c>
      <c r="G125" s="12" t="n">
        <v>0.07653061224489788</v>
      </c>
      <c r="H125" s="55" t="n">
        <v>0.905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سلاسل الإمداد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إغلاق ملاحظات الجودة الميدانية</t>
        </is>
      </c>
      <c r="D126" s="55" t="n">
        <v>0.879</v>
      </c>
      <c r="E126" s="55" t="n">
        <v>0.95</v>
      </c>
      <c r="F126" s="56" t="n">
        <v>0.9252631578947369</v>
      </c>
      <c r="G126" s="12" t="n">
        <v>0.0747368421052631</v>
      </c>
      <c r="H126" s="55" t="n">
        <v>0.879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الجودة</t>
        </is>
      </c>
      <c r="C127" s="21" t="inlineStr">
        <is>
          <t>نسبة اكتمال سجل مخاطر وملاحظات الجودة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الجودة</t>
        </is>
      </c>
      <c r="M127" s="57" t="n"/>
    </row>
    <row r="128">
      <c r="A128" s="15" t="n">
        <v>126</v>
      </c>
      <c r="B128" s="13" t="inlineStr">
        <is>
          <t>إدارة المشاريع</t>
        </is>
      </c>
      <c r="C128" s="21" t="inlineStr">
        <is>
          <t>متوسط مدة إغلاق قائمة الملاحظات النهائية</t>
        </is>
      </c>
      <c r="D128" s="55" t="n">
        <v>32.4</v>
      </c>
      <c r="E128" s="55" t="n">
        <v>30</v>
      </c>
      <c r="F128" s="56" t="n">
        <v>0.9259259259259259</v>
      </c>
      <c r="G128" s="12" t="n">
        <v>0.07407407407407407</v>
      </c>
      <c r="H128" s="55" t="n">
        <v>32.4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57" t="n"/>
    </row>
    <row r="129">
      <c r="A129" s="15" t="n">
        <v>127</v>
      </c>
      <c r="B129" s="13" t="inlineStr">
        <is>
          <t>الامتياز التجاري</t>
        </is>
      </c>
      <c r="C129" s="21" t="inlineStr">
        <is>
          <t>متوسط درجة تقييم جودة المحطة (قائمة التحقق)</t>
        </is>
      </c>
      <c r="D129" s="55" t="n">
        <v>78.8</v>
      </c>
      <c r="E129" s="55" t="n">
        <v>85</v>
      </c>
      <c r="F129" s="56" t="n">
        <v>0.9270588235294117</v>
      </c>
      <c r="G129" s="12" t="n">
        <v>0.07294117647058829</v>
      </c>
      <c r="H129" s="55" t="n">
        <v>78.8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الامتياز</t>
        </is>
      </c>
      <c r="M129" s="57" t="n"/>
    </row>
    <row r="130">
      <c r="A130" s="15" t="n">
        <v>128</v>
      </c>
      <c r="B130" s="13" t="inlineStr">
        <is>
          <t>التسويق</t>
        </is>
      </c>
      <c r="C130" s="21" t="inlineStr">
        <is>
          <t>معدل احتفاظ مستخدمي تانكي</t>
        </is>
      </c>
      <c r="D130" s="55" t="n">
        <v>0.372</v>
      </c>
      <c r="E130" s="55" t="n">
        <v>0.4</v>
      </c>
      <c r="F130" s="56" t="n">
        <v>0.9299999999999999</v>
      </c>
      <c r="G130" s="12" t="n">
        <v>0.07000000000000006</v>
      </c>
      <c r="H130" s="55" t="n">
        <v>0.372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التسويق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انخفاض معدل الشكاوى التشغيلية</t>
        </is>
      </c>
      <c r="D131" s="55" t="n">
        <v>0.187</v>
      </c>
      <c r="E131" s="55" t="n">
        <v>0.2</v>
      </c>
      <c r="F131" s="56" t="n">
        <v>0.9349999999999999</v>
      </c>
      <c r="G131" s="12" t="n">
        <v>0.06500000000000006</v>
      </c>
      <c r="H131" s="55" t="n">
        <v>0.187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العقار</t>
        </is>
      </c>
      <c r="C132" s="21" t="inlineStr">
        <is>
          <t>نسبة إغلاق طلبات الخدمة خلال المدة</t>
        </is>
      </c>
      <c r="D132" s="55" t="n">
        <v>0.846</v>
      </c>
      <c r="E132" s="55" t="n">
        <v>0.9</v>
      </c>
      <c r="F132" s="56" t="n">
        <v>0.9399999999999999</v>
      </c>
      <c r="G132" s="12" t="n">
        <v>0.06000000000000005</v>
      </c>
      <c r="H132" s="55" t="n">
        <v>0.846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العقار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عدد محطات الشركة المُسلَّمة</t>
        </is>
      </c>
      <c r="D133" s="55" t="n">
        <v>18.8</v>
      </c>
      <c r="E133" s="55" t="n">
        <v>20</v>
      </c>
      <c r="F133" s="56" t="n">
        <v>0.9400000000000001</v>
      </c>
      <c r="G133" s="12" t="n">
        <v>0.05999999999999994</v>
      </c>
      <c r="H133" s="55" t="n">
        <v>37.6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الإدارة القانونية</t>
        </is>
      </c>
      <c r="C134" s="21" t="inlineStr">
        <is>
          <t>متوسط زمن إغلاق قضية التحقيق</t>
        </is>
      </c>
      <c r="D134" s="55" t="n">
        <v>31.9</v>
      </c>
      <c r="E134" s="55" t="n">
        <v>30</v>
      </c>
      <c r="F134" s="56" t="n">
        <v>0.9404388714733543</v>
      </c>
      <c r="G134" s="12" t="n">
        <v>0.05956112852664575</v>
      </c>
      <c r="H134" s="55" t="n">
        <v>31.9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القانوني</t>
        </is>
      </c>
      <c r="M134" s="57" t="n"/>
    </row>
    <row r="135">
      <c r="A135" s="15" t="n">
        <v>133</v>
      </c>
      <c r="B135" s="13" t="inlineStr">
        <is>
          <t>سلاسل الإمداد</t>
        </is>
      </c>
      <c r="C135" s="21" t="inlineStr">
        <is>
          <t>نسبة تغطية مخزون الوقود بالأيام</t>
        </is>
      </c>
      <c r="D135" s="55" t="n">
        <v>4.706</v>
      </c>
      <c r="E135" s="55" t="n">
        <v>5</v>
      </c>
      <c r="F135" s="56" t="n">
        <v>0.9412</v>
      </c>
      <c r="G135" s="12" t="n">
        <v>0.05879999999999996</v>
      </c>
      <c r="H135" s="55" t="n">
        <v>4.706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سلاسل الإمداد</t>
        </is>
      </c>
      <c r="M135" s="57" t="n"/>
    </row>
    <row r="136">
      <c r="A136" s="15" t="n">
        <v>134</v>
      </c>
      <c r="B136" s="13" t="inlineStr">
        <is>
          <t>الصيانة والأتمتة</t>
        </is>
      </c>
      <c r="C136" s="21" t="inlineStr">
        <is>
          <t>نسبة استمرارية تشغيل المحطات دون توقف فني</t>
        </is>
      </c>
      <c r="D136" s="55" t="n">
        <v>0.9320000000000001</v>
      </c>
      <c r="E136" s="55" t="n">
        <v>0.99</v>
      </c>
      <c r="F136" s="56" t="n">
        <v>0.9414141414141415</v>
      </c>
      <c r="G136" s="12" t="n">
        <v>0.05858585858585852</v>
      </c>
      <c r="H136" s="55" t="n">
        <v>0.9320000000000001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الصيانة والأتمتة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 (Retention)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SLA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 (Sentiment)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 SOPs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SLA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 SLA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Google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 (Time-to-Lease)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تحصيل الإيجارات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0.95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المتأخرات في السداد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0.05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متوسط زمن تسليم الوحدة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7" t="n">
        <v>7</v>
      </c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9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70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إغلاق طلبات الخدمة خلال المدة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رضا المستأجرين (استبيان ربعي)</t>
        </is>
      </c>
      <c r="D78" s="15" t="inlineStr">
        <is>
          <t>ربعي</t>
        </is>
      </c>
      <c r="E78" s="15" t="inlineStr">
        <is>
          <t>معدل</t>
        </is>
      </c>
      <c r="F78" s="55" t="inlineStr">
        <is>
          <t>↑</t>
        </is>
      </c>
      <c r="G78" s="64" t="n">
        <v>0.9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هدف",IF($U78&gt;=0.9,"✅ محقق",IF($U78&gt;=0.75,"🟡 قريب","🔴 تحت الهدف")))</f>
        <v/>
      </c>
      <c r="W78" s="66">
        <f>IF($G78="","",$G78)</f>
        <v/>
      </c>
      <c r="X78" s="59">
        <f>IF($U78="","—",IF($U78&gt;=0.75,"🟢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معدل استبقاء المستأجرين (تجديد وبلا إنهاء مبكر)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0.85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نسبة تأجير ساحة درب</t>
        </is>
      </c>
      <c r="D80" s="15" t="inlineStr">
        <is>
          <t>شهري</t>
        </is>
      </c>
      <c r="E80" s="15" t="inlineStr">
        <is>
          <t>لقطة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IFERROR(LOOKUP(2,1/($H80:$S80&lt;&gt;""),$H80:$S80),"")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عدد العلامات التجارية الجديدة بالساحة</t>
        </is>
      </c>
      <c r="D81" s="15" t="inlineStr">
        <is>
          <t>شهري</t>
        </is>
      </c>
      <c r="E81" s="15" t="inlineStr">
        <is>
          <t>تراكمي</t>
        </is>
      </c>
      <c r="F81" s="55" t="inlineStr">
        <is>
          <t>↑</t>
        </is>
      </c>
      <c r="G81" s="60" t="n">
        <v>6</v>
      </c>
      <c r="H81" s="61" t="n"/>
      <c r="I81" s="61" t="n"/>
      <c r="J81" s="61" t="n"/>
      <c r="K81" s="61" t="n"/>
      <c r="L81" s="61" t="n"/>
      <c r="M81" s="61" t="n"/>
      <c r="N81" s="61" t="n"/>
      <c r="O81" s="61" t="n"/>
      <c r="P81" s="61" t="n"/>
      <c r="Q81" s="61" t="n"/>
      <c r="R81" s="61" t="n"/>
      <c r="S81" s="61" t="n"/>
      <c r="T81" s="62">
        <f>IF(COUNT($H81:$S81)=0,"",SUM($H81:$S81))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3">
        <f>IF($G81="","",$G81*COUNT($H81:$S81)/12)</f>
        <v/>
      </c>
      <c r="X81" s="59">
        <f>IF($U81="","—",IF($U81&gt;=COUNT($H81:$S81)/12,"🟢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عدد محطات الشركة المُسلَّمة</t>
        </is>
      </c>
      <c r="D82" s="15" t="inlineStr">
        <is>
          <t>شهري</t>
        </is>
      </c>
      <c r="E82" s="15" t="inlineStr">
        <is>
          <t>تراكمي</t>
        </is>
      </c>
      <c r="F82" s="55" t="inlineStr">
        <is>
          <t>↑</t>
        </is>
      </c>
      <c r="G82" s="60" t="n">
        <v>20</v>
      </c>
      <c r="H82" s="61" t="n"/>
      <c r="I82" s="61" t="n"/>
      <c r="J82" s="61" t="n"/>
      <c r="K82" s="61" t="n"/>
      <c r="L82" s="61" t="n"/>
      <c r="M82" s="61" t="n"/>
      <c r="N82" s="61" t="n"/>
      <c r="O82" s="61" t="n"/>
      <c r="P82" s="61" t="n"/>
      <c r="Q82" s="61" t="n"/>
      <c r="R82" s="61" t="n"/>
      <c r="S82" s="61" t="n"/>
      <c r="T82" s="62">
        <f>IF(COUNT($H82:$S82)=0,"",SUM($H82:$S82))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3">
        <f>IF($G82="","",$G82*COUNT($H82:$S82)/12)</f>
        <v/>
      </c>
      <c r="X82" s="59">
        <f>IF($U82="","—",IF($U82&gt;=COUNT($H82:$S82)/12,"🟢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إنجاز محفظة مشاريع التوسع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0.7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تسليم المحطات في الموعد المخطط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0.8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المشاريع المنفّذة ضمن الميزانية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عدد محطات الامتياز المُسلَّمة بالهوية</t>
        </is>
      </c>
      <c r="D86" s="15" t="inlineStr">
        <is>
          <t>شهري</t>
        </is>
      </c>
      <c r="E86" s="15" t="inlineStr">
        <is>
          <t>تراكمي</t>
        </is>
      </c>
      <c r="F86" s="55" t="inlineStr">
        <is>
          <t>↑</t>
        </is>
      </c>
      <c r="G86" s="60" t="n">
        <v>40</v>
      </c>
      <c r="H86" s="61" t="n"/>
      <c r="I86" s="61" t="n"/>
      <c r="J86" s="61" t="n"/>
      <c r="K86" s="61" t="n"/>
      <c r="L86" s="61" t="n"/>
      <c r="M86" s="61" t="n"/>
      <c r="N86" s="61" t="n"/>
      <c r="O86" s="61" t="n"/>
      <c r="P86" s="61" t="n"/>
      <c r="Q86" s="61" t="n"/>
      <c r="R86" s="61" t="n"/>
      <c r="S86" s="61" t="n"/>
      <c r="T86" s="62">
        <f>IF(COUNT($H86:$S86)=0,"",SUM($H86:$S86))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3">
        <f>IF($G86="","",$G86*COUNT($H86:$S86)/12)</f>
        <v/>
      </c>
      <c r="X86" s="59">
        <f>IF($U86="","—",IF($U86&gt;=COUNT($H86:$S86)/12,"🟢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تنفيذ زيارات الإشراف المجدولة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التزام المطوّرين بالجدول الزمني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0.75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إغلاق ملاحظات الجودة على المطوّرين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المشاريع الخالية من مخالفات الجودة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عدد مخالفات المقاولين (سنوي)</t>
        </is>
      </c>
      <c r="D91" s="15" t="inlineStr">
        <is>
          <t>شهري</t>
        </is>
      </c>
      <c r="E91" s="15" t="inlineStr">
        <is>
          <t>تراكمي</t>
        </is>
      </c>
      <c r="F91" s="55" t="inlineStr">
        <is>
          <t>↓</t>
        </is>
      </c>
      <c r="G91" s="60" t="n">
        <v>10</v>
      </c>
      <c r="H91" s="61" t="n"/>
      <c r="I91" s="61" t="n"/>
      <c r="J91" s="61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2">
        <f>IF(COUNT($H91:$S91)=0,"",SUM($H91:$S91))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3">
        <f>IF($G91="","",$G91*COUNT($H91:$S91)/12)</f>
        <v/>
      </c>
      <c r="X91" s="59">
        <f>IF($U91="","—",IF($U91&gt;=COUNT($H91:$S91)/12,"🟢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التزام المقاولين بمعايير السلامة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0.95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محقق",IF($U92&gt;=0.97,"🟡 قريب","🔴 تحت الهدف")))</f>
        <v/>
      </c>
      <c r="W92" s="66">
        <f>IF($G92="","",$G92)</f>
        <v/>
      </c>
      <c r="X92" s="59">
        <f>IF($U92="","—",IF($U92&gt;=0.97,"🟢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الالتزام بالميزانية المعتمدة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1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الالتزام بالجدول الزمني العام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متوسط مدة إغلاق قائمة الملاحظات النهائية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30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تلبية طلبات المحطات من الوقود Fill Rate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0.98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عدد انقطاعات التوريد المؤثرة شهريًا</t>
        </is>
      </c>
      <c r="D97" s="15" t="inlineStr">
        <is>
          <t>شهري</t>
        </is>
      </c>
      <c r="E97" s="15" t="inlineStr">
        <is>
          <t>تراكمي</t>
        </is>
      </c>
      <c r="F97" s="55" t="inlineStr">
        <is>
          <t>↓</t>
        </is>
      </c>
      <c r="G97" s="60" t="n">
        <v>0</v>
      </c>
      <c r="H97" s="61" t="n"/>
      <c r="I97" s="61" t="n"/>
      <c r="J97" s="61" t="n"/>
      <c r="K97" s="61" t="n"/>
      <c r="L97" s="61" t="n"/>
      <c r="M97" s="61" t="n"/>
      <c r="N97" s="61" t="n"/>
      <c r="O97" s="61" t="n"/>
      <c r="P97" s="61" t="n"/>
      <c r="Q97" s="61" t="n"/>
      <c r="R97" s="61" t="n"/>
      <c r="S97" s="61" t="n"/>
      <c r="T97" s="62">
        <f>IF(COUNT($H97:$S97)=0,"",SUM($H97:$S97))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3">
        <f>IF($G97="","",$G97*COUNT($H97:$S97)/12)</f>
        <v/>
      </c>
      <c r="X97" s="59">
        <f>IF($U97="","—",IF($U97&gt;=COUNT($H97:$S97)/12,"🟢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تغطية مخزون الوقود بالأيام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7" t="n">
        <v>5</v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9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70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توفر المواد المخزنية والحرجة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المواد الراكدة من المخزون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↓</t>
        </is>
      </c>
      <c r="G100" s="64" t="n">
        <v>0.05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دقة أوامر الشراء ومستنداتها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إنجاز أوامر الشراء خلال المدة المستهدفة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بزمن التسليم والتوريد للمحطات والإدارات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جاهزية الإمداد للمحطات الجديدة وخطط الافتتاح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1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محقق",IF($U104&gt;=0.97,"🟡 قريب","🔴 تحت الهدف")))</f>
        <v/>
      </c>
      <c r="W104" s="66">
        <f>IF($G104="","",$G104)</f>
        <v/>
      </c>
      <c r="X104" s="59">
        <f>IF($U104="","—",IF($U104&gt;=0.97,"🟢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بجدول النقل واستخدام الأسطول بكفاءة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كفاءة إدارة الموردين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مستوى رضا الإدارات عن خدمات سلاسل الإمداد</t>
        </is>
      </c>
      <c r="D107" s="15" t="inlineStr">
        <is>
          <t>ربعي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0.85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هدف",IF($U107&gt;=0.9,"✅ محقق",IF($U107&gt;=0.75,"🟡 قريب","🔴 تحت الهدف")))</f>
        <v/>
      </c>
      <c r="W107" s="66">
        <f>IF($G107="","",$G107)</f>
        <v/>
      </c>
      <c r="X107" s="59">
        <f>IF($U107="","—",IF($U107&gt;=0.75,"🟢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الجاهزية الفنية للأصول والمعدات (Availability)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0.98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محقق",IF($U108&gt;=0.97,"🟡 قريب","🔴 تحت الهدف")))</f>
        <v/>
      </c>
      <c r="W108" s="66">
        <f>IF($G108="","",$G108)</f>
        <v/>
      </c>
      <c r="X108" s="59">
        <f>IF($U108="","—",IF($U108&gt;=0.97,"🟢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تنفيذ الصيانة الوقائية في موعدها (PM)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إغلاق بلاغات الصيانة ضمن اتفاقية الخدمة (SLA)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متوسط زمن الاستجابة للبلاغات الطارئة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7" t="n">
        <v>30</v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9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70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متوسط زمن إصلاح الأعطال (MTTR)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7" t="n">
        <v>4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معدل تكرار الأعطال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4" t="n">
        <v>0.05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استمرارية تشغيل المحطات دون توقف فني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0.99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التشغيل السليم لأنظمة الأتمتة (Uptime)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محقق",IF($U115&gt;=0.97,"🟡 قريب","🔴 تحت الهدف")))</f>
        <v/>
      </c>
      <c r="W115" s="66">
        <f>IF($G115="","",$G115)</f>
        <v/>
      </c>
      <c r="X115" s="59">
        <f>IF($U115="","—",IF($U115&gt;=0.97,"🟢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استعادة أنظمة الأتمتة ضمن الزمن المحدد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كفاءة تكاليف الصيانة (الالتزام بالميزانية)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توفر الأنظمة والخدمات التقنية المركزية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معالجة الأعطال وطلبات الدعم الفني ضمن المدة المستهدفة SLA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استقرار التشغيل التقني للمحطات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إنجاز مشاريع التحول الرقمي والمشاريع التقنية حسب الخطة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تسليم المشاريع التقنية ضمن الوقت والميزانية ونطاق العمل المعتمد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الالتزام بإدارة صلاحيات المستخدمين والحسابات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1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نجاح النسخ الاحتياطي واختبارات استعادة البيانات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1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الامتثال لضوابط الأمن السيبراني الأساسية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محقق",IF($U125&gt;=0.97,"🟡 قريب","🔴 تحت الهدف")))</f>
        <v/>
      </c>
      <c r="W125" s="66">
        <f>IF($G125="","",$G125)</f>
        <v/>
      </c>
      <c r="X125" s="59">
        <f>IF($U125="","—",IF($U125&gt;=0.97,"🟢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دقة وتكامل البيانات بين الأنظمة الرقمية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الالتزام بتحديث وتوثيق أصول تقنية المعلومات والتراخيص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تنفيذ الصيانة الوقائية للأجهزة والبنية التقنية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مستوى رضا الإدارات والمستخدمين عن خدمات تقنية المعلومات</t>
        </is>
      </c>
      <c r="D129" s="15" t="inlineStr">
        <is>
          <t>ربعي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0.85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هدف",IF($U129&gt;=0.9,"✅ محقق",IF($U129&gt;=0.75,"🟡 قريب","🔴 تحت الهدف")))</f>
        <v/>
      </c>
      <c r="W129" s="66">
        <f>IF($G129="","",$G129)</f>
        <v/>
      </c>
      <c r="X129" s="59">
        <f>IF($U129="","—",IF($U129&gt;=0.75,"🟢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بالتوطين والامتثال الحكومي دون مخالفات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محقق",IF($U130&gt;=0.97,"🟡 قريب","🔴 تحت الهدف")))</f>
        <v/>
      </c>
      <c r="W130" s="66">
        <f>IF($G130="","",$G130)</f>
        <v/>
      </c>
      <c r="X130" s="59">
        <f>IF($U130="","—",IF($U130&gt;=0.97,"🟢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بنظام العمل واللوائح وخطة القوى العاملة المعتمدة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بتجديد الوثائق واكتمال ملفات الموظفين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إنجاز معاملات شؤون الموظفين ضمن المدة المستهدفة SLA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جاهزية وتغطية عمالة المحطات حسب خطة التشغيل والافتتاحات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محقق",IF($U134&gt;=0.97,"🟡 قريب","🔴 تحت الهدف")))</f>
        <v/>
      </c>
      <c r="W134" s="66">
        <f>IF($G134="","",$G134)</f>
        <v/>
      </c>
      <c r="X134" s="59">
        <f>IF($U134="","—",IF($U134&gt;=0.97,"🟢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متوسط مدة إغلاق الشواغر المعتمدة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↓</t>
        </is>
      </c>
      <c r="G135" s="67" t="n">
        <v>30</v>
      </c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68" t="n"/>
      <c r="Q135" s="68" t="n"/>
      <c r="R135" s="68" t="n"/>
      <c r="S135" s="68" t="n"/>
      <c r="T135" s="69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70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نجاح التعيينات الجديدة خلال فترة التجربة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كفاءة تكلفة القوى العاملة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دقة الرواتب والمستحقات الشهرية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معدل دوران الموظفين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↓</t>
        </is>
      </c>
      <c r="G139" s="64" t="n">
        <v>0.1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تنفيذ برامج التدريب والتأهيل المعتمدة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إغلاق تقييمات الأداء وخطط الإحلال للوظائف الحرجة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عملاء تجاريون جدد</t>
        </is>
      </c>
      <c r="D142" s="15" t="inlineStr">
        <is>
          <t>شهري</t>
        </is>
      </c>
      <c r="E142" s="15" t="inlineStr">
        <is>
          <t>تراكمي</t>
        </is>
      </c>
      <c r="F142" s="55" t="inlineStr">
        <is>
          <t>↑</t>
        </is>
      </c>
      <c r="G142" s="60" t="n">
        <v>200</v>
      </c>
      <c r="H142" s="61" t="n"/>
      <c r="I142" s="61" t="n"/>
      <c r="J142" s="61" t="n"/>
      <c r="K142" s="61" t="n"/>
      <c r="L142" s="61" t="n"/>
      <c r="M142" s="61" t="n"/>
      <c r="N142" s="61" t="n"/>
      <c r="O142" s="61" t="n"/>
      <c r="P142" s="61" t="n"/>
      <c r="Q142" s="61" t="n"/>
      <c r="R142" s="61" t="n"/>
      <c r="S142" s="61" t="n"/>
      <c r="T142" s="62">
        <f>IF(COUNT($H142:$S142)=0,"",SUM($H142:$S142))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3">
        <f>IF($G142="","",$G142*COUNT($H142:$S142)/12)</f>
        <v/>
      </c>
      <c r="X142" s="59">
        <f>IF($U142="","—",IF($U142&gt;=COUNT($H142:$S142)/12,"🟢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تكلفة اكتساب العميل (CAC)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↓</t>
        </is>
      </c>
      <c r="G143" s="55" t="n"/>
      <c r="H143" s="68" t="n"/>
      <c r="I143" s="68" t="n"/>
      <c r="J143" s="68" t="n"/>
      <c r="K143" s="68" t="n"/>
      <c r="L143" s="68" t="n"/>
      <c r="M143" s="68" t="n"/>
      <c r="N143" s="68" t="n"/>
      <c r="O143" s="68" t="n"/>
      <c r="P143" s="68" t="n"/>
      <c r="Q143" s="68" t="n"/>
      <c r="R143" s="68" t="n"/>
      <c r="S143" s="68" t="n"/>
      <c r="T143" s="69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70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العائد على الإنفاق التسويقي (ROMI)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7" t="n">
        <v>3</v>
      </c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68" t="n"/>
      <c r="Q144" s="68" t="n"/>
      <c r="R144" s="68" t="n"/>
      <c r="S144" s="68" t="n"/>
      <c r="T144" s="69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70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تحويل الفرص التسويقية إلى عقود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نمو الوصول المؤهل</t>
        </is>
      </c>
      <c r="D146" s="15" t="inlineStr">
        <is>
          <t>ربعي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0.2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هدف",IF($U146&gt;=0.9,"✅ محقق",IF($U146&gt;=0.75,"🟡 قريب","🔴 تحت الهدف")))</f>
        <v/>
      </c>
      <c r="W146" s="66">
        <f>IF($G146="","",$G146)</f>
        <v/>
      </c>
      <c r="X146" s="59">
        <f>IF($U146="","—",IF($U146&gt;=0.75,"🟢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وصول العلاقات العامة (PR)</t>
        </is>
      </c>
      <c r="D147" s="15" t="inlineStr">
        <is>
          <t>شهري</t>
        </is>
      </c>
      <c r="E147" s="15" t="inlineStr">
        <is>
          <t>لقطة</t>
        </is>
      </c>
      <c r="F147" s="55" t="inlineStr">
        <is>
          <t>↑</t>
        </is>
      </c>
      <c r="G147" s="60" t="n">
        <v>7000000</v>
      </c>
      <c r="H147" s="61" t="n"/>
      <c r="I147" s="61" t="n"/>
      <c r="J147" s="61" t="n"/>
      <c r="K147" s="61" t="n"/>
      <c r="L147" s="61" t="n"/>
      <c r="M147" s="61" t="n"/>
      <c r="N147" s="61" t="n"/>
      <c r="O147" s="61" t="n"/>
      <c r="P147" s="61" t="n"/>
      <c r="Q147" s="61" t="n"/>
      <c r="R147" s="61" t="n"/>
      <c r="S147" s="61" t="n"/>
      <c r="T147" s="62">
        <f>IFERROR(LOOKUP(2,1/($H147:$S147&lt;&gt;""),$H147:$S147),"")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3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معدل التفاعل (Engagement)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نمو المتابعين النشطين</t>
        </is>
      </c>
      <c r="D149" s="15" t="inlineStr">
        <is>
          <t>ربعي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0.2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6">
        <f>IF($G149="","",$G149)</f>
        <v/>
      </c>
      <c r="X149" s="59">
        <f>IF($U149="","—",IF($U149&gt;=0.75,"🟢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نسبة الالتزام بالهوية البصرية</t>
        </is>
      </c>
      <c r="D150" s="15" t="inlineStr">
        <is>
          <t>شهري</t>
        </is>
      </c>
      <c r="E150" s="15" t="inlineStr">
        <is>
          <t>لقطة</t>
        </is>
      </c>
      <c r="F150" s="55" t="inlineStr">
        <is>
          <t>↑</t>
        </is>
      </c>
      <c r="G150" s="64" t="n">
        <v>1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IFERROR(LOOKUP(2,1/($H150:$S150&lt;&gt;""),$H150:$S150),"")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نسبة المشاعر الإيجابية للعلامة (Sentiment)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0.8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المستخدمون النشطون شهرياً (MAU)</t>
        </is>
      </c>
      <c r="D152" s="15" t="inlineStr">
        <is>
          <t>شهري</t>
        </is>
      </c>
      <c r="E152" s="15" t="inlineStr">
        <is>
          <t>لقطة</t>
        </is>
      </c>
      <c r="F152" s="55" t="inlineStr">
        <is>
          <t>↑</t>
        </is>
      </c>
      <c r="G152" s="60" t="n">
        <v>100000</v>
      </c>
      <c r="H152" s="61" t="n"/>
      <c r="I152" s="61" t="n"/>
      <c r="J152" s="61" t="n"/>
      <c r="K152" s="61" t="n"/>
      <c r="L152" s="61" t="n"/>
      <c r="M152" s="61" t="n"/>
      <c r="N152" s="61" t="n"/>
      <c r="O152" s="61" t="n"/>
      <c r="P152" s="61" t="n"/>
      <c r="Q152" s="61" t="n"/>
      <c r="R152" s="61" t="n"/>
      <c r="S152" s="61" t="n"/>
      <c r="T152" s="62">
        <f>IFERROR(LOOKUP(2,1/($H152:$S152&lt;&gt;""),$H152:$S152),"")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3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معدل احتفاظ مستخدمي تانكي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0.4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نسبة تنفيذ خطة الزيارات الميدانية للمحطات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0.95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عدد الملاحظات الميدانية المرصودة والمصنفة حسب الخطورة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55" t="n"/>
      <c r="H155" s="61" t="n"/>
      <c r="I155" s="61" t="n"/>
      <c r="J155" s="61" t="n"/>
      <c r="K155" s="61" t="n"/>
      <c r="L155" s="61" t="n"/>
      <c r="M155" s="61" t="n"/>
      <c r="N155" s="61" t="n"/>
      <c r="O155" s="61" t="n"/>
      <c r="P155" s="61" t="n"/>
      <c r="Q155" s="61" t="n"/>
      <c r="R155" s="61" t="n"/>
      <c r="S155" s="61" t="n"/>
      <c r="T155" s="62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3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تغطية المحطات بالزيارات الشهرية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اكتمال تقارير الزيارة الميدانية بالصور والأدلة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إصدار تقارير الزيارات خلال المدة المحددة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الزيارات المفاجئة من إجمالي الزيارات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إغلاق الملاحظات ضمن SLA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التحقق من إغلاق الملاحظات ميدانيًا أو بالصور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الملاحظات المتأخرة عن الإغلاق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4" t="n">
        <v>0.05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الملاحظات المتكررة في نفس المحطة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4" t="n">
        <v>0.05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متوسط زمن إغلاق الملاحظات الحرجة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7" t="n">
        <v>7</v>
      </c>
      <c r="H164" s="68" t="n"/>
      <c r="I164" s="68" t="n"/>
      <c r="J164" s="68" t="n"/>
      <c r="K164" s="68" t="n"/>
      <c r="L164" s="68" t="n"/>
      <c r="M164" s="68" t="n"/>
      <c r="N164" s="68" t="n"/>
      <c r="O164" s="68" t="n"/>
      <c r="P164" s="68" t="n"/>
      <c r="Q164" s="68" t="n"/>
      <c r="R164" s="68" t="n"/>
      <c r="S164" s="68" t="n"/>
      <c r="T164" s="69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70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تنفيذ خطة التدقيق الداخلي</t>
        </is>
      </c>
      <c r="D165" s="15" t="inlineStr">
        <is>
          <t>ربعي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0.95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إغلاق ملاحظات التدقيق الداخلي ضمن المدة</t>
        </is>
      </c>
      <c r="D166" s="15" t="inlineStr">
        <is>
          <t>ربعي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عدد حالات عدم المطابقة المتكررة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0" t="n">
        <v>0</v>
      </c>
      <c r="H167" s="61" t="n"/>
      <c r="I167" s="61" t="n"/>
      <c r="J167" s="61" t="n"/>
      <c r="K167" s="61" t="n"/>
      <c r="L167" s="61" t="n"/>
      <c r="M167" s="61" t="n"/>
      <c r="N167" s="61" t="n"/>
      <c r="O167" s="61" t="n"/>
      <c r="P167" s="61" t="n"/>
      <c r="Q167" s="61" t="n"/>
      <c r="R167" s="61" t="n"/>
      <c r="S167" s="61" t="n"/>
      <c r="T167" s="62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محقق",IF($U167&gt;=0.97,"🟡 قريب","🔴 تحت الهدف")))</f>
        <v/>
      </c>
      <c r="W167" s="63">
        <f>IF($G167="","",$G167)</f>
        <v/>
      </c>
      <c r="X167" s="59">
        <f>IF($U167="","—",IF($U167&gt;=0.97,"🟢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فاعلية الإجراءات التصحيحية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متوسط زمن إغلاق حالات عدم المطابقة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7" t="n">
        <v>7</v>
      </c>
      <c r="H169" s="68" t="n"/>
      <c r="I169" s="68" t="n"/>
      <c r="J169" s="68" t="n"/>
      <c r="K169" s="68" t="n"/>
      <c r="L169" s="68" t="n"/>
      <c r="M169" s="68" t="n"/>
      <c r="N169" s="68" t="n"/>
      <c r="O169" s="68" t="n"/>
      <c r="P169" s="68" t="n"/>
      <c r="Q169" s="68" t="n"/>
      <c r="R169" s="68" t="n"/>
      <c r="S169" s="68" t="n"/>
      <c r="T169" s="69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محقق",IF($U169&gt;=0.97,"🟡 قريب","🔴 تحت الهدف")))</f>
        <v/>
      </c>
      <c r="W169" s="70">
        <f>IF($G169="","",$G169)</f>
        <v/>
      </c>
      <c r="X169" s="59">
        <f>IF($U169="","—",IF($U169&gt;=0.97,"🟢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مراجعة وتحديث الإجراءات والسياسات حسب الخطة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اكتمال توثيق إجراءات الإدارات المستهدفة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اعتماد النماذج والإجراءات الجديدة أو المحدثة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عدد حالات استخدام نماذج أو إجراءات غير معتمدة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↓</t>
        </is>
      </c>
      <c r="G173" s="60" t="n">
        <v>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نشر وتعميم الإجراءات المعتمدة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عدد فرص التحسين المستخرجة من الزيارات والتدقيق</t>
        </is>
      </c>
      <c r="D175" s="15" t="inlineStr">
        <is>
          <t>ربعي</t>
        </is>
      </c>
      <c r="E175" s="15" t="inlineStr">
        <is>
          <t>معدل</t>
        </is>
      </c>
      <c r="F175" s="55" t="inlineStr">
        <is>
          <t>↑</t>
        </is>
      </c>
      <c r="G175" s="55" t="n"/>
      <c r="H175" s="61" t="n"/>
      <c r="I175" s="61" t="n"/>
      <c r="J175" s="61" t="n"/>
      <c r="K175" s="61" t="n"/>
      <c r="L175" s="61" t="n"/>
      <c r="M175" s="61" t="n"/>
      <c r="N175" s="61" t="n"/>
      <c r="O175" s="61" t="n"/>
      <c r="P175" s="61" t="n"/>
      <c r="Q175" s="61" t="n"/>
      <c r="R175" s="61" t="n"/>
      <c r="S175" s="61" t="n"/>
      <c r="T175" s="62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3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تنفيذ مبادرات التحسين المعتمدة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انخفاض تكرار الملاحظات بعد التحسين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التقارير التحليلية الشهرية للجودة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الدروس المستفادة المعممة على الإدارات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55" t="n"/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أتمتة قوائم الفحص وتقارير الزيارات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تحديث لوحة مؤشرات الجودة شهريًا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جاهزية متطلبات ISO 9001 / 14001 / 45001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محقق",IF($U182&gt;=0.97,"🟡 قريب","🔴 تحت الهدف")))</f>
        <v/>
      </c>
      <c r="W182" s="66">
        <f>IF($G182="","",$G182)</f>
        <v/>
      </c>
      <c r="X182" s="59">
        <f>IF($U182="","—",IF($U182&gt;=0.97,"🟢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اكتمال سجل مخاطر وملاحظات الجودة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نسبة العقود المُراجَعة قانونياً قبل التوقيع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1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متوسط زمن صياغة ومراجعة العقد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↓</t>
        </is>
      </c>
      <c r="G185" s="67" t="n">
        <v>3</v>
      </c>
      <c r="H185" s="68" t="n"/>
      <c r="I185" s="68" t="n"/>
      <c r="J185" s="68" t="n"/>
      <c r="K185" s="68" t="n"/>
      <c r="L185" s="68" t="n"/>
      <c r="M185" s="68" t="n"/>
      <c r="N185" s="68" t="n"/>
      <c r="O185" s="68" t="n"/>
      <c r="P185" s="68" t="n"/>
      <c r="Q185" s="68" t="n"/>
      <c r="R185" s="68" t="n"/>
      <c r="S185" s="68" t="n"/>
      <c r="T185" s="69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70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الخالية من الملاحظات والمخاطر القانونية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القضايا المُغلقة لصالح الشركة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0.8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تقديم المذكرات والردود في المواعيد النظامية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1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متوسط زمن إعداد المذكرة القانونية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↓</t>
        </is>
      </c>
      <c r="G189" s="67" t="n">
        <v>5</v>
      </c>
      <c r="H189" s="68" t="n"/>
      <c r="I189" s="68" t="n"/>
      <c r="J189" s="68" t="n"/>
      <c r="K189" s="68" t="n"/>
      <c r="L189" s="68" t="n"/>
      <c r="M189" s="68" t="n"/>
      <c r="N189" s="68" t="n"/>
      <c r="O189" s="68" t="n"/>
      <c r="P189" s="68" t="n"/>
      <c r="Q189" s="68" t="n"/>
      <c r="R189" s="68" t="n"/>
      <c r="S189" s="68" t="n"/>
      <c r="T189" s="69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70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الاستشارات المُنجزة ضمن المدة المستهدفة (SLA)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0.9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مستوى رضا الإدارات عن الدعم القانوني</t>
        </is>
      </c>
      <c r="D191" s="15" t="inlineStr">
        <is>
          <t>ربعي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0.85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هدف",IF($U191&gt;=0.9,"✅ محقق",IF($U191&gt;=0.75,"🟡 قريب","🔴 تحت الهدف")))</f>
        <v/>
      </c>
      <c r="W191" s="66">
        <f>IF($G191="","",$G191)</f>
        <v/>
      </c>
      <c r="X191" s="59">
        <f>IF($U191="","—",IF($U191&gt;=0.75,"🟢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إنجاز التحقيقات ضمن المدة المحددة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التحقيقات المُغلقة من إجمالي المُحالة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متوسط زمن إغلاق قضية التحقيق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7" t="n">
        <v>30</v>
      </c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9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70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تنفيذ التوصيات الصادرة عن التحقيقات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التزام التحقيقات بالإجراءات النظامية والعدالة الإجرائية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1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نمو الإيرادات السنوي</t>
        </is>
      </c>
      <c r="D197" s="15" t="inlineStr">
        <is>
          <t>ربعي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0.2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هامش EBITDA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0.08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صافي الربح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العائد على حقوق الملكية (ROE)</t>
        </is>
      </c>
      <c r="D200" s="15" t="inlineStr">
        <is>
          <t>ربعي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نسبة التدفق النقدي التشغيلي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7" t="n">
        <v>1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النسبة الجارية (Current Ratio)</t>
        </is>
      </c>
      <c r="D202" s="15" t="inlineStr">
        <is>
          <t>شهري</t>
        </is>
      </c>
      <c r="E202" s="15" t="inlineStr">
        <is>
          <t>لقطة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IFERROR(LOOKUP(2,1/($H202:$S202&lt;&gt;""),$H202:$S202),"")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دورة التحويل النقدي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↓</t>
        </is>
      </c>
      <c r="G203" s="67" t="n">
        <v>20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التحصيل العام (الشركة)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0.95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الذمم المتأخرة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4" t="n">
        <v>0.1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الديون المعدومة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↓</t>
        </is>
      </c>
      <c r="G206" s="64" t="n">
        <v>0.01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سداد الموردين في الموعد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0.98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مطابقة حسابات الموردين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0.95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محقق",IF($U208&gt;=0.97,"🟡 قريب","🔴 تحت الهدف")))</f>
        <v/>
      </c>
      <c r="W208" s="66">
        <f>IF($G208="","",$G208)</f>
        <v/>
      </c>
      <c r="X208" s="59">
        <f>IF($U208="","—",IF($U208&gt;=0.97,"🟢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التنبؤ النقدي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المخزون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تسوية أرامكو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انحراف الموازنة</t>
        </is>
      </c>
      <c r="D212" s="15" t="inlineStr">
        <is>
          <t>ربعي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أيام الإقفال الشهري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↓</t>
        </is>
      </c>
      <c r="G213" s="67" t="n">
        <v>6</v>
      </c>
      <c r="H213" s="68" t="n"/>
      <c r="I213" s="68" t="n"/>
      <c r="J213" s="68" t="n"/>
      <c r="K213" s="68" t="n"/>
      <c r="L213" s="68" t="n"/>
      <c r="M213" s="68" t="n"/>
      <c r="N213" s="68" t="n"/>
      <c r="O213" s="68" t="n"/>
      <c r="P213" s="68" t="n"/>
      <c r="Q213" s="68" t="n"/>
      <c r="R213" s="68" t="n"/>
      <c r="S213" s="68" t="n"/>
      <c r="T213" s="69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70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نسبة تسويات التدقيق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0.02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</sheetData>
  <autoFilter ref="A3:X214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14</v>
      </c>
      <c r="D9" s="72" t="n">
        <v>1</v>
      </c>
      <c r="E9" s="15" t="n">
        <v>7</v>
      </c>
      <c r="F9" s="15" t="n">
        <v>2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12</v>
      </c>
      <c r="D15" s="72" t="n">
        <v>1</v>
      </c>
      <c r="E15" s="15" t="n">
        <v>4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0.123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142</v>
      </c>
      <c r="D24" s="24" t="n">
        <v>0.673</v>
      </c>
    </row>
    <row r="25">
      <c r="A25" s="15" t="n">
        <v>4</v>
      </c>
      <c r="B25" s="13" t="inlineStr">
        <is>
          <t>التعلّم والنمو</t>
        </is>
      </c>
      <c r="C25" s="15" t="n">
        <v>25</v>
      </c>
      <c r="D25" s="24" t="n">
        <v>0.118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9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 SOPs</t>
        </is>
      </c>
      <c r="D44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SLA</t>
        </is>
      </c>
      <c r="D45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(QMS)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 SLA</t>
        </is>
      </c>
      <c r="D53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Google</t>
        </is>
      </c>
      <c r="D54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 (CRM)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ERP (D365)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(QMS)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0.06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0.09</v>
      </c>
      <c r="J69" s="15" t="inlineStr">
        <is>
          <t>مدير العقار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ERP (D365)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0.08</v>
      </c>
      <c r="J71" s="15" t="inlineStr">
        <is>
          <t>مدير العقار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 (Time-to-Lease)</t>
        </is>
      </c>
      <c r="D72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تحصيل الإيجارات</t>
        </is>
      </c>
      <c r="D73" s="73" t="inlineStr">
        <is>
          <t>يقيس نسبة تحصيل الإيجارات ضمن محور «كفاءة التحصيل»،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الاستدامة · منظومة التأجير</t>
        </is>
      </c>
      <c r="H73" s="15" t="inlineStr">
        <is>
          <t>مالي</t>
        </is>
      </c>
      <c r="I73" s="64" t="n">
        <v>0.08</v>
      </c>
      <c r="J73" s="15" t="inlineStr">
        <is>
          <t>مدير العقار</t>
        </is>
      </c>
      <c r="K73" s="11" t="inlineStr">
        <is>
          <t>نظام المحاسبة / ERP (D365)</t>
        </is>
      </c>
      <c r="L73" s="15" t="inlineStr">
        <is>
          <t>شهري</t>
        </is>
      </c>
      <c r="M73" s="15" t="inlineStr">
        <is>
          <t>الإدارة المالية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المتأخرات في السداد</t>
        </is>
      </c>
      <c r="D74" s="73" t="inlineStr">
        <is>
          <t>يقيس نسبة المتأخرات في السداد ضمن محور «كفاءة التحصيل»،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0.06</v>
      </c>
      <c r="J74" s="15" t="inlineStr">
        <is>
          <t>مدير العقار</t>
        </is>
      </c>
      <c r="K74" s="11" t="inlineStr">
        <is>
          <t>نظام المحاسبة / ERP (D365)</t>
        </is>
      </c>
      <c r="L74" s="15" t="inlineStr">
        <is>
          <t>شهري</t>
        </is>
      </c>
      <c r="M74" s="15" t="inlineStr">
        <is>
          <t>الإدارة المالية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متوسط زمن تسليم الوحدة</t>
        </is>
      </c>
      <c r="D75" s="73" t="inlineStr">
        <is>
          <t>يقيس متوسط زمن تسليم الوحدة ضمن محور «تشغيل وخدمة الوحدات»، ويعكس مساهمة الإدارة في ركيزة الاستدامة.</t>
        </is>
      </c>
      <c r="E75" s="11" t="inlineStr">
        <is>
          <t>متوسط يوم خلال الفترة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0.06</v>
      </c>
      <c r="J75" s="15" t="inlineStr">
        <is>
          <t>مدير العقار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إغلاق طلبات الخدمة خلال المدة</t>
        </is>
      </c>
      <c r="D76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0.06</v>
      </c>
      <c r="J76" s="15" t="inlineStr">
        <is>
          <t>مدير العقار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رضا المستأجرين (استبيان ربعي)</t>
        </is>
      </c>
      <c r="D77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العملاء</t>
        </is>
      </c>
      <c r="I77" s="64" t="n">
        <v>0.08</v>
      </c>
      <c r="J77" s="15" t="inlineStr">
        <is>
          <t>مدير العقار</t>
        </is>
      </c>
      <c r="K77" s="11" t="inlineStr">
        <is>
          <t>استبيان دوري</t>
        </is>
      </c>
      <c r="L77" s="15" t="inlineStr">
        <is>
          <t>ربعي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معدل استبقاء المستأجرين (تجديد وبلا إنهاء مبكر)</t>
        </is>
      </c>
      <c r="D78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تعزيز تجربة العملاء</t>
        </is>
      </c>
      <c r="H78" s="15" t="inlineStr">
        <is>
          <t>التعلّم والنمو</t>
        </is>
      </c>
      <c r="I78" s="64" t="n">
        <v>0.08</v>
      </c>
      <c r="J78" s="15" t="inlineStr">
        <is>
          <t>مدير العقار</t>
        </is>
      </c>
      <c r="K78" s="11" t="inlineStr">
        <is>
          <t>استبيان دوري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73" t="inlineStr">
        <is>
          <t>يقيس نسبة تأجير ساحة درب ضمن محور «ساحات درب»، ويعكس مساهمة الإدارة في ركيزة الابتكار.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64" t="n">
        <v>0.06</v>
      </c>
      <c r="J79" s="15" t="inlineStr">
        <is>
          <t>مدير العقار</t>
        </is>
      </c>
      <c r="K79" s="11" t="inlineStr">
        <is>
          <t>نظام إدارة العقود (CRM)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عدد العلامات التجارية الجديدة بالساحة</t>
        </is>
      </c>
      <c r="D80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الابتكار · ساحات درب</t>
        </is>
      </c>
      <c r="H80" s="15" t="inlineStr">
        <is>
          <t>العمليات الداخلية</t>
        </is>
      </c>
      <c r="I80" s="64" t="n">
        <v>0.06</v>
      </c>
      <c r="J80" s="15" t="inlineStr">
        <is>
          <t>مدير العقار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عدد محطات الشركة المُسلَّمة</t>
        </is>
      </c>
      <c r="D81" s="73" t="inlineStr">
        <is>
          <t>يقيس عدد محطات الشركة المُسلَّمة ضمن محور «تسليم محطات الشركة»، ويعكس مساهمة الإدارة في ركيزة النمو.</t>
        </is>
      </c>
      <c r="E81" s="11" t="inlineStr">
        <is>
          <t>إجمالي العدد خلال الفترة</t>
        </is>
      </c>
      <c r="F81" s="15" t="inlineStr">
        <is>
          <t>⚙️ نشاط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0.1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إنجاز محفظة مشاريع التوسع</t>
        </is>
      </c>
      <c r="D82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0.09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تسليم المحطات في الموعد المخطط</t>
        </is>
      </c>
      <c r="D83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المشاريع المنفّذة ضمن الميزانية</t>
        </is>
      </c>
      <c r="D84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عدد محطات الامتياز المُسلَّمة بالهوية</t>
        </is>
      </c>
      <c r="D85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5" s="11" t="inlineStr">
        <is>
          <t>إجمالي العدد خلال الفترة</t>
        </is>
      </c>
      <c r="F85" s="15" t="inlineStr">
        <is>
          <t>⚙️ نشاط</t>
        </is>
      </c>
      <c r="G85" s="11" t="inlineStr">
        <is>
          <t>النمو · الامتياز التجاري</t>
        </is>
      </c>
      <c r="H85" s="15" t="inlineStr">
        <is>
          <t>التعلّم والنمو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تنفيذ زيارات الإشراف المجدولة</t>
        </is>
      </c>
      <c r="D86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⚙️ نشاط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التزام المطوّرين بالجدول الزمني</t>
        </is>
      </c>
      <c r="D87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إغلاق ملاحظات الجودة على المطوّرين</t>
        </is>
      </c>
      <c r="D88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المشاريع الخالية من مخالفات الجودة</t>
        </is>
      </c>
      <c r="D89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عدد مخالفات المقاولين (سنوي)</t>
        </is>
      </c>
      <c r="D90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التزام المقاولين بمعايير السلامة</t>
        </is>
      </c>
      <c r="D91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0.09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الالتزام بالميزانية المعتمدة</t>
        </is>
      </c>
      <c r="D92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الالتزام بالجدول الزمني العام</t>
        </is>
      </c>
      <c r="D93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(PMO/Primavera)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متوسط مدة إغلاق قائمة الملاحظات النهائية</t>
        </is>
      </c>
      <c r="D94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(PMO/Primavera)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تلبية طلبات المحطات من الوقود Fill Rate</t>
        </is>
      </c>
      <c r="D95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النمو · زيادة وصول العملاء</t>
        </is>
      </c>
      <c r="H95" s="15" t="inlineStr">
        <is>
          <t>العمليات الداخلية</t>
        </is>
      </c>
      <c r="I95" s="64" t="n">
        <v>0.13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عدد انقطاعات التوريد المؤثرة شهريًا</t>
        </is>
      </c>
      <c r="D96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0.1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تغطية مخزون الوقود بالأيام</t>
        </is>
      </c>
      <c r="D97" s="73" t="inlineStr">
        <is>
          <t>يقيس نسبة تغطية مخزون الوقود بالأيام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توفر المواد المخزنية والحرجة</t>
        </is>
      </c>
      <c r="D98" s="73" t="inlineStr">
        <is>
          <t>يقيس نسبة توفر المواد المخزنية والحرجة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المواد الراكدة من المخزون</t>
        </is>
      </c>
      <c r="D99" s="73" t="inlineStr">
        <is>
          <t>يقيس نسبة المواد الراكدة من المخزون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دقة أوامر الشراء ومستنداتها</t>
        </is>
      </c>
      <c r="D100" s="73" t="inlineStr">
        <is>
          <t>يقيس دقة أوامر الشراء ومستنداتها ضمن محور «المشتريات»،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إنجاز أوامر الشراء خلال المدة المستهدفة</t>
        </is>
      </c>
      <c r="D101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بزمن التسليم والتوريد للمحطات والإدارات</t>
        </is>
      </c>
      <c r="D102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جاهزية الإمداد للمحطات الجديدة وخطط الافتتاح</t>
        </is>
      </c>
      <c r="D103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النمو · التوسع في المواقع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بجدول النقل واستخدام الأسطول بكفاءة</t>
        </is>
      </c>
      <c r="D104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0.07000000000000001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كفاءة إدارة الموردين</t>
        </is>
      </c>
      <c r="D105" s="73" t="inlineStr">
        <is>
          <t>يقيس كفاءة إدارة الموردين ضمن محور «الموردون والرضا»،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سلاسل الإمداد</t>
        </is>
      </c>
      <c r="K105" s="11" t="inlineStr">
        <is>
          <t>نظام سلاسل الإمداد والمخزون (WMS/ERP)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مستوى رضا الإدارات عن خدمات سلاسل الإمداد</t>
        </is>
      </c>
      <c r="D106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العملاء</t>
        </is>
      </c>
      <c r="I106" s="64" t="n">
        <v>0.04</v>
      </c>
      <c r="J106" s="15" t="inlineStr">
        <is>
          <t>مدير سلاسل الإمداد</t>
        </is>
      </c>
      <c r="K106" s="11" t="inlineStr">
        <is>
          <t>نظام سلاسل الإمداد والمخزون (WMS/ERP)</t>
        </is>
      </c>
      <c r="L106" s="15" t="inlineStr">
        <is>
          <t>ربعي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الجاهزية الفنية للأصول والمعدات (Availability)</t>
        </is>
      </c>
      <c r="D107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0.15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تنفيذ الصيانة الوقائية في موعدها (PM)</t>
        </is>
      </c>
      <c r="D108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0.12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إغلاق بلاغات الصيانة ضمن اتفاقية الخدمة (SLA)</t>
        </is>
      </c>
      <c r="D109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متوسط زمن الاستجابة للبلاغات الطارئة</t>
        </is>
      </c>
      <c r="D110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0" s="11" t="inlineStr">
        <is>
          <t>متوسط دقيقة خلال الفترة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0.08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متوسط زمن إصلاح الأعطال (MTTR)</t>
        </is>
      </c>
      <c r="D111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11" s="11" t="inlineStr">
        <is>
          <t>متوسط ساعة خلال الفترة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معدل تكرار الأعطال</t>
        </is>
      </c>
      <c r="D112" s="73" t="inlineStr">
        <is>
          <t>يقيس معدل تكرار الأعطال ضمن محور «الاستجابة والإصلاح»،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استمرارية تشغيل المحطات دون توقف فني</t>
        </is>
      </c>
      <c r="D113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0.15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التشغيل السليم لأنظمة الأتمتة (Uptime)</t>
        </is>
      </c>
      <c r="D114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الابتكار · التحول التقني</t>
        </is>
      </c>
      <c r="H114" s="15" t="inlineStr">
        <is>
          <t>التعلّم والنمو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استعادة أنظمة الأتمتة ضمن الزمن المحدد</t>
        </is>
      </c>
      <c r="D115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0.08</v>
      </c>
      <c r="J115" s="15" t="inlineStr">
        <is>
          <t>مدير الصيانة والأتمتة</t>
        </is>
      </c>
      <c r="K115" s="11" t="inlineStr">
        <is>
          <t>نظام إدارة الصيانة (CMMS) وأنظمة الأتمتة (SCADA)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كفاءة تكاليف الصيانة (الالتزام بالميزانية)</t>
        </is>
      </c>
      <c r="D116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0.04</v>
      </c>
      <c r="J116" s="15" t="inlineStr">
        <is>
          <t>مدير الصيانة والأتمتة</t>
        </is>
      </c>
      <c r="K116" s="11" t="inlineStr">
        <is>
          <t>نظام إدارة الصيانة (CMMS) وأنظمة الأتمتة (SCADA)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توفر الأنظمة والخدمات التقنية المركزية</t>
        </is>
      </c>
      <c r="D117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0.13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معالجة الأعطال وطلبات الدعم الفني ضمن المدة المستهدفة SLA</t>
        </is>
      </c>
      <c r="D118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الابتكار · التحول التقني</t>
        </is>
      </c>
      <c r="H118" s="15" t="inlineStr">
        <is>
          <t>العمليات الداخلية</t>
        </is>
      </c>
      <c r="I118" s="64" t="n">
        <v>0.12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استقرار التشغيل التقني للمحطات</t>
        </is>
      </c>
      <c r="D119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0.1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إنجاز مشاريع التحول الرقمي والمشاريع التقنية حسب الخطة</t>
        </is>
      </c>
      <c r="D120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تسليم المشاريع التقنية ضمن الوقت والميزانية ونطاق العمل المعتمد</t>
        </is>
      </c>
      <c r="D121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0.09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الالتزام بإدارة صلاحيات المستخدمين والحسابات</t>
        </is>
      </c>
      <c r="D122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نجاح النسخ الاحتياطي واختبارات استعادة البيانات</t>
        </is>
      </c>
      <c r="D123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0.08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الامتثال لضوابط الأمن السيبراني الأساسية</t>
        </is>
      </c>
      <c r="D124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0.08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دقة وتكامل البيانات بين الأنظمة الرقمية</t>
        </is>
      </c>
      <c r="D125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0.06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الالتزام بتحديث وتوثيق أصول تقنية المعلومات والتراخيص</t>
        </is>
      </c>
      <c r="D126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0.05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تنفيذ الصيانة الوقائية للأجهزة والبنية التقنية</t>
        </is>
      </c>
      <c r="D127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0.05</v>
      </c>
      <c r="J127" s="15" t="inlineStr">
        <is>
          <t>مدير التقنية</t>
        </is>
      </c>
      <c r="K127" s="11" t="inlineStr">
        <is>
          <t>أنظمة تقنية المعلومات (ERP/ITSM/SIEM)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مستوى رضا الإدارات والمستخدمين عن خدمات تقنية المعلومات</t>
        </is>
      </c>
      <c r="D128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0.04</v>
      </c>
      <c r="J128" s="15" t="inlineStr">
        <is>
          <t>مدير التقنية</t>
        </is>
      </c>
      <c r="K128" s="11" t="inlineStr">
        <is>
          <t>أنظمة تقنية المعلومات (ERP/ITSM/SIEM)</t>
        </is>
      </c>
      <c r="L128" s="15" t="inlineStr">
        <is>
          <t>ربعي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بالتوطين والامتثال الحكومي دون مخالفات</t>
        </is>
      </c>
      <c r="D129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العمليات الداخلية</t>
        </is>
      </c>
      <c r="I129" s="64" t="n">
        <v>0.11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بنظام العمل واللوائح وخطة القوى العاملة المعتمدة</t>
        </is>
      </c>
      <c r="D130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العمليات الداخلية</t>
        </is>
      </c>
      <c r="I130" s="64" t="n">
        <v>0.11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بتجديد الوثائق واكتمال ملفات الموظفين</t>
        </is>
      </c>
      <c r="D131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التعلّم والنمو</t>
        </is>
      </c>
      <c r="I131" s="64" t="n">
        <v>0.09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إنجاز معاملات شؤون الموظفين ضمن المدة المستهدفة SLA</t>
        </is>
      </c>
      <c r="D132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4" t="n">
        <v>0.09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جاهزية وتغطية عمالة المحطات حسب خطة التشغيل والافتتاحات</t>
        </is>
      </c>
      <c r="D133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0.11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متوسط مدة إغلاق الشواغر المعتمدة</t>
        </is>
      </c>
      <c r="D134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4" s="11" t="inlineStr">
        <is>
          <t>متوسط يوم خلال الفترة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نجاح التعيينات الجديدة خلال فترة التجربة</t>
        </is>
      </c>
      <c r="D135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العملاء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 (HRMS)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كفاءة تكلفة القوى العاملة</t>
        </is>
      </c>
      <c r="D136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مالي</t>
        </is>
      </c>
      <c r="I136" s="64" t="n">
        <v>0.09</v>
      </c>
      <c r="J136" s="15" t="inlineStr">
        <is>
          <t>مدير الموارد البشرية</t>
        </is>
      </c>
      <c r="K136" s="11" t="inlineStr">
        <is>
          <t>نظام الرواتب (Payroll) / حماية الأجور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دقة الرواتب والمستحقات الشهرية</t>
        </is>
      </c>
      <c r="D137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مالي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الرواتب (Payroll) / حماية الأجور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معدل دوران الموظفين</t>
        </is>
      </c>
      <c r="D138" s="73" t="inlineStr">
        <is>
          <t>يقيس معدل دوران الموظفين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تنفيذ برامج التدريب والتأهيل المعتمدة</t>
        </is>
      </c>
      <c r="D139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⚙️ نشاط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إغلاق تقييمات الأداء وخطط الإحلال للوظائف الحرجة</t>
        </is>
      </c>
      <c r="D140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64" t="n">
        <v>0.04</v>
      </c>
      <c r="J140" s="15" t="inlineStr">
        <is>
          <t>مدير الموارد البشرية</t>
        </is>
      </c>
      <c r="K140" s="11" t="inlineStr">
        <is>
          <t>نظام الموارد البشرية (HRMS)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عملاء تجاريون جدد</t>
        </is>
      </c>
      <c r="D141" s="73" t="inlineStr">
        <is>
          <t>يقيس عملاء تجاريون جدد ضمن محور «الاكتساب والعائد»،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🔧 تشغيلي</t>
        </is>
      </c>
      <c r="G141" s="11" t="inlineStr">
        <is>
          <t>النمو · زيادة وصول العملاء</t>
        </is>
      </c>
      <c r="H141" s="15" t="inlineStr">
        <is>
          <t>العملاء</t>
        </is>
      </c>
      <c r="I141" s="64" t="n">
        <v>0.1</v>
      </c>
      <c r="J141" s="15" t="inlineStr">
        <is>
          <t>مدير التسويق</t>
        </is>
      </c>
      <c r="K141" s="11" t="inlineStr">
        <is>
          <t>نظام المحاسبة / ERP (D365)</t>
        </is>
      </c>
      <c r="L141" s="15" t="inlineStr">
        <is>
          <t>شهري</t>
        </is>
      </c>
      <c r="M141" s="15" t="inlineStr">
        <is>
          <t>الإدارة المالية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تكلفة اكتساب العميل (CAC)</t>
        </is>
      </c>
      <c r="D142" s="73" t="inlineStr">
        <is>
          <t>يقيس تكلفة اكتساب العميل (CAC) ضمن محور «الاكتساب والعائد»،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مالي</t>
        </is>
      </c>
      <c r="I142" s="64" t="n">
        <v>0.1</v>
      </c>
      <c r="J142" s="15" t="inlineStr">
        <is>
          <t>مدير التسويق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العائد على الإنفاق التسويقي (ROMI)</t>
        </is>
      </c>
      <c r="D143" s="73" t="inlineStr">
        <is>
          <t>يقيس العائد على الإنفاق التسويقي (ROMI) ضمن محور «الاكتساب والعائد»،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🎯 نتيجة</t>
        </is>
      </c>
      <c r="G143" s="11" t="inlineStr">
        <is>
          <t>النمو · زيادة وصول العملاء</t>
        </is>
      </c>
      <c r="H143" s="15" t="inlineStr">
        <is>
          <t>مالي</t>
        </is>
      </c>
      <c r="I143" s="64" t="n">
        <v>0.12</v>
      </c>
      <c r="J143" s="15" t="inlineStr">
        <is>
          <t>مدير التسويق</t>
        </is>
      </c>
      <c r="K143" s="11" t="inlineStr">
        <is>
          <t>نظام المحاسبة / ERP (D365)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تحويل الفرص التسويقية إلى عقود</t>
        </is>
      </c>
      <c r="D144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العمليات الداخلية</t>
        </is>
      </c>
      <c r="I144" s="64" t="n">
        <v>0.1</v>
      </c>
      <c r="J144" s="15" t="inlineStr">
        <is>
          <t>مدير التسويق</t>
        </is>
      </c>
      <c r="K144" s="11" t="inlineStr">
        <is>
          <t>نظام المحاسبة / ERP (D365)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نمو الوصول المؤهل</t>
        </is>
      </c>
      <c r="D145" s="73" t="inlineStr">
        <is>
          <t>يقيس نمو الوصول المؤهل ضمن محور «الوعي والوصول»،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0.08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ربعي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وصول العلاقات العامة (PR)</t>
        </is>
      </c>
      <c r="D146" s="73" t="inlineStr">
        <is>
          <t>يقيس وصول العلاقات العامة (PR) ضمن محور «الوعي والوصول»، ويعكس مساهمة الإدارة في ركيزة النمو.</t>
        </is>
      </c>
      <c r="E146" s="11" t="inlineStr">
        <is>
          <t>إجمالي العدد خلال الفترة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0.05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معدل التفاعل (Engagement)</t>
        </is>
      </c>
      <c r="D147" s="73" t="inlineStr">
        <is>
          <t>يقيس معدل التفاعل (Engagement) ضمن محور «التفاعل والمجتمع»،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0.08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نمو المتابعين النشطين</t>
        </is>
      </c>
      <c r="D148" s="73" t="inlineStr">
        <is>
          <t>يقيس نمو المتابعين النشطين ضمن محور «التفاعل والمجتمع»،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0.06</v>
      </c>
      <c r="J148" s="15" t="inlineStr">
        <is>
          <t>مدير التسويق</t>
        </is>
      </c>
      <c r="K148" s="11" t="inlineStr">
        <is>
          <t>أنظمة التسويق الرقمي / تانكي</t>
        </is>
      </c>
      <c r="L148" s="15" t="inlineStr">
        <is>
          <t>ربعي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نسبة الالتزام بالهوية البصرية</t>
        </is>
      </c>
      <c r="D149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الابتكار · تطوير التصاميم والهوية</t>
        </is>
      </c>
      <c r="H149" s="15" t="inlineStr">
        <is>
          <t>التعلّم والنمو</t>
        </is>
      </c>
      <c r="I149" s="64" t="n">
        <v>0.06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نسبة المشاعر الإيجابية للعلامة (Sentiment)</t>
        </is>
      </c>
      <c r="D150" s="73" t="inlineStr">
        <is>
          <t>يقيس نسبة المشاعر الإيجابية للعلامة (Sentiment) ضمن محور «السمعة وتجربة العلامة»،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تعزيز تجربة العملاء</t>
        </is>
      </c>
      <c r="H150" s="15" t="inlineStr">
        <is>
          <t>العمليات الداخلية</t>
        </is>
      </c>
      <c r="I150" s="64" t="n">
        <v>0.07000000000000001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المستخدمون النشطون شهرياً (MAU)</t>
        </is>
      </c>
      <c r="D151" s="73" t="inlineStr">
        <is>
          <t>يقيس المستخدمون النشطون شهرياً (MAU) ضمن محور «نمو تطبيق تانكي»، ويعكس مساهمة الإدارة في ركيزة الابتكار.</t>
        </is>
      </c>
      <c r="E151" s="11" t="inlineStr">
        <is>
          <t>إجمالي العدد خلال الفترة</t>
        </is>
      </c>
      <c r="F151" s="15" t="inlineStr">
        <is>
          <t>🔧 تشغيلي</t>
        </is>
      </c>
      <c r="G151" s="11" t="inlineStr">
        <is>
          <t>الابتكار · تطبيق «تانكي»</t>
        </is>
      </c>
      <c r="H151" s="15" t="inlineStr">
        <is>
          <t>التعلّم والنمو</t>
        </is>
      </c>
      <c r="I151" s="64" t="n">
        <v>0.1</v>
      </c>
      <c r="J151" s="15" t="inlineStr">
        <is>
          <t>مدير التسويق</t>
        </is>
      </c>
      <c r="K151" s="11" t="inlineStr">
        <is>
          <t>أنظمة التسويق الرقمي / تانكي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معدل احتفاظ مستخدمي تانكي</t>
        </is>
      </c>
      <c r="D152" s="73" t="inlineStr">
        <is>
          <t>يقيس معدل احتفاظ مستخدمي تانكي ضمن محور «نمو تطبيق تانكي»،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تطبيق «تانكي»</t>
        </is>
      </c>
      <c r="H152" s="15" t="inlineStr">
        <is>
          <t>التعلّم والنمو</t>
        </is>
      </c>
      <c r="I152" s="64" t="n">
        <v>0.08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نسبة تنفيذ خطة الزيارات الميدانية للمحطات</t>
        </is>
      </c>
      <c r="D153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0.08</v>
      </c>
      <c r="J153" s="15" t="inlineStr">
        <is>
          <t>مدير الجودة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عدد الملاحظات الميدانية المرصودة والمصنفة حسب الخطورة</t>
        </is>
      </c>
      <c r="D154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4" s="11" t="inlineStr">
        <is>
          <t>إجمالي العدد خلال الفترة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0.05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تغطية المحطات بالزيارات الشهرية</t>
        </is>
      </c>
      <c r="D155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0.06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اكتمال تقارير الزيارة الميدانية بالصور والأدلة</t>
        </is>
      </c>
      <c r="D156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إصدار تقارير الزيارات خلال المدة المحددة</t>
        </is>
      </c>
      <c r="D157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0.04</v>
      </c>
      <c r="J157" s="15" t="inlineStr">
        <is>
          <t>مدير الجودة</t>
        </is>
      </c>
      <c r="K157" s="11" t="inlineStr">
        <is>
          <t>نظام إدارة الجودة (QMS)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الزيارات المفاجئة من إجمالي الزيارات</t>
        </is>
      </c>
      <c r="D158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0.02</v>
      </c>
      <c r="J158" s="15" t="inlineStr">
        <is>
          <t>مدير الجودة</t>
        </is>
      </c>
      <c r="K158" s="11" t="inlineStr">
        <is>
          <t>نظام إدارة الجودة (QMS)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إغلاق الملاحظات ضمن SLA</t>
        </is>
      </c>
      <c r="D159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0.06</v>
      </c>
      <c r="J159" s="15" t="inlineStr">
        <is>
          <t>مدير الجودة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التحقق من إغلاق الملاحظات ميدانيًا أو بالصور</t>
        </is>
      </c>
      <c r="D160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0.05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الملاحظات المتأخرة عن الإغلاق</t>
        </is>
      </c>
      <c r="D161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الملاحظات المتكررة في نفس المحطة</t>
        </is>
      </c>
      <c r="D162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متوسط زمن إغلاق الملاحظات الحرجة</t>
        </is>
      </c>
      <c r="D163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3" s="11" t="inlineStr">
        <is>
          <t>متوسط يوم خلال الفترة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تنفيذ خطة التدقيق الداخلي</t>
        </is>
      </c>
      <c r="D164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0.05</v>
      </c>
      <c r="J164" s="15" t="inlineStr">
        <is>
          <t>مدير الجودة</t>
        </is>
      </c>
      <c r="K164" s="11" t="inlineStr">
        <is>
          <t>نظام المحاسبة / ERP (D365)</t>
        </is>
      </c>
      <c r="L164" s="15" t="inlineStr">
        <is>
          <t>ربعي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إغلاق ملاحظات التدقيق الداخلي ضمن المدة</t>
        </is>
      </c>
      <c r="D165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0.05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عدد حالات عدم المطابقة المتكررة</t>
        </is>
      </c>
      <c r="D166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6" s="11" t="inlineStr">
        <is>
          <t>إجمالي العدد خلال الفترة</t>
        </is>
      </c>
      <c r="F166" s="15" t="inlineStr">
        <is>
          <t>⚙️ نشاط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فاعلية الإجراءات التصحيحية</t>
        </is>
      </c>
      <c r="D167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نظام المحاسبة / ERP (D365)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متوسط زمن إغلاق حالات عدم المطابقة</t>
        </is>
      </c>
      <c r="D168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0.02</v>
      </c>
      <c r="J168" s="15" t="inlineStr">
        <is>
          <t>مدير الجودة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مراجعة وتحديث الإجراءات والسياسات حسب الخطة</t>
        </is>
      </c>
      <c r="D169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0.04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اكتمال توثيق إجراءات الإدارات المستهدفة</t>
        </is>
      </c>
      <c r="D170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0.04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اعتماد النماذج والإجراءات الجديدة أو المحدثة</t>
        </is>
      </c>
      <c r="D171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0.03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عدد حالات استخدام نماذج أو إجراءات غير معتمدة</t>
        </is>
      </c>
      <c r="D172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2" s="11" t="inlineStr">
        <is>
          <t>إجمالي العدد خلال الفترة</t>
        </is>
      </c>
      <c r="F172" s="15" t="inlineStr">
        <is>
          <t>⚙️ نشاط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0.02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نشر وتعميم الإجراءات المعتمدة</t>
        </is>
      </c>
      <c r="D173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0.01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عدد فرص التحسين المستخرجة من الزيارات والتدقيق</t>
        </is>
      </c>
      <c r="D174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4" s="11" t="inlineStr">
        <is>
          <t>إجمالي العدد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0.03</v>
      </c>
      <c r="J174" s="15" t="inlineStr">
        <is>
          <t>مدير الجودة</t>
        </is>
      </c>
      <c r="K174" s="11" t="inlineStr">
        <is>
          <t>نظام المحاسبة / ERP (D365)</t>
        </is>
      </c>
      <c r="L174" s="15" t="inlineStr">
        <is>
          <t>ربعي</t>
        </is>
      </c>
      <c r="M174" s="15" t="inlineStr">
        <is>
          <t>الإدارة المالية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تنفيذ مبادرات التحسين المعتمدة</t>
        </is>
      </c>
      <c r="D175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التعلّم والنمو</t>
        </is>
      </c>
      <c r="I175" s="64" t="n">
        <v>0.03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انخفاض تكرار الملاحظات بعد التحسين</t>
        </is>
      </c>
      <c r="D176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0.02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التقارير التحليلية الشهرية للجودة</t>
        </is>
      </c>
      <c r="D177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الدروس المستفادة المعممة على الإدارات</t>
        </is>
      </c>
      <c r="D178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أتمتة قوائم الفحص وتقارير الزيارات</t>
        </is>
      </c>
      <c r="D179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الابتكار · التحول التقني</t>
        </is>
      </c>
      <c r="H179" s="15" t="inlineStr">
        <is>
          <t>التعلّم والنمو</t>
        </is>
      </c>
      <c r="I179" s="64" t="n">
        <v>0.02</v>
      </c>
      <c r="J179" s="15" t="inlineStr">
        <is>
          <t>مدير الجودة</t>
        </is>
      </c>
      <c r="K179" s="11" t="inlineStr">
        <is>
          <t>مكتب إدارة المشاريع (PMO)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تحديث لوحة مؤشرات الجودة شهريًا</t>
        </is>
      </c>
      <c r="D180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0.02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جاهزية متطلبات ISO 9001 / 14001 / 45001</t>
        </is>
      </c>
      <c r="D181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0.03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اكتمال سجل مخاطر وملاحظات الجودة</t>
        </is>
      </c>
      <c r="D182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نسبة العقود المُراجَعة قانونياً قبل التوقيع</t>
        </is>
      </c>
      <c r="D183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العقود (CRM)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متوسط زمن صياغة ومراجعة العقد</t>
        </is>
      </c>
      <c r="D184" s="73" t="inlineStr">
        <is>
          <t>يقيس متوسط زمن صياغة ومراجعة العقد ضمن محور «أعمال العقود»،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القضايا والتحقيقات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الخالية من الملاحظات والمخاطر القانونية</t>
        </is>
      </c>
      <c r="D185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القضايا المُغلقة لصالح الشركة</t>
        </is>
      </c>
      <c r="D186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تقديم المذكرات والردود في المواعيد النظامية</t>
        </is>
      </c>
      <c r="D187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متوسط زمن إعداد المذكرة القانونية</t>
        </is>
      </c>
      <c r="D188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8" s="11" t="inlineStr">
        <is>
          <t>متوسط يوم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الاستشارات المُنجزة ضمن المدة المستهدفة (SLA)</t>
        </is>
      </c>
      <c r="D189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مستوى رضا الإدارات عن الدعم القانوني</t>
        </is>
      </c>
      <c r="D190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العملاء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استبيان دوري</t>
        </is>
      </c>
      <c r="L190" s="15" t="inlineStr">
        <is>
          <t>ربعي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إنجاز التحقيقات ضمن المدة المحددة</t>
        </is>
      </c>
      <c r="D191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التحقيقات المُغلقة من إجمالي المُحالة</t>
        </is>
      </c>
      <c r="D192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إغلاق قضية التحقيق</t>
        </is>
      </c>
      <c r="D193" s="73" t="inlineStr">
        <is>
          <t>يقيس متوسط زمن إغلاق قضية التحقيق ضمن محور «التحقيق»،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تنفيذ التوصيات الصادرة عن التحقيقات</t>
        </is>
      </c>
      <c r="D194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التزام التحقيقات بالإجراءات النظامية والعدالة الإجرائية</t>
        </is>
      </c>
      <c r="D195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نمو الإيرادات السنوي</t>
        </is>
      </c>
      <c r="D196" s="73" t="inlineStr">
        <is>
          <t>يقيس نمو الإيرادات السنوي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0.08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ربعي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هامش EBITDA</t>
        </is>
      </c>
      <c r="D197" s="73" t="inlineStr">
        <is>
          <t>يقيس هامش EBITDA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صافي الربح</t>
        </is>
      </c>
      <c r="D198" s="73" t="inlineStr">
        <is>
          <t>يقيس هامش صافي الربح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العائد على حقوق الملكية (ROE)</t>
        </is>
      </c>
      <c r="D199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0.08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نسبة التدفق النقدي التشغيلي</t>
        </is>
      </c>
      <c r="D200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النسبة الجارية (Current Ratio)</t>
        </is>
      </c>
      <c r="D201" s="73" t="inlineStr">
        <is>
          <t>يقيس النسبة الجارية (Current Ratio) ضمن محور «السيولة ورأس المال»،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سجلات الإدارة</t>
        </is>
      </c>
      <c r="L201" s="15" t="inlineStr">
        <is>
          <t>شهري</t>
        </is>
      </c>
      <c r="M201" s="15" t="inlineStr">
        <is>
          <t>المدير المالي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دورة التحويل النقدي</t>
        </is>
      </c>
      <c r="D202" s="73" t="inlineStr">
        <is>
          <t>يقيس دورة التحويل النقدي ضمن محور «السيولة ورأس المال»، ويعكس مساهمة الإدارة في ركيزة الاستدامة.</t>
        </is>
      </c>
      <c r="E202" s="11" t="inlineStr">
        <is>
          <t>متوسط يوم خلال الفترة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0.07000000000000001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التحصيل العام (الشركة)</t>
        </is>
      </c>
      <c r="D203" s="73" t="inlineStr">
        <is>
          <t>يقيس نسبة التحصيل العام (الشركة)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مالي</t>
        </is>
      </c>
      <c r="I203" s="64" t="n">
        <v>0.07000000000000001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الذمم المتأخرة</t>
        </is>
      </c>
      <c r="D204" s="73" t="inlineStr">
        <is>
          <t>يقيس نسبة الذمم المتأخرة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الديون المعدومة</t>
        </is>
      </c>
      <c r="D205" s="73" t="inlineStr">
        <is>
          <t>يقيس نسبة الديون المعدومة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سداد الموردين في الموعد</t>
        </is>
      </c>
      <c r="D206" s="73" t="inlineStr">
        <is>
          <t>يقيس سداد الموردين في الموعد ضمن محور «الذمم الدائنة»،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مالي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مطابقة حسابات الموردين</t>
        </is>
      </c>
      <c r="D207" s="73" t="inlineStr">
        <is>
          <t>يقيس دقة مطابقة حسابات الموردين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التنبؤ النقدي</t>
        </is>
      </c>
      <c r="D208" s="73" t="inlineStr">
        <is>
          <t>يقيس دقة التنبؤ النقدي ضمن محور «الخزينة»،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المخزون</t>
        </is>
      </c>
      <c r="D209" s="73" t="inlineStr">
        <is>
          <t>يقيس دقة مطابقة المخزون ضمن محور «صناعة الوقود»،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إدارة الجودة (QMS)</t>
        </is>
      </c>
      <c r="L209" s="15" t="inlineStr">
        <is>
          <t>شهري</t>
        </is>
      </c>
      <c r="M209" s="15" t="inlineStr">
        <is>
          <t>المدير المالي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تسوية أرامكو</t>
        </is>
      </c>
      <c r="D210" s="73" t="inlineStr">
        <is>
          <t>يقيس دقة تسوية أرامكو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تشغيل المحطات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انحراف الموازنة</t>
        </is>
      </c>
      <c r="D211" s="73" t="inlineStr">
        <is>
          <t>يقيس انحراف الموازنة ضمن محور «الموازنة والتقارير»،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ربعي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أيام الإقفال الشهري</t>
        </is>
      </c>
      <c r="D212" s="73" t="inlineStr">
        <is>
          <t>يقيس أيام الإقفال الشهري ضمن محور «الموازنة والتقارير»، ويعكس مساهمة الإدارة في ركيزة الاستدامة.</t>
        </is>
      </c>
      <c r="E212" s="11" t="inlineStr">
        <is>
          <t>متوسط يوم خلال الفترة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نسبة تسويات التدقيق</t>
        </is>
      </c>
      <c r="D213" s="73" t="inlineStr">
        <is>
          <t>يقيس نسبة تسويات التدقيق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</sheetData>
  <autoFilter ref="A2:N213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 SOPs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 SOPs»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SLA» ÷ الإجمالي المستهدف لنفس البند × 100٪</t>
        </is>
      </c>
      <c r="Q12" s="83" t="inlineStr">
        <is>
          <t>نظام إدارة الجودة (QMS)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 SLA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 SLA»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Google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Google»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 (Time-to-Lease)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 (CRM)</t>
        </is>
      </c>
      <c r="R10" s="15" t="inlineStr">
        <is>
          <t>شهري</t>
        </is>
      </c>
    </row>
    <row r="11" ht="24" customHeight="1">
      <c r="B11" s="75" t="inlineStr">
        <is>
          <t>كفاءة التحصيل</t>
        </is>
      </c>
      <c r="C11" s="76" t="inlineStr">
        <is>
          <t>📊 كفاءة التحصيل</t>
        </is>
      </c>
      <c r="D11" s="77" t="n"/>
      <c r="E11" s="77" t="n"/>
      <c r="F11" s="78" t="inlineStr">
        <is>
          <t>🔷 أساسي</t>
        </is>
      </c>
      <c r="G11" s="79" t="n">
        <v>0.14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تحصيل الإيجارات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0.805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«تحصيل الإيجارات»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المتأخرات في السداد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0.05</v>
      </c>
      <c r="I13" s="22" t="inlineStr">
        <is>
          <t>≤ 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0.055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«المتأخرات في السداد» ÷ الإجمالي المستهدف لنفس البند × 100٪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ht="24" customHeight="1">
      <c r="B14" s="75" t="inlineStr">
        <is>
          <t>تشغيل وخدمة الوحدات</t>
        </is>
      </c>
      <c r="C14" s="76" t="inlineStr">
        <is>
          <t>📊 تشغيل وخدمة الوحدات</t>
        </is>
      </c>
      <c r="D14" s="77" t="n"/>
      <c r="E14" s="77" t="n"/>
      <c r="F14" s="78" t="inlineStr">
        <is>
          <t>🔷 أساسي</t>
        </is>
      </c>
      <c r="G14" s="79" t="n">
        <v>0.12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متوسط زمن تسليم الوحدة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7" t="n">
        <v>7</v>
      </c>
      <c r="I15" s="22" t="inlineStr">
        <is>
          <t>≤ 7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7.983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مجموع أيام «زمن تسليم الوحدة» ÷ عدد الحالات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نسبة إغلاق طلبات الخدمة خلال المدة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0.846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«إغلاق طلبات الخدمة خلال المدة»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رضا واستبقاء المستأجرين</t>
        </is>
      </c>
      <c r="C17" s="76" t="inlineStr">
        <is>
          <t>📊 رضا واستبقاء المستأجرين</t>
        </is>
      </c>
      <c r="D17" s="77" t="n"/>
      <c r="E17" s="77" t="n"/>
      <c r="F17" s="78" t="inlineStr">
        <is>
          <t>🔷 أساسي</t>
        </is>
      </c>
      <c r="G17" s="79" t="n">
        <v>0.16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رضا المستأجرين (استبيان ربعي)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0.894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هدف",IF($N18&gt;=0.9,"✅ محقق",IF($N18&gt;=0.75,"🟡 قريب","🔴 تحت الهدف")))</f>
        <v/>
      </c>
      <c r="P18" s="83" t="inlineStr">
        <is>
          <t>عدد حالات «رضا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ربعي</t>
        </is>
      </c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استبقاء المستأجرين (تجديد وبلا إنهاء مبكر)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التعلّم والنمو</t>
        </is>
      </c>
      <c r="M19" s="65" t="n">
        <v>0.752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«استبقاء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شهري</t>
        </is>
      </c>
    </row>
    <row r="20" ht="24" customHeight="1">
      <c r="B20" s="75" t="inlineStr">
        <is>
          <t>ساحات درب</t>
        </is>
      </c>
      <c r="C20" s="76" t="inlineStr">
        <is>
          <t>📊 ساحات درب</t>
        </is>
      </c>
      <c r="D20" s="77" t="n"/>
      <c r="E20" s="77" t="n"/>
      <c r="F20" s="78" t="inlineStr">
        <is>
          <t>🔷 أساسي</t>
        </is>
      </c>
      <c r="G20" s="79" t="n">
        <v>0.12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نسبة تأجير ساحة درب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0.8</v>
      </c>
      <c r="I21" s="22" t="inlineStr">
        <is>
          <t>≥ 80%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5" t="n">
        <v>0.671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«تأجير ساحة درب» ÷ الإجمالي المستهدف لنفس البند × 100٪</t>
        </is>
      </c>
      <c r="Q21" s="83" t="inlineStr">
        <is>
          <t>نظام إدارة العقود (CRM)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عدد العلامات التجارية الجديدة بالساحة</t>
        </is>
      </c>
      <c r="D22" s="55" t="inlineStr">
        <is>
          <t>علامة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0" t="n">
        <v>6</v>
      </c>
      <c r="I22" s="22" t="inlineStr">
        <is>
          <t>6 علامات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1" t="n">
        <v>5.235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«العلامات التجارية الجديدة بالساحة»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9 M10 M12 M13 M15 M16 M18 M19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ERP (D365)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 (CAC)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العائد على الإنفاق التسويقي (ROMI)</t>
        </is>
      </c>
      <c r="D7" s="55" t="inlineStr">
        <is>
          <t>ضعف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7" t="n">
        <v>3</v>
      </c>
      <c r="I7" s="22" t="inlineStr">
        <is>
          <t>≥ 3×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3.043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قياس «العائد على الإنفاق التسويقي» مقابل مستهدفه المعتمد خلال الفترة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الاكتساب والعائد</t>
        </is>
      </c>
      <c r="C8" s="21" t="inlineStr">
        <is>
          <t>تحويل الفرص التسويقية إلى عقود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4" t="n">
        <v>0.25</v>
      </c>
      <c r="I8" s="22" t="inlineStr">
        <is>
          <t>≥ 25%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5" t="n">
        <v>0.204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«تحويل الفرص التسويقية إلى عقود»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ht="24" customHeight="1">
      <c r="B9" s="75" t="inlineStr">
        <is>
          <t>الوعي والوصول</t>
        </is>
      </c>
      <c r="C9" s="76" t="inlineStr">
        <is>
          <t>📊 الوعي والوصول</t>
        </is>
      </c>
      <c r="D9" s="77" t="n"/>
      <c r="E9" s="77" t="n"/>
      <c r="F9" s="78" t="inlineStr">
        <is>
          <t>🔷 أساسي</t>
        </is>
      </c>
      <c r="G9" s="79" t="n">
        <v>0.13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نمو الوصول المؤهل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≥ 20% سنوياً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5" t="n">
        <v>0.163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83" t="inlineStr">
        <is>
          <t>القيمة المتحقّقة من «نمو الوصول المؤهل» ÷ المستهدف × 100٪</t>
        </is>
      </c>
      <c r="Q10" s="83" t="inlineStr">
        <is>
          <t>أنظمة التسويق الرقمي / تانكي</t>
        </is>
      </c>
      <c r="R10" s="15" t="inlineStr">
        <is>
          <t>ربعي</t>
        </is>
      </c>
    </row>
    <row r="11" outlineLevel="1" ht="26" customHeight="1">
      <c r="A11" s="20" t="n">
        <v>6</v>
      </c>
      <c r="B11" s="21" t="inlineStr">
        <is>
          <t>الوعي والوصول</t>
        </is>
      </c>
      <c r="C11" s="21" t="inlineStr">
        <is>
          <t>وصول العلاقات العامة (PR)</t>
        </is>
      </c>
      <c r="D11" s="55" t="inlineStr">
        <is>
          <t>وصول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7000000</v>
      </c>
      <c r="I11" s="22" t="inlineStr">
        <is>
          <t>7م وصول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1500000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«وصول العلاقات العامة»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ht="24" customHeight="1">
      <c r="B12" s="75" t="inlineStr">
        <is>
          <t>التفاعل والمجتمع</t>
        </is>
      </c>
      <c r="C12" s="76" t="inlineStr">
        <is>
          <t>📊 التفاعل والمجتمع</t>
        </is>
      </c>
      <c r="D12" s="77" t="n"/>
      <c r="E12" s="77" t="n"/>
      <c r="F12" s="78" t="inlineStr">
        <is>
          <t>🔷 أساسي</t>
        </is>
      </c>
      <c r="G12" s="79" t="n">
        <v>0.14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معدل التفاعل (Engagement)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0.5</v>
      </c>
      <c r="I13" s="22" t="inlineStr">
        <is>
          <t>≥ 50%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عدد حالات «التفاعل» خلال الفترة ÷ إجمالي الحالات القابلة للقياس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التفاعل والمجتمع</t>
        </is>
      </c>
      <c r="C14" s="21" t="inlineStr">
        <is>
          <t>نمو المتابعين النشطين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0.06</v>
      </c>
      <c r="H14" s="64" t="n">
        <v>0.2</v>
      </c>
      <c r="I14" s="22" t="inlineStr">
        <is>
          <t>≥ 20% سنوياً</t>
        </is>
      </c>
      <c r="J14" s="82" t="inlineStr">
        <is>
          <t>النمو</t>
        </is>
      </c>
      <c r="K14" s="11" t="inlineStr">
        <is>
          <t>زيادة وصول العملاء</t>
        </is>
      </c>
      <c r="L14" s="15" t="inlineStr">
        <is>
          <t>العملاء</t>
        </is>
      </c>
      <c r="M14" s="65" t="n">
        <v>0.174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«نمو المتابعين النشطين» ÷ المستهدف × 100٪</t>
        </is>
      </c>
      <c r="Q14" s="83" t="inlineStr">
        <is>
          <t>أنظمة التسويق الرقمي / تانكي</t>
        </is>
      </c>
      <c r="R14" s="15" t="inlineStr">
        <is>
          <t>ربعي</t>
        </is>
      </c>
    </row>
    <row r="15" ht="24" customHeight="1">
      <c r="B15" s="75" t="inlineStr">
        <is>
          <t>السمعة وتجربة العلامة</t>
        </is>
      </c>
      <c r="C15" s="76" t="inlineStr">
        <is>
          <t>📊 السمعة وتجربة العلامة</t>
        </is>
      </c>
      <c r="D15" s="77" t="n"/>
      <c r="E15" s="77" t="n"/>
      <c r="F15" s="78" t="inlineStr">
        <is>
          <t>🔷 أساسي</t>
        </is>
      </c>
      <c r="G15" s="79" t="n">
        <v>0.13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الالتزام بالهوية البصرية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82" t="inlineStr">
        <is>
          <t>الابتكار</t>
        </is>
      </c>
      <c r="K16" s="11" t="inlineStr">
        <is>
          <t>تطوير التصاميم والهوية</t>
        </is>
      </c>
      <c r="L16" s="15" t="inlineStr">
        <is>
          <t>التعلّم والنمو</t>
        </is>
      </c>
      <c r="M16" s="65" t="n">
        <v>0.902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«الالتزام بالهوية البصرية»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السمعة وتجربة العلامة</t>
        </is>
      </c>
      <c r="C17" s="21" t="inlineStr">
        <is>
          <t>نسبة المشاعر الإيجابية للعلامة (Sentiment)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5" t="n">
        <v>0.795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«المشاعر الإيجابية للعلامة» ÷ الإجمالي المستهدف لنفس البند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نمو تطبيق تانكي</t>
        </is>
      </c>
      <c r="C18" s="76" t="inlineStr">
        <is>
          <t>📊 نمو تطبيق تانكي</t>
        </is>
      </c>
      <c r="D18" s="77" t="n"/>
      <c r="E18" s="77" t="n"/>
      <c r="F18" s="78" t="inlineStr">
        <is>
          <t>🔷 أساسي</t>
        </is>
      </c>
      <c r="G18" s="79" t="n">
        <v>0.18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المؤشرات'!$B:$B,"التسويق",'قاعدة المؤشرات'!$L:$L,"نمو تطبيق تانكي")/SUMIFS('قاعدة المؤشرات'!$K:$K,'قاعدة المؤشرات'!$B:$B,"التسويق",'قاعدة المؤشرات'!$L:$L,"نمو تطبيق تانكي"),"")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نمو تطبيق تانكي</t>
        </is>
      </c>
      <c r="C19" s="21" t="inlineStr">
        <is>
          <t>المستخدمون النشطون شهرياً (MAU)</t>
        </is>
      </c>
      <c r="D19" s="55" t="inlineStr">
        <is>
          <t>مستخدم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0.1</v>
      </c>
      <c r="H19" s="60" t="n">
        <v>100000</v>
      </c>
      <c r="I19" s="22" t="inlineStr">
        <is>
          <t>100ك مستخدم</t>
        </is>
      </c>
      <c r="J19" s="82" t="inlineStr">
        <is>
          <t>الابتكار</t>
        </is>
      </c>
      <c r="K19" s="11" t="inlineStr">
        <is>
          <t>تطبيق «تانكي»</t>
        </is>
      </c>
      <c r="L19" s="15" t="inlineStr">
        <is>
          <t>التعلّم والنمو</t>
        </is>
      </c>
      <c r="M19" s="61" t="n">
        <v>88203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إجمالي عدد «المستخدمون النشطون شهرياً» المُسجّل خلال الفترة</t>
        </is>
      </c>
      <c r="Q19" s="83" t="inlineStr">
        <is>
          <t>أنظمة التسويق الرقمي / تانكي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نمو تطبيق تانكي</t>
        </is>
      </c>
      <c r="C20" s="21" t="inlineStr">
        <is>
          <t>معدل احتفاظ مستخدمي تانكي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0.08</v>
      </c>
      <c r="H20" s="64" t="n">
        <v>0.4</v>
      </c>
      <c r="I20" s="22" t="inlineStr">
        <is>
          <t>≥ 40%</t>
        </is>
      </c>
      <c r="J20" s="82" t="inlineStr">
        <is>
          <t>الابتكار</t>
        </is>
      </c>
      <c r="K20" s="11" t="inlineStr">
        <is>
          <t>تطبيق «تانكي»</t>
        </is>
      </c>
      <c r="L20" s="15" t="inlineStr">
        <is>
          <t>التعلّم والنمو</t>
        </is>
      </c>
      <c r="M20" s="65" t="n">
        <v>0.372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«احتفاظ مستخدمي تانكي» خلال الفترة ÷ إجمالي الحالات القابلة للقياس × 100٪</t>
        </is>
      </c>
      <c r="Q20" s="83" t="inlineStr">
        <is>
          <t>أنظمة التسويق الرقمي / تانكي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8 M10 M11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ERP (D365)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ERP (D365)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'العقار'!C12</f>
        <v/>
      </c>
      <c r="D72" s="15">
        <f>'العقار'!J12</f>
        <v/>
      </c>
      <c r="E72" s="13">
        <f>'العقار'!K12</f>
        <v/>
      </c>
      <c r="F72" s="15">
        <f>'العقار'!L12</f>
        <v/>
      </c>
      <c r="G72" s="56">
        <f>'العقار'!N12</f>
        <v/>
      </c>
      <c r="H72" s="15">
        <f>'العقار'!O12</f>
        <v/>
      </c>
      <c r="I72" s="24">
        <f>'العقار'!G12</f>
        <v/>
      </c>
      <c r="J72" s="15">
        <f>IF($G72="",0,$G72*$I72)</f>
        <v/>
      </c>
      <c r="K72" s="15">
        <f>IF($G72="",0,$I72)</f>
        <v/>
      </c>
      <c r="L72" s="13">
        <f>'العقار'!B12</f>
        <v/>
      </c>
    </row>
    <row r="73">
      <c r="A73" s="15" t="n">
        <v>72</v>
      </c>
      <c r="B73" s="13" t="inlineStr">
        <is>
          <t>العقار</t>
        </is>
      </c>
      <c r="C73" s="13">
        <f>'العقار'!C13</f>
        <v/>
      </c>
      <c r="D73" s="15">
        <f>'العقار'!J13</f>
        <v/>
      </c>
      <c r="E73" s="13">
        <f>'العقار'!K13</f>
        <v/>
      </c>
      <c r="F73" s="15">
        <f>'العقار'!L13</f>
        <v/>
      </c>
      <c r="G73" s="56">
        <f>'العقار'!N13</f>
        <v/>
      </c>
      <c r="H73" s="15">
        <f>'العقار'!O13</f>
        <v/>
      </c>
      <c r="I73" s="24">
        <f>'العقار'!G13</f>
        <v/>
      </c>
      <c r="J73" s="15">
        <f>IF($G73="",0,$G73*$I73)</f>
        <v/>
      </c>
      <c r="K73" s="15">
        <f>IF($G73="",0,$I73)</f>
        <v/>
      </c>
      <c r="L73" s="13">
        <f>'العقار'!B13</f>
        <v/>
      </c>
    </row>
    <row r="74">
      <c r="A74" s="15" t="n">
        <v>73</v>
      </c>
      <c r="B74" s="13" t="inlineStr">
        <is>
          <t>العقار</t>
        </is>
      </c>
      <c r="C74" s="13">
        <f>'العقار'!C15</f>
        <v/>
      </c>
      <c r="D74" s="15">
        <f>'العقار'!J15</f>
        <v/>
      </c>
      <c r="E74" s="13">
        <f>'العقار'!K15</f>
        <v/>
      </c>
      <c r="F74" s="15">
        <f>'العقار'!L15</f>
        <v/>
      </c>
      <c r="G74" s="56">
        <f>'العقار'!N15</f>
        <v/>
      </c>
      <c r="H74" s="15">
        <f>'العقار'!O15</f>
        <v/>
      </c>
      <c r="I74" s="24">
        <f>'العقار'!G15</f>
        <v/>
      </c>
      <c r="J74" s="15">
        <f>IF($G74="",0,$G74*$I74)</f>
        <v/>
      </c>
      <c r="K74" s="15">
        <f>IF($G74="",0,$I74)</f>
        <v/>
      </c>
      <c r="L74" s="13">
        <f>'العقار'!B15</f>
        <v/>
      </c>
    </row>
    <row r="75">
      <c r="A75" s="15" t="n">
        <v>74</v>
      </c>
      <c r="B75" s="13" t="inlineStr">
        <is>
          <t>العقار</t>
        </is>
      </c>
      <c r="C75" s="13">
        <f>'العقار'!C16</f>
        <v/>
      </c>
      <c r="D75" s="15">
        <f>'العقار'!J16</f>
        <v/>
      </c>
      <c r="E75" s="13">
        <f>'العقار'!K16</f>
        <v/>
      </c>
      <c r="F75" s="15">
        <f>'العقار'!L16</f>
        <v/>
      </c>
      <c r="G75" s="56">
        <f>'العقار'!N16</f>
        <v/>
      </c>
      <c r="H75" s="15">
        <f>'العقار'!O16</f>
        <v/>
      </c>
      <c r="I75" s="24">
        <f>'العقار'!G16</f>
        <v/>
      </c>
      <c r="J75" s="15">
        <f>IF($G75="",0,$G75*$I75)</f>
        <v/>
      </c>
      <c r="K75" s="15">
        <f>IF($G75="",0,$I75)</f>
        <v/>
      </c>
      <c r="L75" s="13">
        <f>'العقار'!B16</f>
        <v/>
      </c>
    </row>
    <row r="76">
      <c r="A76" s="15" t="n">
        <v>75</v>
      </c>
      <c r="B76" s="13" t="inlineStr">
        <is>
          <t>العقار</t>
        </is>
      </c>
      <c r="C76" s="13">
        <f>'العقار'!C18</f>
        <v/>
      </c>
      <c r="D76" s="15">
        <f>'العقار'!J18</f>
        <v/>
      </c>
      <c r="E76" s="13">
        <f>'العقار'!K18</f>
        <v/>
      </c>
      <c r="F76" s="15">
        <f>'العقار'!L18</f>
        <v/>
      </c>
      <c r="G76" s="56">
        <f>'العقار'!N18</f>
        <v/>
      </c>
      <c r="H76" s="15">
        <f>'العقار'!O18</f>
        <v/>
      </c>
      <c r="I76" s="24">
        <f>'العقار'!G18</f>
        <v/>
      </c>
      <c r="J76" s="15">
        <f>IF($G76="",0,$G76*$I76)</f>
        <v/>
      </c>
      <c r="K76" s="15">
        <f>IF($G76="",0,$I76)</f>
        <v/>
      </c>
      <c r="L76" s="13">
        <f>'العقار'!B18</f>
        <v/>
      </c>
    </row>
    <row r="77">
      <c r="A77" s="15" t="n">
        <v>76</v>
      </c>
      <c r="B77" s="13" t="inlineStr">
        <is>
          <t>العقار</t>
        </is>
      </c>
      <c r="C77" s="13">
        <f>'العقار'!C19</f>
        <v/>
      </c>
      <c r="D77" s="15">
        <f>'العقار'!J19</f>
        <v/>
      </c>
      <c r="E77" s="13">
        <f>'العقار'!K19</f>
        <v/>
      </c>
      <c r="F77" s="15">
        <f>'العقار'!L19</f>
        <v/>
      </c>
      <c r="G77" s="56">
        <f>'العقار'!N19</f>
        <v/>
      </c>
      <c r="H77" s="15">
        <f>'العقار'!O19</f>
        <v/>
      </c>
      <c r="I77" s="24">
        <f>'العقار'!G19</f>
        <v/>
      </c>
      <c r="J77" s="15">
        <f>IF($G77="",0,$G77*$I77)</f>
        <v/>
      </c>
      <c r="K77" s="15">
        <f>IF($G77="",0,$I77)</f>
        <v/>
      </c>
      <c r="L77" s="13">
        <f>'العقار'!B19</f>
        <v/>
      </c>
    </row>
    <row r="78">
      <c r="A78" s="15" t="n">
        <v>77</v>
      </c>
      <c r="B78" s="13" t="inlineStr">
        <is>
          <t>العقار</t>
        </is>
      </c>
      <c r="C78" s="13">
        <f>'العقار'!C21</f>
        <v/>
      </c>
      <c r="D78" s="15">
        <f>'العقار'!J21</f>
        <v/>
      </c>
      <c r="E78" s="13">
        <f>'العقار'!K21</f>
        <v/>
      </c>
      <c r="F78" s="15">
        <f>'العقار'!L21</f>
        <v/>
      </c>
      <c r="G78" s="56">
        <f>'العقار'!N21</f>
        <v/>
      </c>
      <c r="H78" s="15">
        <f>'العقار'!O21</f>
        <v/>
      </c>
      <c r="I78" s="24">
        <f>'العقار'!G21</f>
        <v/>
      </c>
      <c r="J78" s="15">
        <f>IF($G78="",0,$G78*$I78)</f>
        <v/>
      </c>
      <c r="K78" s="15">
        <f>IF($G78="",0,$I78)</f>
        <v/>
      </c>
      <c r="L78" s="13">
        <f>'العقار'!B21</f>
        <v/>
      </c>
    </row>
    <row r="79">
      <c r="A79" s="15" t="n">
        <v>78</v>
      </c>
      <c r="B79" s="13" t="inlineStr">
        <is>
          <t>العقار</t>
        </is>
      </c>
      <c r="C79" s="13">
        <f>'العقار'!C22</f>
        <v/>
      </c>
      <c r="D79" s="15">
        <f>'العقار'!J22</f>
        <v/>
      </c>
      <c r="E79" s="13">
        <f>'العقار'!K22</f>
        <v/>
      </c>
      <c r="F79" s="15">
        <f>'العقار'!L22</f>
        <v/>
      </c>
      <c r="G79" s="56">
        <f>'العقار'!N22</f>
        <v/>
      </c>
      <c r="H79" s="15">
        <f>'العقار'!O22</f>
        <v/>
      </c>
      <c r="I79" s="24">
        <f>'العقار'!G22</f>
        <v/>
      </c>
      <c r="J79" s="15">
        <f>IF($G79="",0,$G79*$I79)</f>
        <v/>
      </c>
      <c r="K79" s="15">
        <f>IF($G79="",0,$I79)</f>
        <v/>
      </c>
      <c r="L79" s="13">
        <f>'العقار'!B22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المشاريع'!C5</f>
        <v/>
      </c>
      <c r="D80" s="15">
        <f>'إدارة المشاريع'!J5</f>
        <v/>
      </c>
      <c r="E80" s="13">
        <f>'إدارة المشاريع'!K5</f>
        <v/>
      </c>
      <c r="F80" s="15">
        <f>'إدارة المشاريع'!L5</f>
        <v/>
      </c>
      <c r="G80" s="56">
        <f>'إدارة المشاريع'!N5</f>
        <v/>
      </c>
      <c r="H80" s="15">
        <f>'إدارة المشاريع'!O5</f>
        <v/>
      </c>
      <c r="I80" s="24">
        <f>'إدارة المشاريع'!G5</f>
        <v/>
      </c>
      <c r="J80" s="15">
        <f>IF($G80="",0,$G80*$I80)</f>
        <v/>
      </c>
      <c r="K80" s="15">
        <f>IF($G80="",0,$I80)</f>
        <v/>
      </c>
      <c r="L80" s="13">
        <f>'إدارة المشاريع'!B5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المشاريع'!C6</f>
        <v/>
      </c>
      <c r="D81" s="15">
        <f>'إدارة المشاريع'!J6</f>
        <v/>
      </c>
      <c r="E81" s="13">
        <f>'إدارة المشاريع'!K6</f>
        <v/>
      </c>
      <c r="F81" s="15">
        <f>'إدارة المشاريع'!L6</f>
        <v/>
      </c>
      <c r="G81" s="56">
        <f>'إدارة المشاريع'!N6</f>
        <v/>
      </c>
      <c r="H81" s="15">
        <f>'إدارة المشاريع'!O6</f>
        <v/>
      </c>
      <c r="I81" s="24">
        <f>'إدارة المشاريع'!G6</f>
        <v/>
      </c>
      <c r="J81" s="15">
        <f>IF($G81="",0,$G81*$I81)</f>
        <v/>
      </c>
      <c r="K81" s="15">
        <f>IF($G81="",0,$I81)</f>
        <v/>
      </c>
      <c r="L81" s="13">
        <f>'إدارة المشاريع'!B6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المشاريع'!C7</f>
        <v/>
      </c>
      <c r="D82" s="15">
        <f>'إدارة المشاريع'!J7</f>
        <v/>
      </c>
      <c r="E82" s="13">
        <f>'إدارة المشاريع'!K7</f>
        <v/>
      </c>
      <c r="F82" s="15">
        <f>'إدارة المشاريع'!L7</f>
        <v/>
      </c>
      <c r="G82" s="56">
        <f>'إدارة المشاريع'!N7</f>
        <v/>
      </c>
      <c r="H82" s="15">
        <f>'إدارة المشاريع'!O7</f>
        <v/>
      </c>
      <c r="I82" s="24">
        <f>'إدارة المشاريع'!G7</f>
        <v/>
      </c>
      <c r="J82" s="15">
        <f>IF($G82="",0,$G82*$I82)</f>
        <v/>
      </c>
      <c r="K82" s="15">
        <f>IF($G82="",0,$I82)</f>
        <v/>
      </c>
      <c r="L82" s="13">
        <f>'إدارة المشاريع'!B7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المشاريع'!C8</f>
        <v/>
      </c>
      <c r="D83" s="15">
        <f>'إدارة المشاريع'!J8</f>
        <v/>
      </c>
      <c r="E83" s="13">
        <f>'إدارة المشاريع'!K8</f>
        <v/>
      </c>
      <c r="F83" s="15">
        <f>'إدارة المشاريع'!L8</f>
        <v/>
      </c>
      <c r="G83" s="56">
        <f>'إدارة المشاريع'!N8</f>
        <v/>
      </c>
      <c r="H83" s="15">
        <f>'إدارة المشاريع'!O8</f>
        <v/>
      </c>
      <c r="I83" s="24">
        <f>'إدارة المشاريع'!G8</f>
        <v/>
      </c>
      <c r="J83" s="15">
        <f>IF($G83="",0,$G83*$I83)</f>
        <v/>
      </c>
      <c r="K83" s="15">
        <f>IF($G83="",0,$I83)</f>
        <v/>
      </c>
      <c r="L83" s="13">
        <f>'إدارة المشاريع'!B8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المشاريع'!C10</f>
        <v/>
      </c>
      <c r="D84" s="15">
        <f>'إدارة المشاريع'!J10</f>
        <v/>
      </c>
      <c r="E84" s="13">
        <f>'إدارة المشاريع'!K10</f>
        <v/>
      </c>
      <c r="F84" s="15">
        <f>'إدارة المشاريع'!L10</f>
        <v/>
      </c>
      <c r="G84" s="56">
        <f>'إدارة المشاريع'!N10</f>
        <v/>
      </c>
      <c r="H84" s="15">
        <f>'إدارة المشاريع'!O10</f>
        <v/>
      </c>
      <c r="I84" s="24">
        <f>'إدارة المشاريع'!G10</f>
        <v/>
      </c>
      <c r="J84" s="15">
        <f>IF($G84="",0,$G84*$I84)</f>
        <v/>
      </c>
      <c r="K84" s="15">
        <f>IF($G84="",0,$I84)</f>
        <v/>
      </c>
      <c r="L84" s="13">
        <f>'إدارة المشاريع'!B10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المشاريع'!C11</f>
        <v/>
      </c>
      <c r="D85" s="15">
        <f>'إدارة المشاريع'!J11</f>
        <v/>
      </c>
      <c r="E85" s="13">
        <f>'إدارة المشاريع'!K11</f>
        <v/>
      </c>
      <c r="F85" s="15">
        <f>'إدارة المشاريع'!L11</f>
        <v/>
      </c>
      <c r="G85" s="56">
        <f>'إدارة المشاريع'!N11</f>
        <v/>
      </c>
      <c r="H85" s="15">
        <f>'إدارة المشاريع'!O11</f>
        <v/>
      </c>
      <c r="I85" s="24">
        <f>'إدارة المشاريع'!G11</f>
        <v/>
      </c>
      <c r="J85" s="15">
        <f>IF($G85="",0,$G85*$I85)</f>
        <v/>
      </c>
      <c r="K85" s="15">
        <f>IF($G85="",0,$I85)</f>
        <v/>
      </c>
      <c r="L85" s="13">
        <f>'إدارة المشاريع'!B11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المشاريع'!C12</f>
        <v/>
      </c>
      <c r="D86" s="15">
        <f>'إدارة المشاريع'!J12</f>
        <v/>
      </c>
      <c r="E86" s="13">
        <f>'إدارة المشاريع'!K12</f>
        <v/>
      </c>
      <c r="F86" s="15">
        <f>'إدارة المشاريع'!L12</f>
        <v/>
      </c>
      <c r="G86" s="56">
        <f>'إدارة المشاريع'!N12</f>
        <v/>
      </c>
      <c r="H86" s="15">
        <f>'إدارة المشاريع'!O12</f>
        <v/>
      </c>
      <c r="I86" s="24">
        <f>'إدارة المشاريع'!G12</f>
        <v/>
      </c>
      <c r="J86" s="15">
        <f>IF($G86="",0,$G86*$I86)</f>
        <v/>
      </c>
      <c r="K86" s="15">
        <f>IF($G86="",0,$I86)</f>
        <v/>
      </c>
      <c r="L86" s="13">
        <f>'إدارة المشاريع'!B12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المشاريع'!C13</f>
        <v/>
      </c>
      <c r="D87" s="15">
        <f>'إدارة المشاريع'!J13</f>
        <v/>
      </c>
      <c r="E87" s="13">
        <f>'إدارة المشاريع'!K13</f>
        <v/>
      </c>
      <c r="F87" s="15">
        <f>'إدارة المشاريع'!L13</f>
        <v/>
      </c>
      <c r="G87" s="56">
        <f>'إدارة المشاريع'!N13</f>
        <v/>
      </c>
      <c r="H87" s="15">
        <f>'إدارة المشاريع'!O13</f>
        <v/>
      </c>
      <c r="I87" s="24">
        <f>'إدارة المشاريع'!G13</f>
        <v/>
      </c>
      <c r="J87" s="15">
        <f>IF($G87="",0,$G87*$I87)</f>
        <v/>
      </c>
      <c r="K87" s="15">
        <f>IF($G87="",0,$I87)</f>
        <v/>
      </c>
      <c r="L87" s="13">
        <f>'إدارة المشاريع'!B13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المشاريع'!C15</f>
        <v/>
      </c>
      <c r="D88" s="15">
        <f>'إدارة المشاريع'!J15</f>
        <v/>
      </c>
      <c r="E88" s="13">
        <f>'إدارة المشاريع'!K15</f>
        <v/>
      </c>
      <c r="F88" s="15">
        <f>'إدارة المشاريع'!L15</f>
        <v/>
      </c>
      <c r="G88" s="56">
        <f>'إدارة المشاريع'!N15</f>
        <v/>
      </c>
      <c r="H88" s="15">
        <f>'إدارة المشاريع'!O15</f>
        <v/>
      </c>
      <c r="I88" s="24">
        <f>'إدارة المشاريع'!G15</f>
        <v/>
      </c>
      <c r="J88" s="15">
        <f>IF($G88="",0,$G88*$I88)</f>
        <v/>
      </c>
      <c r="K88" s="15">
        <f>IF($G88="",0,$I88)</f>
        <v/>
      </c>
      <c r="L88" s="13">
        <f>'إدارة المشاريع'!B15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المشاريع'!C16</f>
        <v/>
      </c>
      <c r="D89" s="15">
        <f>'إدارة المشاريع'!J16</f>
        <v/>
      </c>
      <c r="E89" s="13">
        <f>'إدارة المشاريع'!K16</f>
        <v/>
      </c>
      <c r="F89" s="15">
        <f>'إدارة المشاريع'!L16</f>
        <v/>
      </c>
      <c r="G89" s="56">
        <f>'إدارة المشاريع'!N16</f>
        <v/>
      </c>
      <c r="H89" s="15">
        <f>'إدارة المشاريع'!O16</f>
        <v/>
      </c>
      <c r="I89" s="24">
        <f>'إدارة المشاريع'!G16</f>
        <v/>
      </c>
      <c r="J89" s="15">
        <f>IF($G89="",0,$G89*$I89)</f>
        <v/>
      </c>
      <c r="K89" s="15">
        <f>IF($G89="",0,$I89)</f>
        <v/>
      </c>
      <c r="L89" s="13">
        <f>'إدارة المشاريع'!B16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المشاريع'!C17</f>
        <v/>
      </c>
      <c r="D90" s="15">
        <f>'إدارة المشاريع'!J17</f>
        <v/>
      </c>
      <c r="E90" s="13">
        <f>'إدارة المشاريع'!K17</f>
        <v/>
      </c>
      <c r="F90" s="15">
        <f>'إدارة المشاريع'!L17</f>
        <v/>
      </c>
      <c r="G90" s="56">
        <f>'إدارة المشاريع'!N17</f>
        <v/>
      </c>
      <c r="H90" s="15">
        <f>'إدارة المشاريع'!O17</f>
        <v/>
      </c>
      <c r="I90" s="24">
        <f>'إدارة المشاريع'!G17</f>
        <v/>
      </c>
      <c r="J90" s="15">
        <f>IF($G90="",0,$G90*$I90)</f>
        <v/>
      </c>
      <c r="K90" s="15">
        <f>IF($G90="",0,$I90)</f>
        <v/>
      </c>
      <c r="L90" s="13">
        <f>'إدارة المشاريع'!B17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المشاريع'!C19</f>
        <v/>
      </c>
      <c r="D91" s="15">
        <f>'إدارة المشاريع'!J19</f>
        <v/>
      </c>
      <c r="E91" s="13">
        <f>'إدارة المشاريع'!K19</f>
        <v/>
      </c>
      <c r="F91" s="15">
        <f>'إدارة المشاريع'!L19</f>
        <v/>
      </c>
      <c r="G91" s="56">
        <f>'إدارة المشاريع'!N19</f>
        <v/>
      </c>
      <c r="H91" s="15">
        <f>'إدارة المشاريع'!O19</f>
        <v/>
      </c>
      <c r="I91" s="24">
        <f>'إدارة المشاريع'!G19</f>
        <v/>
      </c>
      <c r="J91" s="15">
        <f>IF($G91="",0,$G91*$I91)</f>
        <v/>
      </c>
      <c r="K91" s="15">
        <f>IF($G91="",0,$I91)</f>
        <v/>
      </c>
      <c r="L91" s="13">
        <f>'إدارة المشاريع'!B19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المشاريع'!C20</f>
        <v/>
      </c>
      <c r="D92" s="15">
        <f>'إدارة المشاريع'!J20</f>
        <v/>
      </c>
      <c r="E92" s="13">
        <f>'إدارة المشاريع'!K20</f>
        <v/>
      </c>
      <c r="F92" s="15">
        <f>'إدارة المشاريع'!L20</f>
        <v/>
      </c>
      <c r="G92" s="56">
        <f>'إدارة المشاريع'!N20</f>
        <v/>
      </c>
      <c r="H92" s="15">
        <f>'إدارة المشاريع'!O20</f>
        <v/>
      </c>
      <c r="I92" s="24">
        <f>'إدارة المشاريع'!G20</f>
        <v/>
      </c>
      <c r="J92" s="15">
        <f>IF($G92="",0,$G92*$I92)</f>
        <v/>
      </c>
      <c r="K92" s="15">
        <f>IF($G92="",0,$I92)</f>
        <v/>
      </c>
      <c r="L92" s="13">
        <f>'إدارة المشاريع'!B20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المشاريع'!C21</f>
        <v/>
      </c>
      <c r="D93" s="15">
        <f>'إدارة المشاريع'!J21</f>
        <v/>
      </c>
      <c r="E93" s="13">
        <f>'إدارة المشاريع'!K21</f>
        <v/>
      </c>
      <c r="F93" s="15">
        <f>'إدارة المشاريع'!L21</f>
        <v/>
      </c>
      <c r="G93" s="56">
        <f>'إدارة المشاريع'!N21</f>
        <v/>
      </c>
      <c r="H93" s="15">
        <f>'إدارة المشاريع'!O21</f>
        <v/>
      </c>
      <c r="I93" s="24">
        <f>'إدارة المشاريع'!G21</f>
        <v/>
      </c>
      <c r="J93" s="15">
        <f>IF($G93="",0,$G93*$I93)</f>
        <v/>
      </c>
      <c r="K93" s="15">
        <f>IF($G93="",0,$I93)</f>
        <v/>
      </c>
      <c r="L93" s="13">
        <f>'إدارة المشاريع'!B21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الإمداد'!C5</f>
        <v/>
      </c>
      <c r="D94" s="15">
        <f>'سلاسل الإمداد'!J5</f>
        <v/>
      </c>
      <c r="E94" s="13">
        <f>'سلاسل الإمداد'!K5</f>
        <v/>
      </c>
      <c r="F94" s="15">
        <f>'سلاسل الإمداد'!L5</f>
        <v/>
      </c>
      <c r="G94" s="56">
        <f>'سلاسل الإمداد'!N5</f>
        <v/>
      </c>
      <c r="H94" s="15">
        <f>'سلاسل الإمداد'!O5</f>
        <v/>
      </c>
      <c r="I94" s="24">
        <f>'سلاسل الإمداد'!G5</f>
        <v/>
      </c>
      <c r="J94" s="15">
        <f>IF($G94="",0,$G94*$I94)</f>
        <v/>
      </c>
      <c r="K94" s="15">
        <f>IF($G94="",0,$I94)</f>
        <v/>
      </c>
      <c r="L94" s="13">
        <f>'سلاسل الإمداد'!B5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الإمداد'!C6</f>
        <v/>
      </c>
      <c r="D95" s="15">
        <f>'سلاسل الإمداد'!J6</f>
        <v/>
      </c>
      <c r="E95" s="13">
        <f>'سلاسل الإمداد'!K6</f>
        <v/>
      </c>
      <c r="F95" s="15">
        <f>'سلاسل الإمداد'!L6</f>
        <v/>
      </c>
      <c r="G95" s="56">
        <f>'سلاسل الإمداد'!N6</f>
        <v/>
      </c>
      <c r="H95" s="15">
        <f>'سلاسل الإمداد'!O6</f>
        <v/>
      </c>
      <c r="I95" s="24">
        <f>'سلاسل الإمداد'!G6</f>
        <v/>
      </c>
      <c r="J95" s="15">
        <f>IF($G95="",0,$G95*$I95)</f>
        <v/>
      </c>
      <c r="K95" s="15">
        <f>IF($G95="",0,$I95)</f>
        <v/>
      </c>
      <c r="L95" s="13">
        <f>'سلاسل الإمداد'!B6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الإمداد'!C8</f>
        <v/>
      </c>
      <c r="D96" s="15">
        <f>'سلاسل الإمداد'!J8</f>
        <v/>
      </c>
      <c r="E96" s="13">
        <f>'سلاسل الإمداد'!K8</f>
        <v/>
      </c>
      <c r="F96" s="15">
        <f>'سلاسل الإمداد'!L8</f>
        <v/>
      </c>
      <c r="G96" s="56">
        <f>'سلاسل الإمداد'!N8</f>
        <v/>
      </c>
      <c r="H96" s="15">
        <f>'سلاسل الإمداد'!O8</f>
        <v/>
      </c>
      <c r="I96" s="24">
        <f>'سلاسل الإمداد'!G8</f>
        <v/>
      </c>
      <c r="J96" s="15">
        <f>IF($G96="",0,$G96*$I96)</f>
        <v/>
      </c>
      <c r="K96" s="15">
        <f>IF($G96="",0,$I96)</f>
        <v/>
      </c>
      <c r="L96" s="13">
        <f>'سلاسل الإمداد'!B8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الإمداد'!C9</f>
        <v/>
      </c>
      <c r="D97" s="15">
        <f>'سلاسل الإمداد'!J9</f>
        <v/>
      </c>
      <c r="E97" s="13">
        <f>'سلاسل الإمداد'!K9</f>
        <v/>
      </c>
      <c r="F97" s="15">
        <f>'سلاسل الإمداد'!L9</f>
        <v/>
      </c>
      <c r="G97" s="56">
        <f>'سلاسل الإمداد'!N9</f>
        <v/>
      </c>
      <c r="H97" s="15">
        <f>'سلاسل الإمداد'!O9</f>
        <v/>
      </c>
      <c r="I97" s="24">
        <f>'سلاسل الإمداد'!G9</f>
        <v/>
      </c>
      <c r="J97" s="15">
        <f>IF($G97="",0,$G97*$I97)</f>
        <v/>
      </c>
      <c r="K97" s="15">
        <f>IF($G97="",0,$I97)</f>
        <v/>
      </c>
      <c r="L97" s="13">
        <f>'سلاسل الإمداد'!B9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الإمداد'!C10</f>
        <v/>
      </c>
      <c r="D98" s="15">
        <f>'سلاسل الإمداد'!J10</f>
        <v/>
      </c>
      <c r="E98" s="13">
        <f>'سلاسل الإمداد'!K10</f>
        <v/>
      </c>
      <c r="F98" s="15">
        <f>'سلاسل الإمداد'!L10</f>
        <v/>
      </c>
      <c r="G98" s="56">
        <f>'سلاسل الإمداد'!N10</f>
        <v/>
      </c>
      <c r="H98" s="15">
        <f>'سلاسل الإمداد'!O10</f>
        <v/>
      </c>
      <c r="I98" s="24">
        <f>'سلاسل الإمداد'!G10</f>
        <v/>
      </c>
      <c r="J98" s="15">
        <f>IF($G98="",0,$G98*$I98)</f>
        <v/>
      </c>
      <c r="K98" s="15">
        <f>IF($G98="",0,$I98)</f>
        <v/>
      </c>
      <c r="L98" s="13">
        <f>'سلاسل الإمداد'!B10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الإمداد'!C12</f>
        <v/>
      </c>
      <c r="D99" s="15">
        <f>'سلاسل الإمداد'!J12</f>
        <v/>
      </c>
      <c r="E99" s="13">
        <f>'سلاسل الإمداد'!K12</f>
        <v/>
      </c>
      <c r="F99" s="15">
        <f>'سلاسل الإمداد'!L12</f>
        <v/>
      </c>
      <c r="G99" s="56">
        <f>'سلاسل الإمداد'!N12</f>
        <v/>
      </c>
      <c r="H99" s="15">
        <f>'سلاسل الإمداد'!O12</f>
        <v/>
      </c>
      <c r="I99" s="24">
        <f>'سلاسل الإمداد'!G12</f>
        <v/>
      </c>
      <c r="J99" s="15">
        <f>IF($G99="",0,$G99*$I99)</f>
        <v/>
      </c>
      <c r="K99" s="15">
        <f>IF($G99="",0,$I99)</f>
        <v/>
      </c>
      <c r="L99" s="13">
        <f>'سلاسل الإمداد'!B12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الإمداد'!C13</f>
        <v/>
      </c>
      <c r="D100" s="15">
        <f>'سلاسل الإمداد'!J13</f>
        <v/>
      </c>
      <c r="E100" s="13">
        <f>'سلاسل الإمداد'!K13</f>
        <v/>
      </c>
      <c r="F100" s="15">
        <f>'سلاسل الإمداد'!L13</f>
        <v/>
      </c>
      <c r="G100" s="56">
        <f>'سلاسل الإمداد'!N13</f>
        <v/>
      </c>
      <c r="H100" s="15">
        <f>'سلاسل الإمداد'!O13</f>
        <v/>
      </c>
      <c r="I100" s="24">
        <f>'سلاسل الإمداد'!G13</f>
        <v/>
      </c>
      <c r="J100" s="15">
        <f>IF($G100="",0,$G100*$I100)</f>
        <v/>
      </c>
      <c r="K100" s="15">
        <f>IF($G100="",0,$I100)</f>
        <v/>
      </c>
      <c r="L100" s="13">
        <f>'سلاسل الإمداد'!B13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الإمداد'!C15</f>
        <v/>
      </c>
      <c r="D101" s="15">
        <f>'سلاسل الإمداد'!J15</f>
        <v/>
      </c>
      <c r="E101" s="13">
        <f>'سلاسل الإمداد'!K15</f>
        <v/>
      </c>
      <c r="F101" s="15">
        <f>'سلاسل الإمداد'!L15</f>
        <v/>
      </c>
      <c r="G101" s="56">
        <f>'سلاسل الإمداد'!N15</f>
        <v/>
      </c>
      <c r="H101" s="15">
        <f>'سلاسل الإمداد'!O15</f>
        <v/>
      </c>
      <c r="I101" s="24">
        <f>'سلاسل الإمداد'!G15</f>
        <v/>
      </c>
      <c r="J101" s="15">
        <f>IF($G101="",0,$G101*$I101)</f>
        <v/>
      </c>
      <c r="K101" s="15">
        <f>IF($G101="",0,$I101)</f>
        <v/>
      </c>
      <c r="L101" s="13">
        <f>'سلاسل الإمداد'!B15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الإمداد'!C16</f>
        <v/>
      </c>
      <c r="D102" s="15">
        <f>'سلاسل الإمداد'!J16</f>
        <v/>
      </c>
      <c r="E102" s="13">
        <f>'سلاسل الإمداد'!K16</f>
        <v/>
      </c>
      <c r="F102" s="15">
        <f>'سلاسل الإمداد'!L16</f>
        <v/>
      </c>
      <c r="G102" s="56">
        <f>'سلاسل الإمداد'!N16</f>
        <v/>
      </c>
      <c r="H102" s="15">
        <f>'سلاسل الإمداد'!O16</f>
        <v/>
      </c>
      <c r="I102" s="24">
        <f>'سلاسل الإمداد'!G16</f>
        <v/>
      </c>
      <c r="J102" s="15">
        <f>IF($G102="",0,$G102*$I102)</f>
        <v/>
      </c>
      <c r="K102" s="15">
        <f>IF($G102="",0,$I102)</f>
        <v/>
      </c>
      <c r="L102" s="13">
        <f>'سلاسل الإمداد'!B16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الإمداد'!C17</f>
        <v/>
      </c>
      <c r="D103" s="15">
        <f>'سلاسل الإمداد'!J17</f>
        <v/>
      </c>
      <c r="E103" s="13">
        <f>'سلاسل الإمداد'!K17</f>
        <v/>
      </c>
      <c r="F103" s="15">
        <f>'سلاسل الإمداد'!L17</f>
        <v/>
      </c>
      <c r="G103" s="56">
        <f>'سلاسل الإمداد'!N17</f>
        <v/>
      </c>
      <c r="H103" s="15">
        <f>'سلاسل الإمداد'!O17</f>
        <v/>
      </c>
      <c r="I103" s="24">
        <f>'سلاسل الإمداد'!G17</f>
        <v/>
      </c>
      <c r="J103" s="15">
        <f>IF($G103="",0,$G103*$I103)</f>
        <v/>
      </c>
      <c r="K103" s="15">
        <f>IF($G103="",0,$I103)</f>
        <v/>
      </c>
      <c r="L103" s="13">
        <f>'سلاسل الإمداد'!B17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الإمداد'!C19</f>
        <v/>
      </c>
      <c r="D104" s="15">
        <f>'سلاسل الإمداد'!J19</f>
        <v/>
      </c>
      <c r="E104" s="13">
        <f>'سلاسل الإمداد'!K19</f>
        <v/>
      </c>
      <c r="F104" s="15">
        <f>'سلاسل الإمداد'!L19</f>
        <v/>
      </c>
      <c r="G104" s="56">
        <f>'سلاسل الإمداد'!N19</f>
        <v/>
      </c>
      <c r="H104" s="15">
        <f>'سلاسل الإمداد'!O19</f>
        <v/>
      </c>
      <c r="I104" s="24">
        <f>'سلاسل الإمداد'!G19</f>
        <v/>
      </c>
      <c r="J104" s="15">
        <f>IF($G104="",0,$G104*$I104)</f>
        <v/>
      </c>
      <c r="K104" s="15">
        <f>IF($G104="",0,$I104)</f>
        <v/>
      </c>
      <c r="L104" s="13">
        <f>'سلاسل الإمداد'!B19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الإمداد'!C20</f>
        <v/>
      </c>
      <c r="D105" s="15">
        <f>'سلاسل الإمداد'!J20</f>
        <v/>
      </c>
      <c r="E105" s="13">
        <f>'سلاسل الإمداد'!K20</f>
        <v/>
      </c>
      <c r="F105" s="15">
        <f>'سلاسل الإمداد'!L20</f>
        <v/>
      </c>
      <c r="G105" s="56">
        <f>'سلاسل الإمداد'!N20</f>
        <v/>
      </c>
      <c r="H105" s="15">
        <f>'سلاسل الإمداد'!O20</f>
        <v/>
      </c>
      <c r="I105" s="24">
        <f>'سلاسل الإمداد'!G20</f>
        <v/>
      </c>
      <c r="J105" s="15">
        <f>IF($G105="",0,$G105*$I105)</f>
        <v/>
      </c>
      <c r="K105" s="15">
        <f>IF($G105="",0,$I105)</f>
        <v/>
      </c>
      <c r="L105" s="13">
        <f>'سلاسل الإمداد'!B20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والأتمتة'!C5</f>
        <v/>
      </c>
      <c r="D106" s="15">
        <f>'الصيانة والأتمتة'!J5</f>
        <v/>
      </c>
      <c r="E106" s="13">
        <f>'الصيانة والأتمتة'!K5</f>
        <v/>
      </c>
      <c r="F106" s="15">
        <f>'الصيانة والأتمتة'!L5</f>
        <v/>
      </c>
      <c r="G106" s="56">
        <f>'الصيانة والأتمتة'!N5</f>
        <v/>
      </c>
      <c r="H106" s="15">
        <f>'الصيانة والأتمتة'!O5</f>
        <v/>
      </c>
      <c r="I106" s="24">
        <f>'الصيانة والأتمتة'!G5</f>
        <v/>
      </c>
      <c r="J106" s="15">
        <f>IF($G106="",0,$G106*$I106)</f>
        <v/>
      </c>
      <c r="K106" s="15">
        <f>IF($G106="",0,$I106)</f>
        <v/>
      </c>
      <c r="L106" s="13">
        <f>'الصيانة والأتمتة'!B5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والأتمتة'!C6</f>
        <v/>
      </c>
      <c r="D107" s="15">
        <f>'الصيانة والأتمتة'!J6</f>
        <v/>
      </c>
      <c r="E107" s="13">
        <f>'الصيانة والأتمتة'!K6</f>
        <v/>
      </c>
      <c r="F107" s="15">
        <f>'الصيانة والأتمتة'!L6</f>
        <v/>
      </c>
      <c r="G107" s="56">
        <f>'الصيانة والأتمتة'!N6</f>
        <v/>
      </c>
      <c r="H107" s="15">
        <f>'الصيانة والأتمتة'!O6</f>
        <v/>
      </c>
      <c r="I107" s="24">
        <f>'الصيانة والأتمتة'!G6</f>
        <v/>
      </c>
      <c r="J107" s="15">
        <f>IF($G107="",0,$G107*$I107)</f>
        <v/>
      </c>
      <c r="K107" s="15">
        <f>IF($G107="",0,$I107)</f>
        <v/>
      </c>
      <c r="L107" s="13">
        <f>'الصيانة والأتمتة'!B6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والأتمتة'!C8</f>
        <v/>
      </c>
      <c r="D108" s="15">
        <f>'الصيانة والأتمتة'!J8</f>
        <v/>
      </c>
      <c r="E108" s="13">
        <f>'الصيانة والأتمتة'!K8</f>
        <v/>
      </c>
      <c r="F108" s="15">
        <f>'الصيانة والأتمتة'!L8</f>
        <v/>
      </c>
      <c r="G108" s="56">
        <f>'الصيانة والأتمتة'!N8</f>
        <v/>
      </c>
      <c r="H108" s="15">
        <f>'الصيانة والأتمتة'!O8</f>
        <v/>
      </c>
      <c r="I108" s="24">
        <f>'الصيانة والأتمتة'!G8</f>
        <v/>
      </c>
      <c r="J108" s="15">
        <f>IF($G108="",0,$G108*$I108)</f>
        <v/>
      </c>
      <c r="K108" s="15">
        <f>IF($G108="",0,$I108)</f>
        <v/>
      </c>
      <c r="L108" s="13">
        <f>'الصيانة والأتمتة'!B8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والأتمتة'!C9</f>
        <v/>
      </c>
      <c r="D109" s="15">
        <f>'الصيانة والأتمتة'!J9</f>
        <v/>
      </c>
      <c r="E109" s="13">
        <f>'الصيانة والأتمتة'!K9</f>
        <v/>
      </c>
      <c r="F109" s="15">
        <f>'الصيانة والأتمتة'!L9</f>
        <v/>
      </c>
      <c r="G109" s="56">
        <f>'الصيانة والأتمتة'!N9</f>
        <v/>
      </c>
      <c r="H109" s="15">
        <f>'الصيانة والأتمتة'!O9</f>
        <v/>
      </c>
      <c r="I109" s="24">
        <f>'الصيانة والأتمتة'!G9</f>
        <v/>
      </c>
      <c r="J109" s="15">
        <f>IF($G109="",0,$G109*$I109)</f>
        <v/>
      </c>
      <c r="K109" s="15">
        <f>IF($G109="",0,$I109)</f>
        <v/>
      </c>
      <c r="L109" s="13">
        <f>'الصيانة والأتمتة'!B9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والأتمتة'!C10</f>
        <v/>
      </c>
      <c r="D110" s="15">
        <f>'الصيانة والأتمتة'!J10</f>
        <v/>
      </c>
      <c r="E110" s="13">
        <f>'الصيانة والأتمتة'!K10</f>
        <v/>
      </c>
      <c r="F110" s="15">
        <f>'الصيانة والأتمتة'!L10</f>
        <v/>
      </c>
      <c r="G110" s="56">
        <f>'الصيانة والأتمتة'!N10</f>
        <v/>
      </c>
      <c r="H110" s="15">
        <f>'الصيانة والأتمتة'!O10</f>
        <v/>
      </c>
      <c r="I110" s="24">
        <f>'الصيانة والأتمتة'!G10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والأتمتة'!B10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والأتمتة'!C11</f>
        <v/>
      </c>
      <c r="D111" s="15">
        <f>'الصيانة والأتمتة'!J11</f>
        <v/>
      </c>
      <c r="E111" s="13">
        <f>'الصيانة والأتمتة'!K11</f>
        <v/>
      </c>
      <c r="F111" s="15">
        <f>'الصيانة والأتمتة'!L11</f>
        <v/>
      </c>
      <c r="G111" s="56">
        <f>'الصيانة والأتمتة'!N11</f>
        <v/>
      </c>
      <c r="H111" s="15">
        <f>'الصيانة والأتمتة'!O11</f>
        <v/>
      </c>
      <c r="I111" s="24">
        <f>'الصيانة والأتمتة'!G11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والأتمتة'!B11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والأتمتة'!C12</f>
        <v/>
      </c>
      <c r="D112" s="15">
        <f>'الصيانة والأتمتة'!J12</f>
        <v/>
      </c>
      <c r="E112" s="13">
        <f>'الصيانة والأتمتة'!K12</f>
        <v/>
      </c>
      <c r="F112" s="15">
        <f>'الصيانة والأتمتة'!L12</f>
        <v/>
      </c>
      <c r="G112" s="56">
        <f>'الصيانة والأتمتة'!N12</f>
        <v/>
      </c>
      <c r="H112" s="15">
        <f>'الصيانة والأتمتة'!O12</f>
        <v/>
      </c>
      <c r="I112" s="24">
        <f>'الصيانة والأتمتة'!G12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والأتمتة'!B12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والأتمتة'!C14</f>
        <v/>
      </c>
      <c r="D113" s="15">
        <f>'الصيانة والأتمتة'!J14</f>
        <v/>
      </c>
      <c r="E113" s="13">
        <f>'الصيانة والأتمتة'!K14</f>
        <v/>
      </c>
      <c r="F113" s="15">
        <f>'الصيانة والأتمتة'!L14</f>
        <v/>
      </c>
      <c r="G113" s="56">
        <f>'الصيانة والأتمتة'!N14</f>
        <v/>
      </c>
      <c r="H113" s="15">
        <f>'الصيانة والأتمتة'!O14</f>
        <v/>
      </c>
      <c r="I113" s="24">
        <f>'الصيانة والأتمتة'!G14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والأتمتة'!B14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والأتمتة'!C15</f>
        <v/>
      </c>
      <c r="D114" s="15">
        <f>'الصيانة والأتمتة'!J15</f>
        <v/>
      </c>
      <c r="E114" s="13">
        <f>'الصيانة والأتمتة'!K15</f>
        <v/>
      </c>
      <c r="F114" s="15">
        <f>'الصيانة والأتمتة'!L15</f>
        <v/>
      </c>
      <c r="G114" s="56">
        <f>'الصيانة والأتمتة'!N15</f>
        <v/>
      </c>
      <c r="H114" s="15">
        <f>'الصيانة والأتمتة'!O15</f>
        <v/>
      </c>
      <c r="I114" s="24">
        <f>'الصيانة والأتمتة'!G15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والأتمتة'!B15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والأتمتة'!C16</f>
        <v/>
      </c>
      <c r="D115" s="15">
        <f>'الصيانة والأتمتة'!J16</f>
        <v/>
      </c>
      <c r="E115" s="13">
        <f>'الصيانة والأتمتة'!K16</f>
        <v/>
      </c>
      <c r="F115" s="15">
        <f>'الصيانة والأتمتة'!L16</f>
        <v/>
      </c>
      <c r="G115" s="56">
        <f>'الصيانة والأتمتة'!N16</f>
        <v/>
      </c>
      <c r="H115" s="15">
        <f>'الصيانة والأتمتة'!O16</f>
        <v/>
      </c>
      <c r="I115" s="24">
        <f>'الصيانة والأتمتة'!G16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الرقمية'!C5</f>
        <v/>
      </c>
      <c r="D116" s="15">
        <f>'التقنية الرقمية'!J5</f>
        <v/>
      </c>
      <c r="E116" s="13">
        <f>'التقنية الرقمية'!K5</f>
        <v/>
      </c>
      <c r="F116" s="15">
        <f>'التقنية الرقمية'!L5</f>
        <v/>
      </c>
      <c r="G116" s="56">
        <f>'التقنية الرقمية'!N5</f>
        <v/>
      </c>
      <c r="H116" s="15">
        <f>'التقنية الرقمية'!O5</f>
        <v/>
      </c>
      <c r="I116" s="24">
        <f>'التقنية الرقمية'!G5</f>
        <v/>
      </c>
      <c r="J116" s="15">
        <f>IF($G116="",0,$G116*$I116)</f>
        <v/>
      </c>
      <c r="K116" s="15">
        <f>IF($G116="",0,$I116)</f>
        <v/>
      </c>
      <c r="L116" s="13">
        <f>'التقنية الرقمية'!B5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الرقمية'!C6</f>
        <v/>
      </c>
      <c r="D117" s="15">
        <f>'التقنية الرقمية'!J6</f>
        <v/>
      </c>
      <c r="E117" s="13">
        <f>'التقنية الرقمية'!K6</f>
        <v/>
      </c>
      <c r="F117" s="15">
        <f>'التقنية الرقمية'!L6</f>
        <v/>
      </c>
      <c r="G117" s="56">
        <f>'التقنية الرقمية'!N6</f>
        <v/>
      </c>
      <c r="H117" s="15">
        <f>'التقنية الرقمية'!O6</f>
        <v/>
      </c>
      <c r="I117" s="24">
        <f>'التقنية الرقمية'!G6</f>
        <v/>
      </c>
      <c r="J117" s="15">
        <f>IF($G117="",0,$G117*$I117)</f>
        <v/>
      </c>
      <c r="K117" s="15">
        <f>IF($G117="",0,$I117)</f>
        <v/>
      </c>
      <c r="L117" s="13">
        <f>'التقنية الرقمية'!B6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الرقمية'!C7</f>
        <v/>
      </c>
      <c r="D118" s="15">
        <f>'التقنية الرقمية'!J7</f>
        <v/>
      </c>
      <c r="E118" s="13">
        <f>'التقنية الرقمية'!K7</f>
        <v/>
      </c>
      <c r="F118" s="15">
        <f>'التقنية الرقمية'!L7</f>
        <v/>
      </c>
      <c r="G118" s="56">
        <f>'التقنية الرقمية'!N7</f>
        <v/>
      </c>
      <c r="H118" s="15">
        <f>'التقنية الرقمية'!O7</f>
        <v/>
      </c>
      <c r="I118" s="24">
        <f>'التقنية الرقمية'!G7</f>
        <v/>
      </c>
      <c r="J118" s="15">
        <f>IF($G118="",0,$G118*$I118)</f>
        <v/>
      </c>
      <c r="K118" s="15">
        <f>IF($G118="",0,$I118)</f>
        <v/>
      </c>
      <c r="L118" s="13">
        <f>'التقنية الرقمية'!B7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الرقمية'!C9</f>
        <v/>
      </c>
      <c r="D119" s="15">
        <f>'التقنية الرقمية'!J9</f>
        <v/>
      </c>
      <c r="E119" s="13">
        <f>'التقنية الرقمية'!K9</f>
        <v/>
      </c>
      <c r="F119" s="15">
        <f>'التقنية الرقمية'!L9</f>
        <v/>
      </c>
      <c r="G119" s="56">
        <f>'التقنية الرقمية'!N9</f>
        <v/>
      </c>
      <c r="H119" s="15">
        <f>'التقنية الرقمية'!O9</f>
        <v/>
      </c>
      <c r="I119" s="24">
        <f>'التقنية الرقمية'!G9</f>
        <v/>
      </c>
      <c r="J119" s="15">
        <f>IF($G119="",0,$G119*$I119)</f>
        <v/>
      </c>
      <c r="K119" s="15">
        <f>IF($G119="",0,$I119)</f>
        <v/>
      </c>
      <c r="L119" s="13">
        <f>'التقنية الرقمية'!B9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الرقمية'!C10</f>
        <v/>
      </c>
      <c r="D120" s="15">
        <f>'التقنية الرقمية'!J10</f>
        <v/>
      </c>
      <c r="E120" s="13">
        <f>'التقنية الرقمية'!K10</f>
        <v/>
      </c>
      <c r="F120" s="15">
        <f>'التقنية الرقمية'!L10</f>
        <v/>
      </c>
      <c r="G120" s="56">
        <f>'التقنية الرقمية'!N10</f>
        <v/>
      </c>
      <c r="H120" s="15">
        <f>'التقنية الرقمية'!O10</f>
        <v/>
      </c>
      <c r="I120" s="24">
        <f>'التقنية الرقمية'!G10</f>
        <v/>
      </c>
      <c r="J120" s="15">
        <f>IF($G120="",0,$G120*$I120)</f>
        <v/>
      </c>
      <c r="K120" s="15">
        <f>IF($G120="",0,$I120)</f>
        <v/>
      </c>
      <c r="L120" s="13">
        <f>'التقنية الرقمية'!B10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الرقمية'!C12</f>
        <v/>
      </c>
      <c r="D121" s="15">
        <f>'التقنية الرقمية'!J12</f>
        <v/>
      </c>
      <c r="E121" s="13">
        <f>'التقنية الرقمية'!K12</f>
        <v/>
      </c>
      <c r="F121" s="15">
        <f>'التقنية الرقمية'!L12</f>
        <v/>
      </c>
      <c r="G121" s="56">
        <f>'التقنية الرقمية'!N12</f>
        <v/>
      </c>
      <c r="H121" s="15">
        <f>'التقنية الرقمية'!O12</f>
        <v/>
      </c>
      <c r="I121" s="24">
        <f>'التقنية الرقمية'!G12</f>
        <v/>
      </c>
      <c r="J121" s="15">
        <f>IF($G121="",0,$G121*$I121)</f>
        <v/>
      </c>
      <c r="K121" s="15">
        <f>IF($G121="",0,$I121)</f>
        <v/>
      </c>
      <c r="L121" s="13">
        <f>'التقنية الرقمية'!B12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الرقمية'!C13</f>
        <v/>
      </c>
      <c r="D122" s="15">
        <f>'التقنية الرقمية'!J13</f>
        <v/>
      </c>
      <c r="E122" s="13">
        <f>'التقنية الرقمية'!K13</f>
        <v/>
      </c>
      <c r="F122" s="15">
        <f>'التقنية الرقمية'!L13</f>
        <v/>
      </c>
      <c r="G122" s="56">
        <f>'التقنية الرقمية'!N13</f>
        <v/>
      </c>
      <c r="H122" s="15">
        <f>'التقنية الرقمية'!O13</f>
        <v/>
      </c>
      <c r="I122" s="24">
        <f>'التقنية الرقمية'!G13</f>
        <v/>
      </c>
      <c r="J122" s="15">
        <f>IF($G122="",0,$G122*$I122)</f>
        <v/>
      </c>
      <c r="K122" s="15">
        <f>IF($G122="",0,$I122)</f>
        <v/>
      </c>
      <c r="L122" s="13">
        <f>'التقنية الرقمية'!B13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الرقمية'!C14</f>
        <v/>
      </c>
      <c r="D123" s="15">
        <f>'التقنية الرقمية'!J14</f>
        <v/>
      </c>
      <c r="E123" s="13">
        <f>'التقنية الرقمية'!K14</f>
        <v/>
      </c>
      <c r="F123" s="15">
        <f>'التقنية الرقمية'!L14</f>
        <v/>
      </c>
      <c r="G123" s="56">
        <f>'التقنية الرقمية'!N14</f>
        <v/>
      </c>
      <c r="H123" s="15">
        <f>'التقنية الرقمية'!O14</f>
        <v/>
      </c>
      <c r="I123" s="24">
        <f>'التقنية الرقمية'!G14</f>
        <v/>
      </c>
      <c r="J123" s="15">
        <f>IF($G123="",0,$G123*$I123)</f>
        <v/>
      </c>
      <c r="K123" s="15">
        <f>IF($G123="",0,$I123)</f>
        <v/>
      </c>
      <c r="L123" s="13">
        <f>'التقنية الرقمية'!B14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الرقمية'!C16</f>
        <v/>
      </c>
      <c r="D124" s="15">
        <f>'التقنية الرقمية'!J16</f>
        <v/>
      </c>
      <c r="E124" s="13">
        <f>'التقنية الرقمية'!K16</f>
        <v/>
      </c>
      <c r="F124" s="15">
        <f>'التقنية الرقمية'!L16</f>
        <v/>
      </c>
      <c r="G124" s="56">
        <f>'التقنية الرقمية'!N16</f>
        <v/>
      </c>
      <c r="H124" s="15">
        <f>'التقنية الرقمية'!O16</f>
        <v/>
      </c>
      <c r="I124" s="24">
        <f>'التقنية الرقمية'!G16</f>
        <v/>
      </c>
      <c r="J124" s="15">
        <f>IF($G124="",0,$G124*$I124)</f>
        <v/>
      </c>
      <c r="K124" s="15">
        <f>IF($G124="",0,$I124)</f>
        <v/>
      </c>
      <c r="L124" s="13">
        <f>'التقنية الرقمية'!B16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الرقمية'!C17</f>
        <v/>
      </c>
      <c r="D125" s="15">
        <f>'التقنية الرقمية'!J17</f>
        <v/>
      </c>
      <c r="E125" s="13">
        <f>'التقنية الرقمية'!K17</f>
        <v/>
      </c>
      <c r="F125" s="15">
        <f>'التقنية الرقمية'!L17</f>
        <v/>
      </c>
      <c r="G125" s="56">
        <f>'التقنية الرقمية'!N17</f>
        <v/>
      </c>
      <c r="H125" s="15">
        <f>'التقنية الرقمية'!O17</f>
        <v/>
      </c>
      <c r="I125" s="24">
        <f>'التقنية الرقمية'!G17</f>
        <v/>
      </c>
      <c r="J125" s="15">
        <f>IF($G125="",0,$G125*$I125)</f>
        <v/>
      </c>
      <c r="K125" s="15">
        <f>IF($G125="",0,$I125)</f>
        <v/>
      </c>
      <c r="L125" s="13">
        <f>'التقنية الرقمية'!B17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الرقمية'!C19</f>
        <v/>
      </c>
      <c r="D126" s="15">
        <f>'التقنية الرقمية'!J19</f>
        <v/>
      </c>
      <c r="E126" s="13">
        <f>'التقنية الرقمية'!K19</f>
        <v/>
      </c>
      <c r="F126" s="15">
        <f>'التقنية الرقمية'!L19</f>
        <v/>
      </c>
      <c r="G126" s="56">
        <f>'التقنية الرقمية'!N19</f>
        <v/>
      </c>
      <c r="H126" s="15">
        <f>'التقنية الرقمية'!O19</f>
        <v/>
      </c>
      <c r="I126" s="24">
        <f>'التقنية الرقمية'!G19</f>
        <v/>
      </c>
      <c r="J126" s="15">
        <f>IF($G126="",0,$G126*$I126)</f>
        <v/>
      </c>
      <c r="K126" s="15">
        <f>IF($G126="",0,$I126)</f>
        <v/>
      </c>
      <c r="L126" s="13">
        <f>'التقنية الرقمية'!B19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الرقمية'!C20</f>
        <v/>
      </c>
      <c r="D127" s="15">
        <f>'التقنية الرقمية'!J20</f>
        <v/>
      </c>
      <c r="E127" s="13">
        <f>'التقنية الرقمية'!K20</f>
        <v/>
      </c>
      <c r="F127" s="15">
        <f>'التقنية الرقمية'!L20</f>
        <v/>
      </c>
      <c r="G127" s="56">
        <f>'التقنية الرقمية'!N20</f>
        <v/>
      </c>
      <c r="H127" s="15">
        <f>'التقنية الرقمية'!O20</f>
        <v/>
      </c>
      <c r="I127" s="24">
        <f>'التقنية الرقمية'!G20</f>
        <v/>
      </c>
      <c r="J127" s="15">
        <f>IF($G127="",0,$G127*$I127)</f>
        <v/>
      </c>
      <c r="K127" s="15">
        <f>IF($G127="",0,$I127)</f>
        <v/>
      </c>
      <c r="L127" s="13">
        <f>'التقنية الرقمية'!B20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البشرية'!C5</f>
        <v/>
      </c>
      <c r="D128" s="15">
        <f>'الموارد البشرية'!J5</f>
        <v/>
      </c>
      <c r="E128" s="13">
        <f>'الموارد البشرية'!K5</f>
        <v/>
      </c>
      <c r="F128" s="15">
        <f>'الموارد البشرية'!L5</f>
        <v/>
      </c>
      <c r="G128" s="56">
        <f>'الموارد البشرية'!N5</f>
        <v/>
      </c>
      <c r="H128" s="15">
        <f>'الموارد البشرية'!O5</f>
        <v/>
      </c>
      <c r="I128" s="24">
        <f>'الموارد البشرية'!G5</f>
        <v/>
      </c>
      <c r="J128" s="15">
        <f>IF($G128="",0,$G128*$I128)</f>
        <v/>
      </c>
      <c r="K128" s="15">
        <f>IF($G128="",0,$I128)</f>
        <v/>
      </c>
      <c r="L128" s="13">
        <f>'الموارد البشرية'!B5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البشرية'!C6</f>
        <v/>
      </c>
      <c r="D129" s="15">
        <f>'الموارد البشرية'!J6</f>
        <v/>
      </c>
      <c r="E129" s="13">
        <f>'الموارد البشرية'!K6</f>
        <v/>
      </c>
      <c r="F129" s="15">
        <f>'الموارد البشرية'!L6</f>
        <v/>
      </c>
      <c r="G129" s="56">
        <f>'الموارد البشرية'!N6</f>
        <v/>
      </c>
      <c r="H129" s="15">
        <f>'الموارد البشرية'!O6</f>
        <v/>
      </c>
      <c r="I129" s="24">
        <f>'الموارد البشرية'!G6</f>
        <v/>
      </c>
      <c r="J129" s="15">
        <f>IF($G129="",0,$G129*$I129)</f>
        <v/>
      </c>
      <c r="K129" s="15">
        <f>IF($G129="",0,$I129)</f>
        <v/>
      </c>
      <c r="L129" s="13">
        <f>'الموارد البشرية'!B6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البشرية'!C7</f>
        <v/>
      </c>
      <c r="D130" s="15">
        <f>'الموارد البشرية'!J7</f>
        <v/>
      </c>
      <c r="E130" s="13">
        <f>'الموارد البشرية'!K7</f>
        <v/>
      </c>
      <c r="F130" s="15">
        <f>'الموارد البشرية'!L7</f>
        <v/>
      </c>
      <c r="G130" s="56">
        <f>'الموارد البشرية'!N7</f>
        <v/>
      </c>
      <c r="H130" s="15">
        <f>'الموارد البشرية'!O7</f>
        <v/>
      </c>
      <c r="I130" s="24">
        <f>'الموارد البشرية'!G7</f>
        <v/>
      </c>
      <c r="J130" s="15">
        <f>IF($G130="",0,$G130*$I130)</f>
        <v/>
      </c>
      <c r="K130" s="15">
        <f>IF($G130="",0,$I130)</f>
        <v/>
      </c>
      <c r="L130" s="13">
        <f>'الموارد البشرية'!B7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البشرية'!C8</f>
        <v/>
      </c>
      <c r="D131" s="15">
        <f>'الموارد البشرية'!J8</f>
        <v/>
      </c>
      <c r="E131" s="13">
        <f>'الموارد البشرية'!K8</f>
        <v/>
      </c>
      <c r="F131" s="15">
        <f>'الموارد البشرية'!L8</f>
        <v/>
      </c>
      <c r="G131" s="56">
        <f>'الموارد البشرية'!N8</f>
        <v/>
      </c>
      <c r="H131" s="15">
        <f>'الموارد البشرية'!O8</f>
        <v/>
      </c>
      <c r="I131" s="24">
        <f>'الموارد البشرية'!G8</f>
        <v/>
      </c>
      <c r="J131" s="15">
        <f>IF($G131="",0,$G131*$I131)</f>
        <v/>
      </c>
      <c r="K131" s="15">
        <f>IF($G131="",0,$I131)</f>
        <v/>
      </c>
      <c r="L131" s="13">
        <f>'الموارد البشرية'!B8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البشرية'!C9</f>
        <v/>
      </c>
      <c r="D132" s="15">
        <f>'الموارد البشرية'!J9</f>
        <v/>
      </c>
      <c r="E132" s="13">
        <f>'الموارد البشرية'!K9</f>
        <v/>
      </c>
      <c r="F132" s="15">
        <f>'الموارد البشرية'!L9</f>
        <v/>
      </c>
      <c r="G132" s="56">
        <f>'الموارد البشرية'!N9</f>
        <v/>
      </c>
      <c r="H132" s="15">
        <f>'الموارد البشرية'!O9</f>
        <v/>
      </c>
      <c r="I132" s="24">
        <f>'الموارد البشرية'!G9</f>
        <v/>
      </c>
      <c r="J132" s="15">
        <f>IF($G132="",0,$G132*$I132)</f>
        <v/>
      </c>
      <c r="K132" s="15">
        <f>IF($G132="",0,$I132)</f>
        <v/>
      </c>
      <c r="L132" s="13">
        <f>'الموارد البشرية'!B9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البشرية'!C11</f>
        <v/>
      </c>
      <c r="D133" s="15">
        <f>'الموارد البشرية'!J11</f>
        <v/>
      </c>
      <c r="E133" s="13">
        <f>'الموارد البشرية'!K11</f>
        <v/>
      </c>
      <c r="F133" s="15">
        <f>'الموارد البشرية'!L11</f>
        <v/>
      </c>
      <c r="G133" s="56">
        <f>'الموارد البشرية'!N11</f>
        <v/>
      </c>
      <c r="H133" s="15">
        <f>'الموارد البشرية'!O11</f>
        <v/>
      </c>
      <c r="I133" s="24">
        <f>'الموارد البشرية'!G11</f>
        <v/>
      </c>
      <c r="J133" s="15">
        <f>IF($G133="",0,$G133*$I133)</f>
        <v/>
      </c>
      <c r="K133" s="15">
        <f>IF($G133="",0,$I133)</f>
        <v/>
      </c>
      <c r="L133" s="13">
        <f>'الموارد البشرية'!B11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البشرية'!C12</f>
        <v/>
      </c>
      <c r="D134" s="15">
        <f>'الموارد البشرية'!J12</f>
        <v/>
      </c>
      <c r="E134" s="13">
        <f>'الموارد البشرية'!K12</f>
        <v/>
      </c>
      <c r="F134" s="15">
        <f>'الموارد البشرية'!L12</f>
        <v/>
      </c>
      <c r="G134" s="56">
        <f>'الموارد البشرية'!N12</f>
        <v/>
      </c>
      <c r="H134" s="15">
        <f>'الموارد البشرية'!O12</f>
        <v/>
      </c>
      <c r="I134" s="24">
        <f>'الموارد البشرية'!G12</f>
        <v/>
      </c>
      <c r="J134" s="15">
        <f>IF($G134="",0,$G134*$I134)</f>
        <v/>
      </c>
      <c r="K134" s="15">
        <f>IF($G134="",0,$I134)</f>
        <v/>
      </c>
      <c r="L134" s="13">
        <f>'الموارد البشرية'!B12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البشرية'!C14</f>
        <v/>
      </c>
      <c r="D135" s="15">
        <f>'الموارد البشرية'!J14</f>
        <v/>
      </c>
      <c r="E135" s="13">
        <f>'الموارد البشرية'!K14</f>
        <v/>
      </c>
      <c r="F135" s="15">
        <f>'الموارد البشرية'!L14</f>
        <v/>
      </c>
      <c r="G135" s="56">
        <f>'الموارد البشرية'!N14</f>
        <v/>
      </c>
      <c r="H135" s="15">
        <f>'الموارد البشرية'!O14</f>
        <v/>
      </c>
      <c r="I135" s="24">
        <f>'الموارد البشرية'!G14</f>
        <v/>
      </c>
      <c r="J135" s="15">
        <f>IF($G135="",0,$G135*$I135)</f>
        <v/>
      </c>
      <c r="K135" s="15">
        <f>IF($G135="",0,$I135)</f>
        <v/>
      </c>
      <c r="L135" s="13">
        <f>'الموارد البشرية'!B14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البشرية'!C15</f>
        <v/>
      </c>
      <c r="D136" s="15">
        <f>'الموارد البشرية'!J15</f>
        <v/>
      </c>
      <c r="E136" s="13">
        <f>'الموارد البشرية'!K15</f>
        <v/>
      </c>
      <c r="F136" s="15">
        <f>'الموارد البشرية'!L15</f>
        <v/>
      </c>
      <c r="G136" s="56">
        <f>'الموارد البشرية'!N15</f>
        <v/>
      </c>
      <c r="H136" s="15">
        <f>'الموارد البشرية'!O15</f>
        <v/>
      </c>
      <c r="I136" s="24">
        <f>'الموارد البشرية'!G15</f>
        <v/>
      </c>
      <c r="J136" s="15">
        <f>IF($G136="",0,$G136*$I136)</f>
        <v/>
      </c>
      <c r="K136" s="15">
        <f>IF($G136="",0,$I136)</f>
        <v/>
      </c>
      <c r="L136" s="13">
        <f>'الموارد البشرية'!B15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البشرية'!C17</f>
        <v/>
      </c>
      <c r="D137" s="15">
        <f>'الموارد البشرية'!J17</f>
        <v/>
      </c>
      <c r="E137" s="13">
        <f>'الموارد البشرية'!K17</f>
        <v/>
      </c>
      <c r="F137" s="15">
        <f>'الموارد البشرية'!L17</f>
        <v/>
      </c>
      <c r="G137" s="56">
        <f>'الموارد البشرية'!N17</f>
        <v/>
      </c>
      <c r="H137" s="15">
        <f>'الموارد البشرية'!O17</f>
        <v/>
      </c>
      <c r="I137" s="24">
        <f>'الموارد البشرية'!G17</f>
        <v/>
      </c>
      <c r="J137" s="15">
        <f>IF($G137="",0,$G137*$I137)</f>
        <v/>
      </c>
      <c r="K137" s="15">
        <f>IF($G137="",0,$I137)</f>
        <v/>
      </c>
      <c r="L137" s="13">
        <f>'الموارد البشرية'!B17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البشرية'!C18</f>
        <v/>
      </c>
      <c r="D138" s="15">
        <f>'الموارد البشرية'!J18</f>
        <v/>
      </c>
      <c r="E138" s="13">
        <f>'الموارد البشرية'!K18</f>
        <v/>
      </c>
      <c r="F138" s="15">
        <f>'الموارد البشرية'!L18</f>
        <v/>
      </c>
      <c r="G138" s="56">
        <f>'الموارد البشرية'!N18</f>
        <v/>
      </c>
      <c r="H138" s="15">
        <f>'الموارد البشرية'!O18</f>
        <v/>
      </c>
      <c r="I138" s="24">
        <f>'الموارد البشرية'!G18</f>
        <v/>
      </c>
      <c r="J138" s="15">
        <f>IF($G138="",0,$G138*$I138)</f>
        <v/>
      </c>
      <c r="K138" s="15">
        <f>IF($G138="",0,$I138)</f>
        <v/>
      </c>
      <c r="L138" s="13">
        <f>'الموارد البشرية'!B18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البشرية'!C19</f>
        <v/>
      </c>
      <c r="D139" s="15">
        <f>'الموارد البشرية'!J19</f>
        <v/>
      </c>
      <c r="E139" s="13">
        <f>'الموارد البشرية'!K19</f>
        <v/>
      </c>
      <c r="F139" s="15">
        <f>'الموارد البشرية'!L19</f>
        <v/>
      </c>
      <c r="G139" s="56">
        <f>'الموارد البشرية'!N19</f>
        <v/>
      </c>
      <c r="H139" s="15">
        <f>'الموارد البشرية'!O19</f>
        <v/>
      </c>
      <c r="I139" s="24">
        <f>'الموارد البشرية'!G19</f>
        <v/>
      </c>
      <c r="J139" s="15">
        <f>IF($G139="",0,$G139*$I139)</f>
        <v/>
      </c>
      <c r="K139" s="15">
        <f>IF($G139="",0,$I139)</f>
        <v/>
      </c>
      <c r="L139" s="13">
        <f>'الموارد البشرية'!B19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'التسويق'!C5</f>
        <v/>
      </c>
      <c r="D140" s="15">
        <f>'التسويق'!J5</f>
        <v/>
      </c>
      <c r="E140" s="13">
        <f>'التسويق'!K5</f>
        <v/>
      </c>
      <c r="F140" s="15">
        <f>'التسويق'!L5</f>
        <v/>
      </c>
      <c r="G140" s="56">
        <f>'التسويق'!N5</f>
        <v/>
      </c>
      <c r="H140" s="15">
        <f>'التسويق'!O5</f>
        <v/>
      </c>
      <c r="I140" s="24">
        <f>'التسويق'!G5</f>
        <v/>
      </c>
      <c r="J140" s="15">
        <f>IF($G140="",0,$G140*$I140)</f>
        <v/>
      </c>
      <c r="K140" s="15">
        <f>IF($G140="",0,$I140)</f>
        <v/>
      </c>
      <c r="L140" s="13">
        <f>'التسويق'!B5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'التسويق'!C6</f>
        <v/>
      </c>
      <c r="D141" s="15">
        <f>'التسويق'!J6</f>
        <v/>
      </c>
      <c r="E141" s="13">
        <f>'التسويق'!K6</f>
        <v/>
      </c>
      <c r="F141" s="15">
        <f>'التسويق'!L6</f>
        <v/>
      </c>
      <c r="G141" s="56">
        <f>'التسويق'!N6</f>
        <v/>
      </c>
      <c r="H141" s="15">
        <f>'التسويق'!O6</f>
        <v/>
      </c>
      <c r="I141" s="24">
        <f>'التسويق'!G6</f>
        <v/>
      </c>
      <c r="J141" s="15">
        <f>IF($G141="",0,$G141*$I141)</f>
        <v/>
      </c>
      <c r="K141" s="15">
        <f>IF($G141="",0,$I141)</f>
        <v/>
      </c>
      <c r="L141" s="13">
        <f>'التسويق'!B6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'التسويق'!C7</f>
        <v/>
      </c>
      <c r="D142" s="15">
        <f>'التسويق'!J7</f>
        <v/>
      </c>
      <c r="E142" s="13">
        <f>'التسويق'!K7</f>
        <v/>
      </c>
      <c r="F142" s="15">
        <f>'التسويق'!L7</f>
        <v/>
      </c>
      <c r="G142" s="56">
        <f>'التسويق'!N7</f>
        <v/>
      </c>
      <c r="H142" s="15">
        <f>'التسويق'!O7</f>
        <v/>
      </c>
      <c r="I142" s="24">
        <f>'التسويق'!G7</f>
        <v/>
      </c>
      <c r="J142" s="15">
        <f>IF($G142="",0,$G142*$I142)</f>
        <v/>
      </c>
      <c r="K142" s="15">
        <f>IF($G142="",0,$I142)</f>
        <v/>
      </c>
      <c r="L142" s="13">
        <f>'التسويق'!B7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'التسويق'!C8</f>
        <v/>
      </c>
      <c r="D143" s="15">
        <f>'التسويق'!J8</f>
        <v/>
      </c>
      <c r="E143" s="13">
        <f>'التسويق'!K8</f>
        <v/>
      </c>
      <c r="F143" s="15">
        <f>'التسويق'!L8</f>
        <v/>
      </c>
      <c r="G143" s="56">
        <f>'التسويق'!N8</f>
        <v/>
      </c>
      <c r="H143" s="15">
        <f>'التسويق'!O8</f>
        <v/>
      </c>
      <c r="I143" s="24">
        <f>'التسويق'!G8</f>
        <v/>
      </c>
      <c r="J143" s="15">
        <f>IF($G143="",0,$G143*$I143)</f>
        <v/>
      </c>
      <c r="K143" s="15">
        <f>IF($G143="",0,$I143)</f>
        <v/>
      </c>
      <c r="L143" s="13">
        <f>'التسويق'!B8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'التسويق'!C10</f>
        <v/>
      </c>
      <c r="D144" s="15">
        <f>'التسويق'!J10</f>
        <v/>
      </c>
      <c r="E144" s="13">
        <f>'التسويق'!K10</f>
        <v/>
      </c>
      <c r="F144" s="15">
        <f>'التسويق'!L10</f>
        <v/>
      </c>
      <c r="G144" s="56">
        <f>'التسويق'!N10</f>
        <v/>
      </c>
      <c r="H144" s="15">
        <f>'التسويق'!O10</f>
        <v/>
      </c>
      <c r="I144" s="24">
        <f>'التسويق'!G10</f>
        <v/>
      </c>
      <c r="J144" s="15">
        <f>IF($G144="",0,$G144*$I144)</f>
        <v/>
      </c>
      <c r="K144" s="15">
        <f>IF($G144="",0,$I144)</f>
        <v/>
      </c>
      <c r="L144" s="13">
        <f>'التسويق'!B10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'التسويق'!C11</f>
        <v/>
      </c>
      <c r="D145" s="15">
        <f>'التسويق'!J11</f>
        <v/>
      </c>
      <c r="E145" s="13">
        <f>'التسويق'!K11</f>
        <v/>
      </c>
      <c r="F145" s="15">
        <f>'التسويق'!L11</f>
        <v/>
      </c>
      <c r="G145" s="56">
        <f>'التسويق'!N11</f>
        <v/>
      </c>
      <c r="H145" s="15">
        <f>'التسويق'!O11</f>
        <v/>
      </c>
      <c r="I145" s="24">
        <f>'التسويق'!G11</f>
        <v/>
      </c>
      <c r="J145" s="15">
        <f>IF($G145="",0,$G145*$I145)</f>
        <v/>
      </c>
      <c r="K145" s="15">
        <f>IF($G145="",0,$I145)</f>
        <v/>
      </c>
      <c r="L145" s="13">
        <f>'التسويق'!B11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'التسويق'!C13</f>
        <v/>
      </c>
      <c r="D146" s="15">
        <f>'التسويق'!J13</f>
        <v/>
      </c>
      <c r="E146" s="13">
        <f>'التسويق'!K13</f>
        <v/>
      </c>
      <c r="F146" s="15">
        <f>'التسويق'!L13</f>
        <v/>
      </c>
      <c r="G146" s="56">
        <f>'التسويق'!N13</f>
        <v/>
      </c>
      <c r="H146" s="15">
        <f>'التسويق'!O13</f>
        <v/>
      </c>
      <c r="I146" s="24">
        <f>'التسويق'!G13</f>
        <v/>
      </c>
      <c r="J146" s="15">
        <f>IF($G146="",0,$G146*$I146)</f>
        <v/>
      </c>
      <c r="K146" s="15">
        <f>IF($G146="",0,$I146)</f>
        <v/>
      </c>
      <c r="L146" s="13">
        <f>'التسويق'!B13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'التسويق'!C14</f>
        <v/>
      </c>
      <c r="D147" s="15">
        <f>'التسويق'!J14</f>
        <v/>
      </c>
      <c r="E147" s="13">
        <f>'التسويق'!K14</f>
        <v/>
      </c>
      <c r="F147" s="15">
        <f>'التسويق'!L14</f>
        <v/>
      </c>
      <c r="G147" s="56">
        <f>'التسويق'!N14</f>
        <v/>
      </c>
      <c r="H147" s="15">
        <f>'التسويق'!O14</f>
        <v/>
      </c>
      <c r="I147" s="24">
        <f>'التسويق'!G14</f>
        <v/>
      </c>
      <c r="J147" s="15">
        <f>IF($G147="",0,$G147*$I147)</f>
        <v/>
      </c>
      <c r="K147" s="15">
        <f>IF($G147="",0,$I147)</f>
        <v/>
      </c>
      <c r="L147" s="13">
        <f>'التسويق'!B14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'التسويق'!C16</f>
        <v/>
      </c>
      <c r="D148" s="15">
        <f>'التسويق'!J16</f>
        <v/>
      </c>
      <c r="E148" s="13">
        <f>'التسويق'!K16</f>
        <v/>
      </c>
      <c r="F148" s="15">
        <f>'التسويق'!L16</f>
        <v/>
      </c>
      <c r="G148" s="56">
        <f>'التسويق'!N16</f>
        <v/>
      </c>
      <c r="H148" s="15">
        <f>'التسويق'!O16</f>
        <v/>
      </c>
      <c r="I148" s="24">
        <f>'التسويق'!G16</f>
        <v/>
      </c>
      <c r="J148" s="15">
        <f>IF($G148="",0,$G148*$I148)</f>
        <v/>
      </c>
      <c r="K148" s="15">
        <f>IF($G148="",0,$I148)</f>
        <v/>
      </c>
      <c r="L148" s="13">
        <f>'التسويق'!B16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'التسويق'!C17</f>
        <v/>
      </c>
      <c r="D149" s="15">
        <f>'التسويق'!J17</f>
        <v/>
      </c>
      <c r="E149" s="13">
        <f>'التسويق'!K17</f>
        <v/>
      </c>
      <c r="F149" s="15">
        <f>'التسويق'!L17</f>
        <v/>
      </c>
      <c r="G149" s="56">
        <f>'التسويق'!N17</f>
        <v/>
      </c>
      <c r="H149" s="15">
        <f>'التسويق'!O17</f>
        <v/>
      </c>
      <c r="I149" s="24">
        <f>'التسويق'!G17</f>
        <v/>
      </c>
      <c r="J149" s="15">
        <f>IF($G149="",0,$G149*$I149)</f>
        <v/>
      </c>
      <c r="K149" s="15">
        <f>IF($G149="",0,$I149)</f>
        <v/>
      </c>
      <c r="L149" s="13">
        <f>'التسويق'!B17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'التسويق'!C19</f>
        <v/>
      </c>
      <c r="D150" s="15">
        <f>'التسويق'!J19</f>
        <v/>
      </c>
      <c r="E150" s="13">
        <f>'التسويق'!K19</f>
        <v/>
      </c>
      <c r="F150" s="15">
        <f>'التسويق'!L19</f>
        <v/>
      </c>
      <c r="G150" s="56">
        <f>'التسويق'!N19</f>
        <v/>
      </c>
      <c r="H150" s="15">
        <f>'التسويق'!O19</f>
        <v/>
      </c>
      <c r="I150" s="24">
        <f>'التسويق'!G19</f>
        <v/>
      </c>
      <c r="J150" s="15">
        <f>IF($G150="",0,$G150*$I150)</f>
        <v/>
      </c>
      <c r="K150" s="15">
        <f>IF($G150="",0,$I150)</f>
        <v/>
      </c>
      <c r="L150" s="13">
        <f>'التسويق'!B19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'التسويق'!C20</f>
        <v/>
      </c>
      <c r="D151" s="15">
        <f>'التسويق'!J20</f>
        <v/>
      </c>
      <c r="E151" s="13">
        <f>'التسويق'!K20</f>
        <v/>
      </c>
      <c r="F151" s="15">
        <f>'التسويق'!L20</f>
        <v/>
      </c>
      <c r="G151" s="56">
        <f>'التسويق'!N20</f>
        <v/>
      </c>
      <c r="H151" s="15">
        <f>'التسويق'!O20</f>
        <v/>
      </c>
      <c r="I151" s="24">
        <f>'التسويق'!G20</f>
        <v/>
      </c>
      <c r="J151" s="15">
        <f>IF($G151="",0,$G151*$I151)</f>
        <v/>
      </c>
      <c r="K151" s="15">
        <f>IF($G151="",0,$I151)</f>
        <v/>
      </c>
      <c r="L151" s="13">
        <f>'التسويق'!B20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'الجودة'!C5</f>
        <v/>
      </c>
      <c r="D152" s="15">
        <f>'الجودة'!J5</f>
        <v/>
      </c>
      <c r="E152" s="13">
        <f>'الجودة'!K5</f>
        <v/>
      </c>
      <c r="F152" s="15">
        <f>'الجودة'!L5</f>
        <v/>
      </c>
      <c r="G152" s="56">
        <f>'الجودة'!N5</f>
        <v/>
      </c>
      <c r="H152" s="15">
        <f>'الجودة'!O5</f>
        <v/>
      </c>
      <c r="I152" s="24">
        <f>'الجودة'!G5</f>
        <v/>
      </c>
      <c r="J152" s="15">
        <f>IF($G152="",0,$G152*$I152)</f>
        <v/>
      </c>
      <c r="K152" s="15">
        <f>IF($G152="",0,$I152)</f>
        <v/>
      </c>
      <c r="L152" s="13">
        <f>'الجودة'!B5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'الجودة'!C6</f>
        <v/>
      </c>
      <c r="D153" s="15">
        <f>'الجودة'!J6</f>
        <v/>
      </c>
      <c r="E153" s="13">
        <f>'الجودة'!K6</f>
        <v/>
      </c>
      <c r="F153" s="15">
        <f>'الجودة'!L6</f>
        <v/>
      </c>
      <c r="G153" s="56">
        <f>'الجودة'!N6</f>
        <v/>
      </c>
      <c r="H153" s="15">
        <f>'الجودة'!O6</f>
        <v/>
      </c>
      <c r="I153" s="24">
        <f>'الجودة'!G6</f>
        <v/>
      </c>
      <c r="J153" s="15">
        <f>IF($G153="",0,$G153*$I153)</f>
        <v/>
      </c>
      <c r="K153" s="15">
        <f>IF($G153="",0,$I153)</f>
        <v/>
      </c>
      <c r="L153" s="13">
        <f>'الجودة'!B6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'الجودة'!C7</f>
        <v/>
      </c>
      <c r="D154" s="15">
        <f>'الجودة'!J7</f>
        <v/>
      </c>
      <c r="E154" s="13">
        <f>'الجودة'!K7</f>
        <v/>
      </c>
      <c r="F154" s="15">
        <f>'الجودة'!L7</f>
        <v/>
      </c>
      <c r="G154" s="56">
        <f>'الجودة'!N7</f>
        <v/>
      </c>
      <c r="H154" s="15">
        <f>'الجودة'!O7</f>
        <v/>
      </c>
      <c r="I154" s="24">
        <f>'الجودة'!G7</f>
        <v/>
      </c>
      <c r="J154" s="15">
        <f>IF($G154="",0,$G154*$I154)</f>
        <v/>
      </c>
      <c r="K154" s="15">
        <f>IF($G154="",0,$I154)</f>
        <v/>
      </c>
      <c r="L154" s="13">
        <f>'الجودة'!B7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'الجودة'!C8</f>
        <v/>
      </c>
      <c r="D155" s="15">
        <f>'الجودة'!J8</f>
        <v/>
      </c>
      <c r="E155" s="13">
        <f>'الجودة'!K8</f>
        <v/>
      </c>
      <c r="F155" s="15">
        <f>'الجودة'!L8</f>
        <v/>
      </c>
      <c r="G155" s="56">
        <f>'الجودة'!N8</f>
        <v/>
      </c>
      <c r="H155" s="15">
        <f>'الجودة'!O8</f>
        <v/>
      </c>
      <c r="I155" s="24">
        <f>'الجودة'!G8</f>
        <v/>
      </c>
      <c r="J155" s="15">
        <f>IF($G155="",0,$G155*$I155)</f>
        <v/>
      </c>
      <c r="K155" s="15">
        <f>IF($G155="",0,$I155)</f>
        <v/>
      </c>
      <c r="L155" s="13">
        <f>'الجودة'!B8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'الجودة'!C9</f>
        <v/>
      </c>
      <c r="D156" s="15">
        <f>'الجودة'!J9</f>
        <v/>
      </c>
      <c r="E156" s="13">
        <f>'الجودة'!K9</f>
        <v/>
      </c>
      <c r="F156" s="15">
        <f>'الجودة'!L9</f>
        <v/>
      </c>
      <c r="G156" s="56">
        <f>'الجودة'!N9</f>
        <v/>
      </c>
      <c r="H156" s="15">
        <f>'الجودة'!O9</f>
        <v/>
      </c>
      <c r="I156" s="24">
        <f>'الجودة'!G9</f>
        <v/>
      </c>
      <c r="J156" s="15">
        <f>IF($G156="",0,$G156*$I156)</f>
        <v/>
      </c>
      <c r="K156" s="15">
        <f>IF($G156="",0,$I156)</f>
        <v/>
      </c>
      <c r="L156" s="13">
        <f>'الجودة'!B9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'الجودة'!C10</f>
        <v/>
      </c>
      <c r="D157" s="15">
        <f>'الجودة'!J10</f>
        <v/>
      </c>
      <c r="E157" s="13">
        <f>'الجودة'!K10</f>
        <v/>
      </c>
      <c r="F157" s="15">
        <f>'الجودة'!L10</f>
        <v/>
      </c>
      <c r="G157" s="56">
        <f>'الجودة'!N10</f>
        <v/>
      </c>
      <c r="H157" s="15">
        <f>'الجودة'!O10</f>
        <v/>
      </c>
      <c r="I157" s="24">
        <f>'الجودة'!G10</f>
        <v/>
      </c>
      <c r="J157" s="15">
        <f>IF($G157="",0,$G157*$I157)</f>
        <v/>
      </c>
      <c r="K157" s="15">
        <f>IF($G157="",0,$I157)</f>
        <v/>
      </c>
      <c r="L157" s="13">
        <f>'الجودة'!B10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'الجودة'!C12</f>
        <v/>
      </c>
      <c r="D158" s="15">
        <f>'الجودة'!J12</f>
        <v/>
      </c>
      <c r="E158" s="13">
        <f>'الجودة'!K12</f>
        <v/>
      </c>
      <c r="F158" s="15">
        <f>'الجودة'!L12</f>
        <v/>
      </c>
      <c r="G158" s="56">
        <f>'الجودة'!N12</f>
        <v/>
      </c>
      <c r="H158" s="15">
        <f>'الجودة'!O12</f>
        <v/>
      </c>
      <c r="I158" s="24">
        <f>'الجودة'!G12</f>
        <v/>
      </c>
      <c r="J158" s="15">
        <f>IF($G158="",0,$G158*$I158)</f>
        <v/>
      </c>
      <c r="K158" s="15">
        <f>IF($G158="",0,$I158)</f>
        <v/>
      </c>
      <c r="L158" s="13">
        <f>'الجودة'!B12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'الجودة'!C13</f>
        <v/>
      </c>
      <c r="D159" s="15">
        <f>'الجودة'!J13</f>
        <v/>
      </c>
      <c r="E159" s="13">
        <f>'الجودة'!K13</f>
        <v/>
      </c>
      <c r="F159" s="15">
        <f>'الجودة'!L13</f>
        <v/>
      </c>
      <c r="G159" s="56">
        <f>'الجودة'!N13</f>
        <v/>
      </c>
      <c r="H159" s="15">
        <f>'الجودة'!O13</f>
        <v/>
      </c>
      <c r="I159" s="24">
        <f>'الجودة'!G13</f>
        <v/>
      </c>
      <c r="J159" s="15">
        <f>IF($G159="",0,$G159*$I159)</f>
        <v/>
      </c>
      <c r="K159" s="15">
        <f>IF($G159="",0,$I159)</f>
        <v/>
      </c>
      <c r="L159" s="13">
        <f>'الجودة'!B13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'الجودة'!C14</f>
        <v/>
      </c>
      <c r="D160" s="15">
        <f>'الجودة'!J14</f>
        <v/>
      </c>
      <c r="E160" s="13">
        <f>'الجودة'!K14</f>
        <v/>
      </c>
      <c r="F160" s="15">
        <f>'الجودة'!L14</f>
        <v/>
      </c>
      <c r="G160" s="56">
        <f>'الجودة'!N14</f>
        <v/>
      </c>
      <c r="H160" s="15">
        <f>'الجودة'!O14</f>
        <v/>
      </c>
      <c r="I160" s="24">
        <f>'الجودة'!G14</f>
        <v/>
      </c>
      <c r="J160" s="15">
        <f>IF($G160="",0,$G160*$I160)</f>
        <v/>
      </c>
      <c r="K160" s="15">
        <f>IF($G160="",0,$I160)</f>
        <v/>
      </c>
      <c r="L160" s="13">
        <f>'الجودة'!B14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'الجودة'!C15</f>
        <v/>
      </c>
      <c r="D161" s="15">
        <f>'الجودة'!J15</f>
        <v/>
      </c>
      <c r="E161" s="13">
        <f>'الجودة'!K15</f>
        <v/>
      </c>
      <c r="F161" s="15">
        <f>'الجودة'!L15</f>
        <v/>
      </c>
      <c r="G161" s="56">
        <f>'الجودة'!N15</f>
        <v/>
      </c>
      <c r="H161" s="15">
        <f>'الجودة'!O15</f>
        <v/>
      </c>
      <c r="I161" s="24">
        <f>'الجودة'!G15</f>
        <v/>
      </c>
      <c r="J161" s="15">
        <f>IF($G161="",0,$G161*$I161)</f>
        <v/>
      </c>
      <c r="K161" s="15">
        <f>IF($G161="",0,$I161)</f>
        <v/>
      </c>
      <c r="L161" s="13">
        <f>'الجودة'!B15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'الجودة'!C16</f>
        <v/>
      </c>
      <c r="D162" s="15">
        <f>'الجودة'!J16</f>
        <v/>
      </c>
      <c r="E162" s="13">
        <f>'الجودة'!K16</f>
        <v/>
      </c>
      <c r="F162" s="15">
        <f>'الجودة'!L16</f>
        <v/>
      </c>
      <c r="G162" s="56">
        <f>'الجودة'!N16</f>
        <v/>
      </c>
      <c r="H162" s="15">
        <f>'الجودة'!O16</f>
        <v/>
      </c>
      <c r="I162" s="24">
        <f>'الجودة'!G16</f>
        <v/>
      </c>
      <c r="J162" s="15">
        <f>IF($G162="",0,$G162*$I162)</f>
        <v/>
      </c>
      <c r="K162" s="15">
        <f>IF($G162="",0,$I162)</f>
        <v/>
      </c>
      <c r="L162" s="13">
        <f>'الجودة'!B16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'الجودة'!C18</f>
        <v/>
      </c>
      <c r="D163" s="15">
        <f>'الجودة'!J18</f>
        <v/>
      </c>
      <c r="E163" s="13">
        <f>'الجودة'!K18</f>
        <v/>
      </c>
      <c r="F163" s="15">
        <f>'الجودة'!L18</f>
        <v/>
      </c>
      <c r="G163" s="56">
        <f>'الجودة'!N18</f>
        <v/>
      </c>
      <c r="H163" s="15">
        <f>'الجودة'!O18</f>
        <v/>
      </c>
      <c r="I163" s="24">
        <f>'الجودة'!G18</f>
        <v/>
      </c>
      <c r="J163" s="15">
        <f>IF($G163="",0,$G163*$I163)</f>
        <v/>
      </c>
      <c r="K163" s="15">
        <f>IF($G163="",0,$I163)</f>
        <v/>
      </c>
      <c r="L163" s="13">
        <f>'الجودة'!B18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'الجودة'!C19</f>
        <v/>
      </c>
      <c r="D164" s="15">
        <f>'الجودة'!J19</f>
        <v/>
      </c>
      <c r="E164" s="13">
        <f>'الجودة'!K19</f>
        <v/>
      </c>
      <c r="F164" s="15">
        <f>'الجودة'!L19</f>
        <v/>
      </c>
      <c r="G164" s="56">
        <f>'الجودة'!N19</f>
        <v/>
      </c>
      <c r="H164" s="15">
        <f>'الجودة'!O19</f>
        <v/>
      </c>
      <c r="I164" s="24">
        <f>'الجودة'!G19</f>
        <v/>
      </c>
      <c r="J164" s="15">
        <f>IF($G164="",0,$G164*$I164)</f>
        <v/>
      </c>
      <c r="K164" s="15">
        <f>IF($G164="",0,$I164)</f>
        <v/>
      </c>
      <c r="L164" s="13">
        <f>'الجودة'!B19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'الجودة'!C20</f>
        <v/>
      </c>
      <c r="D165" s="15">
        <f>'الجودة'!J20</f>
        <v/>
      </c>
      <c r="E165" s="13">
        <f>'الجودة'!K20</f>
        <v/>
      </c>
      <c r="F165" s="15">
        <f>'الجودة'!L20</f>
        <v/>
      </c>
      <c r="G165" s="56">
        <f>'الجودة'!N20</f>
        <v/>
      </c>
      <c r="H165" s="15">
        <f>'الجودة'!O20</f>
        <v/>
      </c>
      <c r="I165" s="24">
        <f>'الجودة'!G20</f>
        <v/>
      </c>
      <c r="J165" s="15">
        <f>IF($G165="",0,$G165*$I165)</f>
        <v/>
      </c>
      <c r="K165" s="15">
        <f>IF($G165="",0,$I165)</f>
        <v/>
      </c>
      <c r="L165" s="13">
        <f>'الجودة'!B20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'الجودة'!C21</f>
        <v/>
      </c>
      <c r="D166" s="15">
        <f>'الجودة'!J21</f>
        <v/>
      </c>
      <c r="E166" s="13">
        <f>'الجودة'!K21</f>
        <v/>
      </c>
      <c r="F166" s="15">
        <f>'الجودة'!L21</f>
        <v/>
      </c>
      <c r="G166" s="56">
        <f>'الجودة'!N21</f>
        <v/>
      </c>
      <c r="H166" s="15">
        <f>'الجودة'!O21</f>
        <v/>
      </c>
      <c r="I166" s="24">
        <f>'الجودة'!G21</f>
        <v/>
      </c>
      <c r="J166" s="15">
        <f>IF($G166="",0,$G166*$I166)</f>
        <v/>
      </c>
      <c r="K166" s="15">
        <f>IF($G166="",0,$I166)</f>
        <v/>
      </c>
      <c r="L166" s="13">
        <f>'الجودة'!B21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'الجودة'!C22</f>
        <v/>
      </c>
      <c r="D167" s="15">
        <f>'الجودة'!J22</f>
        <v/>
      </c>
      <c r="E167" s="13">
        <f>'الجودة'!K22</f>
        <v/>
      </c>
      <c r="F167" s="15">
        <f>'الجودة'!L22</f>
        <v/>
      </c>
      <c r="G167" s="56">
        <f>'الجودة'!N22</f>
        <v/>
      </c>
      <c r="H167" s="15">
        <f>'الجودة'!O22</f>
        <v/>
      </c>
      <c r="I167" s="24">
        <f>'الجودة'!G22</f>
        <v/>
      </c>
      <c r="J167" s="15">
        <f>IF($G167="",0,$G167*$I167)</f>
        <v/>
      </c>
      <c r="K167" s="15">
        <f>IF($G167="",0,$I167)</f>
        <v/>
      </c>
      <c r="L167" s="13">
        <f>'الجودة'!B22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'الجودة'!C24</f>
        <v/>
      </c>
      <c r="D168" s="15">
        <f>'الجودة'!J24</f>
        <v/>
      </c>
      <c r="E168" s="13">
        <f>'الجودة'!K24</f>
        <v/>
      </c>
      <c r="F168" s="15">
        <f>'الجودة'!L24</f>
        <v/>
      </c>
      <c r="G168" s="56">
        <f>'الجودة'!N24</f>
        <v/>
      </c>
      <c r="H168" s="15">
        <f>'الجودة'!O24</f>
        <v/>
      </c>
      <c r="I168" s="24">
        <f>'الجودة'!G24</f>
        <v/>
      </c>
      <c r="J168" s="15">
        <f>IF($G168="",0,$G168*$I168)</f>
        <v/>
      </c>
      <c r="K168" s="15">
        <f>IF($G168="",0,$I168)</f>
        <v/>
      </c>
      <c r="L168" s="13">
        <f>'الجودة'!B24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'الجودة'!C25</f>
        <v/>
      </c>
      <c r="D169" s="15">
        <f>'الجودة'!J25</f>
        <v/>
      </c>
      <c r="E169" s="13">
        <f>'الجودة'!K25</f>
        <v/>
      </c>
      <c r="F169" s="15">
        <f>'الجودة'!L25</f>
        <v/>
      </c>
      <c r="G169" s="56">
        <f>'الجودة'!N25</f>
        <v/>
      </c>
      <c r="H169" s="15">
        <f>'الجودة'!O25</f>
        <v/>
      </c>
      <c r="I169" s="24">
        <f>'الجودة'!G25</f>
        <v/>
      </c>
      <c r="J169" s="15">
        <f>IF($G169="",0,$G169*$I169)</f>
        <v/>
      </c>
      <c r="K169" s="15">
        <f>IF($G169="",0,$I169)</f>
        <v/>
      </c>
      <c r="L169" s="13">
        <f>'الجودة'!B25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'الجودة'!C26</f>
        <v/>
      </c>
      <c r="D170" s="15">
        <f>'الجودة'!J26</f>
        <v/>
      </c>
      <c r="E170" s="13">
        <f>'الجودة'!K26</f>
        <v/>
      </c>
      <c r="F170" s="15">
        <f>'الجودة'!L26</f>
        <v/>
      </c>
      <c r="G170" s="56">
        <f>'الجودة'!N26</f>
        <v/>
      </c>
      <c r="H170" s="15">
        <f>'الجودة'!O26</f>
        <v/>
      </c>
      <c r="I170" s="24">
        <f>'الجودة'!G26</f>
        <v/>
      </c>
      <c r="J170" s="15">
        <f>IF($G170="",0,$G170*$I170)</f>
        <v/>
      </c>
      <c r="K170" s="15">
        <f>IF($G170="",0,$I170)</f>
        <v/>
      </c>
      <c r="L170" s="13">
        <f>'الجودة'!B26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'الجودة'!C27</f>
        <v/>
      </c>
      <c r="D171" s="15">
        <f>'الجودة'!J27</f>
        <v/>
      </c>
      <c r="E171" s="13">
        <f>'الجودة'!K27</f>
        <v/>
      </c>
      <c r="F171" s="15">
        <f>'الجودة'!L27</f>
        <v/>
      </c>
      <c r="G171" s="56">
        <f>'الجودة'!N27</f>
        <v/>
      </c>
      <c r="H171" s="15">
        <f>'الجودة'!O27</f>
        <v/>
      </c>
      <c r="I171" s="24">
        <f>'الجودة'!G27</f>
        <v/>
      </c>
      <c r="J171" s="15">
        <f>IF($G171="",0,$G171*$I171)</f>
        <v/>
      </c>
      <c r="K171" s="15">
        <f>IF($G171="",0,$I171)</f>
        <v/>
      </c>
      <c r="L171" s="13">
        <f>'الجودة'!B27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'الجودة'!C28</f>
        <v/>
      </c>
      <c r="D172" s="15">
        <f>'الجودة'!J28</f>
        <v/>
      </c>
      <c r="E172" s="13">
        <f>'الجودة'!K28</f>
        <v/>
      </c>
      <c r="F172" s="15">
        <f>'الجودة'!L28</f>
        <v/>
      </c>
      <c r="G172" s="56">
        <f>'الجودة'!N28</f>
        <v/>
      </c>
      <c r="H172" s="15">
        <f>'الجودة'!O28</f>
        <v/>
      </c>
      <c r="I172" s="24">
        <f>'الجودة'!G28</f>
        <v/>
      </c>
      <c r="J172" s="15">
        <f>IF($G172="",0,$G172*$I172)</f>
        <v/>
      </c>
      <c r="K172" s="15">
        <f>IF($G172="",0,$I172)</f>
        <v/>
      </c>
      <c r="L172" s="13">
        <f>'الجودة'!B28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'الجودة'!C30</f>
        <v/>
      </c>
      <c r="D173" s="15">
        <f>'الجودة'!J30</f>
        <v/>
      </c>
      <c r="E173" s="13">
        <f>'الجودة'!K30</f>
        <v/>
      </c>
      <c r="F173" s="15">
        <f>'الجودة'!L30</f>
        <v/>
      </c>
      <c r="G173" s="56">
        <f>'الجودة'!N30</f>
        <v/>
      </c>
      <c r="H173" s="15">
        <f>'الجودة'!O30</f>
        <v/>
      </c>
      <c r="I173" s="24">
        <f>'الجودة'!G30</f>
        <v/>
      </c>
      <c r="J173" s="15">
        <f>IF($G173="",0,$G173*$I173)</f>
        <v/>
      </c>
      <c r="K173" s="15">
        <f>IF($G173="",0,$I173)</f>
        <v/>
      </c>
      <c r="L173" s="13">
        <f>'الجودة'!B30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'الجودة'!C31</f>
        <v/>
      </c>
      <c r="D174" s="15">
        <f>'الجودة'!J31</f>
        <v/>
      </c>
      <c r="E174" s="13">
        <f>'الجودة'!K31</f>
        <v/>
      </c>
      <c r="F174" s="15">
        <f>'الجودة'!L31</f>
        <v/>
      </c>
      <c r="G174" s="56">
        <f>'الجودة'!N31</f>
        <v/>
      </c>
      <c r="H174" s="15">
        <f>'الجودة'!O31</f>
        <v/>
      </c>
      <c r="I174" s="24">
        <f>'الجودة'!G31</f>
        <v/>
      </c>
      <c r="J174" s="15">
        <f>IF($G174="",0,$G174*$I174)</f>
        <v/>
      </c>
      <c r="K174" s="15">
        <f>IF($G174="",0,$I174)</f>
        <v/>
      </c>
      <c r="L174" s="13">
        <f>'الجودة'!B31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'الجودة'!C32</f>
        <v/>
      </c>
      <c r="D175" s="15">
        <f>'الجودة'!J32</f>
        <v/>
      </c>
      <c r="E175" s="13">
        <f>'الجودة'!K32</f>
        <v/>
      </c>
      <c r="F175" s="15">
        <f>'الجودة'!L32</f>
        <v/>
      </c>
      <c r="G175" s="56">
        <f>'الجودة'!N32</f>
        <v/>
      </c>
      <c r="H175" s="15">
        <f>'الجودة'!O32</f>
        <v/>
      </c>
      <c r="I175" s="24">
        <f>'الجودة'!G32</f>
        <v/>
      </c>
      <c r="J175" s="15">
        <f>IF($G175="",0,$G175*$I175)</f>
        <v/>
      </c>
      <c r="K175" s="15">
        <f>IF($G175="",0,$I175)</f>
        <v/>
      </c>
      <c r="L175" s="13">
        <f>'الجودة'!B32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'الجودة'!C33</f>
        <v/>
      </c>
      <c r="D176" s="15">
        <f>'الجودة'!J33</f>
        <v/>
      </c>
      <c r="E176" s="13">
        <f>'الجودة'!K33</f>
        <v/>
      </c>
      <c r="F176" s="15">
        <f>'الجودة'!L33</f>
        <v/>
      </c>
      <c r="G176" s="56">
        <f>'الجودة'!N33</f>
        <v/>
      </c>
      <c r="H176" s="15">
        <f>'الجودة'!O33</f>
        <v/>
      </c>
      <c r="I176" s="24">
        <f>'الجودة'!G33</f>
        <v/>
      </c>
      <c r="J176" s="15">
        <f>IF($G176="",0,$G176*$I176)</f>
        <v/>
      </c>
      <c r="K176" s="15">
        <f>IF($G176="",0,$I176)</f>
        <v/>
      </c>
      <c r="L176" s="13">
        <f>'الجودة'!B33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'الجودة'!C34</f>
        <v/>
      </c>
      <c r="D177" s="15">
        <f>'الجودة'!J34</f>
        <v/>
      </c>
      <c r="E177" s="13">
        <f>'الجودة'!K34</f>
        <v/>
      </c>
      <c r="F177" s="15">
        <f>'الجودة'!L34</f>
        <v/>
      </c>
      <c r="G177" s="56">
        <f>'الجودة'!N34</f>
        <v/>
      </c>
      <c r="H177" s="15">
        <f>'الجودة'!O34</f>
        <v/>
      </c>
      <c r="I177" s="24">
        <f>'الجودة'!G34</f>
        <v/>
      </c>
      <c r="J177" s="15">
        <f>IF($G177="",0,$G177*$I177)</f>
        <v/>
      </c>
      <c r="K177" s="15">
        <f>IF($G177="",0,$I177)</f>
        <v/>
      </c>
      <c r="L177" s="13">
        <f>'الجودة'!B34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'الجودة'!C36</f>
        <v/>
      </c>
      <c r="D178" s="15">
        <f>'الجودة'!J36</f>
        <v/>
      </c>
      <c r="E178" s="13">
        <f>'الجودة'!K36</f>
        <v/>
      </c>
      <c r="F178" s="15">
        <f>'الجودة'!L36</f>
        <v/>
      </c>
      <c r="G178" s="56">
        <f>'الجودة'!N36</f>
        <v/>
      </c>
      <c r="H178" s="15">
        <f>'الجودة'!O36</f>
        <v/>
      </c>
      <c r="I178" s="24">
        <f>'الجودة'!G36</f>
        <v/>
      </c>
      <c r="J178" s="15">
        <f>IF($G178="",0,$G178*$I178)</f>
        <v/>
      </c>
      <c r="K178" s="15">
        <f>IF($G178="",0,$I178)</f>
        <v/>
      </c>
      <c r="L178" s="13">
        <f>'الجودة'!B36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'الجودة'!C37</f>
        <v/>
      </c>
      <c r="D179" s="15">
        <f>'الجودة'!J37</f>
        <v/>
      </c>
      <c r="E179" s="13">
        <f>'الجودة'!K37</f>
        <v/>
      </c>
      <c r="F179" s="15">
        <f>'الجودة'!L37</f>
        <v/>
      </c>
      <c r="G179" s="56">
        <f>'الجودة'!N37</f>
        <v/>
      </c>
      <c r="H179" s="15">
        <f>'الجودة'!O37</f>
        <v/>
      </c>
      <c r="I179" s="24">
        <f>'الجودة'!G37</f>
        <v/>
      </c>
      <c r="J179" s="15">
        <f>IF($G179="",0,$G179*$I179)</f>
        <v/>
      </c>
      <c r="K179" s="15">
        <f>IF($G179="",0,$I179)</f>
        <v/>
      </c>
      <c r="L179" s="13">
        <f>'الجودة'!B37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'الجودة'!C38</f>
        <v/>
      </c>
      <c r="D180" s="15">
        <f>'الجودة'!J38</f>
        <v/>
      </c>
      <c r="E180" s="13">
        <f>'الجودة'!K38</f>
        <v/>
      </c>
      <c r="F180" s="15">
        <f>'الجودة'!L38</f>
        <v/>
      </c>
      <c r="G180" s="56">
        <f>'الجودة'!N38</f>
        <v/>
      </c>
      <c r="H180" s="15">
        <f>'الجودة'!O38</f>
        <v/>
      </c>
      <c r="I180" s="24">
        <f>'الجودة'!G38</f>
        <v/>
      </c>
      <c r="J180" s="15">
        <f>IF($G180="",0,$G180*$I180)</f>
        <v/>
      </c>
      <c r="K180" s="15">
        <f>IF($G180="",0,$I180)</f>
        <v/>
      </c>
      <c r="L180" s="13">
        <f>'الجودة'!B38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'الجودة'!C39</f>
        <v/>
      </c>
      <c r="D181" s="15">
        <f>'الجودة'!J39</f>
        <v/>
      </c>
      <c r="E181" s="13">
        <f>'الجودة'!K39</f>
        <v/>
      </c>
      <c r="F181" s="15">
        <f>'الجودة'!L39</f>
        <v/>
      </c>
      <c r="G181" s="56">
        <f>'الجودة'!N39</f>
        <v/>
      </c>
      <c r="H181" s="15">
        <f>'الجودة'!O39</f>
        <v/>
      </c>
      <c r="I181" s="24">
        <f>'الجودة'!G39</f>
        <v/>
      </c>
      <c r="J181" s="15">
        <f>IF($G181="",0,$G181*$I181)</f>
        <v/>
      </c>
      <c r="K181" s="15">
        <f>IF($G181="",0,$I181)</f>
        <v/>
      </c>
      <c r="L181" s="13">
        <f>'الجودة'!B39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القانونية'!C5</f>
        <v/>
      </c>
      <c r="D182" s="15">
        <f>'الإدارة القانونية'!J5</f>
        <v/>
      </c>
      <c r="E182" s="13">
        <f>'الإدارة القانونية'!K5</f>
        <v/>
      </c>
      <c r="F182" s="15">
        <f>'الإدارة القانونية'!L5</f>
        <v/>
      </c>
      <c r="G182" s="56">
        <f>'الإدارة القانونية'!N5</f>
        <v/>
      </c>
      <c r="H182" s="15">
        <f>'الإدارة القانونية'!O5</f>
        <v/>
      </c>
      <c r="I182" s="24">
        <f>'الإدارة القانونية'!G5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القانونية'!B5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القانونية'!C6</f>
        <v/>
      </c>
      <c r="D183" s="15">
        <f>'الإدارة القانونية'!J6</f>
        <v/>
      </c>
      <c r="E183" s="13">
        <f>'الإدارة القانونية'!K6</f>
        <v/>
      </c>
      <c r="F183" s="15">
        <f>'الإدارة القانونية'!L6</f>
        <v/>
      </c>
      <c r="G183" s="56">
        <f>'الإدارة القانونية'!N6</f>
        <v/>
      </c>
      <c r="H183" s="15">
        <f>'الإدارة القانونية'!O6</f>
        <v/>
      </c>
      <c r="I183" s="24">
        <f>'الإدارة القانونية'!G6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القانونية'!B6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القانونية'!C7</f>
        <v/>
      </c>
      <c r="D184" s="15">
        <f>'الإدارة القانونية'!J7</f>
        <v/>
      </c>
      <c r="E184" s="13">
        <f>'الإدارة القانونية'!K7</f>
        <v/>
      </c>
      <c r="F184" s="15">
        <f>'الإدارة القانونية'!L7</f>
        <v/>
      </c>
      <c r="G184" s="56">
        <f>'الإدارة القانونية'!N7</f>
        <v/>
      </c>
      <c r="H184" s="15">
        <f>'الإدارة القانونية'!O7</f>
        <v/>
      </c>
      <c r="I184" s="24">
        <f>'الإدارة القانونية'!G7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القانونية'!B7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القانونية'!C9</f>
        <v/>
      </c>
      <c r="D185" s="15">
        <f>'الإدارة القانونية'!J9</f>
        <v/>
      </c>
      <c r="E185" s="13">
        <f>'الإدارة القانونية'!K9</f>
        <v/>
      </c>
      <c r="F185" s="15">
        <f>'الإدارة القانونية'!L9</f>
        <v/>
      </c>
      <c r="G185" s="56">
        <f>'الإدارة القانونية'!N9</f>
        <v/>
      </c>
      <c r="H185" s="15">
        <f>'الإدارة القانونية'!O9</f>
        <v/>
      </c>
      <c r="I185" s="24">
        <f>'الإدارة القانونية'!G9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القانونية'!B9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القانونية'!C10</f>
        <v/>
      </c>
      <c r="D186" s="15">
        <f>'الإدارة القانونية'!J10</f>
        <v/>
      </c>
      <c r="E186" s="13">
        <f>'الإدارة القانونية'!K10</f>
        <v/>
      </c>
      <c r="F186" s="15">
        <f>'الإدارة القانونية'!L10</f>
        <v/>
      </c>
      <c r="G186" s="56">
        <f>'الإدارة القانونية'!N10</f>
        <v/>
      </c>
      <c r="H186" s="15">
        <f>'الإدارة القانونية'!O10</f>
        <v/>
      </c>
      <c r="I186" s="24">
        <f>'الإدارة القانونية'!G10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القانونية'!B10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القانونية'!C11</f>
        <v/>
      </c>
      <c r="D187" s="15">
        <f>'الإدارة القانونية'!J11</f>
        <v/>
      </c>
      <c r="E187" s="13">
        <f>'الإدارة القانونية'!K11</f>
        <v/>
      </c>
      <c r="F187" s="15">
        <f>'الإدارة القانونية'!L11</f>
        <v/>
      </c>
      <c r="G187" s="56">
        <f>'الإدارة القانونية'!N11</f>
        <v/>
      </c>
      <c r="H187" s="15">
        <f>'الإدارة القانونية'!O11</f>
        <v/>
      </c>
      <c r="I187" s="24">
        <f>'الإدارة القانونية'!G11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القانونية'!B11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القانونية'!C13</f>
        <v/>
      </c>
      <c r="D188" s="15">
        <f>'الإدارة القانونية'!J13</f>
        <v/>
      </c>
      <c r="E188" s="13">
        <f>'الإدارة القانونية'!K13</f>
        <v/>
      </c>
      <c r="F188" s="15">
        <f>'الإدارة القانونية'!L13</f>
        <v/>
      </c>
      <c r="G188" s="56">
        <f>'الإدارة القانونية'!N13</f>
        <v/>
      </c>
      <c r="H188" s="15">
        <f>'الإدارة القانونية'!O13</f>
        <v/>
      </c>
      <c r="I188" s="24">
        <f>'الإدارة القانونية'!G13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القانونية'!B13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القانونية'!C14</f>
        <v/>
      </c>
      <c r="D189" s="15">
        <f>'الإدارة القانونية'!J14</f>
        <v/>
      </c>
      <c r="E189" s="13">
        <f>'الإدارة القانونية'!K14</f>
        <v/>
      </c>
      <c r="F189" s="15">
        <f>'الإدارة القانونية'!L14</f>
        <v/>
      </c>
      <c r="G189" s="56">
        <f>'الإدارة القانونية'!N14</f>
        <v/>
      </c>
      <c r="H189" s="15">
        <f>'الإدارة القانونية'!O14</f>
        <v/>
      </c>
      <c r="I189" s="24">
        <f>'الإدارة القانونية'!G14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القانونية'!B14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القانونية'!C16</f>
        <v/>
      </c>
      <c r="D190" s="15">
        <f>'الإدارة القانونية'!J16</f>
        <v/>
      </c>
      <c r="E190" s="13">
        <f>'الإدارة القانونية'!K16</f>
        <v/>
      </c>
      <c r="F190" s="15">
        <f>'الإدارة القانونية'!L16</f>
        <v/>
      </c>
      <c r="G190" s="56">
        <f>'الإدارة القانونية'!N16</f>
        <v/>
      </c>
      <c r="H190" s="15">
        <f>'الإدارة القانونية'!O16</f>
        <v/>
      </c>
      <c r="I190" s="24">
        <f>'الإدارة القانونية'!G16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القانونية'!B16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القانونية'!C17</f>
        <v/>
      </c>
      <c r="D191" s="15">
        <f>'الإدارة القانونية'!J17</f>
        <v/>
      </c>
      <c r="E191" s="13">
        <f>'الإدارة القانونية'!K17</f>
        <v/>
      </c>
      <c r="F191" s="15">
        <f>'الإدارة القانونية'!L17</f>
        <v/>
      </c>
      <c r="G191" s="56">
        <f>'الإدارة القانونية'!N17</f>
        <v/>
      </c>
      <c r="H191" s="15">
        <f>'الإدارة القانونية'!O17</f>
        <v/>
      </c>
      <c r="I191" s="24">
        <f>'الإدارة القانونية'!G17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القانونية'!B17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القانونية'!C18</f>
        <v/>
      </c>
      <c r="D192" s="15">
        <f>'الإدارة القانونية'!J18</f>
        <v/>
      </c>
      <c r="E192" s="13">
        <f>'الإدارة القانونية'!K18</f>
        <v/>
      </c>
      <c r="F192" s="15">
        <f>'الإدارة القانونية'!L18</f>
        <v/>
      </c>
      <c r="G192" s="56">
        <f>'الإدارة القانونية'!N18</f>
        <v/>
      </c>
      <c r="H192" s="15">
        <f>'الإدارة القانونية'!O18</f>
        <v/>
      </c>
      <c r="I192" s="24">
        <f>'الإدارة القانونية'!G18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القانونية'!B18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القانونية'!C19</f>
        <v/>
      </c>
      <c r="D193" s="15">
        <f>'الإدارة القانونية'!J19</f>
        <v/>
      </c>
      <c r="E193" s="13">
        <f>'الإدارة القانونية'!K19</f>
        <v/>
      </c>
      <c r="F193" s="15">
        <f>'الإدارة القانونية'!L19</f>
        <v/>
      </c>
      <c r="G193" s="56">
        <f>'الإدارة القانونية'!N19</f>
        <v/>
      </c>
      <c r="H193" s="15">
        <f>'الإدارة القانونية'!O19</f>
        <v/>
      </c>
      <c r="I193" s="24">
        <f>'الإدارة القانونية'!G19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القانونية'!B19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القانونية'!C20</f>
        <v/>
      </c>
      <c r="D194" s="15">
        <f>'الإدارة القانونية'!J20</f>
        <v/>
      </c>
      <c r="E194" s="13">
        <f>'الإدارة القانونية'!K20</f>
        <v/>
      </c>
      <c r="F194" s="15">
        <f>'الإدارة القانونية'!L20</f>
        <v/>
      </c>
      <c r="G194" s="56">
        <f>'الإدارة القانونية'!N20</f>
        <v/>
      </c>
      <c r="H194" s="15">
        <f>'الإدارة القانونية'!O20</f>
        <v/>
      </c>
      <c r="I194" s="24">
        <f>'الإدارة القانونية'!G20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القانونية'!B20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المالية'!C5</f>
        <v/>
      </c>
      <c r="D195" s="15">
        <f>'الإدارة المالية'!J5</f>
        <v/>
      </c>
      <c r="E195" s="13">
        <f>'الإدارة المالية'!K5</f>
        <v/>
      </c>
      <c r="F195" s="15">
        <f>'الإدارة المالية'!L5</f>
        <v/>
      </c>
      <c r="G195" s="56">
        <f>'الإدارة المالية'!N5</f>
        <v/>
      </c>
      <c r="H195" s="15">
        <f>'الإدارة المالية'!O5</f>
        <v/>
      </c>
      <c r="I195" s="24">
        <f>'الإدارة المالية'!G5</f>
        <v/>
      </c>
      <c r="J195" s="15">
        <f>IF($G195="",0,$G195*$I195)</f>
        <v/>
      </c>
      <c r="K195" s="15">
        <f>IF($G195="",0,$I195)</f>
        <v/>
      </c>
      <c r="L195" s="13">
        <f>'الإدارة المالية'!B5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المالية'!C6</f>
        <v/>
      </c>
      <c r="D196" s="15">
        <f>'الإدارة المالية'!J6</f>
        <v/>
      </c>
      <c r="E196" s="13">
        <f>'الإدارة المالية'!K6</f>
        <v/>
      </c>
      <c r="F196" s="15">
        <f>'الإدارة المالية'!L6</f>
        <v/>
      </c>
      <c r="G196" s="56">
        <f>'الإدارة المالية'!N6</f>
        <v/>
      </c>
      <c r="H196" s="15">
        <f>'الإدارة المالية'!O6</f>
        <v/>
      </c>
      <c r="I196" s="24">
        <f>'الإدارة المالية'!G6</f>
        <v/>
      </c>
      <c r="J196" s="15">
        <f>IF($G196="",0,$G196*$I196)</f>
        <v/>
      </c>
      <c r="K196" s="15">
        <f>IF($G196="",0,$I196)</f>
        <v/>
      </c>
      <c r="L196" s="13">
        <f>'الإدارة المالية'!B6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المالية'!C7</f>
        <v/>
      </c>
      <c r="D197" s="15">
        <f>'الإدارة المالية'!J7</f>
        <v/>
      </c>
      <c r="E197" s="13">
        <f>'الإدارة المالية'!K7</f>
        <v/>
      </c>
      <c r="F197" s="15">
        <f>'الإدارة المالية'!L7</f>
        <v/>
      </c>
      <c r="G197" s="56">
        <f>'الإدارة المالية'!N7</f>
        <v/>
      </c>
      <c r="H197" s="15">
        <f>'الإدارة المالية'!O7</f>
        <v/>
      </c>
      <c r="I197" s="24">
        <f>'الإدارة المالية'!G7</f>
        <v/>
      </c>
      <c r="J197" s="15">
        <f>IF($G197="",0,$G197*$I197)</f>
        <v/>
      </c>
      <c r="K197" s="15">
        <f>IF($G197="",0,$I197)</f>
        <v/>
      </c>
      <c r="L197" s="13">
        <f>'الإدارة المالية'!B7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المالية'!C8</f>
        <v/>
      </c>
      <c r="D198" s="15">
        <f>'الإدارة المالية'!J8</f>
        <v/>
      </c>
      <c r="E198" s="13">
        <f>'الإدارة المالية'!K8</f>
        <v/>
      </c>
      <c r="F198" s="15">
        <f>'الإدارة المالية'!L8</f>
        <v/>
      </c>
      <c r="G198" s="56">
        <f>'الإدارة المالية'!N8</f>
        <v/>
      </c>
      <c r="H198" s="15">
        <f>'الإدارة المالية'!O8</f>
        <v/>
      </c>
      <c r="I198" s="24">
        <f>'الإدارة المالية'!G8</f>
        <v/>
      </c>
      <c r="J198" s="15">
        <f>IF($G198="",0,$G198*$I198)</f>
        <v/>
      </c>
      <c r="K198" s="15">
        <f>IF($G198="",0,$I198)</f>
        <v/>
      </c>
      <c r="L198" s="13">
        <f>'الإدارة المالية'!B8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المالية'!C9</f>
        <v/>
      </c>
      <c r="D199" s="15">
        <f>'الإدارة المالية'!J9</f>
        <v/>
      </c>
      <c r="E199" s="13">
        <f>'الإدارة المالية'!K9</f>
        <v/>
      </c>
      <c r="F199" s="15">
        <f>'الإدارة المالية'!L9</f>
        <v/>
      </c>
      <c r="G199" s="56">
        <f>'الإدارة المالية'!N9</f>
        <v/>
      </c>
      <c r="H199" s="15">
        <f>'الإدارة المالية'!O9</f>
        <v/>
      </c>
      <c r="I199" s="24">
        <f>'الإدارة المالية'!G9</f>
        <v/>
      </c>
      <c r="J199" s="15">
        <f>IF($G199="",0,$G199*$I199)</f>
        <v/>
      </c>
      <c r="K199" s="15">
        <f>IF($G199="",0,$I199)</f>
        <v/>
      </c>
      <c r="L199" s="13">
        <f>'الإدارة المالية'!B9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المالية'!C11</f>
        <v/>
      </c>
      <c r="D200" s="15">
        <f>'الإدارة المالية'!J11</f>
        <v/>
      </c>
      <c r="E200" s="13">
        <f>'الإدارة المالية'!K11</f>
        <v/>
      </c>
      <c r="F200" s="15">
        <f>'الإدارة المالية'!L11</f>
        <v/>
      </c>
      <c r="G200" s="56">
        <f>'الإدارة المالية'!N11</f>
        <v/>
      </c>
      <c r="H200" s="15">
        <f>'الإدارة المالية'!O11</f>
        <v/>
      </c>
      <c r="I200" s="24">
        <f>'الإدارة المالية'!G11</f>
        <v/>
      </c>
      <c r="J200" s="15">
        <f>IF($G200="",0,$G200*$I200)</f>
        <v/>
      </c>
      <c r="K200" s="15">
        <f>IF($G200="",0,$I200)</f>
        <v/>
      </c>
      <c r="L200" s="13">
        <f>'الإدارة المالية'!B11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المالية'!C12</f>
        <v/>
      </c>
      <c r="D201" s="15">
        <f>'الإدارة المالية'!J12</f>
        <v/>
      </c>
      <c r="E201" s="13">
        <f>'الإدارة المالية'!K12</f>
        <v/>
      </c>
      <c r="F201" s="15">
        <f>'الإدارة المالية'!L12</f>
        <v/>
      </c>
      <c r="G201" s="56">
        <f>'الإدارة المالية'!N12</f>
        <v/>
      </c>
      <c r="H201" s="15">
        <f>'الإدارة المالية'!O12</f>
        <v/>
      </c>
      <c r="I201" s="24">
        <f>'الإدارة المالية'!G12</f>
        <v/>
      </c>
      <c r="J201" s="15">
        <f>IF($G201="",0,$G201*$I201)</f>
        <v/>
      </c>
      <c r="K201" s="15">
        <f>IF($G201="",0,$I201)</f>
        <v/>
      </c>
      <c r="L201" s="13">
        <f>'الإدارة المالية'!B12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المالية'!C14</f>
        <v/>
      </c>
      <c r="D202" s="15">
        <f>'الإدارة المالية'!J14</f>
        <v/>
      </c>
      <c r="E202" s="13">
        <f>'الإدارة المالية'!K14</f>
        <v/>
      </c>
      <c r="F202" s="15">
        <f>'الإدارة المالية'!L14</f>
        <v/>
      </c>
      <c r="G202" s="56">
        <f>'الإدارة المالية'!N14</f>
        <v/>
      </c>
      <c r="H202" s="15">
        <f>'الإدارة المالية'!O14</f>
        <v/>
      </c>
      <c r="I202" s="24">
        <f>'الإدارة المالية'!G14</f>
        <v/>
      </c>
      <c r="J202" s="15">
        <f>IF($G202="",0,$G202*$I202)</f>
        <v/>
      </c>
      <c r="K202" s="15">
        <f>IF($G202="",0,$I202)</f>
        <v/>
      </c>
      <c r="L202" s="13">
        <f>'الإدارة المالية'!B14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المالية'!C15</f>
        <v/>
      </c>
      <c r="D203" s="15">
        <f>'الإدارة المالية'!J15</f>
        <v/>
      </c>
      <c r="E203" s="13">
        <f>'الإدارة المالية'!K15</f>
        <v/>
      </c>
      <c r="F203" s="15">
        <f>'الإدارة المالية'!L15</f>
        <v/>
      </c>
      <c r="G203" s="56">
        <f>'الإدارة المالية'!N15</f>
        <v/>
      </c>
      <c r="H203" s="15">
        <f>'الإدارة المالية'!O15</f>
        <v/>
      </c>
      <c r="I203" s="24">
        <f>'الإدارة المالية'!G15</f>
        <v/>
      </c>
      <c r="J203" s="15">
        <f>IF($G203="",0,$G203*$I203)</f>
        <v/>
      </c>
      <c r="K203" s="15">
        <f>IF($G203="",0,$I203)</f>
        <v/>
      </c>
      <c r="L203" s="13">
        <f>'الإدارة المالية'!B15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المالية'!C16</f>
        <v/>
      </c>
      <c r="D204" s="15">
        <f>'الإدارة المالية'!J16</f>
        <v/>
      </c>
      <c r="E204" s="13">
        <f>'الإدارة المالية'!K16</f>
        <v/>
      </c>
      <c r="F204" s="15">
        <f>'الإدارة المالية'!L16</f>
        <v/>
      </c>
      <c r="G204" s="56">
        <f>'الإدارة المالية'!N16</f>
        <v/>
      </c>
      <c r="H204" s="15">
        <f>'الإدارة المالية'!O16</f>
        <v/>
      </c>
      <c r="I204" s="24">
        <f>'الإدارة المالية'!G16</f>
        <v/>
      </c>
      <c r="J204" s="15">
        <f>IF($G204="",0,$G204*$I204)</f>
        <v/>
      </c>
      <c r="K204" s="15">
        <f>IF($G204="",0,$I204)</f>
        <v/>
      </c>
      <c r="L204" s="13">
        <f>'الإدارة المالية'!B16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المالية'!C18</f>
        <v/>
      </c>
      <c r="D205" s="15">
        <f>'الإدارة المالية'!J18</f>
        <v/>
      </c>
      <c r="E205" s="13">
        <f>'الإدارة المالية'!K18</f>
        <v/>
      </c>
      <c r="F205" s="15">
        <f>'الإدارة المالية'!L18</f>
        <v/>
      </c>
      <c r="G205" s="56">
        <f>'الإدارة المالية'!N18</f>
        <v/>
      </c>
      <c r="H205" s="15">
        <f>'الإدارة المالية'!O18</f>
        <v/>
      </c>
      <c r="I205" s="24">
        <f>'الإدارة المالية'!G18</f>
        <v/>
      </c>
      <c r="J205" s="15">
        <f>IF($G205="",0,$G205*$I205)</f>
        <v/>
      </c>
      <c r="K205" s="15">
        <f>IF($G205="",0,$I205)</f>
        <v/>
      </c>
      <c r="L205" s="13">
        <f>'الإدارة المالية'!B18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المالية'!C19</f>
        <v/>
      </c>
      <c r="D206" s="15">
        <f>'الإدارة المالية'!J19</f>
        <v/>
      </c>
      <c r="E206" s="13">
        <f>'الإدارة المالية'!K19</f>
        <v/>
      </c>
      <c r="F206" s="15">
        <f>'الإدارة المالية'!L19</f>
        <v/>
      </c>
      <c r="G206" s="56">
        <f>'الإدارة المالية'!N19</f>
        <v/>
      </c>
      <c r="H206" s="15">
        <f>'الإدارة المالية'!O19</f>
        <v/>
      </c>
      <c r="I206" s="24">
        <f>'الإدارة المالية'!G19</f>
        <v/>
      </c>
      <c r="J206" s="15">
        <f>IF($G206="",0,$G206*$I206)</f>
        <v/>
      </c>
      <c r="K206" s="15">
        <f>IF($G206="",0,$I206)</f>
        <v/>
      </c>
      <c r="L206" s="13">
        <f>'الإدارة المالية'!B19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المالية'!C20</f>
        <v/>
      </c>
      <c r="D207" s="15">
        <f>'الإدارة المالية'!J20</f>
        <v/>
      </c>
      <c r="E207" s="13">
        <f>'الإدارة المالية'!K20</f>
        <v/>
      </c>
      <c r="F207" s="15">
        <f>'الإدارة المالية'!L20</f>
        <v/>
      </c>
      <c r="G207" s="56">
        <f>'الإدارة المالية'!N20</f>
        <v/>
      </c>
      <c r="H207" s="15">
        <f>'الإدارة المالية'!O20</f>
        <v/>
      </c>
      <c r="I207" s="24">
        <f>'الإدارة المالية'!G20</f>
        <v/>
      </c>
      <c r="J207" s="15">
        <f>IF($G207="",0,$G207*$I207)</f>
        <v/>
      </c>
      <c r="K207" s="15">
        <f>IF($G207="",0,$I207)</f>
        <v/>
      </c>
      <c r="L207" s="13">
        <f>'الإدارة المالية'!B20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المالية'!C22</f>
        <v/>
      </c>
      <c r="D208" s="15">
        <f>'الإدارة المالية'!J22</f>
        <v/>
      </c>
      <c r="E208" s="13">
        <f>'الإدارة المالية'!K22</f>
        <v/>
      </c>
      <c r="F208" s="15">
        <f>'الإدارة المالية'!L22</f>
        <v/>
      </c>
      <c r="G208" s="56">
        <f>'الإدارة المالية'!N22</f>
        <v/>
      </c>
      <c r="H208" s="15">
        <f>'الإدارة المالية'!O22</f>
        <v/>
      </c>
      <c r="I208" s="24">
        <f>'الإدارة المالية'!G22</f>
        <v/>
      </c>
      <c r="J208" s="15">
        <f>IF($G208="",0,$G208*$I208)</f>
        <v/>
      </c>
      <c r="K208" s="15">
        <f>IF($G208="",0,$I208)</f>
        <v/>
      </c>
      <c r="L208" s="13">
        <f>'الإدارة المالية'!B22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المالية'!C23</f>
        <v/>
      </c>
      <c r="D209" s="15">
        <f>'الإدارة المالية'!J23</f>
        <v/>
      </c>
      <c r="E209" s="13">
        <f>'الإدارة المالية'!K23</f>
        <v/>
      </c>
      <c r="F209" s="15">
        <f>'الإدارة المالية'!L23</f>
        <v/>
      </c>
      <c r="G209" s="56">
        <f>'الإدارة المالية'!N23</f>
        <v/>
      </c>
      <c r="H209" s="15">
        <f>'الإدارة المالية'!O23</f>
        <v/>
      </c>
      <c r="I209" s="24">
        <f>'الإدارة المالية'!G23</f>
        <v/>
      </c>
      <c r="J209" s="15">
        <f>IF($G209="",0,$G209*$I209)</f>
        <v/>
      </c>
      <c r="K209" s="15">
        <f>IF($G209="",0,$I209)</f>
        <v/>
      </c>
      <c r="L209" s="13">
        <f>'الإدارة المالية'!B23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المالية'!C25</f>
        <v/>
      </c>
      <c r="D210" s="15">
        <f>'الإدارة المالية'!J25</f>
        <v/>
      </c>
      <c r="E210" s="13">
        <f>'الإدارة المالية'!K25</f>
        <v/>
      </c>
      <c r="F210" s="15">
        <f>'الإدارة المالية'!L25</f>
        <v/>
      </c>
      <c r="G210" s="56">
        <f>'الإدارة المالية'!N25</f>
        <v/>
      </c>
      <c r="H210" s="15">
        <f>'الإدارة المالية'!O25</f>
        <v/>
      </c>
      <c r="I210" s="24">
        <f>'الإدارة المالية'!G25</f>
        <v/>
      </c>
      <c r="J210" s="15">
        <f>IF($G210="",0,$G210*$I210)</f>
        <v/>
      </c>
      <c r="K210" s="15">
        <f>IF($G210="",0,$I210)</f>
        <v/>
      </c>
      <c r="L210" s="13">
        <f>'الإدارة المالية'!B25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المالية'!C26</f>
        <v/>
      </c>
      <c r="D211" s="15">
        <f>'الإدارة المالية'!J26</f>
        <v/>
      </c>
      <c r="E211" s="13">
        <f>'الإدارة المالية'!K26</f>
        <v/>
      </c>
      <c r="F211" s="15">
        <f>'الإدارة المالية'!L26</f>
        <v/>
      </c>
      <c r="G211" s="56">
        <f>'الإدارة المالية'!N26</f>
        <v/>
      </c>
      <c r="H211" s="15">
        <f>'الإدارة المالية'!O26</f>
        <v/>
      </c>
      <c r="I211" s="24">
        <f>'الإدارة المالية'!G26</f>
        <v/>
      </c>
      <c r="J211" s="15">
        <f>IF($G211="",0,$G211*$I211)</f>
        <v/>
      </c>
      <c r="K211" s="15">
        <f>IF($G211="",0,$I211)</f>
        <v/>
      </c>
      <c r="L211" s="13">
        <f>'الإدارة المالية'!B26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المالية'!C27</f>
        <v/>
      </c>
      <c r="D212" s="15">
        <f>'الإدارة المالية'!J27</f>
        <v/>
      </c>
      <c r="E212" s="13">
        <f>'الإدارة المالية'!K27</f>
        <v/>
      </c>
      <c r="F212" s="15">
        <f>'الإدارة المالية'!L27</f>
        <v/>
      </c>
      <c r="G212" s="56">
        <f>'الإدارة المالية'!N27</f>
        <v/>
      </c>
      <c r="H212" s="15">
        <f>'الإدارة المالية'!O27</f>
        <v/>
      </c>
      <c r="I212" s="24">
        <f>'الإدارة المالية'!G27</f>
        <v/>
      </c>
      <c r="J212" s="15">
        <f>IF($G212="",0,$G212*$I212)</f>
        <v/>
      </c>
      <c r="K212" s="15">
        <f>IF($G212="",0,$I212)</f>
        <v/>
      </c>
      <c r="L212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2026-08-13T06:06:25Z</dcterms:created>
  <dcterms:modified xmlns:dcterms="http://purl.org/dc/terms/" xmlns:xsi="http://www.w3.org/2001/XMLSchema-instance" xsi:type="dcterms:W3CDTF">2026-08-13T06:06:28Z</dcterms:modified>
</cp:coreProperties>
</file>