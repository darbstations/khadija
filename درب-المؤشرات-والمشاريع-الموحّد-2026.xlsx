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الانحراف'!$A$2:$M$126</definedName>
    <definedName name="_xlnm._FilterDatabase" localSheetId="6" hidden="1">'التتبّع الشهري'!$A$3:$X$170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المؤشرات'!$A$2:$N$169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المشاريع'!$A$3:$R$6</definedName>
    <definedName name="_xlnm._FilterDatabase" localSheetId="17" hidden="1">'سلاسل الإمداد'!$A$3:$R$15</definedName>
    <definedName name="_xlnm._FilterDatabase" localSheetId="18" hidden="1">'الصيانة والأتمتة'!$A$3:$R$13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المؤشرات'!$G$2:$G$168,'قاعدة المؤشرات'!$D$2:$D$168,"النمو"),"—")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المؤشرات'!$G$2:$G$168,'قاعدة المؤشرات'!$D$2:$D$168,"الابتكار"),"—")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المؤشرات'!$G$2:$G$168,'قاعدة المؤشرات'!$D$2:$D$168,"الاستدامة"),"—")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'العقار'!C6</f>
        <v/>
      </c>
      <c r="C27" s="22">
        <f>'العقار'!I6</f>
        <v/>
      </c>
      <c r="D27" s="23">
        <f>'العقار'!M6</f>
        <v/>
      </c>
      <c r="E27" s="10">
        <f>'العقار'!N6</f>
        <v/>
      </c>
      <c r="F27" s="20">
        <f>'العقار'!O6</f>
        <v/>
      </c>
      <c r="G27" s="24">
        <f>'العقار'!G6</f>
        <v/>
      </c>
    </row>
    <row r="28" ht="22" customHeight="1">
      <c r="A28" s="20" t="n">
        <v>2</v>
      </c>
      <c r="B28" s="21">
        <f>'العقار'!C7</f>
        <v/>
      </c>
      <c r="C28" s="22">
        <f>'العقار'!I7</f>
        <v/>
      </c>
      <c r="D28" s="23">
        <f>'العقار'!M7</f>
        <v/>
      </c>
      <c r="E28" s="10">
        <f>'العقار'!N7</f>
        <v/>
      </c>
      <c r="F28" s="20">
        <f>'العقار'!O7</f>
        <v/>
      </c>
      <c r="G28" s="24">
        <f>'العقار'!G7</f>
        <v/>
      </c>
    </row>
    <row r="29" ht="22" customHeight="1">
      <c r="A29" s="20" t="n">
        <v>3</v>
      </c>
      <c r="B29" s="21">
        <f>'العقار'!C4</f>
        <v/>
      </c>
      <c r="C29" s="22">
        <f>'العقار'!I4</f>
        <v/>
      </c>
      <c r="D29" s="23">
        <f>'العقار'!M4</f>
        <v/>
      </c>
      <c r="E29" s="10">
        <f>'العقار'!N4</f>
        <v/>
      </c>
      <c r="F29" s="20">
        <f>'العقار'!O4</f>
        <v/>
      </c>
      <c r="G29" s="24">
        <f>'العقار'!G4</f>
        <v/>
      </c>
    </row>
    <row r="30" ht="22" customHeight="1">
      <c r="A30" s="20" t="n">
        <v>4</v>
      </c>
      <c r="B30" s="21">
        <f>'العقار'!C5</f>
        <v/>
      </c>
      <c r="C30" s="22">
        <f>'العقار'!I5</f>
        <v/>
      </c>
      <c r="D30" s="23">
        <f>'العقار'!M5</f>
        <v/>
      </c>
      <c r="E30" s="10">
        <f>'العقار'!N5</f>
        <v/>
      </c>
      <c r="F30" s="20">
        <f>'العقار'!O5</f>
        <v/>
      </c>
      <c r="G30" s="24">
        <f>'العقار'!G5</f>
        <v/>
      </c>
    </row>
    <row r="31" ht="22" customHeight="1">
      <c r="A31" s="19" t="inlineStr">
        <is>
          <t>▾ إدارة المشاريع · وزن الإدارة 8%</t>
        </is>
      </c>
    </row>
    <row r="32" ht="22" customHeight="1">
      <c r="A32" s="20" t="n">
        <v>1</v>
      </c>
      <c r="B32" s="21">
        <f>'إدارة المشاريع'!C4</f>
        <v/>
      </c>
      <c r="C32" s="22">
        <f>'إدارة المشاريع'!I4</f>
        <v/>
      </c>
      <c r="D32" s="23">
        <f>'إدارة المشاريع'!M4</f>
        <v/>
      </c>
      <c r="E32" s="10">
        <f>'إدارة المشاريع'!N4</f>
        <v/>
      </c>
      <c r="F32" s="20">
        <f>'إدارة المشاريع'!O4</f>
        <v/>
      </c>
      <c r="G32" s="24">
        <f>'إدارة المشاريع'!G4</f>
        <v/>
      </c>
    </row>
    <row r="33" ht="22" customHeight="1">
      <c r="A33" s="20" t="n">
        <v>2</v>
      </c>
      <c r="B33" s="21">
        <f>'إدارة المشاريع'!C5</f>
        <v/>
      </c>
      <c r="C33" s="22">
        <f>'إدارة المشاريع'!I5</f>
        <v/>
      </c>
      <c r="D33" s="23">
        <f>'إدارة المشاريع'!M5</f>
        <v/>
      </c>
      <c r="E33" s="10">
        <f>'إدارة المشاريع'!N5</f>
        <v/>
      </c>
      <c r="F33" s="20">
        <f>'إدارة المشاريع'!O5</f>
        <v/>
      </c>
      <c r="G33" s="24">
        <f>'إدارة المشاريع'!G5</f>
        <v/>
      </c>
    </row>
    <row r="34" ht="22" customHeight="1">
      <c r="A34" s="20" t="n">
        <v>3</v>
      </c>
      <c r="B34" s="21">
        <f>'إدارة المشاريع'!C6</f>
        <v/>
      </c>
      <c r="C34" s="22">
        <f>'إدارة المشاريع'!I6</f>
        <v/>
      </c>
      <c r="D34" s="23">
        <f>'إدارة المشاريع'!M6</f>
        <v/>
      </c>
      <c r="E34" s="10">
        <f>'إدارة المشاريع'!N6</f>
        <v/>
      </c>
      <c r="F34" s="20">
        <f>'إدارة المشاريع'!O6</f>
        <v/>
      </c>
      <c r="G34" s="24">
        <f>'إدارة المشاريع'!G6</f>
        <v/>
      </c>
    </row>
    <row r="35" ht="22" customHeight="1">
      <c r="A35" s="19" t="inlineStr">
        <is>
          <t>▾ سلاسل الإمداد · وزن الإدارة 10%</t>
        </is>
      </c>
    </row>
    <row r="36" ht="22" customHeight="1">
      <c r="A36" s="20" t="n">
        <v>1</v>
      </c>
      <c r="B36" s="21">
        <f>'سلاسل الإمداد'!C4</f>
        <v/>
      </c>
      <c r="C36" s="22">
        <f>'سلاسل الإمداد'!I4</f>
        <v/>
      </c>
      <c r="D36" s="23">
        <f>'سلاسل الإمداد'!M4</f>
        <v/>
      </c>
      <c r="E36" s="10">
        <f>'سلاسل الإمداد'!N4</f>
        <v/>
      </c>
      <c r="F36" s="20">
        <f>'سلاسل الإمداد'!O4</f>
        <v/>
      </c>
      <c r="G36" s="24">
        <f>'سلاسل الإمداد'!G4</f>
        <v/>
      </c>
    </row>
    <row r="37" ht="22" customHeight="1">
      <c r="A37" s="20" t="n">
        <v>2</v>
      </c>
      <c r="B37" s="21">
        <f>'سلاسل الإمداد'!C5</f>
        <v/>
      </c>
      <c r="C37" s="22">
        <f>'سلاسل الإمداد'!I5</f>
        <v/>
      </c>
      <c r="D37" s="23">
        <f>'سلاسل الإمداد'!M5</f>
        <v/>
      </c>
      <c r="E37" s="10">
        <f>'سلاسل الإمداد'!N5</f>
        <v/>
      </c>
      <c r="F37" s="20">
        <f>'سلاسل الإمداد'!O5</f>
        <v/>
      </c>
      <c r="G37" s="24">
        <f>'سلاسل الإمداد'!G5</f>
        <v/>
      </c>
    </row>
    <row r="38" ht="22" customHeight="1">
      <c r="A38" s="20" t="n">
        <v>3</v>
      </c>
      <c r="B38" s="21">
        <f>'سلاسل الإمداد'!C9</f>
        <v/>
      </c>
      <c r="C38" s="22">
        <f>'سلاسل الإمداد'!I9</f>
        <v/>
      </c>
      <c r="D38" s="23">
        <f>'سلاسل الإمداد'!M9</f>
        <v/>
      </c>
      <c r="E38" s="10">
        <f>'سلاسل الإمداد'!N9</f>
        <v/>
      </c>
      <c r="F38" s="20">
        <f>'سلاسل الإمداد'!O9</f>
        <v/>
      </c>
      <c r="G38" s="24">
        <f>'سلاسل الإمداد'!G9</f>
        <v/>
      </c>
    </row>
    <row r="39" ht="22" customHeight="1">
      <c r="A39" s="20" t="n">
        <v>4</v>
      </c>
      <c r="B39" s="21">
        <f>'سلاسل الإمداد'!C11</f>
        <v/>
      </c>
      <c r="C39" s="22">
        <f>'سلاسل الإمداد'!I11</f>
        <v/>
      </c>
      <c r="D39" s="23">
        <f>'سلاسل الإمداد'!M11</f>
        <v/>
      </c>
      <c r="E39" s="10">
        <f>'سلاسل الإمداد'!N11</f>
        <v/>
      </c>
      <c r="F39" s="20">
        <f>'سلاسل الإمداد'!O11</f>
        <v/>
      </c>
      <c r="G39" s="24">
        <f>'سلاسل الإمداد'!G11</f>
        <v/>
      </c>
    </row>
    <row r="40" ht="22" customHeight="1">
      <c r="A40" s="20" t="n">
        <v>5</v>
      </c>
      <c r="B40" s="21">
        <f>'سلاسل الإمداد'!C6</f>
        <v/>
      </c>
      <c r="C40" s="22">
        <f>'سلاسل الإمداد'!I6</f>
        <v/>
      </c>
      <c r="D40" s="23">
        <f>'سلاسل الإمداد'!M6</f>
        <v/>
      </c>
      <c r="E40" s="10">
        <f>'سلاسل الإمداد'!N6</f>
        <v/>
      </c>
      <c r="F40" s="20">
        <f>'سلاسل الإمداد'!O6</f>
        <v/>
      </c>
      <c r="G40" s="24">
        <f>'سلاسل الإمداد'!G6</f>
        <v/>
      </c>
    </row>
    <row r="41" ht="22" customHeight="1">
      <c r="A41" s="19" t="inlineStr">
        <is>
          <t>▾ الصيانة والأتمتة · وزن الإدارة 7%</t>
        </is>
      </c>
    </row>
    <row r="42" ht="22" customHeight="1">
      <c r="A42" s="20" t="n">
        <v>1</v>
      </c>
      <c r="B42" s="21">
        <f>'الصيانة والأتمتة'!C4</f>
        <v/>
      </c>
      <c r="C42" s="22">
        <f>'الصيانة والأتمتة'!I4</f>
        <v/>
      </c>
      <c r="D42" s="23">
        <f>'الصيانة والأتمتة'!M4</f>
        <v/>
      </c>
      <c r="E42" s="10">
        <f>'الصيانة والأتمتة'!N4</f>
        <v/>
      </c>
      <c r="F42" s="20">
        <f>'الصيانة والأتمتة'!O4</f>
        <v/>
      </c>
      <c r="G42" s="24">
        <f>'الصيانة والأتمتة'!G4</f>
        <v/>
      </c>
    </row>
    <row r="43" ht="22" customHeight="1">
      <c r="A43" s="20" t="n">
        <v>2</v>
      </c>
      <c r="B43" s="21">
        <f>'الصيانة والأتمتة'!C10</f>
        <v/>
      </c>
      <c r="C43" s="22">
        <f>'الصيانة والأتمتة'!I10</f>
        <v/>
      </c>
      <c r="D43" s="23">
        <f>'الصيانة والأتمتة'!M10</f>
        <v/>
      </c>
      <c r="E43" s="10">
        <f>'الصيانة والأتمتة'!N10</f>
        <v/>
      </c>
      <c r="F43" s="20">
        <f>'الصيانة والأتمتة'!O10</f>
        <v/>
      </c>
      <c r="G43" s="24">
        <f>'الصيانة والأتمتة'!G10</f>
        <v/>
      </c>
    </row>
    <row r="44" ht="22" customHeight="1">
      <c r="A44" s="20" t="n">
        <v>3</v>
      </c>
      <c r="B44" s="21">
        <f>'الصيانة والأتمتة'!C5</f>
        <v/>
      </c>
      <c r="C44" s="22">
        <f>'الصيانة والأتمتة'!I5</f>
        <v/>
      </c>
      <c r="D44" s="23">
        <f>'الصيانة والأتمتة'!M5</f>
        <v/>
      </c>
      <c r="E44" s="10">
        <f>'الصيانة والأتمتة'!N5</f>
        <v/>
      </c>
      <c r="F44" s="20">
        <f>'الصيانة والأتمتة'!O5</f>
        <v/>
      </c>
      <c r="G44" s="24">
        <f>'الصيانة والأتمتة'!G5</f>
        <v/>
      </c>
    </row>
    <row r="45" ht="22" customHeight="1">
      <c r="A45" s="20" t="n">
        <v>4</v>
      </c>
      <c r="B45" s="21">
        <f>'الصيانة والأتمتة'!C6</f>
        <v/>
      </c>
      <c r="C45" s="22">
        <f>'الصيانة والأتمتة'!I6</f>
        <v/>
      </c>
      <c r="D45" s="23">
        <f>'الصيانة والأتمتة'!M6</f>
        <v/>
      </c>
      <c r="E45" s="10">
        <f>'الصيانة والأتمتة'!N6</f>
        <v/>
      </c>
      <c r="F45" s="20">
        <f>'الصيانة والأتمتة'!O6</f>
        <v/>
      </c>
      <c r="G45" s="24">
        <f>'الصيانة والأتمتة'!G6</f>
        <v/>
      </c>
    </row>
    <row r="46" ht="22" customHeight="1">
      <c r="A46" s="20" t="n">
        <v>5</v>
      </c>
      <c r="B46" s="21">
        <f>'الصيانة والأتمتة'!C9</f>
        <v/>
      </c>
      <c r="C46" s="22">
        <f>'الصيانة والأتمتة'!I9</f>
        <v/>
      </c>
      <c r="D46" s="23">
        <f>'الصيانة والأتمتة'!M9</f>
        <v/>
      </c>
      <c r="E46" s="10">
        <f>'الصيانة والأتمتة'!N9</f>
        <v/>
      </c>
      <c r="F46" s="20">
        <f>'الصيانة والأتمتة'!O9</f>
        <v/>
      </c>
      <c r="G46" s="24">
        <f>'الصيانة والأتمتة'!G9</f>
        <v/>
      </c>
    </row>
    <row r="47" ht="22" customHeight="1">
      <c r="A47" s="19" t="inlineStr">
        <is>
          <t>▾ التقنية الرقمية · وزن الإدارة 4%</t>
        </is>
      </c>
    </row>
    <row r="48" ht="22" customHeight="1">
      <c r="A48" s="20" t="n">
        <v>1</v>
      </c>
      <c r="B48" s="21">
        <f>'التقنية الرقمية'!C4</f>
        <v/>
      </c>
      <c r="C48" s="22">
        <f>'التقنية الرقمية'!I4</f>
        <v/>
      </c>
      <c r="D48" s="23">
        <f>'التقنية الرقمية'!M4</f>
        <v/>
      </c>
      <c r="E48" s="10">
        <f>'التقنية الرقمية'!N4</f>
        <v/>
      </c>
      <c r="F48" s="20">
        <f>'التقنية الرقمية'!O4</f>
        <v/>
      </c>
      <c r="G48" s="24">
        <f>'التقنية الرقمية'!G4</f>
        <v/>
      </c>
    </row>
    <row r="49" ht="22" customHeight="1">
      <c r="A49" s="20" t="n">
        <v>2</v>
      </c>
      <c r="B49" s="21">
        <f>'التقنية الرقمية'!C5</f>
        <v/>
      </c>
      <c r="C49" s="22">
        <f>'التقنية الرقمية'!I5</f>
        <v/>
      </c>
      <c r="D49" s="23">
        <f>'التقنية الرقمية'!M5</f>
        <v/>
      </c>
      <c r="E49" s="10">
        <f>'التقنية الرقمية'!N5</f>
        <v/>
      </c>
      <c r="F49" s="20">
        <f>'التقنية الرقمية'!O5</f>
        <v/>
      </c>
      <c r="G49" s="24">
        <f>'التقنية الرقمية'!G5</f>
        <v/>
      </c>
    </row>
    <row r="50" ht="22" customHeight="1">
      <c r="A50" s="20" t="n">
        <v>3</v>
      </c>
      <c r="B50" s="21">
        <f>'التقنية الرقمية'!C6</f>
        <v/>
      </c>
      <c r="C50" s="22">
        <f>'التقنية الرقمية'!I6</f>
        <v/>
      </c>
      <c r="D50" s="23">
        <f>'التقنية الرقمية'!M6</f>
        <v/>
      </c>
      <c r="E50" s="10">
        <f>'التقنية الرقمية'!N6</f>
        <v/>
      </c>
      <c r="F50" s="20">
        <f>'التقنية الرقمية'!O6</f>
        <v/>
      </c>
      <c r="G50" s="24">
        <f>'التقنية الرقمية'!G6</f>
        <v/>
      </c>
    </row>
    <row r="51" ht="22" customHeight="1">
      <c r="A51" s="20" t="n">
        <v>4</v>
      </c>
      <c r="B51" s="21">
        <f>'التقنية الرقمية'!C7</f>
        <v/>
      </c>
      <c r="C51" s="22">
        <f>'التقنية الرقمية'!I7</f>
        <v/>
      </c>
      <c r="D51" s="23">
        <f>'التقنية الرقمية'!M7</f>
        <v/>
      </c>
      <c r="E51" s="10">
        <f>'التقنية الرقمية'!N7</f>
        <v/>
      </c>
      <c r="F51" s="20">
        <f>'التقنية الرقمية'!O7</f>
        <v/>
      </c>
      <c r="G51" s="24">
        <f>'التقنية الرقمية'!G7</f>
        <v/>
      </c>
    </row>
    <row r="52" ht="22" customHeight="1">
      <c r="A52" s="20" t="n">
        <v>5</v>
      </c>
      <c r="B52" s="21">
        <f>'التقنية الرقمية'!C9</f>
        <v/>
      </c>
      <c r="C52" s="22">
        <f>'التقنية الرقمية'!I9</f>
        <v/>
      </c>
      <c r="D52" s="23">
        <f>'التقنية الرقمية'!M9</f>
        <v/>
      </c>
      <c r="E52" s="10">
        <f>'التقنية الرقمية'!N9</f>
        <v/>
      </c>
      <c r="F52" s="20">
        <f>'التقنية الرقمية'!O9</f>
        <v/>
      </c>
      <c r="G52" s="24">
        <f>'التقنية الرقمية'!G9</f>
        <v/>
      </c>
    </row>
    <row r="53" ht="22" customHeight="1">
      <c r="A53" s="19" t="inlineStr">
        <is>
          <t>▾ الموارد البشرية · وزن الإدارة 4%</t>
        </is>
      </c>
    </row>
    <row r="54" ht="22" customHeight="1">
      <c r="A54" s="20" t="n">
        <v>1</v>
      </c>
      <c r="B54" s="21">
        <f>'الموارد البشرية'!C4</f>
        <v/>
      </c>
      <c r="C54" s="22">
        <f>'الموارد البشرية'!I4</f>
        <v/>
      </c>
      <c r="D54" s="23">
        <f>'الموارد البشرية'!M4</f>
        <v/>
      </c>
      <c r="E54" s="10">
        <f>'الموارد البشرية'!N4</f>
        <v/>
      </c>
      <c r="F54" s="20">
        <f>'الموارد البشرية'!O4</f>
        <v/>
      </c>
      <c r="G54" s="24">
        <f>'الموارد البشرية'!G4</f>
        <v/>
      </c>
    </row>
    <row r="55" ht="22" customHeight="1">
      <c r="A55" s="20" t="n">
        <v>2</v>
      </c>
      <c r="B55" s="21">
        <f>'الموارد البشرية'!C5</f>
        <v/>
      </c>
      <c r="C55" s="22">
        <f>'الموارد البشرية'!I5</f>
        <v/>
      </c>
      <c r="D55" s="23">
        <f>'الموارد البشرية'!M5</f>
        <v/>
      </c>
      <c r="E55" s="10">
        <f>'الموارد البشرية'!N5</f>
        <v/>
      </c>
      <c r="F55" s="20">
        <f>'الموارد البشرية'!O5</f>
        <v/>
      </c>
      <c r="G55" s="24">
        <f>'الموارد البشرية'!G5</f>
        <v/>
      </c>
    </row>
    <row r="56" ht="22" customHeight="1">
      <c r="A56" s="20" t="n">
        <v>3</v>
      </c>
      <c r="B56" s="21">
        <f>'الموارد البشرية'!C8</f>
        <v/>
      </c>
      <c r="C56" s="22">
        <f>'الموارد البشرية'!I8</f>
        <v/>
      </c>
      <c r="D56" s="23">
        <f>'الموارد البشرية'!M8</f>
        <v/>
      </c>
      <c r="E56" s="10">
        <f>'الموارد البشرية'!N8</f>
        <v/>
      </c>
      <c r="F56" s="20">
        <f>'الموارد البشرية'!O8</f>
        <v/>
      </c>
      <c r="G56" s="24">
        <f>'الموارد البشرية'!G8</f>
        <v/>
      </c>
    </row>
    <row r="57" ht="22" customHeight="1">
      <c r="A57" s="20" t="n">
        <v>4</v>
      </c>
      <c r="B57" s="21">
        <f>'الموارد البشرية'!C6</f>
        <v/>
      </c>
      <c r="C57" s="22">
        <f>'الموارد البشرية'!I6</f>
        <v/>
      </c>
      <c r="D57" s="23">
        <f>'الموارد البشرية'!M6</f>
        <v/>
      </c>
      <c r="E57" s="10">
        <f>'الموارد البشرية'!N6</f>
        <v/>
      </c>
      <c r="F57" s="20">
        <f>'الموارد البشرية'!O6</f>
        <v/>
      </c>
      <c r="G57" s="24">
        <f>'الموارد البشرية'!G6</f>
        <v/>
      </c>
    </row>
    <row r="58" ht="22" customHeight="1">
      <c r="A58" s="20" t="n">
        <v>5</v>
      </c>
      <c r="B58" s="21">
        <f>'الموارد البشرية'!C7</f>
        <v/>
      </c>
      <c r="C58" s="22">
        <f>'الموارد البشرية'!I7</f>
        <v/>
      </c>
      <c r="D58" s="23">
        <f>'الموارد البشرية'!M7</f>
        <v/>
      </c>
      <c r="E58" s="10">
        <f>'الموارد البشرية'!N7</f>
        <v/>
      </c>
      <c r="F58" s="20">
        <f>'الموارد البشرية'!O7</f>
        <v/>
      </c>
      <c r="G58" s="24">
        <f>'الموارد البشرية'!G7</f>
        <v/>
      </c>
    </row>
    <row r="59" ht="22" customHeight="1">
      <c r="A59" s="19" t="inlineStr">
        <is>
          <t>▾ التسويق · وزن الإدارة 5%</t>
        </is>
      </c>
    </row>
    <row r="60" ht="22" customHeight="1">
      <c r="A60" s="20" t="n">
        <v>1</v>
      </c>
      <c r="B60" s="21">
        <f>'التسويق'!C4</f>
        <v/>
      </c>
      <c r="C60" s="22">
        <f>'التسويق'!I4</f>
        <v/>
      </c>
      <c r="D60" s="23">
        <f>'التسويق'!M4</f>
        <v/>
      </c>
      <c r="E60" s="10">
        <f>'التسويق'!N4</f>
        <v/>
      </c>
      <c r="F60" s="20">
        <f>'التسويق'!O4</f>
        <v/>
      </c>
      <c r="G60" s="24">
        <f>'التسويق'!G4</f>
        <v/>
      </c>
    </row>
    <row r="61" ht="22" customHeight="1">
      <c r="A61" s="20" t="n">
        <v>2</v>
      </c>
      <c r="B61" s="21">
        <f>'التسويق'!C6</f>
        <v/>
      </c>
      <c r="C61" s="22">
        <f>'التسويق'!I6</f>
        <v/>
      </c>
      <c r="D61" s="23">
        <f>'التسويق'!M6</f>
        <v/>
      </c>
      <c r="E61" s="10">
        <f>'التسويق'!N6</f>
        <v/>
      </c>
      <c r="F61" s="20">
        <f>'التسويق'!O6</f>
        <v/>
      </c>
      <c r="G61" s="24">
        <f>'التسويق'!G6</f>
        <v/>
      </c>
    </row>
    <row r="62" ht="22" customHeight="1">
      <c r="A62" s="20" t="n">
        <v>3</v>
      </c>
      <c r="B62" s="21">
        <f>'التسويق'!C7</f>
        <v/>
      </c>
      <c r="C62" s="22">
        <f>'التسويق'!I7</f>
        <v/>
      </c>
      <c r="D62" s="23">
        <f>'التسويق'!M7</f>
        <v/>
      </c>
      <c r="E62" s="10">
        <f>'التسويق'!N7</f>
        <v/>
      </c>
      <c r="F62" s="20">
        <f>'التسويق'!O7</f>
        <v/>
      </c>
      <c r="G62" s="24">
        <f>'التسويق'!G7</f>
        <v/>
      </c>
    </row>
    <row r="63" ht="22" customHeight="1">
      <c r="A63" s="20" t="n">
        <v>4</v>
      </c>
      <c r="B63" s="21">
        <f>'التسويق'!C9</f>
        <v/>
      </c>
      <c r="C63" s="22">
        <f>'التسويق'!I9</f>
        <v/>
      </c>
      <c r="D63" s="23">
        <f>'التسويق'!M9</f>
        <v/>
      </c>
      <c r="E63" s="10">
        <f>'التسويق'!N9</f>
        <v/>
      </c>
      <c r="F63" s="20">
        <f>'التسويق'!O9</f>
        <v/>
      </c>
      <c r="G63" s="24">
        <f>'التسويق'!G9</f>
        <v/>
      </c>
    </row>
    <row r="64" ht="22" customHeight="1">
      <c r="A64" s="20" t="n">
        <v>5</v>
      </c>
      <c r="B64" s="21">
        <f>'التسويق'!C10</f>
        <v/>
      </c>
      <c r="C64" s="22">
        <f>'التسويق'!I10</f>
        <v/>
      </c>
      <c r="D64" s="23">
        <f>'التسويق'!M10</f>
        <v/>
      </c>
      <c r="E64" s="10">
        <f>'التسويق'!N10</f>
        <v/>
      </c>
      <c r="F64" s="20">
        <f>'التسويق'!O10</f>
        <v/>
      </c>
      <c r="G64" s="24">
        <f>'التسويق'!G10</f>
        <v/>
      </c>
    </row>
    <row r="65" ht="22" customHeight="1">
      <c r="A65" s="19" t="inlineStr">
        <is>
          <t>▾ الجودة · وزن الإدارة 5%</t>
        </is>
      </c>
    </row>
    <row r="66" ht="22" customHeight="1">
      <c r="A66" s="20" t="n">
        <v>1</v>
      </c>
      <c r="B66" s="21">
        <f>'الجودة'!C4</f>
        <v/>
      </c>
      <c r="C66" s="22">
        <f>'الجودة'!I4</f>
        <v/>
      </c>
      <c r="D66" s="23">
        <f>'الجودة'!M4</f>
        <v/>
      </c>
      <c r="E66" s="10">
        <f>'الجودة'!N4</f>
        <v/>
      </c>
      <c r="F66" s="20">
        <f>'الجودة'!O4</f>
        <v/>
      </c>
      <c r="G66" s="24">
        <f>'الجودة'!G4</f>
        <v/>
      </c>
    </row>
    <row r="67" ht="22" customHeight="1">
      <c r="A67" s="20" t="n">
        <v>2</v>
      </c>
      <c r="B67" s="21">
        <f>'الجودة'!C10</f>
        <v/>
      </c>
      <c r="C67" s="22">
        <f>'الجودة'!I10</f>
        <v/>
      </c>
      <c r="D67" s="23">
        <f>'الجودة'!M10</f>
        <v/>
      </c>
      <c r="E67" s="10">
        <f>'الجودة'!N10</f>
        <v/>
      </c>
      <c r="F67" s="20">
        <f>'الجودة'!O10</f>
        <v/>
      </c>
      <c r="G67" s="24">
        <f>'الجودة'!G10</f>
        <v/>
      </c>
    </row>
    <row r="68" ht="22" customHeight="1">
      <c r="A68" s="20" t="n">
        <v>3</v>
      </c>
      <c r="B68" s="21">
        <f>'الجودة'!C5</f>
        <v/>
      </c>
      <c r="C68" s="22">
        <f>'الجودة'!I5</f>
        <v/>
      </c>
      <c r="D68" s="23">
        <f>'الجودة'!M5</f>
        <v/>
      </c>
      <c r="E68" s="10">
        <f>'الجودة'!N5</f>
        <v/>
      </c>
      <c r="F68" s="20">
        <f>'الجودة'!O5</f>
        <v/>
      </c>
      <c r="G68" s="24">
        <f>'الجودة'!G5</f>
        <v/>
      </c>
    </row>
    <row r="69" ht="22" customHeight="1">
      <c r="A69" s="20" t="n">
        <v>4</v>
      </c>
      <c r="B69" s="21">
        <f>'الجودة'!C6</f>
        <v/>
      </c>
      <c r="C69" s="22">
        <f>'الجودة'!I6</f>
        <v/>
      </c>
      <c r="D69" s="23">
        <f>'الجودة'!M6</f>
        <v/>
      </c>
      <c r="E69" s="10">
        <f>'الجودة'!N6</f>
        <v/>
      </c>
      <c r="F69" s="20">
        <f>'الجودة'!O6</f>
        <v/>
      </c>
      <c r="G69" s="24">
        <f>'الجودة'!G6</f>
        <v/>
      </c>
    </row>
    <row r="70" ht="22" customHeight="1">
      <c r="A70" s="20" t="n">
        <v>5</v>
      </c>
      <c r="B70" s="21">
        <f>'الجودة'!C7</f>
        <v/>
      </c>
      <c r="C70" s="22">
        <f>'الجودة'!I7</f>
        <v/>
      </c>
      <c r="D70" s="23">
        <f>'الجودة'!M7</f>
        <v/>
      </c>
      <c r="E70" s="10">
        <f>'الجودة'!N7</f>
        <v/>
      </c>
      <c r="F70" s="20">
        <f>'الجودة'!O7</f>
        <v/>
      </c>
      <c r="G70" s="24">
        <f>'الجودة'!G7</f>
        <v/>
      </c>
    </row>
    <row r="71" ht="22" customHeight="1">
      <c r="A71" s="19" t="inlineStr">
        <is>
          <t>▾ الإدارة القانونية · وزن الإدارة 3%</t>
        </is>
      </c>
    </row>
    <row r="72" ht="22" customHeight="1">
      <c r="A72" s="20" t="n">
        <v>1</v>
      </c>
      <c r="B72" s="21">
        <f>'الإدارة القانونية'!C4</f>
        <v/>
      </c>
      <c r="C72" s="22">
        <f>'الإدارة القانونية'!I4</f>
        <v/>
      </c>
      <c r="D72" s="23">
        <f>'الإدارة القانونية'!M4</f>
        <v/>
      </c>
      <c r="E72" s="10">
        <f>'الإدارة القانونية'!N4</f>
        <v/>
      </c>
      <c r="F72" s="20">
        <f>'الإدارة القانونية'!O4</f>
        <v/>
      </c>
      <c r="G72" s="24">
        <f>'الإدارة القانونية'!G4</f>
        <v/>
      </c>
    </row>
    <row r="73" ht="22" customHeight="1">
      <c r="A73" s="20" t="n">
        <v>2</v>
      </c>
      <c r="B73" s="21">
        <f>'الإدارة القانونية'!C5</f>
        <v/>
      </c>
      <c r="C73" s="22">
        <f>'الإدارة القانونية'!I5</f>
        <v/>
      </c>
      <c r="D73" s="23">
        <f>'الإدارة القانونية'!M5</f>
        <v/>
      </c>
      <c r="E73" s="10">
        <f>'الإدارة القانونية'!N5</f>
        <v/>
      </c>
      <c r="F73" s="20">
        <f>'الإدارة القانونية'!O5</f>
        <v/>
      </c>
      <c r="G73" s="24">
        <f>'الإدارة القانونية'!G5</f>
        <v/>
      </c>
    </row>
    <row r="74" ht="22" customHeight="1">
      <c r="A74" s="20" t="n">
        <v>3</v>
      </c>
      <c r="B74" s="21">
        <f>'الإدارة القانونية'!C6</f>
        <v/>
      </c>
      <c r="C74" s="22">
        <f>'الإدارة القانونية'!I6</f>
        <v/>
      </c>
      <c r="D74" s="23">
        <f>'الإدارة القانونية'!M6</f>
        <v/>
      </c>
      <c r="E74" s="10">
        <f>'الإدارة القانونية'!N6</f>
        <v/>
      </c>
      <c r="F74" s="20">
        <f>'الإدارة القانونية'!O6</f>
        <v/>
      </c>
      <c r="G74" s="24">
        <f>'الإدارة القانونية'!G6</f>
        <v/>
      </c>
    </row>
    <row r="75" ht="22" customHeight="1">
      <c r="A75" s="20" t="n">
        <v>4</v>
      </c>
      <c r="B75" s="21">
        <f>'الإدارة القانونية'!C11</f>
        <v/>
      </c>
      <c r="C75" s="22">
        <f>'الإدارة القانونية'!I11</f>
        <v/>
      </c>
      <c r="D75" s="23">
        <f>'الإدارة القانونية'!M11</f>
        <v/>
      </c>
      <c r="E75" s="10">
        <f>'الإدارة القانونية'!N11</f>
        <v/>
      </c>
      <c r="F75" s="20">
        <f>'الإدارة القانونية'!O11</f>
        <v/>
      </c>
      <c r="G75" s="24">
        <f>'الإدارة القانونية'!G11</f>
        <v/>
      </c>
    </row>
    <row r="76" ht="22" customHeight="1">
      <c r="A76" s="20" t="n">
        <v>5</v>
      </c>
      <c r="B76" s="21">
        <f>'الإدارة القانونية'!C7</f>
        <v/>
      </c>
      <c r="C76" s="22">
        <f>'الإدارة القانونية'!I7</f>
        <v/>
      </c>
      <c r="D76" s="23">
        <f>'الإدارة القانونية'!M7</f>
        <v/>
      </c>
      <c r="E76" s="10">
        <f>'الإدارة القانونية'!N7</f>
        <v/>
      </c>
      <c r="F76" s="20">
        <f>'الإدارة القانونية'!O7</f>
        <v/>
      </c>
      <c r="G76" s="24">
        <f>'الإدارة القانونية'!G7</f>
        <v/>
      </c>
    </row>
    <row r="77" ht="22" customHeight="1">
      <c r="A77" s="19" t="inlineStr">
        <is>
          <t>▾ الإدارة المالية · وزن الإدارة 8%</t>
        </is>
      </c>
    </row>
    <row r="78" ht="22" customHeight="1">
      <c r="A78" s="20" t="n">
        <v>1</v>
      </c>
      <c r="B78" s="21">
        <f>'الإدارة المالية'!C4</f>
        <v/>
      </c>
      <c r="C78" s="22">
        <f>'الإدارة المالية'!I4</f>
        <v/>
      </c>
      <c r="D78" s="23">
        <f>'الإدارة المالية'!M4</f>
        <v/>
      </c>
      <c r="E78" s="10">
        <f>'الإدارة المالية'!N4</f>
        <v/>
      </c>
      <c r="F78" s="20">
        <f>'الإدارة المالية'!O4</f>
        <v/>
      </c>
      <c r="G78" s="24">
        <f>'الإدارة المالية'!G4</f>
        <v/>
      </c>
    </row>
    <row r="79" ht="22" customHeight="1">
      <c r="A79" s="20" t="n">
        <v>2</v>
      </c>
      <c r="B79" s="21">
        <f>'الإدارة المالية'!C7</f>
        <v/>
      </c>
      <c r="C79" s="22">
        <f>'الإدارة المالية'!I7</f>
        <v/>
      </c>
      <c r="D79" s="23">
        <f>'الإدارة المالية'!M7</f>
        <v/>
      </c>
      <c r="E79" s="10">
        <f>'الإدارة المالية'!N7</f>
        <v/>
      </c>
      <c r="F79" s="20">
        <f>'الإدارة المالية'!O7</f>
        <v/>
      </c>
      <c r="G79" s="24">
        <f>'الإدارة المالية'!G7</f>
        <v/>
      </c>
    </row>
    <row r="80" ht="22" customHeight="1">
      <c r="A80" s="20" t="n">
        <v>3</v>
      </c>
      <c r="B80" s="21">
        <f>'الإدارة المالية'!C10</f>
        <v/>
      </c>
      <c r="C80" s="22">
        <f>'الإدارة المالية'!I10</f>
        <v/>
      </c>
      <c r="D80" s="23">
        <f>'الإدارة المالية'!M10</f>
        <v/>
      </c>
      <c r="E80" s="10">
        <f>'الإدارة المالية'!N10</f>
        <v/>
      </c>
      <c r="F80" s="20">
        <f>'الإدارة المالية'!O10</f>
        <v/>
      </c>
      <c r="G80" s="24">
        <f>'الإدارة المالية'!G10</f>
        <v/>
      </c>
    </row>
    <row r="81" ht="22" customHeight="1">
      <c r="A81" s="20" t="n">
        <v>4</v>
      </c>
      <c r="B81" s="21">
        <f>'الإدارة المالية'!C11</f>
        <v/>
      </c>
      <c r="C81" s="22">
        <f>'الإدارة المالية'!I11</f>
        <v/>
      </c>
      <c r="D81" s="23">
        <f>'الإدارة المالية'!M11</f>
        <v/>
      </c>
      <c r="E81" s="10">
        <f>'الإدارة المالية'!N11</f>
        <v/>
      </c>
      <c r="F81" s="20">
        <f>'الإدارة المالية'!O11</f>
        <v/>
      </c>
      <c r="G81" s="24">
        <f>'الإدارة المالية'!G11</f>
        <v/>
      </c>
    </row>
    <row r="82" ht="22" customHeight="1">
      <c r="A82" s="20" t="n">
        <v>5</v>
      </c>
      <c r="B82" s="21">
        <f>'الإدارة المالية'!C12</f>
        <v/>
      </c>
      <c r="C82" s="22">
        <f>'الإدارة المالية'!I12</f>
        <v/>
      </c>
      <c r="D82" s="23">
        <f>'الإدارة المالية'!M12</f>
        <v/>
      </c>
      <c r="E82" s="10">
        <f>'الإدارة المالية'!N12</f>
        <v/>
      </c>
      <c r="F82" s="20">
        <f>'الإدارة المالية'!O12</f>
        <v/>
      </c>
      <c r="G82" s="24">
        <f>'الإدارة المالية'!G12</f>
        <v/>
      </c>
    </row>
  </sheetData>
  <mergeCells count="15">
    <mergeCell ref="A1:G1"/>
    <mergeCell ref="A9:G9"/>
    <mergeCell ref="A31:G31"/>
    <mergeCell ref="A3:G3"/>
    <mergeCell ref="A53:G53"/>
    <mergeCell ref="A77:G77"/>
    <mergeCell ref="A35:G35"/>
    <mergeCell ref="A20:G20"/>
    <mergeCell ref="A26:G26"/>
    <mergeCell ref="A15:G15"/>
    <mergeCell ref="A59:G59"/>
    <mergeCell ref="A65:G65"/>
    <mergeCell ref="A41:G41"/>
    <mergeCell ref="A71:G71"/>
    <mergeCell ref="A47:G4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المؤشرات'!$E$2:$E$168,"التوسع في المواقع")</f>
        <v/>
      </c>
      <c r="E19" s="10">
        <f>IFERROR(AVERAGEIFS('قاعدة المؤشرات'!$G$2:$G$168,'قاعدة المؤشرات'!$E$2:$E$168,"التوسع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المؤشرات'!$E$2:$E$168,"الامتياز التجاري")</f>
        <v/>
      </c>
      <c r="E20" s="10">
        <f>IFERROR(AVERAGEIFS('قاعدة المؤشرات'!$G$2:$G$168,'قاعدة المؤشرات'!$E$2:$E$168,"الامتياز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المؤشرات'!$E$2:$E$168,"زيادة وصول العملاء")</f>
        <v/>
      </c>
      <c r="E21" s="10">
        <f>IFERROR(AVERAGEIFS('قاعدة المؤشرات'!$G$2:$G$168,'قاعدة المؤشرات'!$E$2:$E$168,"زيادة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المؤشرات'!$E$2:$E$168,"إطلاق مشاريع جديدة")</f>
        <v/>
      </c>
      <c r="E22" s="10">
        <f>IFERROR(AVERAGEIFS('قاعدة المؤشرات'!$G$2:$G$168,'قاعدة المؤشرات'!$E$2:$E$168,"إطلاق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المؤشرات'!$E$2:$E$168,"تطوير التصاميم والهوية")</f>
        <v/>
      </c>
      <c r="E23" s="10">
        <f>IFERROR(AVERAGEIFS('قاعدة المؤشرات'!$G$2:$G$168,'قاعدة المؤشرات'!$E$2:$E$168,"تطوير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المؤشرات'!$E$2:$E$168,"التحول التقني")</f>
        <v/>
      </c>
      <c r="E24" s="10">
        <f>IFERROR(AVERAGEIFS('قاعدة المؤشرات'!$G$2:$G$168,'قاعدة المؤشرات'!$E$2:$E$168,"التحول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المؤشرات'!$E$2:$E$168,"ساحات درب")</f>
        <v/>
      </c>
      <c r="E25" s="10">
        <f>IFERROR(AVERAGEIFS('قاعدة المؤشرات'!$G$2:$G$168,'قاعدة المؤشرات'!$E$2:$E$168,"ساحات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المؤشرات'!$E$2:$E$168,"تطبيق «تانكي»")</f>
        <v/>
      </c>
      <c r="E26" s="10">
        <f>IFERROR(AVERAGEIFS('قاعدة المؤشرات'!$G$2:$G$168,'قاعدة المؤشرات'!$E$2:$E$168,"تطبيق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المؤشرات'!$E$2:$E$168,"تعزيز تجربة العملاء")</f>
        <v/>
      </c>
      <c r="E27" s="10">
        <f>IFERROR(AVERAGEIFS('قاعدة المؤشرات'!$G$2:$G$168,'قاعدة المؤشرات'!$E$2:$E$168,"تعزيز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المؤشرات'!$E$2:$E$168,"جودة التشغيل")</f>
        <v/>
      </c>
      <c r="E28" s="10">
        <f>IFERROR(AVERAGEIFS('قاعدة المؤشرات'!$G$2:$G$168,'قاعدة المؤشرات'!$E$2:$E$168,"جودة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المؤشرات'!$E$2:$E$168,"منظومة التأجير")</f>
        <v/>
      </c>
      <c r="E29" s="10">
        <f>IFERROR(AVERAGEIFS('قاعدة المؤشرات'!$G$2:$G$168,'قاعدة المؤشرات'!$E$2:$E$168,"منظومة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المؤشرات'!$E$2:$E$168,"الاستثمار في الموظفين")</f>
        <v/>
      </c>
      <c r="E30" s="10">
        <f>IFERROR(AVERAGEIFS('قاعدة المؤشرات'!$G$2:$G$168,'قاعدة المؤشرات'!$E$2:$E$168,"الاستثمار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المؤشرات'!$G$2:$G$168,'قاعدة المؤشرات'!$F$2:$F$168,"مالي"),"—")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المؤشرات'!$G$2:$G$168,'قاعدة المؤشرات'!$E$2:$E$168,"زيادة وصول العملاء"),"—")</f>
        <v/>
      </c>
      <c r="E10" s="40">
        <f>IFERROR(AVERAGEIFS('قاعدة المؤشرات'!$G$2:$G$168,'قاعدة المؤشرات'!$E$2:$E$168,"تعزيز تجربة العملاء"),"—")</f>
        <v/>
      </c>
      <c r="H10" s="40">
        <f>IFERROR(AVERAGEIFS('قاعدة المؤشرات'!$G$2:$G$168,'قاعدة المؤشرات'!$E$2:$E$168,"تطبيق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المؤشرات'!$G$2:$G$168,'قاعدة المؤشرات'!$E$2:$E$168,"التوسع في المواقع"),"—")</f>
        <v/>
      </c>
      <c r="D14" s="42">
        <f>IFERROR(AVERAGEIFS('قاعدة المؤشرات'!$G$2:$G$168,'قاعدة المؤشرات'!$E$2:$E$168,"الامتياز التجاري"),"—")</f>
        <v/>
      </c>
      <c r="F14" s="42">
        <f>IFERROR(AVERAGEIFS('قاعدة المؤشرات'!$G$2:$G$168,'قاعدة المؤشرات'!$E$2:$E$168,"منظومة التأجير"),"—")</f>
        <v/>
      </c>
      <c r="H14" s="42">
        <f>IFERROR(AVERAGEIFS('قاعدة المؤشرات'!$G$2:$G$168,'قاعدة المؤشرات'!$E$2:$E$168,"ساحات درب"),"—")</f>
        <v/>
      </c>
      <c r="J14" s="42">
        <f>IFERROR(AVERAGEIFS('قاعدة المؤشرات'!$G$2:$G$168,'قاعدة المؤشرات'!$E$2:$E$168,"جودة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المؤشرات'!$G$2:$G$168,'قاعدة المؤشرات'!$E$2:$E$168,"الاستثمار في الموظفين"),"—")</f>
        <v/>
      </c>
      <c r="D18" s="44">
        <f>IFERROR(AVERAGEIFS('قاعدة المؤشرات'!$G$2:$G$168,'قاعدة المؤشرات'!$E$2:$E$168,"التحول التقني"),"—")</f>
        <v/>
      </c>
      <c r="F18" s="44">
        <f>IFERROR(AVERAGEIFS('قاعدة المؤشرات'!$G$2:$G$168,'قاعدة المؤشرات'!$E$2:$E$168,"إطلاق مشاريع جديدة"),"—")</f>
        <v/>
      </c>
      <c r="H18" s="44">
        <f>IFERROR(AVERAGEIFS('قاعدة المؤشرات'!$G$2:$G$168,'قاعدة المؤشرات'!$E$2:$E$168,"تطوير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المؤشرات'!$H$2:$H$168,"✅ محقق",'قاعدة المؤشرات'!$B$2:$B$168,"&lt;&gt;الإدارة التنفيذية")</f>
        <v/>
      </c>
      <c r="D5" s="5">
        <f>COUNTIFS('قاعدة المؤشرات'!$H$2:$H$168,"🟡 قريب",'قاعدة المؤشرات'!$B$2:$B$168,"&lt;&gt;الإدارة التنفيذية")</f>
        <v/>
      </c>
      <c r="E5" s="5">
        <f>COUNTIFS('قاعدة المؤشرات'!$H$2:$H$168,"🔴 تحت الهدف",'قاعدة المؤشرات'!$B$2:$B$168,"&lt;&gt;الإدارة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المؤشرات'!$B$2:$B$168,"الإدارة التنفيذية",'قاعدة المؤشرات'!$J$2:$J$168)/SUMIF('قاعدة المؤشرات'!$B$2:$B$168,"الإدارة التنفيذية",'قاعدة المؤشرات'!$K$2:$K$168),"—")</f>
        <v/>
      </c>
      <c r="D9" s="9" t="inlineStr">
        <is>
          <t>النمو</t>
        </is>
      </c>
      <c r="E9" s="10">
        <f>IFERROR(AVERAGEIFS('قاعدة المؤشرات'!$G$2:$G$168,'قاعدة المؤشرات'!$D$2:$D$168,"النمو"),"—")</f>
        <v/>
      </c>
      <c r="H9" s="15">
        <f>IFERROR(SUMIF('قاعدة المؤشرات'!$B$2:$B$168,"الإدارة التنفيذية",'قاعدة المؤشرات'!$J$2:$J$168)/SUMIF('قاعدة المؤشرات'!$B$2:$B$168,"الإدارة التنفيذية",'قاعدة المؤشرات'!$K$2:$K$168),0)</f>
        <v/>
      </c>
      <c r="I9" s="15" t="n">
        <v>0</v>
      </c>
      <c r="J9" s="15">
        <f>IF(SUMIF('قاعدة المؤشرات'!$B$2:$B$168,"الإدارة التنفيذية",'قاعدة المؤشرات'!$K$2:$K$168)=0,0,1)</f>
        <v/>
      </c>
    </row>
    <row r="10">
      <c r="B10" s="9" t="inlineStr">
        <is>
          <t>الامتياز التجاري</t>
        </is>
      </c>
      <c r="C10" s="10">
        <f>IFERROR(SUMIF('قاعدة المؤشرات'!$B$2:$B$168,"الامتياز التجاري",'قاعدة المؤشرات'!$J$2:$J$168)/SUMIF('قاعدة المؤشرات'!$B$2:$B$168,"الامتياز التجاري",'قاعدة المؤشرات'!$K$2:$K$168),"—")</f>
        <v/>
      </c>
      <c r="D10" s="9" t="inlineStr">
        <is>
          <t>الابتكار</t>
        </is>
      </c>
      <c r="E10" s="10">
        <f>IFERROR(AVERAGEIFS('قاعدة المؤشرات'!$G$2:$G$168,'قاعدة المؤشرات'!$D$2:$D$168,"الابتكار"),"—")</f>
        <v/>
      </c>
      <c r="H10" s="15">
        <f>IFERROR(SUMIF('قاعدة المؤشرات'!$B$2:$B$168,"الامتياز التجاري",'قاعدة المؤشرات'!$J$2:$J$168)/SUMIF('قاعدة المؤشرات'!$B$2:$B$168,"الامتياز التجاري",'قاعدة المؤشرات'!$K$2:$K$168),0)</f>
        <v/>
      </c>
      <c r="I10" s="15" t="n">
        <v>0.14</v>
      </c>
      <c r="J10" s="15">
        <f>IF(SUMIF('قاعدة المؤشرات'!$B$2:$B$168,"الامتياز التجاري",'قاعدة المؤشرات'!$K$2:$K$168)=0,0,1)</f>
        <v/>
      </c>
    </row>
    <row r="11">
      <c r="B11" s="9" t="inlineStr">
        <is>
          <t>التشغيل والمحطات</t>
        </is>
      </c>
      <c r="C11" s="10">
        <f>IFERROR(SUMIF('قاعدة المؤشرات'!$B$2:$B$168,"التشغيل والمحطات",'قاعدة المؤشرات'!$J$2:$J$168)/SUMIF('قاعدة المؤشرات'!$B$2:$B$168,"التشغيل والمحطات",'قاعدة المؤشرات'!$K$2:$K$168),"—")</f>
        <v/>
      </c>
      <c r="D11" s="9" t="inlineStr">
        <is>
          <t>الاستدامة</t>
        </is>
      </c>
      <c r="E11" s="10">
        <f>IFERROR(AVERAGEIFS('قاعدة المؤشرات'!$G$2:$G$168,'قاعدة المؤشرات'!$D$2:$D$168,"الاستدامة"),"—")</f>
        <v/>
      </c>
      <c r="H11" s="15">
        <f>IFERROR(SUMIF('قاعدة المؤشرات'!$B$2:$B$168,"التشغيل والمحطات",'قاعدة المؤشرات'!$J$2:$J$168)/SUMIF('قاعدة المؤشرات'!$B$2:$B$168,"التشغيل والمحطات",'قاعدة المؤشرات'!$K$2:$K$168),0)</f>
        <v/>
      </c>
      <c r="I11" s="15" t="n">
        <v>0.12</v>
      </c>
      <c r="J11" s="15">
        <f>IF(SUMIF('قاعدة المؤشرات'!$B$2:$B$168,"التشغيل والمحطات",'قاعدة المؤشرات'!$K$2:$K$168)=0,0,1)</f>
        <v/>
      </c>
    </row>
    <row r="12">
      <c r="B12" s="9" t="inlineStr">
        <is>
          <t>الاستثمار</t>
        </is>
      </c>
      <c r="C12" s="10">
        <f>IFERROR(SUMIF('قاعدة المؤشرات'!$B$2:$B$168,"الاستثمار",'قاعدة المؤشرات'!$J$2:$J$168)/SUMIF('قاعدة المؤشرات'!$B$2:$B$168,"الاستثمار",'قاعدة المؤشرات'!$K$2:$K$168),"—")</f>
        <v/>
      </c>
      <c r="H12" s="15">
        <f>IFERROR(SUMIF('قاعدة المؤشرات'!$B$2:$B$168,"الاستثمار",'قاعدة المؤشرات'!$J$2:$J$168)/SUMIF('قاعدة المؤشرات'!$B$2:$B$168,"الاستثمار",'قاعدة المؤشرات'!$K$2:$K$168),0)</f>
        <v/>
      </c>
      <c r="I12" s="15" t="n">
        <v>0.11</v>
      </c>
      <c r="J12" s="15">
        <f>IF(SUMIF('قاعدة المؤشرات'!$B$2:$B$168,"الاستثمار",'قاعدة المؤشرات'!$K$2:$K$168)=0,0,1)</f>
        <v/>
      </c>
    </row>
    <row r="13">
      <c r="B13" s="9" t="inlineStr">
        <is>
          <t>العقار</t>
        </is>
      </c>
      <c r="C13" s="10">
        <f>IFERROR(SUMIF('قاعدة المؤشرات'!$B$2:$B$168,"العقار",'قاعدة المؤشرات'!$J$2:$J$168)/SUMIF('قاعدة المؤشرات'!$B$2:$B$168,"العقار",'قاعدة المؤشرات'!$K$2:$K$168),"—")</f>
        <v/>
      </c>
      <c r="D13" s="46" t="inlineStr">
        <is>
          <t>حسب منظور BSC</t>
        </is>
      </c>
      <c r="E13" s="7" t="n"/>
      <c r="H13" s="15">
        <f>IFERROR(SUMIF('قاعدة المؤشرات'!$B$2:$B$168,"العقار",'قاعدة المؤشرات'!$J$2:$J$168)/SUMIF('قاعدة المؤشرات'!$B$2:$B$168,"العقار",'قاعدة المؤشرات'!$K$2:$K$168),0)</f>
        <v/>
      </c>
      <c r="I13" s="15" t="n">
        <v>0.09</v>
      </c>
      <c r="J13" s="15">
        <f>IF(SUMIF('قاعدة المؤشرات'!$B$2:$B$168,"العقار",'قاعدة المؤشرات'!$K$2:$K$168)=0,0,1)</f>
        <v/>
      </c>
    </row>
    <row r="14">
      <c r="B14" s="9" t="inlineStr">
        <is>
          <t>إدارة المشاريع</t>
        </is>
      </c>
      <c r="C14" s="10">
        <f>IFERROR(SUMIF('قاعدة المؤشرات'!$B$2:$B$168,"إدارة المشاريع",'قاعدة المؤشرات'!$J$2:$J$168)/SUMIF('قاعدة المؤشرات'!$B$2:$B$168,"إدارة المشاريع",'قاعدة المؤشرات'!$K$2:$K$168),"—")</f>
        <v/>
      </c>
      <c r="D14" s="9" t="inlineStr">
        <is>
          <t>مالي</t>
        </is>
      </c>
      <c r="E14" s="10">
        <f>IFERROR(AVERAGEIFS('قاعدة المؤشرات'!$G$2:$G$168,'قاعدة المؤشرات'!$F$2:$F$168,"مالي"),"—")</f>
        <v/>
      </c>
      <c r="H14" s="15">
        <f>IFERROR(SUMIF('قاعدة المؤشرات'!$B$2:$B$168,"إدارة المشاريع",'قاعدة المؤشرات'!$J$2:$J$168)/SUMIF('قاعدة المؤشرات'!$B$2:$B$168,"إدارة المشاريع",'قاعدة المؤشرات'!$K$2:$K$168),0)</f>
        <v/>
      </c>
      <c r="I14" s="15" t="n">
        <v>0.08</v>
      </c>
      <c r="J14" s="15">
        <f>IF(SUMIF('قاعدة المؤشرات'!$B$2:$B$168,"إدارة المشاريع",'قاعدة المؤشرات'!$K$2:$K$168)=0,0,1)</f>
        <v/>
      </c>
    </row>
    <row r="15">
      <c r="B15" s="9" t="inlineStr">
        <is>
          <t>سلاسل الإمداد</t>
        </is>
      </c>
      <c r="C15" s="10">
        <f>IFERROR(SUMIF('قاعدة المؤشرات'!$B$2:$B$168,"سلاسل الإمداد",'قاعدة المؤشرات'!$J$2:$J$168)/SUMIF('قاعدة المؤشرات'!$B$2:$B$168,"سلاسل الإمداد",'قاعدة المؤشرات'!$K$2:$K$168),"—")</f>
        <v/>
      </c>
      <c r="D15" s="9" t="inlineStr">
        <is>
          <t>العملاء</t>
        </is>
      </c>
      <c r="E15" s="10">
        <f>IFERROR(AVERAGEIFS('قاعدة المؤشرات'!$G$2:$G$168,'قاعدة المؤشرات'!$F$2:$F$168,"العملاء"),"—")</f>
        <v/>
      </c>
      <c r="H15" s="15">
        <f>IFERROR(SUMIF('قاعدة المؤشرات'!$B$2:$B$168,"سلاسل الإمداد",'قاعدة المؤشرات'!$J$2:$J$168)/SUMIF('قاعدة المؤشرات'!$B$2:$B$168,"سلاسل الإمداد",'قاعدة المؤشرات'!$K$2:$K$168),0)</f>
        <v/>
      </c>
      <c r="I15" s="15" t="n">
        <v>0.1</v>
      </c>
      <c r="J15" s="15">
        <f>IF(SUMIF('قاعدة المؤشرات'!$B$2:$B$168,"سلاسل الإمداد",'قاعدة المؤشرات'!$K$2:$K$168)=0,0,1)</f>
        <v/>
      </c>
    </row>
    <row r="16">
      <c r="B16" s="9" t="inlineStr">
        <is>
          <t>الصيانة والأتمتة</t>
        </is>
      </c>
      <c r="C16" s="10">
        <f>IFERROR(SUMIF('قاعدة المؤشرات'!$B$2:$B$168,"الصيانة والأتمتة",'قاعدة المؤشرات'!$J$2:$J$168)/SUMIF('قاعدة المؤشرات'!$B$2:$B$168,"الصيانة والأتمتة",'قاعدة المؤشرات'!$K$2:$K$168),"—")</f>
        <v/>
      </c>
      <c r="D16" s="9" t="inlineStr">
        <is>
          <t>العمليات الداخلية</t>
        </is>
      </c>
      <c r="E16" s="10">
        <f>IFERROR(AVERAGEIFS('قاعدة المؤشرات'!$G$2:$G$168,'قاعدة المؤشرات'!$F$2:$F$168,"العمليات الداخلية"),"—")</f>
        <v/>
      </c>
      <c r="H16" s="15">
        <f>IFERROR(SUMIF('قاعدة المؤشرات'!$B$2:$B$168,"الصيانة والأتمتة",'قاعدة المؤشرات'!$J$2:$J$168)/SUMIF('قاعدة المؤشرات'!$B$2:$B$168,"الصيانة والأتمتة",'قاعدة المؤشرات'!$K$2:$K$168),0)</f>
        <v/>
      </c>
      <c r="I16" s="15" t="n">
        <v>0.07000000000000001</v>
      </c>
      <c r="J16" s="15">
        <f>IF(SUMIF('قاعدة المؤشرات'!$B$2:$B$168,"الصيانة والأتمتة",'قاعدة المؤشرات'!$K$2:$K$168)=0,0,1)</f>
        <v/>
      </c>
    </row>
    <row r="17">
      <c r="B17" s="9" t="inlineStr">
        <is>
          <t>التقنية الرقمية</t>
        </is>
      </c>
      <c r="C17" s="10">
        <f>IFERROR(SUMIF('قاعدة المؤشرات'!$B$2:$B$168,"التقنية الرقمية",'قاعدة المؤشرات'!$J$2:$J$168)/SUMIF('قاعدة المؤشرات'!$B$2:$B$168,"التقنية الرقمية",'قاعدة المؤشرات'!$K$2:$K$168),"—")</f>
        <v/>
      </c>
      <c r="D17" s="9" t="inlineStr">
        <is>
          <t>التعلّم والنمو</t>
        </is>
      </c>
      <c r="E17" s="10">
        <f>IFERROR(AVERAGEIFS('قاعدة المؤشرات'!$G$2:$G$168,'قاعدة المؤشرات'!$F$2:$F$168,"التعلّم والنمو"),"—")</f>
        <v/>
      </c>
      <c r="H17" s="15">
        <f>IFERROR(SUMIF('قاعدة المؤشرات'!$B$2:$B$168,"التقنية الرقمية",'قاعدة المؤشرات'!$J$2:$J$168)/SUMIF('قاعدة المؤشرات'!$B$2:$B$168,"التقنية الرقمية",'قاعدة المؤشرات'!$K$2:$K$168),0)</f>
        <v/>
      </c>
      <c r="I17" s="15" t="n">
        <v>0.04</v>
      </c>
      <c r="J17" s="15">
        <f>IF(SUMIF('قاعدة المؤشرات'!$B$2:$B$168,"التقنية الرقمية",'قاعدة المؤشرات'!$K$2:$K$168)=0,0,1)</f>
        <v/>
      </c>
    </row>
    <row r="18">
      <c r="B18" s="9" t="inlineStr">
        <is>
          <t>الموارد البشرية</t>
        </is>
      </c>
      <c r="C18" s="10">
        <f>IFERROR(SUMIF('قاعدة المؤشرات'!$B$2:$B$168,"الموارد البشرية",'قاعدة المؤشرات'!$J$2:$J$168)/SUMIF('قاعدة المؤشرات'!$B$2:$B$168,"الموارد البشرية",'قاعدة المؤشرات'!$K$2:$K$168),"—")</f>
        <v/>
      </c>
      <c r="H18" s="15">
        <f>IFERROR(SUMIF('قاعدة المؤشرات'!$B$2:$B$168,"الموارد البشرية",'قاعدة المؤشرات'!$J$2:$J$168)/SUMIF('قاعدة المؤشرات'!$B$2:$B$168,"الموارد البشرية",'قاعدة المؤشرات'!$K$2:$K$168),0)</f>
        <v/>
      </c>
      <c r="I18" s="15" t="n">
        <v>0.04</v>
      </c>
      <c r="J18" s="15">
        <f>IF(SUMIF('قاعدة المؤشرات'!$B$2:$B$168,"الموارد البشرية",'قاعدة المؤشرات'!$K$2:$K$168)=0,0,1)</f>
        <v/>
      </c>
    </row>
    <row r="19">
      <c r="B19" s="9" t="inlineStr">
        <is>
          <t>التسويق</t>
        </is>
      </c>
      <c r="C19" s="10">
        <f>IFERROR(SUMIF('قاعدة المؤشرات'!$B$2:$B$168,"التسويق",'قاعدة المؤشرات'!$J$2:$J$168)/SUMIF('قاعدة المؤشرات'!$B$2:$B$168,"التسويق",'قاعدة المؤشرات'!$K$2:$K$168),"—")</f>
        <v/>
      </c>
      <c r="H19" s="15">
        <f>IFERROR(SUMIF('قاعدة المؤشرات'!$B$2:$B$168,"التسويق",'قاعدة المؤشرات'!$J$2:$J$168)/SUMIF('قاعدة المؤشرات'!$B$2:$B$168,"التسويق",'قاعدة المؤشرات'!$K$2:$K$168),0)</f>
        <v/>
      </c>
      <c r="I19" s="15" t="n">
        <v>0.05</v>
      </c>
      <c r="J19" s="15">
        <f>IF(SUMIF('قاعدة المؤشرات'!$B$2:$B$168,"التسويق",'قاعدة المؤشرات'!$K$2:$K$168)=0,0,1)</f>
        <v/>
      </c>
    </row>
    <row r="20">
      <c r="B20" s="9" t="inlineStr">
        <is>
          <t>الجودة</t>
        </is>
      </c>
      <c r="C20" s="10">
        <f>IFERROR(SUMIF('قاعدة المؤشرات'!$B$2:$B$168,"الجودة",'قاعدة المؤشرات'!$J$2:$J$168)/SUMIF('قاعدة المؤشرات'!$B$2:$B$168,"الجودة",'قاعدة المؤشرات'!$K$2:$K$168),"—")</f>
        <v/>
      </c>
      <c r="H20" s="15">
        <f>IFERROR(SUMIF('قاعدة المؤشرات'!$B$2:$B$168,"الجودة",'قاعدة المؤشرات'!$J$2:$J$168)/SUMIF('قاعدة المؤشرات'!$B$2:$B$168,"الجودة",'قاعدة المؤشرات'!$K$2:$K$168),0)</f>
        <v/>
      </c>
      <c r="I20" s="15" t="n">
        <v>0.05</v>
      </c>
      <c r="J20" s="15">
        <f>IF(SUMIF('قاعدة المؤشرات'!$B$2:$B$168,"الجودة",'قاعدة المؤشرات'!$K$2:$K$168)=0,0,1)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المؤشرات'!$B$2:$B$168,"الإدارة القانونية",'قاعدة المؤشرات'!$J$2:$J$168)/SUMIF('قاعدة المؤشرات'!$B$2:$B$168,"الإدارة القانونية",'قاعدة المؤشرات'!$K$2:$K$168),"—")</f>
        <v/>
      </c>
      <c r="H21" s="15">
        <f>IFERROR(SUMIF('قاعدة المؤشرات'!$B$2:$B$168,"الإدارة القانونية",'قاعدة المؤشرات'!$J$2:$J$168)/SUMIF('قاعدة المؤشرات'!$B$2:$B$168,"الإدارة القانونية",'قاعدة المؤشرات'!$K$2:$K$168),0)</f>
        <v/>
      </c>
      <c r="I21" s="15" t="n">
        <v>0.03</v>
      </c>
      <c r="J21" s="15">
        <f>IF(SUMIF('قاعدة المؤشرات'!$B$2:$B$168,"الإدارة القانونية",'قاعدة المؤشرات'!$K$2:$K$168)=0,0,1)</f>
        <v/>
      </c>
    </row>
    <row r="22">
      <c r="B22" s="9" t="inlineStr">
        <is>
          <t>الإدارة المالية</t>
        </is>
      </c>
      <c r="C22" s="10">
        <f>IFERROR(SUMIF('قاعدة المؤشرات'!$B$2:$B$168,"الإدارة المالية",'قاعدة المؤشرات'!$J$2:$J$168)/SUMIF('قاعدة المؤشرات'!$B$2:$B$168,"الإدارة المالية",'قاعدة المؤشرات'!$K$2:$K$168),"—")</f>
        <v/>
      </c>
      <c r="H22" s="15">
        <f>IFERROR(SUMIF('قاعدة المؤشرات'!$B$2:$B$168,"الإدارة المالية",'قاعدة المؤشرات'!$J$2:$J$168)/SUMIF('قاعدة المؤشرات'!$B$2:$B$168,"الإدارة المالية",'قاعدة المؤشرات'!$K$2:$K$168),0)</f>
        <v/>
      </c>
      <c r="I22" s="15" t="n">
        <v>0.08</v>
      </c>
      <c r="J22" s="15">
        <f>IF(SUMIF('قاعدة المؤشرات'!$B$2:$B$168,"الإدارة المالية",'قاعدة المؤشرات'!$K$2:$K$168)=0,0,1)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49" t="n">
        <v>0.715</v>
      </c>
      <c r="E15" s="49" t="n">
        <v>0.99</v>
      </c>
      <c r="F15" s="50" t="n">
        <v>0.7222222222222222</v>
      </c>
      <c r="G15" s="12" t="n">
        <v>0.2777777777777778</v>
      </c>
      <c r="H15" s="49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1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49" t="n">
        <v>180.7</v>
      </c>
      <c r="E16" s="49" t="n">
        <v>250</v>
      </c>
      <c r="F16" s="50" t="n">
        <v>0.7228</v>
      </c>
      <c r="G16" s="12" t="n">
        <v>0.2772</v>
      </c>
      <c r="H16" s="49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1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49" t="n">
        <v>0.651</v>
      </c>
      <c r="E17" s="49" t="n">
        <v>0.9</v>
      </c>
      <c r="F17" s="50" t="n">
        <v>0.7233333333333334</v>
      </c>
      <c r="G17" s="12" t="n">
        <v>0.2766666666666666</v>
      </c>
      <c r="H17" s="49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1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49" t="n">
        <v>0.652</v>
      </c>
      <c r="E18" s="49" t="n">
        <v>0.9</v>
      </c>
      <c r="F18" s="50" t="n">
        <v>0.7244444444444444</v>
      </c>
      <c r="G18" s="12" t="n">
        <v>0.2755555555555556</v>
      </c>
      <c r="H18" s="49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1" t="n"/>
    </row>
    <row r="19">
      <c r="A19" s="15" t="n">
        <v>17</v>
      </c>
      <c r="B19" s="13" t="inlineStr">
        <is>
          <t>الصيانة والأتمتة</t>
        </is>
      </c>
      <c r="C19" s="21" t="inlineStr">
        <is>
          <t>كفاءة تكاليف الصيانة (الالتزام بالميزانية)</t>
        </is>
      </c>
      <c r="D19" s="49" t="n">
        <v>0.6919999999999999</v>
      </c>
      <c r="E19" s="49" t="n">
        <v>0.95</v>
      </c>
      <c r="F19" s="50" t="n">
        <v>0.728421052631579</v>
      </c>
      <c r="G19" s="12" t="n">
        <v>0.271578947368421</v>
      </c>
      <c r="H19" s="49" t="n">
        <v>0.6919999999999999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51" t="n"/>
    </row>
    <row r="20">
      <c r="A20" s="15" t="n">
        <v>18</v>
      </c>
      <c r="B20" s="13" t="inlineStr">
        <is>
          <t>الإدارة القانونية</t>
        </is>
      </c>
      <c r="C20" s="21" t="inlineStr">
        <is>
          <t>نسبة الاستشارات المُنجزة ضمن المدة المستهدفة (SLA)</t>
        </is>
      </c>
      <c r="D20" s="49" t="n">
        <v>0.659</v>
      </c>
      <c r="E20" s="49" t="n">
        <v>0.9</v>
      </c>
      <c r="F20" s="50" t="n">
        <v>0.7322222222222222</v>
      </c>
      <c r="G20" s="12" t="n">
        <v>0.2677777777777778</v>
      </c>
      <c r="H20" s="49" t="n">
        <v>0.659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القانوني</t>
        </is>
      </c>
      <c r="M20" s="51" t="n"/>
    </row>
    <row r="21">
      <c r="A21" s="15" t="n">
        <v>19</v>
      </c>
      <c r="B21" s="13" t="inlineStr">
        <is>
          <t>الموارد البشرية</t>
        </is>
      </c>
      <c r="C21" s="21" t="inlineStr">
        <is>
          <t>نسبة إغلاق تقييمات الأداء وخطط الإحلال للوظائف الحرجة</t>
        </is>
      </c>
      <c r="D21" s="49" t="n">
        <v>0.696</v>
      </c>
      <c r="E21" s="49" t="n">
        <v>0.95</v>
      </c>
      <c r="F21" s="50" t="n">
        <v>0.7326315789473684</v>
      </c>
      <c r="G21" s="12" t="n">
        <v>0.2673684210526316</v>
      </c>
      <c r="H21" s="49" t="n">
        <v>0.696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51" t="n"/>
    </row>
    <row r="22">
      <c r="A22" s="15" t="n">
        <v>20</v>
      </c>
      <c r="B22" s="13" t="inlineStr">
        <is>
          <t>الامتياز التجاري</t>
        </is>
      </c>
      <c r="C22" s="21" t="inlineStr">
        <is>
          <t>عدد محطات الامتياز المشغّلة (تراكمي)</t>
        </is>
      </c>
      <c r="D22" s="49" t="n">
        <v>110</v>
      </c>
      <c r="E22" s="49" t="n">
        <v>150</v>
      </c>
      <c r="F22" s="50" t="n">
        <v>0.7333333333333333</v>
      </c>
      <c r="G22" s="12" t="n">
        <v>0.2666666666666667</v>
      </c>
      <c r="H22" s="49" t="n">
        <v>110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51" t="n"/>
    </row>
    <row r="23">
      <c r="A23" s="15" t="n">
        <v>21</v>
      </c>
      <c r="B23" s="13" t="inlineStr">
        <is>
          <t>الإدارة المالية</t>
        </is>
      </c>
      <c r="C23" s="21" t="inlineStr">
        <is>
          <t>نسبة التحصيل العام (الشركة)</t>
        </is>
      </c>
      <c r="D23" s="49" t="n">
        <v>0.699</v>
      </c>
      <c r="E23" s="49" t="n">
        <v>0.95</v>
      </c>
      <c r="F23" s="50" t="n">
        <v>0.7357894736842105</v>
      </c>
      <c r="G23" s="12" t="n">
        <v>0.2642105263157895</v>
      </c>
      <c r="H23" s="49" t="n">
        <v>0.699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51" t="n"/>
    </row>
    <row r="24">
      <c r="A24" s="15" t="n">
        <v>22</v>
      </c>
      <c r="B24" s="13" t="inlineStr">
        <is>
          <t>الامتياز التجاري</t>
        </is>
      </c>
      <c r="C24" s="21" t="inlineStr">
        <is>
          <t>متوسط تقييم المحطات على خرائط قوقل</t>
        </is>
      </c>
      <c r="D24" s="49" t="n">
        <v>3.474</v>
      </c>
      <c r="E24" s="49" t="n">
        <v>4.7</v>
      </c>
      <c r="F24" s="50" t="n">
        <v>0.7391489361702128</v>
      </c>
      <c r="G24" s="12" t="n">
        <v>0.2608510638297872</v>
      </c>
      <c r="H24" s="49" t="n">
        <v>3.474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51" t="n"/>
    </row>
    <row r="25">
      <c r="A25" s="15" t="n">
        <v>23</v>
      </c>
      <c r="B25" s="13" t="inlineStr">
        <is>
          <t>الإدارة المالية</t>
        </is>
      </c>
      <c r="C25" s="21" t="inlineStr">
        <is>
          <t>العائد على حقوق الملكية (ROE)</t>
        </is>
      </c>
      <c r="D25" s="49" t="n">
        <v>0.074</v>
      </c>
      <c r="E25" s="49" t="n">
        <v>0.1</v>
      </c>
      <c r="F25" s="50" t="n">
        <v>0.7399999999999999</v>
      </c>
      <c r="G25" s="12" t="n">
        <v>0.2600000000000001</v>
      </c>
      <c r="H25" s="49" t="n">
        <v>0.074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المدير المالي</t>
        </is>
      </c>
      <c r="M25" s="51" t="n"/>
    </row>
    <row r="26">
      <c r="A26" s="15" t="n">
        <v>24</v>
      </c>
      <c r="B26" s="13" t="inlineStr">
        <is>
          <t>الامتياز التجاري</t>
        </is>
      </c>
      <c r="C26" s="21" t="inlineStr">
        <is>
          <t>نسبة أتمتة محطات الامتياز</t>
        </is>
      </c>
      <c r="D26" s="49" t="n">
        <v>0.674</v>
      </c>
      <c r="E26" s="49" t="n">
        <v>0.9</v>
      </c>
      <c r="F26" s="50" t="n">
        <v>0.7488888888888889</v>
      </c>
      <c r="G26" s="12" t="n">
        <v>0.2511111111111111</v>
      </c>
      <c r="H26" s="49" t="n">
        <v>0.674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51" t="n"/>
    </row>
    <row r="27">
      <c r="A27" s="15" t="n">
        <v>25</v>
      </c>
      <c r="B27" s="13" t="inlineStr">
        <is>
          <t>الإدارة التنفيذية</t>
        </is>
      </c>
      <c r="C27" s="21" t="inlineStr">
        <is>
          <t>الالتزام بمعايير وزارة الطاقة (تغطية 13 منطقة)</t>
        </is>
      </c>
      <c r="D27" s="49" t="n">
        <v>0.749</v>
      </c>
      <c r="E27" s="49" t="n">
        <v>1</v>
      </c>
      <c r="F27" s="50" t="n">
        <v>0.749</v>
      </c>
      <c r="G27" s="12" t="n">
        <v>0.251</v>
      </c>
      <c r="H27" s="49" t="n">
        <v>0.749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الرئيس التنفيذي</t>
        </is>
      </c>
      <c r="M27" s="51" t="n"/>
    </row>
    <row r="28">
      <c r="A28" s="15" t="n">
        <v>26</v>
      </c>
      <c r="B28" s="13" t="inlineStr">
        <is>
          <t>الإدارة التنفيذية</t>
        </is>
      </c>
      <c r="C28" s="21" t="inlineStr">
        <is>
          <t>مؤشر رضا الموظفين العام (eNPS)</t>
        </is>
      </c>
      <c r="D28" s="49" t="n">
        <v>22.5</v>
      </c>
      <c r="E28" s="49" t="n">
        <v>30</v>
      </c>
      <c r="F28" s="50" t="n">
        <v>0.75</v>
      </c>
      <c r="G28" s="12" t="n">
        <v>0.25</v>
      </c>
      <c r="H28" s="49" t="n">
        <v>22.5</v>
      </c>
      <c r="I28" s="15" t="inlineStr">
        <is>
          <t>🟡 قريب</t>
        </is>
      </c>
      <c r="J28" s="11" t="inlineStr">
        <is>
          <t>فجوة محدودة — متابعة.</t>
        </is>
      </c>
      <c r="K28" s="11" t="inlineStr">
        <is>
          <t>متابعة أسبوعية لإغلاق الفجوة.</t>
        </is>
      </c>
      <c r="L28" s="15" t="inlineStr">
        <is>
          <t>الرئيس التنفيذي</t>
        </is>
      </c>
      <c r="M28" s="51" t="n"/>
    </row>
    <row r="29">
      <c r="A29" s="15" t="n">
        <v>27</v>
      </c>
      <c r="B29" s="13" t="inlineStr">
        <is>
          <t>التقنية الرقمية</t>
        </is>
      </c>
      <c r="C29" s="21" t="inlineStr">
        <is>
          <t>نسبة الالتزام بإدارة صلاحيات المستخدمين والحسابات</t>
        </is>
      </c>
      <c r="D29" s="49" t="n">
        <v>0.756</v>
      </c>
      <c r="E29" s="49" t="n">
        <v>1</v>
      </c>
      <c r="F29" s="50" t="n">
        <v>0.756</v>
      </c>
      <c r="G29" s="12" t="n">
        <v>0.244</v>
      </c>
      <c r="H29" s="49" t="n">
        <v>0.756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51" t="n"/>
    </row>
    <row r="30">
      <c r="A30" s="15" t="n">
        <v>28</v>
      </c>
      <c r="B30" s="13" t="inlineStr">
        <is>
          <t>الإدارة القانونية</t>
        </is>
      </c>
      <c r="C30" s="21" t="inlineStr">
        <is>
          <t>نسبة التحقيقات المُغلقة من إجمالي المُحالة</t>
        </is>
      </c>
      <c r="D30" s="49" t="n">
        <v>0.719</v>
      </c>
      <c r="E30" s="49" t="n">
        <v>0.95</v>
      </c>
      <c r="F30" s="50" t="n">
        <v>0.7568421052631579</v>
      </c>
      <c r="G30" s="12" t="n">
        <v>0.2431578947368421</v>
      </c>
      <c r="H30" s="49" t="n">
        <v>0.719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المدير القانوني</t>
        </is>
      </c>
      <c r="M30" s="51" t="n"/>
    </row>
    <row r="31">
      <c r="A31" s="15" t="n">
        <v>29</v>
      </c>
      <c r="B31" s="13" t="inlineStr">
        <is>
          <t>الإدارة القانونية</t>
        </is>
      </c>
      <c r="C31" s="21" t="inlineStr">
        <is>
          <t>نسبة التزام التحقيقات بالإجراءات النظامية والعدالة الإجرائية</t>
        </is>
      </c>
      <c r="D31" s="49" t="n">
        <v>0.76</v>
      </c>
      <c r="E31" s="49" t="n">
        <v>1</v>
      </c>
      <c r="F31" s="50" t="n">
        <v>0.76</v>
      </c>
      <c r="G31" s="12" t="n">
        <v>0.24</v>
      </c>
      <c r="H31" s="49" t="n">
        <v>0.76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المدير القانوني</t>
        </is>
      </c>
      <c r="M31" s="51" t="n"/>
    </row>
    <row r="32">
      <c r="A32" s="15" t="n">
        <v>30</v>
      </c>
      <c r="B32" s="13" t="inlineStr">
        <is>
          <t>الإدارة المالية</t>
        </is>
      </c>
      <c r="C32" s="21" t="inlineStr">
        <is>
          <t>دقة تسوية أرامكو</t>
        </is>
      </c>
      <c r="D32" s="49" t="n">
        <v>0.76</v>
      </c>
      <c r="E32" s="49" t="n">
        <v>1</v>
      </c>
      <c r="F32" s="50" t="n">
        <v>0.76</v>
      </c>
      <c r="G32" s="12" t="n">
        <v>0.24</v>
      </c>
      <c r="H32" s="49" t="n">
        <v>0.76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المدير المالي</t>
        </is>
      </c>
      <c r="M32" s="51" t="n"/>
    </row>
    <row r="33">
      <c r="A33" s="15" t="n">
        <v>31</v>
      </c>
      <c r="B33" s="13" t="inlineStr">
        <is>
          <t>الجودة</t>
        </is>
      </c>
      <c r="C33" s="21" t="inlineStr">
        <is>
          <t>نسبة فعالية الإجراءات التصحيحية</t>
        </is>
      </c>
      <c r="D33" s="49" t="n">
        <v>0.648</v>
      </c>
      <c r="E33" s="49" t="n">
        <v>0.85</v>
      </c>
      <c r="F33" s="50" t="n">
        <v>0.7623529411764707</v>
      </c>
      <c r="G33" s="12" t="n">
        <v>0.2376470588235293</v>
      </c>
      <c r="H33" s="49" t="n">
        <v>0.648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1" t="n"/>
    </row>
    <row r="34">
      <c r="A34" s="15" t="n">
        <v>32</v>
      </c>
      <c r="B34" s="13" t="inlineStr">
        <is>
          <t>الجودة</t>
        </is>
      </c>
      <c r="C34" s="21" t="inlineStr">
        <is>
          <t>نسبة إغلاق الملاحظات في الوقت المحدد</t>
        </is>
      </c>
      <c r="D34" s="49" t="n">
        <v>0.6870000000000001</v>
      </c>
      <c r="E34" s="49" t="n">
        <v>0.9</v>
      </c>
      <c r="F34" s="50" t="n">
        <v>0.7633333333333334</v>
      </c>
      <c r="G34" s="12" t="n">
        <v>0.2366666666666666</v>
      </c>
      <c r="H34" s="49" t="n">
        <v>0.6870000000000001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الجودة</t>
        </is>
      </c>
      <c r="M34" s="51" t="n"/>
    </row>
    <row r="35">
      <c r="A35" s="15" t="n">
        <v>33</v>
      </c>
      <c r="B35" s="13" t="inlineStr">
        <is>
          <t>الجودة</t>
        </is>
      </c>
      <c r="C35" s="21" t="inlineStr">
        <is>
          <t>نسبة تنفيذ خطة التفتيش والتدقيق</t>
        </is>
      </c>
      <c r="D35" s="49" t="n">
        <v>0.728</v>
      </c>
      <c r="E35" s="49" t="n">
        <v>0.95</v>
      </c>
      <c r="F35" s="50" t="n">
        <v>0.7663157894736842</v>
      </c>
      <c r="G35" s="12" t="n">
        <v>0.2336842105263158</v>
      </c>
      <c r="H35" s="49" t="n">
        <v>0.728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الجودة</t>
        </is>
      </c>
      <c r="M35" s="51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تنفيذ برامج التدريب والتأهيل المعتمدة</t>
        </is>
      </c>
      <c r="D36" s="49" t="n">
        <v>0.6899999999999999</v>
      </c>
      <c r="E36" s="49" t="n">
        <v>0.9</v>
      </c>
      <c r="F36" s="50" t="n">
        <v>0.7666666666666666</v>
      </c>
      <c r="G36" s="12" t="n">
        <v>0.2333333333333334</v>
      </c>
      <c r="H36" s="49" t="n">
        <v>0.6899999999999999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1" t="n"/>
    </row>
    <row r="37">
      <c r="A37" s="15" t="n">
        <v>35</v>
      </c>
      <c r="B37" s="13" t="inlineStr">
        <is>
          <t>الإدارة التنفيذية</t>
        </is>
      </c>
      <c r="C37" s="21" t="inlineStr">
        <is>
          <t>نسبة الالتزام بإطار الحوكمة المؤسسية والامتثال التنظيمي</t>
        </is>
      </c>
      <c r="D37" s="49" t="n">
        <v>0.729</v>
      </c>
      <c r="E37" s="49" t="n">
        <v>0.95</v>
      </c>
      <c r="F37" s="50" t="n">
        <v>0.7673684210526316</v>
      </c>
      <c r="G37" s="12" t="n">
        <v>0.2326315789473684</v>
      </c>
      <c r="H37" s="49" t="n">
        <v>0.729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الرئيس التنفيذي</t>
        </is>
      </c>
      <c r="M37" s="51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سداد الموردين في الموعد</t>
        </is>
      </c>
      <c r="D38" s="49" t="n">
        <v>0.754</v>
      </c>
      <c r="E38" s="49" t="n">
        <v>0.98</v>
      </c>
      <c r="F38" s="50" t="n">
        <v>0.7693877551020408</v>
      </c>
      <c r="G38" s="12" t="n">
        <v>0.2306122448979592</v>
      </c>
      <c r="H38" s="49" t="n">
        <v>0.754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1" t="n"/>
    </row>
    <row r="39">
      <c r="A39" s="15" t="n">
        <v>37</v>
      </c>
      <c r="B39" s="13" t="inlineStr">
        <is>
          <t>الموارد البشرية</t>
        </is>
      </c>
      <c r="C39" s="21" t="inlineStr">
        <is>
          <t>نسبة الالتزام بالتوطين والامتثال الحكومي دون مخالفات</t>
        </is>
      </c>
      <c r="D39" s="49" t="n">
        <v>0.77</v>
      </c>
      <c r="E39" s="49" t="n">
        <v>1</v>
      </c>
      <c r="F39" s="50" t="n">
        <v>0.77</v>
      </c>
      <c r="G39" s="12" t="n">
        <v>0.23</v>
      </c>
      <c r="H39" s="49" t="n">
        <v>0.77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الموارد البشرية</t>
        </is>
      </c>
      <c r="M39" s="51" t="n"/>
    </row>
    <row r="40">
      <c r="A40" s="15" t="n">
        <v>38</v>
      </c>
      <c r="B40" s="13" t="inlineStr">
        <is>
          <t>الإدارة المالية</t>
        </is>
      </c>
      <c r="C40" s="21" t="inlineStr">
        <is>
          <t>هامش EBITDA</t>
        </is>
      </c>
      <c r="D40" s="49" t="n">
        <v>0.062</v>
      </c>
      <c r="E40" s="49" t="n">
        <v>0.08</v>
      </c>
      <c r="F40" s="50" t="n">
        <v>0.775</v>
      </c>
      <c r="G40" s="12" t="n">
        <v>0.225</v>
      </c>
      <c r="H40" s="49" t="n">
        <v>0.062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المدير المالي</t>
        </is>
      </c>
      <c r="M40" s="51" t="n"/>
    </row>
    <row r="41">
      <c r="A41" s="15" t="n">
        <v>39</v>
      </c>
      <c r="B41" s="13" t="inlineStr">
        <is>
          <t>التقنية الرقمية</t>
        </is>
      </c>
      <c r="C41" s="21" t="inlineStr">
        <is>
          <t>نسبة تسليم المشاريع التقنية ضمن الوقت والميزانية ونطاق العمل المعتمد</t>
        </is>
      </c>
      <c r="D41" s="49" t="n">
        <v>0.701</v>
      </c>
      <c r="E41" s="49" t="n">
        <v>0.9</v>
      </c>
      <c r="F41" s="50" t="n">
        <v>0.7788888888888889</v>
      </c>
      <c r="G41" s="12" t="n">
        <v>0.2211111111111111</v>
      </c>
      <c r="H41" s="49" t="n">
        <v>0.701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التقنية</t>
        </is>
      </c>
      <c r="M41" s="51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معالجة الأعطال وطلبات الدعم الفني ضمن المدة المستهدفة SLA</t>
        </is>
      </c>
      <c r="D42" s="49" t="n">
        <v>0.74</v>
      </c>
      <c r="E42" s="49" t="n">
        <v>0.95</v>
      </c>
      <c r="F42" s="50" t="n">
        <v>0.7789473684210526</v>
      </c>
      <c r="G42" s="12" t="n">
        <v>0.2210526315789474</v>
      </c>
      <c r="H42" s="49" t="n">
        <v>0.74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1" t="n"/>
    </row>
    <row r="43">
      <c r="A43" s="15" t="n">
        <v>41</v>
      </c>
      <c r="B43" s="13" t="inlineStr">
        <is>
          <t>الإدارة المالية</t>
        </is>
      </c>
      <c r="C43" s="21" t="inlineStr">
        <is>
          <t>دقة مطابقة المخزون</t>
        </is>
      </c>
      <c r="D43" s="49" t="n">
        <v>0.776</v>
      </c>
      <c r="E43" s="49" t="n">
        <v>0.995</v>
      </c>
      <c r="F43" s="50" t="n">
        <v>0.7798994974874373</v>
      </c>
      <c r="G43" s="12" t="n">
        <v>0.2201005025125627</v>
      </c>
      <c r="H43" s="49" t="n">
        <v>0.776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51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معدل تجديد عقود الإيجار</t>
        </is>
      </c>
      <c r="D44" s="49" t="n">
        <v>0.702</v>
      </c>
      <c r="E44" s="49" t="n">
        <v>0.9</v>
      </c>
      <c r="F44" s="50" t="n">
        <v>0.7799999999999999</v>
      </c>
      <c r="G44" s="12" t="n">
        <v>0.2200000000000001</v>
      </c>
      <c r="H44" s="49" t="n">
        <v>0.702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1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49" t="n">
        <v>0.766</v>
      </c>
      <c r="E45" s="49" t="n">
        <v>0.98</v>
      </c>
      <c r="F45" s="50" t="n">
        <v>0.7816326530612245</v>
      </c>
      <c r="G45" s="12" t="n">
        <v>0.2183673469387755</v>
      </c>
      <c r="H45" s="49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1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 (SLA)</t>
        </is>
      </c>
      <c r="D46" s="49" t="n">
        <v>0.744</v>
      </c>
      <c r="E46" s="49" t="n">
        <v>0.95</v>
      </c>
      <c r="F46" s="50" t="n">
        <v>0.7831578947368422</v>
      </c>
      <c r="G46" s="12" t="n">
        <v>0.2168421052631578</v>
      </c>
      <c r="H46" s="49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1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49" t="n">
        <v>0.705</v>
      </c>
      <c r="E47" s="49" t="n">
        <v>0.9</v>
      </c>
      <c r="F47" s="50" t="n">
        <v>0.7833333333333332</v>
      </c>
      <c r="G47" s="12" t="n">
        <v>0.2166666666666668</v>
      </c>
      <c r="H47" s="49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1" t="n"/>
    </row>
    <row r="48">
      <c r="A48" s="15" t="n">
        <v>46</v>
      </c>
      <c r="B48" s="13" t="inlineStr">
        <is>
          <t>سلاسل الإمداد</t>
        </is>
      </c>
      <c r="C48" s="21" t="inlineStr">
        <is>
          <t>نسبة الالتزام بزمن التسليم والتوريد للمحطات والإدارات</t>
        </is>
      </c>
      <c r="D48" s="49" t="n">
        <v>0.751</v>
      </c>
      <c r="E48" s="49" t="n">
        <v>0.95</v>
      </c>
      <c r="F48" s="50" t="n">
        <v>0.7905263157894737</v>
      </c>
      <c r="G48" s="12" t="n">
        <v>0.2094736842105263</v>
      </c>
      <c r="H48" s="49" t="n">
        <v>0.751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سلاسل الإمداد</t>
        </is>
      </c>
      <c r="M48" s="51" t="n"/>
    </row>
    <row r="49">
      <c r="A49" s="15" t="n">
        <v>47</v>
      </c>
      <c r="B49" s="13" t="inlineStr">
        <is>
          <t>الصيانة والأتمتة</t>
        </is>
      </c>
      <c r="C49" s="21" t="inlineStr">
        <is>
          <t>نسبة تنفيذ الصيانة الوقائية في موعدها (PM)</t>
        </is>
      </c>
      <c r="D49" s="49" t="n">
        <v>0.751</v>
      </c>
      <c r="E49" s="49" t="n">
        <v>0.95</v>
      </c>
      <c r="F49" s="50" t="n">
        <v>0.7905263157894737</v>
      </c>
      <c r="G49" s="12" t="n">
        <v>0.2094736842105263</v>
      </c>
      <c r="H49" s="49" t="n">
        <v>0.751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الصيانة والأتمتة</t>
        </is>
      </c>
      <c r="M49" s="51" t="n"/>
    </row>
    <row r="50">
      <c r="A50" s="15" t="n">
        <v>48</v>
      </c>
      <c r="B50" s="13" t="inlineStr">
        <is>
          <t>الإدارة القانونية</t>
        </is>
      </c>
      <c r="C50" s="21" t="inlineStr">
        <is>
          <t>مستوى رضا الإدارات عن الدعم القانوني</t>
        </is>
      </c>
      <c r="D50" s="49" t="n">
        <v>0.674</v>
      </c>
      <c r="E50" s="49" t="n">
        <v>0.85</v>
      </c>
      <c r="F50" s="50" t="n">
        <v>0.7929411764705883</v>
      </c>
      <c r="G50" s="12" t="n">
        <v>0.2070588235294117</v>
      </c>
      <c r="H50" s="49" t="n">
        <v>0.674</v>
      </c>
      <c r="I50" s="15" t="inlineStr">
        <is>
          <t>🟡 قريب</t>
        </is>
      </c>
      <c r="J50" s="11" t="inlineStr">
        <is>
          <t>فجوة محدودة — متابعة.</t>
        </is>
      </c>
      <c r="K50" s="11" t="inlineStr">
        <is>
          <t>متابعة أسبوعية لإغلاق الفجوة.</t>
        </is>
      </c>
      <c r="L50" s="15" t="inlineStr">
        <is>
          <t>المدير القانوني</t>
        </is>
      </c>
      <c r="M50" s="51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نجاح النسخ الاحتياطي واختبارات استعادة البيانات</t>
        </is>
      </c>
      <c r="D51" s="49" t="n">
        <v>0.794</v>
      </c>
      <c r="E51" s="49" t="n">
        <v>1</v>
      </c>
      <c r="F51" s="50" t="n">
        <v>0.794</v>
      </c>
      <c r="G51" s="12" t="n">
        <v>0.206</v>
      </c>
      <c r="H51" s="49" t="n">
        <v>0.794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1" t="n"/>
    </row>
    <row r="52">
      <c r="A52" s="15" t="n">
        <v>50</v>
      </c>
      <c r="B52" s="13" t="inlineStr">
        <is>
          <t>التقنية الرقمية</t>
        </is>
      </c>
      <c r="C52" s="21" t="inlineStr">
        <is>
          <t>نسبة تنفيذ الصيانة الوقائية للأجهزة والبنية التقنية</t>
        </is>
      </c>
      <c r="D52" s="49" t="n">
        <v>0.756</v>
      </c>
      <c r="E52" s="49" t="n">
        <v>0.95</v>
      </c>
      <c r="F52" s="50" t="n">
        <v>0.7957894736842106</v>
      </c>
      <c r="G52" s="12" t="n">
        <v>0.2042105263157894</v>
      </c>
      <c r="H52" s="49" t="n">
        <v>0.756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التقنية</t>
        </is>
      </c>
      <c r="M52" s="51" t="n"/>
    </row>
    <row r="53">
      <c r="A53" s="15" t="n">
        <v>51</v>
      </c>
      <c r="B53" s="13" t="inlineStr">
        <is>
          <t>الموارد البشرية</t>
        </is>
      </c>
      <c r="C53" s="21" t="inlineStr">
        <is>
          <t>نسبة الالتزام بتجديد الوثائق واكتمال ملفات الموظفين</t>
        </is>
      </c>
      <c r="D53" s="49" t="n">
        <v>0.796</v>
      </c>
      <c r="E53" s="49" t="n">
        <v>1</v>
      </c>
      <c r="F53" s="50" t="n">
        <v>0.796</v>
      </c>
      <c r="G53" s="12" t="n">
        <v>0.204</v>
      </c>
      <c r="H53" s="49" t="n">
        <v>0.796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الموارد البشرية</t>
        </is>
      </c>
      <c r="M53" s="51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نسبة تقديم المذكرات والردود في المواعيد النظامية</t>
        </is>
      </c>
      <c r="D54" s="49" t="n">
        <v>0.797</v>
      </c>
      <c r="E54" s="49" t="n">
        <v>1</v>
      </c>
      <c r="F54" s="50" t="n">
        <v>0.797</v>
      </c>
      <c r="G54" s="12" t="n">
        <v>0.203</v>
      </c>
      <c r="H54" s="49" t="n">
        <v>0.797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المدير القانوني</t>
        </is>
      </c>
      <c r="M54" s="51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توفر الأنظمة والخدمات التقنية المركزية</t>
        </is>
      </c>
      <c r="D55" s="49" t="n">
        <v>0.79</v>
      </c>
      <c r="E55" s="49" t="n">
        <v>0.99</v>
      </c>
      <c r="F55" s="50" t="n">
        <v>0.797979797979798</v>
      </c>
      <c r="G55" s="12" t="n">
        <v>0.202020202020202</v>
      </c>
      <c r="H55" s="49" t="n">
        <v>0.79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1" t="n"/>
    </row>
    <row r="56">
      <c r="A56" s="15" t="n">
        <v>54</v>
      </c>
      <c r="B56" s="13" t="inlineStr">
        <is>
          <t>الامتياز التجاري</t>
        </is>
      </c>
      <c r="C56" s="21" t="inlineStr">
        <is>
          <t>نسبة التزام المحطات بالهوية المؤسسية</t>
        </is>
      </c>
      <c r="D56" s="49" t="n">
        <v>0.44</v>
      </c>
      <c r="E56" s="49" t="n">
        <v>0.55</v>
      </c>
      <c r="F56" s="50" t="n">
        <v>0.7999999999999999</v>
      </c>
      <c r="G56" s="12" t="n">
        <v>0.2000000000000001</v>
      </c>
      <c r="H56" s="49" t="n">
        <v>0.44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الامتياز</t>
        </is>
      </c>
      <c r="M56" s="51" t="n"/>
    </row>
    <row r="57">
      <c r="A57" s="15" t="n">
        <v>55</v>
      </c>
      <c r="B57" s="13" t="inlineStr">
        <is>
          <t>الإدارة المالية</t>
        </is>
      </c>
      <c r="C57" s="21" t="inlineStr">
        <is>
          <t>هامش صافي الربح</t>
        </is>
      </c>
      <c r="D57" s="49" t="n">
        <v>0.008</v>
      </c>
      <c r="E57" s="49" t="n">
        <v>0.01</v>
      </c>
      <c r="F57" s="50" t="n">
        <v>0.8</v>
      </c>
      <c r="G57" s="12" t="n">
        <v>0.2</v>
      </c>
      <c r="H57" s="49" t="n">
        <v>0.008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المدير المالي</t>
        </is>
      </c>
      <c r="M57" s="51" t="n"/>
    </row>
    <row r="58">
      <c r="A58" s="15" t="n">
        <v>56</v>
      </c>
      <c r="B58" s="13" t="inlineStr">
        <is>
          <t>سلاسل الإمداد</t>
        </is>
      </c>
      <c r="C58" s="21" t="inlineStr">
        <is>
          <t>نسبة تلبية طلبات المحطات من الوقود Fill Rate</t>
        </is>
      </c>
      <c r="D58" s="49" t="n">
        <v>0.786</v>
      </c>
      <c r="E58" s="49" t="n">
        <v>0.98</v>
      </c>
      <c r="F58" s="50" t="n">
        <v>0.8020408163265307</v>
      </c>
      <c r="G58" s="12" t="n">
        <v>0.1979591836734693</v>
      </c>
      <c r="H58" s="49" t="n">
        <v>0.786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سلاسل الإمداد</t>
        </is>
      </c>
      <c r="M58" s="51" t="n"/>
    </row>
    <row r="59">
      <c r="A59" s="15" t="n">
        <v>57</v>
      </c>
      <c r="B59" s="13" t="inlineStr">
        <is>
          <t>الامتياز التجاري</t>
        </is>
      </c>
      <c r="C59" s="21" t="inlineStr">
        <is>
          <t>إجمالي مبيعات وقود محطات الامتياز</t>
        </is>
      </c>
      <c r="D59" s="49" t="n">
        <v>576630340</v>
      </c>
      <c r="E59" s="49" t="n">
        <v>718838077</v>
      </c>
      <c r="F59" s="50" t="n">
        <v>0.8021699996840874</v>
      </c>
      <c r="G59" s="12" t="n">
        <v>0.1978300003159126</v>
      </c>
      <c r="H59" s="49" t="n">
        <v>1153260680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الامتياز</t>
        </is>
      </c>
      <c r="M59" s="51" t="n"/>
    </row>
    <row r="60">
      <c r="A60" s="15" t="n">
        <v>58</v>
      </c>
      <c r="B60" s="13" t="inlineStr">
        <is>
          <t>الجودة</t>
        </is>
      </c>
      <c r="C60" s="21" t="inlineStr">
        <is>
          <t>نسبة مطابقة جودة الوقود</t>
        </is>
      </c>
      <c r="D60" s="49" t="n">
        <v>0.804</v>
      </c>
      <c r="E60" s="49" t="n">
        <v>0.995</v>
      </c>
      <c r="F60" s="50" t="n">
        <v>0.8080402010050252</v>
      </c>
      <c r="G60" s="12" t="n">
        <v>0.1919597989949748</v>
      </c>
      <c r="H60" s="49" t="n">
        <v>0.804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الجودة</t>
        </is>
      </c>
      <c r="M60" s="51" t="n"/>
    </row>
    <row r="61">
      <c r="A61" s="15" t="n">
        <v>59</v>
      </c>
      <c r="B61" s="13" t="inlineStr">
        <is>
          <t>التقنية الرقمية</t>
        </is>
      </c>
      <c r="C61" s="21" t="inlineStr">
        <is>
          <t>نسبة استقرار التشغيل التقني للمحطات</t>
        </is>
      </c>
      <c r="D61" s="49" t="n">
        <v>0.8</v>
      </c>
      <c r="E61" s="49" t="n">
        <v>0.99</v>
      </c>
      <c r="F61" s="50" t="n">
        <v>0.8080808080808082</v>
      </c>
      <c r="G61" s="12" t="n">
        <v>0.1919191919191918</v>
      </c>
      <c r="H61" s="49" t="n">
        <v>0.8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التقنية</t>
        </is>
      </c>
      <c r="M61" s="51" t="n"/>
    </row>
    <row r="62">
      <c r="A62" s="15" t="n">
        <v>60</v>
      </c>
      <c r="B62" s="13" t="inlineStr">
        <is>
          <t>الامتياز التجاري</t>
        </is>
      </c>
      <c r="C62" s="21" t="inlineStr">
        <is>
          <t>نسبة زيادة عدد أصحاب الامتياز</t>
        </is>
      </c>
      <c r="D62" s="49" t="n">
        <v>0.8100000000000001</v>
      </c>
      <c r="E62" s="49" t="n">
        <v>1</v>
      </c>
      <c r="F62" s="50" t="n">
        <v>0.8100000000000001</v>
      </c>
      <c r="G62" s="12" t="n">
        <v>0.1899999999999999</v>
      </c>
      <c r="H62" s="49" t="n">
        <v>0.8100000000000001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الامتياز</t>
        </is>
      </c>
      <c r="M62" s="51" t="n"/>
    </row>
    <row r="63">
      <c r="A63" s="15" t="n">
        <v>61</v>
      </c>
      <c r="B63" s="13" t="inlineStr">
        <is>
          <t>الإدارة التنفيذية</t>
        </is>
      </c>
      <c r="C63" s="21" t="inlineStr">
        <is>
          <t>نسبة نمو إيرادات الشركة (سنوي)</t>
        </is>
      </c>
      <c r="D63" s="49" t="n">
        <v>0.122</v>
      </c>
      <c r="E63" s="49" t="n">
        <v>0.15</v>
      </c>
      <c r="F63" s="50" t="n">
        <v>0.8133333333333334</v>
      </c>
      <c r="G63" s="12" t="n">
        <v>0.1866666666666666</v>
      </c>
      <c r="H63" s="49" t="n">
        <v>0.122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الرئيس التنفيذي</t>
        </is>
      </c>
      <c r="M63" s="51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إنجاز معاملات شؤون الموظفين ضمن المدة المستهدفة SLA</t>
        </is>
      </c>
      <c r="D64" s="49" t="n">
        <v>0.733</v>
      </c>
      <c r="E64" s="49" t="n">
        <v>0.9</v>
      </c>
      <c r="F64" s="50" t="n">
        <v>0.8144444444444444</v>
      </c>
      <c r="G64" s="12" t="n">
        <v>0.1855555555555556</v>
      </c>
      <c r="H64" s="49" t="n">
        <v>0.733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1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نسبة انخفاض الشكاوى مقارنة بالعام السابق</t>
        </is>
      </c>
      <c r="D65" s="49" t="n">
        <v>0.163</v>
      </c>
      <c r="E65" s="49" t="n">
        <v>0.2</v>
      </c>
      <c r="F65" s="50" t="n">
        <v>0.8149999999999999</v>
      </c>
      <c r="G65" s="12" t="n">
        <v>0.1850000000000001</v>
      </c>
      <c r="H65" s="49" t="n">
        <v>0.163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1" t="n"/>
    </row>
    <row r="66">
      <c r="A66" s="15" t="n">
        <v>64</v>
      </c>
      <c r="B66" s="13" t="inlineStr">
        <is>
          <t>العقار</t>
        </is>
      </c>
      <c r="C66" s="21" t="inlineStr">
        <is>
          <t>زيادة عدد العلامات التجارية</t>
        </is>
      </c>
      <c r="D66" s="49" t="n">
        <v>202.6</v>
      </c>
      <c r="E66" s="49" t="n">
        <v>246</v>
      </c>
      <c r="F66" s="50" t="n">
        <v>0.8235772357723578</v>
      </c>
      <c r="G66" s="12" t="n">
        <v>0.1764227642276422</v>
      </c>
      <c r="H66" s="49" t="n">
        <v>202.6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العقار</t>
        </is>
      </c>
      <c r="M66" s="51" t="n"/>
    </row>
    <row r="67">
      <c r="A67" s="15" t="n">
        <v>65</v>
      </c>
      <c r="B67" s="13" t="inlineStr">
        <is>
          <t>الإدارة القانونية</t>
        </is>
      </c>
      <c r="C67" s="21" t="inlineStr">
        <is>
          <t>نسبة القضايا المُغلقة لصالح الشركة</t>
        </is>
      </c>
      <c r="D67" s="49" t="n">
        <v>0.664</v>
      </c>
      <c r="E67" s="49" t="n">
        <v>0.8</v>
      </c>
      <c r="F67" s="50" t="n">
        <v>0.83</v>
      </c>
      <c r="G67" s="12" t="n">
        <v>0.17</v>
      </c>
      <c r="H67" s="49" t="n">
        <v>0.664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المدير القانوني</t>
        </is>
      </c>
      <c r="M67" s="51" t="n"/>
    </row>
    <row r="68">
      <c r="A68" s="15" t="n">
        <v>66</v>
      </c>
      <c r="B68" s="13" t="inlineStr">
        <is>
          <t>سلاسل الإمداد</t>
        </is>
      </c>
      <c r="C68" s="21" t="inlineStr">
        <is>
          <t>نسبة الالتزام بجدول النقل واستخدام الأسطول بكفاءة</t>
        </is>
      </c>
      <c r="D68" s="49" t="n">
        <v>0.751</v>
      </c>
      <c r="E68" s="49" t="n">
        <v>0.9</v>
      </c>
      <c r="F68" s="50" t="n">
        <v>0.8344444444444444</v>
      </c>
      <c r="G68" s="12" t="n">
        <v>0.1655555555555556</v>
      </c>
      <c r="H68" s="49" t="n">
        <v>0.751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سلاسل الإمداد</t>
        </is>
      </c>
      <c r="M68" s="51" t="n"/>
    </row>
    <row r="69">
      <c r="A69" s="15" t="n">
        <v>67</v>
      </c>
      <c r="B69" s="13" t="inlineStr">
        <is>
          <t>الإدارة القانونية</t>
        </is>
      </c>
      <c r="C69" s="21" t="inlineStr">
        <is>
          <t>نسبة إنجاز التحقيقات ضمن المدة المحددة</t>
        </is>
      </c>
      <c r="D69" s="49" t="n">
        <v>0.753</v>
      </c>
      <c r="E69" s="49" t="n">
        <v>0.9</v>
      </c>
      <c r="F69" s="50" t="n">
        <v>0.8366666666666667</v>
      </c>
      <c r="G69" s="12" t="n">
        <v>0.1633333333333333</v>
      </c>
      <c r="H69" s="49" t="n">
        <v>0.753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المدير القانوني</t>
        </is>
      </c>
      <c r="M69" s="51" t="n"/>
    </row>
    <row r="70">
      <c r="A70" s="15" t="n">
        <v>68</v>
      </c>
      <c r="B70" s="13" t="inlineStr">
        <is>
          <t>الجودة</t>
        </is>
      </c>
      <c r="C70" s="21" t="inlineStr">
        <is>
          <t>نسبة جاهزية نظام إدارة الجودة QMS</t>
        </is>
      </c>
      <c r="D70" s="49" t="n">
        <v>0.754</v>
      </c>
      <c r="E70" s="49" t="n">
        <v>0.9</v>
      </c>
      <c r="F70" s="50" t="n">
        <v>0.8377777777777777</v>
      </c>
      <c r="G70" s="12" t="n">
        <v>0.1622222222222223</v>
      </c>
      <c r="H70" s="49" t="n">
        <v>0.754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الجودة</t>
        </is>
      </c>
      <c r="M70" s="51" t="n"/>
    </row>
    <row r="71">
      <c r="A71" s="15" t="n">
        <v>69</v>
      </c>
      <c r="B71" s="13" t="inlineStr">
        <is>
          <t>الجودة</t>
        </is>
      </c>
      <c r="C71" s="21" t="inlineStr">
        <is>
          <t>نسبة انخفاض الشكاوى المتكررة ذات العلاقة بالجودة</t>
        </is>
      </c>
      <c r="D71" s="49" t="n">
        <v>0.126</v>
      </c>
      <c r="E71" s="49" t="n">
        <v>0.15</v>
      </c>
      <c r="F71" s="50" t="n">
        <v>0.8400000000000001</v>
      </c>
      <c r="G71" s="12" t="n">
        <v>0.1599999999999999</v>
      </c>
      <c r="H71" s="49" t="n">
        <v>0.126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الجودة</t>
        </is>
      </c>
      <c r="M71" s="51" t="n"/>
    </row>
    <row r="72">
      <c r="A72" s="15" t="n">
        <v>70</v>
      </c>
      <c r="B72" s="13" t="inlineStr">
        <is>
          <t>الإدارة المالية</t>
        </is>
      </c>
      <c r="C72" s="21" t="inlineStr">
        <is>
          <t>نمو الإيرادات السنوي</t>
        </is>
      </c>
      <c r="D72" s="49" t="n">
        <v>0.169</v>
      </c>
      <c r="E72" s="49" t="n">
        <v>0.2</v>
      </c>
      <c r="F72" s="50" t="n">
        <v>0.845</v>
      </c>
      <c r="G72" s="12" t="n">
        <v>0.155</v>
      </c>
      <c r="H72" s="49" t="n">
        <v>0.169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المدير المالي</t>
        </is>
      </c>
      <c r="M72" s="51" t="n"/>
    </row>
    <row r="73">
      <c r="A73" s="15" t="n">
        <v>71</v>
      </c>
      <c r="B73" s="13" t="inlineStr">
        <is>
          <t>العقار</t>
        </is>
      </c>
      <c r="C73" s="21" t="inlineStr">
        <is>
          <t>نسبة تحصيل الإيجارات</t>
        </is>
      </c>
      <c r="D73" s="49" t="n">
        <v>0.805</v>
      </c>
      <c r="E73" s="49" t="n">
        <v>0.95</v>
      </c>
      <c r="F73" s="50" t="n">
        <v>0.8473684210526317</v>
      </c>
      <c r="G73" s="12" t="n">
        <v>0.1526315789473683</v>
      </c>
      <c r="H73" s="49" t="n">
        <v>0.805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51" t="n"/>
    </row>
    <row r="74">
      <c r="A74" s="15" t="n">
        <v>72</v>
      </c>
      <c r="B74" s="13" t="inlineStr">
        <is>
          <t>التقنية الرقمية</t>
        </is>
      </c>
      <c r="C74" s="21" t="inlineStr">
        <is>
          <t>نسبة الامتثال لضوابط الأمن السيبراني الأساسية</t>
        </is>
      </c>
      <c r="D74" s="49" t="n">
        <v>0.8070000000000001</v>
      </c>
      <c r="E74" s="49" t="n">
        <v>0.95</v>
      </c>
      <c r="F74" s="50" t="n">
        <v>0.8494736842105264</v>
      </c>
      <c r="G74" s="12" t="n">
        <v>0.1505263157894736</v>
      </c>
      <c r="H74" s="49" t="n">
        <v>0.8070000000000001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التقنية</t>
        </is>
      </c>
      <c r="M74" s="51" t="n"/>
    </row>
    <row r="75">
      <c r="A75" s="15" t="n">
        <v>73</v>
      </c>
      <c r="B75" s="13" t="inlineStr">
        <is>
          <t>الإدارة التنفيذية</t>
        </is>
      </c>
      <c r="C75" s="21" t="inlineStr">
        <is>
          <t>نسبة تحقيق المستهدفات الاستراتيجية العامة</t>
        </is>
      </c>
      <c r="D75" s="49" t="n">
        <v>0.85</v>
      </c>
      <c r="E75" s="49" t="n">
        <v>1</v>
      </c>
      <c r="F75" s="50" t="n">
        <v>0.85</v>
      </c>
      <c r="G75" s="12" t="n">
        <v>0.15</v>
      </c>
      <c r="H75" s="49" t="n">
        <v>0.85</v>
      </c>
      <c r="I75" s="15" t="inlineStr">
        <is>
          <t>🟡 قريب</t>
        </is>
      </c>
      <c r="J75" s="11" t="inlineStr">
        <is>
          <t>فجوة محدودة — متابعة.</t>
        </is>
      </c>
      <c r="K75" s="11" t="inlineStr">
        <is>
          <t>متابعة أسبوعية لإغلاق الفجوة.</t>
        </is>
      </c>
      <c r="L75" s="15" t="inlineStr">
        <is>
          <t>الرئيس التنفيذي</t>
        </is>
      </c>
      <c r="M75" s="51" t="n"/>
    </row>
    <row r="76">
      <c r="A76" s="15" t="n">
        <v>74</v>
      </c>
      <c r="B76" s="13" t="inlineStr">
        <is>
          <t>التسويق</t>
        </is>
      </c>
      <c r="C76" s="21" t="inlineStr">
        <is>
          <t>تقييم خرائط قوقل</t>
        </is>
      </c>
      <c r="D76" s="49" t="n">
        <v>4</v>
      </c>
      <c r="E76" s="49" t="n">
        <v>4.7</v>
      </c>
      <c r="F76" s="50" t="n">
        <v>0.851063829787234</v>
      </c>
      <c r="G76" s="12" t="n">
        <v>0.148936170212766</v>
      </c>
      <c r="H76" s="49" t="n">
        <v>4</v>
      </c>
      <c r="I76" s="15" t="inlineStr">
        <is>
          <t>🟡 قريب</t>
        </is>
      </c>
      <c r="J76" s="11" t="inlineStr">
        <is>
          <t>فجوة محدودة — متابعة.</t>
        </is>
      </c>
      <c r="K76" s="11" t="inlineStr">
        <is>
          <t>متابعة أسبوعية لإغلاق الفجوة.</t>
        </is>
      </c>
      <c r="L76" s="15" t="inlineStr">
        <is>
          <t>مدير التسويق</t>
        </is>
      </c>
      <c r="M76" s="51" t="n"/>
    </row>
    <row r="77">
      <c r="A77" s="15" t="n">
        <v>75</v>
      </c>
      <c r="B77" s="13" t="inlineStr">
        <is>
          <t>الإدارة المالية</t>
        </is>
      </c>
      <c r="C77" s="21" t="inlineStr">
        <is>
          <t>أيام الإقفال الشهري</t>
        </is>
      </c>
      <c r="D77" s="49" t="n">
        <v>7.044</v>
      </c>
      <c r="E77" s="49" t="n">
        <v>6</v>
      </c>
      <c r="F77" s="50" t="n">
        <v>0.8517887563884157</v>
      </c>
      <c r="G77" s="12" t="n">
        <v>0.1482112436115843</v>
      </c>
      <c r="H77" s="49" t="n">
        <v>7.044</v>
      </c>
      <c r="I77" s="15" t="inlineStr">
        <is>
          <t>🟡 قريب</t>
        </is>
      </c>
      <c r="J77" s="11" t="inlineStr">
        <is>
          <t>فجوة محدودة — متابعة.</t>
        </is>
      </c>
      <c r="K77" s="11" t="inlineStr">
        <is>
          <t>متابعة أسبوعية لإغلاق الفجوة.</t>
        </is>
      </c>
      <c r="L77" s="15" t="inlineStr">
        <is>
          <t>المدير المالي</t>
        </is>
      </c>
      <c r="M77" s="51" t="n"/>
    </row>
    <row r="78">
      <c r="A78" s="15" t="n">
        <v>76</v>
      </c>
      <c r="B78" s="13" t="inlineStr">
        <is>
          <t>الإدارة المالية</t>
        </is>
      </c>
      <c r="C78" s="21" t="inlineStr">
        <is>
          <t>النسبة الجارية (Current Ratio)</t>
        </is>
      </c>
      <c r="D78" s="49" t="n">
        <v>0.852</v>
      </c>
      <c r="E78" s="49" t="n">
        <v>1</v>
      </c>
      <c r="F78" s="50" t="n">
        <v>0.852</v>
      </c>
      <c r="G78" s="12" t="n">
        <v>0.148</v>
      </c>
      <c r="H78" s="49" t="n">
        <v>0.852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المدير المالي</t>
        </is>
      </c>
      <c r="M78" s="51" t="n"/>
    </row>
    <row r="79">
      <c r="A79" s="15" t="n">
        <v>77</v>
      </c>
      <c r="B79" s="13" t="inlineStr">
        <is>
          <t>الجودة</t>
        </is>
      </c>
      <c r="C79" s="21" t="inlineStr">
        <is>
          <t>عدد مبادرات التحسين المؤثرة</t>
        </is>
      </c>
      <c r="D79" s="49" t="n">
        <v>6.827</v>
      </c>
      <c r="E79" s="49" t="n">
        <v>8</v>
      </c>
      <c r="F79" s="50" t="n">
        <v>0.853375</v>
      </c>
      <c r="G79" s="12" t="n">
        <v>0.146625</v>
      </c>
      <c r="H79" s="49" t="n">
        <v>13.654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الجودة</t>
        </is>
      </c>
      <c r="M79" s="51" t="n"/>
    </row>
    <row r="80">
      <c r="A80" s="15" t="n">
        <v>78</v>
      </c>
      <c r="B80" s="13" t="inlineStr">
        <is>
          <t>الامتياز التجاري</t>
        </is>
      </c>
      <c r="C80" s="21" t="inlineStr">
        <is>
          <t>نسبة التحصيل المالي من شركاء الامتياز</t>
        </is>
      </c>
      <c r="D80" s="49" t="n">
        <v>0.8120000000000001</v>
      </c>
      <c r="E80" s="49" t="n">
        <v>0.95</v>
      </c>
      <c r="F80" s="50" t="n">
        <v>0.8547368421052632</v>
      </c>
      <c r="G80" s="12" t="n">
        <v>0.1452631578947368</v>
      </c>
      <c r="H80" s="49" t="n">
        <v>0.8120000000000001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مدير الامتياز</t>
        </is>
      </c>
      <c r="M80" s="51" t="n"/>
    </row>
    <row r="81">
      <c r="A81" s="15" t="n">
        <v>79</v>
      </c>
      <c r="B81" s="13" t="inlineStr">
        <is>
          <t>الصيانة والأتمتة</t>
        </is>
      </c>
      <c r="C81" s="21" t="inlineStr">
        <is>
          <t>متوسط زمن الاستجابة للبلاغات الطارئة</t>
        </is>
      </c>
      <c r="D81" s="49" t="n">
        <v>34.7</v>
      </c>
      <c r="E81" s="49" t="n">
        <v>30</v>
      </c>
      <c r="F81" s="50" t="n">
        <v>0.8645533141210374</v>
      </c>
      <c r="G81" s="12" t="n">
        <v>0.1354466858789626</v>
      </c>
      <c r="H81" s="49" t="n">
        <v>34.7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مدير الصيانة والأتمتة</t>
        </is>
      </c>
      <c r="M81" s="51" t="n"/>
    </row>
    <row r="82">
      <c r="A82" s="15" t="n">
        <v>80</v>
      </c>
      <c r="B82" s="13" t="inlineStr">
        <is>
          <t>الصيانة والأتمتة</t>
        </is>
      </c>
      <c r="C82" s="21" t="inlineStr">
        <is>
          <t>نسبة الجاهزية الفنية للأصول والمعدات (Availability)</t>
        </is>
      </c>
      <c r="D82" s="49" t="n">
        <v>0.848</v>
      </c>
      <c r="E82" s="49" t="n">
        <v>0.98</v>
      </c>
      <c r="F82" s="50" t="n">
        <v>0.8653061224489795</v>
      </c>
      <c r="G82" s="12" t="n">
        <v>0.1346938775510205</v>
      </c>
      <c r="H82" s="49" t="n">
        <v>0.848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الصيانة والأتمتة</t>
        </is>
      </c>
      <c r="M82" s="51" t="n"/>
    </row>
    <row r="83">
      <c r="A83" s="15" t="n">
        <v>81</v>
      </c>
      <c r="B83" s="13" t="inlineStr">
        <is>
          <t>إدارة المشاريع</t>
        </is>
      </c>
      <c r="C83" s="21" t="inlineStr">
        <is>
          <t>نسبة إنجاز محفظة المشاريع</t>
        </is>
      </c>
      <c r="D83" s="49" t="n">
        <v>0.607</v>
      </c>
      <c r="E83" s="49" t="n">
        <v>0.7</v>
      </c>
      <c r="F83" s="50" t="n">
        <v>0.8671428571428572</v>
      </c>
      <c r="G83" s="12" t="n">
        <v>0.1328571428571428</v>
      </c>
      <c r="H83" s="49" t="n">
        <v>0.607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إدارة المشاريع</t>
        </is>
      </c>
      <c r="M83" s="51" t="n"/>
    </row>
    <row r="84">
      <c r="A84" s="15" t="n">
        <v>82</v>
      </c>
      <c r="B84" s="13" t="inlineStr">
        <is>
          <t>الامتياز التجاري</t>
        </is>
      </c>
      <c r="C84" s="21" t="inlineStr">
        <is>
          <t>رفع هامش الربحية للامتياز</t>
        </is>
      </c>
      <c r="D84" s="49" t="n">
        <v>1.564</v>
      </c>
      <c r="E84" s="49" t="n">
        <v>1.8</v>
      </c>
      <c r="F84" s="50" t="n">
        <v>0.8688888888888889</v>
      </c>
      <c r="G84" s="12" t="n">
        <v>0.1311111111111111</v>
      </c>
      <c r="H84" s="49" t="n">
        <v>1.564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الامتياز</t>
        </is>
      </c>
      <c r="M84" s="51" t="n"/>
    </row>
    <row r="85">
      <c r="A85" s="15" t="n">
        <v>83</v>
      </c>
      <c r="B85" s="13" t="inlineStr">
        <is>
          <t>الإدارة التنفيذية</t>
        </is>
      </c>
      <c r="C85" s="21" t="inlineStr">
        <is>
          <t>إجمالي المحطات المشغّلة — الشركة (تراكمي)</t>
        </is>
      </c>
      <c r="D85" s="49" t="n">
        <v>206.1</v>
      </c>
      <c r="E85" s="49" t="n">
        <v>235</v>
      </c>
      <c r="F85" s="50" t="n">
        <v>0.8770212765957447</v>
      </c>
      <c r="G85" s="12" t="n">
        <v>0.1229787234042553</v>
      </c>
      <c r="H85" s="49" t="n">
        <v>206.1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الرئيس التنفيذي</t>
        </is>
      </c>
      <c r="M85" s="51" t="n"/>
    </row>
    <row r="86">
      <c r="A86" s="15" t="n">
        <v>84</v>
      </c>
      <c r="B86" s="13" t="inlineStr">
        <is>
          <t>الجودة</t>
        </is>
      </c>
      <c r="C86" s="21" t="inlineStr">
        <is>
          <t>نسبة تكرار الملاحظات</t>
        </is>
      </c>
      <c r="D86" s="49" t="n">
        <v>0.114</v>
      </c>
      <c r="E86" s="49" t="n">
        <v>0.1</v>
      </c>
      <c r="F86" s="50" t="n">
        <v>0.8771929824561404</v>
      </c>
      <c r="G86" s="12" t="n">
        <v>0.1228070175438596</v>
      </c>
      <c r="H86" s="49" t="n">
        <v>0.114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الجودة</t>
        </is>
      </c>
      <c r="M86" s="51" t="n"/>
    </row>
    <row r="87">
      <c r="A87" s="15" t="n">
        <v>85</v>
      </c>
      <c r="B87" s="13" t="inlineStr">
        <is>
          <t>الموارد البشرية</t>
        </is>
      </c>
      <c r="C87" s="21" t="inlineStr">
        <is>
          <t>نسبة دقة الرواتب والمستحقات الشهرية</t>
        </is>
      </c>
      <c r="D87" s="49" t="n">
        <v>0.888</v>
      </c>
      <c r="E87" s="49" t="n">
        <v>0.995</v>
      </c>
      <c r="F87" s="50" t="n">
        <v>0.892462311557789</v>
      </c>
      <c r="G87" s="12" t="n">
        <v>0.107537688442211</v>
      </c>
      <c r="H87" s="49" t="n">
        <v>0.888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الموارد البشرية</t>
        </is>
      </c>
      <c r="M87" s="51" t="n"/>
    </row>
    <row r="88">
      <c r="A88" s="15" t="n">
        <v>86</v>
      </c>
      <c r="B88" s="13" t="inlineStr">
        <is>
          <t>الموارد البشرية</t>
        </is>
      </c>
      <c r="C88" s="21" t="inlineStr">
        <is>
          <t>متوسط مدة إغلاق الشواغر المعتمدة</t>
        </is>
      </c>
      <c r="D88" s="49" t="n">
        <v>33.5</v>
      </c>
      <c r="E88" s="49" t="n">
        <v>30</v>
      </c>
      <c r="F88" s="50" t="n">
        <v>0.8955223880597015</v>
      </c>
      <c r="G88" s="12" t="n">
        <v>0.1044776119402985</v>
      </c>
      <c r="H88" s="49" t="n">
        <v>33.5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الموارد البشرية</t>
        </is>
      </c>
      <c r="M88" s="51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نمو مبيعات الوقود مقارنة بالعام السابق</t>
        </is>
      </c>
      <c r="D89" s="49" t="n">
        <v>0.09</v>
      </c>
      <c r="E89" s="49" t="n">
        <v>0.1</v>
      </c>
      <c r="F89" s="50" t="n">
        <v>0.8999999999999999</v>
      </c>
      <c r="G89" s="12" t="n">
        <v>0.1000000000000001</v>
      </c>
      <c r="H89" s="49" t="n">
        <v>0.09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التشغيل</t>
        </is>
      </c>
      <c r="M89" s="51" t="n"/>
    </row>
    <row r="90">
      <c r="A90" s="15" t="n">
        <v>88</v>
      </c>
      <c r="B90" s="13" t="inlineStr">
        <is>
          <t>الإدارة المالية</t>
        </is>
      </c>
      <c r="C90" s="21" t="inlineStr">
        <is>
          <t>نسبة التدفق النقدي التشغيلي</t>
        </is>
      </c>
      <c r="D90" s="49" t="n">
        <v>0.902</v>
      </c>
      <c r="E90" s="49" t="n">
        <v>1</v>
      </c>
      <c r="F90" s="50" t="n">
        <v>0.902</v>
      </c>
      <c r="G90" s="12" t="n">
        <v>0.09799999999999998</v>
      </c>
      <c r="H90" s="49" t="n">
        <v>0.902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المدير المالي</t>
        </is>
      </c>
      <c r="M90" s="51" t="n"/>
    </row>
    <row r="91">
      <c r="A91" s="15" t="n">
        <v>89</v>
      </c>
      <c r="B91" s="13" t="inlineStr">
        <is>
          <t>الإدارة التنفيذية</t>
        </is>
      </c>
      <c r="C91" s="21" t="inlineStr">
        <is>
          <t>نسبة إنجاز مشاريع الخارطة التنفيذية</t>
        </is>
      </c>
      <c r="D91" s="49" t="n">
        <v>0.906</v>
      </c>
      <c r="E91" s="49" t="n">
        <v>1</v>
      </c>
      <c r="F91" s="50" t="n">
        <v>0.906</v>
      </c>
      <c r="G91" s="12" t="n">
        <v>0.09399999999999997</v>
      </c>
      <c r="H91" s="49" t="n">
        <v>0.906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الرئيس التنفيذي</t>
        </is>
      </c>
      <c r="M91" s="51" t="n"/>
    </row>
    <row r="92">
      <c r="A92" s="15" t="n">
        <v>90</v>
      </c>
      <c r="B92" s="13" t="inlineStr">
        <is>
          <t>العقار</t>
        </is>
      </c>
      <c r="C92" s="21" t="inlineStr">
        <is>
          <t>نسبة إشغال الوحدات</t>
        </is>
      </c>
      <c r="D92" s="49" t="n">
        <v>0.545</v>
      </c>
      <c r="E92" s="49" t="n">
        <v>0.6</v>
      </c>
      <c r="F92" s="50" t="n">
        <v>0.9083333333333334</v>
      </c>
      <c r="G92" s="12" t="n">
        <v>0.09166666666666656</v>
      </c>
      <c r="H92" s="49" t="n">
        <v>0.545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العقار</t>
        </is>
      </c>
      <c r="M92" s="51" t="n"/>
    </row>
    <row r="93">
      <c r="A93" s="15" t="n">
        <v>91</v>
      </c>
      <c r="B93" s="13" t="inlineStr">
        <is>
          <t>الامتياز التجاري</t>
        </is>
      </c>
      <c r="C93" s="21" t="inlineStr">
        <is>
          <t>نسبة المحطات المستوفية لمعايير السلامة</t>
        </is>
      </c>
      <c r="D93" s="49" t="n">
        <v>0.911</v>
      </c>
      <c r="E93" s="49" t="n">
        <v>1</v>
      </c>
      <c r="F93" s="50" t="n">
        <v>0.911</v>
      </c>
      <c r="G93" s="12" t="n">
        <v>0.08899999999999997</v>
      </c>
      <c r="H93" s="49" t="n">
        <v>0.911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الامتياز</t>
        </is>
      </c>
      <c r="M93" s="51" t="n"/>
    </row>
    <row r="94">
      <c r="A94" s="15" t="n">
        <v>92</v>
      </c>
      <c r="B94" s="13" t="inlineStr">
        <is>
          <t>الامتياز التجاري</t>
        </is>
      </c>
      <c r="C94" s="21" t="inlineStr">
        <is>
          <t>نسبة انخفاض الشكاوى التشغيلية والإدارية</t>
        </is>
      </c>
      <c r="D94" s="49" t="n">
        <v>0.274</v>
      </c>
      <c r="E94" s="49" t="n">
        <v>0.3</v>
      </c>
      <c r="F94" s="50" t="n">
        <v>0.9133333333333334</v>
      </c>
      <c r="G94" s="12" t="n">
        <v>0.08666666666666656</v>
      </c>
      <c r="H94" s="49" t="n">
        <v>0.274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الامتياز</t>
        </is>
      </c>
      <c r="M94" s="51" t="n"/>
    </row>
    <row r="95">
      <c r="A95" s="15" t="n">
        <v>93</v>
      </c>
      <c r="B95" s="13" t="inlineStr">
        <is>
          <t>الامتياز التجاري</t>
        </is>
      </c>
      <c r="C95" s="21" t="inlineStr">
        <is>
          <t>متوسط وقت معالجة البلاغات التشغيلية</t>
        </is>
      </c>
      <c r="D95" s="49" t="n">
        <v>26.2</v>
      </c>
      <c r="E95" s="49" t="n">
        <v>24</v>
      </c>
      <c r="F95" s="50" t="n">
        <v>0.916030534351145</v>
      </c>
      <c r="G95" s="12" t="n">
        <v>0.08396946564885499</v>
      </c>
      <c r="H95" s="49" t="n">
        <v>26.2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الامتياز</t>
        </is>
      </c>
      <c r="M95" s="51" t="n"/>
    </row>
    <row r="96">
      <c r="A96" s="15" t="n">
        <v>94</v>
      </c>
      <c r="B96" s="13" t="inlineStr">
        <is>
          <t>سلاسل الإمداد</t>
        </is>
      </c>
      <c r="C96" s="21" t="inlineStr">
        <is>
          <t>دقة أوامر الشراء ومستنداتها</t>
        </is>
      </c>
      <c r="D96" s="49" t="n">
        <v>0.905</v>
      </c>
      <c r="E96" s="49" t="n">
        <v>0.98</v>
      </c>
      <c r="F96" s="50" t="n">
        <v>0.9234693877551021</v>
      </c>
      <c r="G96" s="12" t="n">
        <v>0.07653061224489788</v>
      </c>
      <c r="H96" s="49" t="n">
        <v>0.905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سلاسل الإمداد</t>
        </is>
      </c>
      <c r="M96" s="51" t="n"/>
    </row>
    <row r="97">
      <c r="A97" s="15" t="n">
        <v>95</v>
      </c>
      <c r="B97" s="13" t="inlineStr">
        <is>
          <t>التشغيل والمحطات</t>
        </is>
      </c>
      <c r="C97" s="21" t="inlineStr">
        <is>
          <t>عدد المحطات المشغّلة (تراكمي)</t>
        </is>
      </c>
      <c r="D97" s="49" t="n">
        <v>78.5</v>
      </c>
      <c r="E97" s="49" t="n">
        <v>85</v>
      </c>
      <c r="F97" s="50" t="n">
        <v>0.9235294117647059</v>
      </c>
      <c r="G97" s="12" t="n">
        <v>0.07647058823529407</v>
      </c>
      <c r="H97" s="49" t="n">
        <v>78.5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التشغيل</t>
        </is>
      </c>
      <c r="M97" s="51" t="n"/>
    </row>
    <row r="98">
      <c r="A98" s="15" t="n">
        <v>96</v>
      </c>
      <c r="B98" s="13" t="inlineStr">
        <is>
          <t>الامتياز التجاري</t>
        </is>
      </c>
      <c r="C98" s="21" t="inlineStr">
        <is>
          <t>نسبة إغلاق ملاحظات الجودة الميدانية</t>
        </is>
      </c>
      <c r="D98" s="49" t="n">
        <v>0.879</v>
      </c>
      <c r="E98" s="49" t="n">
        <v>0.95</v>
      </c>
      <c r="F98" s="50" t="n">
        <v>0.9252631578947369</v>
      </c>
      <c r="G98" s="12" t="n">
        <v>0.0747368421052631</v>
      </c>
      <c r="H98" s="49" t="n">
        <v>0.879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الامتياز</t>
        </is>
      </c>
      <c r="M98" s="51" t="n"/>
    </row>
    <row r="99">
      <c r="A99" s="15" t="n">
        <v>97</v>
      </c>
      <c r="B99" s="13" t="inlineStr">
        <is>
          <t>إدارة المشاريع</t>
        </is>
      </c>
      <c r="C99" s="21" t="inlineStr">
        <is>
          <t>متوسط مدة إغلاق قائمة الملاحظات النهائية</t>
        </is>
      </c>
      <c r="D99" s="49" t="n">
        <v>32.4</v>
      </c>
      <c r="E99" s="49" t="n">
        <v>30</v>
      </c>
      <c r="F99" s="50" t="n">
        <v>0.9259259259259259</v>
      </c>
      <c r="G99" s="12" t="n">
        <v>0.07407407407407407</v>
      </c>
      <c r="H99" s="49" t="n">
        <v>32.4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إدارة المشاريع</t>
        </is>
      </c>
      <c r="M99" s="51" t="n"/>
    </row>
    <row r="100">
      <c r="A100" s="15" t="n">
        <v>98</v>
      </c>
      <c r="B100" s="13" t="inlineStr">
        <is>
          <t>الجودة</t>
        </is>
      </c>
      <c r="C100" s="21" t="inlineStr">
        <is>
          <t>نسبة المحطات الحرجة</t>
        </is>
      </c>
      <c r="D100" s="49" t="n">
        <v>0.054</v>
      </c>
      <c r="E100" s="49" t="n">
        <v>0.05</v>
      </c>
      <c r="F100" s="50" t="n">
        <v>0.925925925925926</v>
      </c>
      <c r="G100" s="12" t="n">
        <v>0.07407407407407396</v>
      </c>
      <c r="H100" s="49" t="n">
        <v>0.054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الجودة</t>
        </is>
      </c>
      <c r="M100" s="51" t="n"/>
    </row>
    <row r="101">
      <c r="A101" s="15" t="n">
        <v>99</v>
      </c>
      <c r="B101" s="13" t="inlineStr">
        <is>
          <t>الامتياز التجاري</t>
        </is>
      </c>
      <c r="C101" s="21" t="inlineStr">
        <is>
          <t>متوسط درجة تقييم جودة المحطة (قائمة التحقق)</t>
        </is>
      </c>
      <c r="D101" s="49" t="n">
        <v>78.8</v>
      </c>
      <c r="E101" s="49" t="n">
        <v>85</v>
      </c>
      <c r="F101" s="50" t="n">
        <v>0.9270588235294117</v>
      </c>
      <c r="G101" s="12" t="n">
        <v>0.07294117647058829</v>
      </c>
      <c r="H101" s="49" t="n">
        <v>78.8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الامتياز</t>
        </is>
      </c>
      <c r="M101" s="51" t="n"/>
    </row>
    <row r="102">
      <c r="A102" s="15" t="n">
        <v>100</v>
      </c>
      <c r="B102" s="13" t="inlineStr">
        <is>
          <t>الإدارة المالية</t>
        </is>
      </c>
      <c r="C102" s="21" t="inlineStr">
        <is>
          <t>نسبة تحصيل الامتياز</t>
        </is>
      </c>
      <c r="D102" s="49" t="n">
        <v>0.91</v>
      </c>
      <c r="E102" s="49" t="n">
        <v>0.98</v>
      </c>
      <c r="F102" s="50" t="n">
        <v>0.9285714285714286</v>
      </c>
      <c r="G102" s="12" t="n">
        <v>0.0714285714285714</v>
      </c>
      <c r="H102" s="49" t="n">
        <v>0.91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المدير المالي</t>
        </is>
      </c>
      <c r="M102" s="51" t="n"/>
    </row>
    <row r="103">
      <c r="A103" s="15" t="n">
        <v>101</v>
      </c>
      <c r="B103" s="13" t="inlineStr">
        <is>
          <t>الاستثمار</t>
        </is>
      </c>
      <c r="C103" s="21" t="inlineStr">
        <is>
          <t>عدد العقود التي تغطي المناطق الـ13</t>
        </is>
      </c>
      <c r="D103" s="49" t="n">
        <v>12.1</v>
      </c>
      <c r="E103" s="49" t="n">
        <v>13</v>
      </c>
      <c r="F103" s="50" t="n">
        <v>0.9307692307692308</v>
      </c>
      <c r="G103" s="12" t="n">
        <v>0.06923076923076921</v>
      </c>
      <c r="H103" s="49" t="n">
        <v>12.1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الاستثمار</t>
        </is>
      </c>
      <c r="M103" s="51" t="n"/>
    </row>
    <row r="104">
      <c r="A104" s="15" t="n">
        <v>102</v>
      </c>
      <c r="B104" s="13" t="inlineStr">
        <is>
          <t>الاستثمار</t>
        </is>
      </c>
      <c r="C104" s="21" t="inlineStr">
        <is>
          <t>نسبة المواقع المشغّلة ذات العائد المجدي</t>
        </is>
      </c>
      <c r="D104" s="49" t="n">
        <v>0.748</v>
      </c>
      <c r="E104" s="49" t="n">
        <v>0.8</v>
      </c>
      <c r="F104" s="50" t="n">
        <v>0.9349999999999999</v>
      </c>
      <c r="G104" s="12" t="n">
        <v>0.06500000000000006</v>
      </c>
      <c r="H104" s="49" t="n">
        <v>0.748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الاستثمار</t>
        </is>
      </c>
      <c r="M104" s="51" t="n"/>
    </row>
    <row r="105">
      <c r="A105" s="15" t="n">
        <v>103</v>
      </c>
      <c r="B105" s="13" t="inlineStr">
        <is>
          <t>الإدارة القانونية</t>
        </is>
      </c>
      <c r="C105" s="21" t="inlineStr">
        <is>
          <t>متوسط زمن إغلاق قضية التحقيق</t>
        </is>
      </c>
      <c r="D105" s="49" t="n">
        <v>31.9</v>
      </c>
      <c r="E105" s="49" t="n">
        <v>30</v>
      </c>
      <c r="F105" s="50" t="n">
        <v>0.9404388714733543</v>
      </c>
      <c r="G105" s="12" t="n">
        <v>0.05956112852664575</v>
      </c>
      <c r="H105" s="49" t="n">
        <v>31.9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المدير القانوني</t>
        </is>
      </c>
      <c r="M105" s="51" t="n"/>
    </row>
    <row r="106">
      <c r="A106" s="15" t="n">
        <v>104</v>
      </c>
      <c r="B106" s="13" t="inlineStr">
        <is>
          <t>سلاسل الإمداد</t>
        </is>
      </c>
      <c r="C106" s="21" t="inlineStr">
        <is>
          <t>نسبة تغطية مخزون الوقود بالأيام</t>
        </is>
      </c>
      <c r="D106" s="49" t="n">
        <v>4.706</v>
      </c>
      <c r="E106" s="49" t="n">
        <v>5</v>
      </c>
      <c r="F106" s="50" t="n">
        <v>0.9412</v>
      </c>
      <c r="G106" s="12" t="n">
        <v>0.05879999999999996</v>
      </c>
      <c r="H106" s="49" t="n">
        <v>4.706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سلاسل الإمداد</t>
        </is>
      </c>
      <c r="M106" s="51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نسبة استمرارية تشغيل المحطات دون توقف فني</t>
        </is>
      </c>
      <c r="D107" s="49" t="n">
        <v>0.9320000000000001</v>
      </c>
      <c r="E107" s="49" t="n">
        <v>0.99</v>
      </c>
      <c r="F107" s="50" t="n">
        <v>0.9414141414141415</v>
      </c>
      <c r="G107" s="12" t="n">
        <v>0.05858585858585852</v>
      </c>
      <c r="H107" s="49" t="n">
        <v>0.9320000000000001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1" t="n"/>
    </row>
    <row r="108">
      <c r="A108" s="15" t="n">
        <v>106</v>
      </c>
      <c r="B108" s="13" t="inlineStr">
        <is>
          <t>التسويق</t>
        </is>
      </c>
      <c r="C108" s="21" t="inlineStr">
        <is>
          <t>وصول محتوى تطبيق تانكي</t>
        </is>
      </c>
      <c r="D108" s="49" t="n">
        <v>946380</v>
      </c>
      <c r="E108" s="49" t="n">
        <v>1000000</v>
      </c>
      <c r="F108" s="50" t="n">
        <v>0.94638</v>
      </c>
      <c r="G108" s="12" t="n">
        <v>0.05362</v>
      </c>
      <c r="H108" s="49" t="n">
        <v>946380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التسويق</t>
        </is>
      </c>
      <c r="M108" s="51" t="n"/>
    </row>
    <row r="109">
      <c r="A109" s="15" t="n">
        <v>107</v>
      </c>
      <c r="B109" s="13" t="inlineStr">
        <is>
          <t>الامتياز التجاري</t>
        </is>
      </c>
      <c r="C109" s="21" t="inlineStr">
        <is>
          <t>نسبة استدامة أصحاب الامتياز (Retention)</t>
        </is>
      </c>
      <c r="D109" s="49" t="n">
        <v>0.853</v>
      </c>
      <c r="E109" s="49" t="n">
        <v>0.9</v>
      </c>
      <c r="F109" s="50" t="n">
        <v>0.9477777777777777</v>
      </c>
      <c r="G109" s="12" t="n">
        <v>0.05222222222222228</v>
      </c>
      <c r="H109" s="49" t="n">
        <v>0.853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الامتياز</t>
        </is>
      </c>
      <c r="M109" s="51" t="n"/>
    </row>
    <row r="110">
      <c r="A110" s="15" t="n">
        <v>108</v>
      </c>
      <c r="B110" s="13" t="inlineStr">
        <is>
          <t>الإدارة المالية</t>
        </is>
      </c>
      <c r="C110" s="21" t="inlineStr">
        <is>
          <t>أيام تحصيل رسوم الامتياز</t>
        </is>
      </c>
      <c r="D110" s="49" t="n">
        <v>15.8</v>
      </c>
      <c r="E110" s="49" t="n">
        <v>15</v>
      </c>
      <c r="F110" s="50" t="n">
        <v>0.9493670886075949</v>
      </c>
      <c r="G110" s="12" t="n">
        <v>0.05063291139240511</v>
      </c>
      <c r="H110" s="49" t="n">
        <v>15.8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المدير المالي</t>
        </is>
      </c>
      <c r="M110" s="51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نسبة جاهزية وتغطية عمالة المحطات حسب خطة التشغيل والافتتاحات</t>
        </is>
      </c>
      <c r="D111" s="49" t="n">
        <v>0.903</v>
      </c>
      <c r="E111" s="49" t="n">
        <v>0.95</v>
      </c>
      <c r="F111" s="50" t="n">
        <v>0.9505263157894738</v>
      </c>
      <c r="G111" s="12" t="n">
        <v>0.04947368421052623</v>
      </c>
      <c r="H111" s="49" t="n">
        <v>0.903</v>
      </c>
      <c r="I111" s="15" t="inlineStr">
        <is>
          <t>🔴 تحت الهدف</t>
        </is>
      </c>
      <c r="J111" s="11" t="inlineStr">
        <is>
          <t>انحراف جوهري — أولوية عاجلة.</t>
        </is>
      </c>
      <c r="K111" s="11" t="inlineStr">
        <is>
          <t>إجراء تصحيحي خلال 30 يوماً.</t>
        </is>
      </c>
      <c r="L111" s="15" t="inlineStr">
        <is>
          <t>مدير الموارد البشرية</t>
        </is>
      </c>
      <c r="M111" s="51" t="n"/>
    </row>
    <row r="112">
      <c r="A112" s="15" t="n">
        <v>110</v>
      </c>
      <c r="B112" s="13" t="inlineStr">
        <is>
          <t>سلاسل الإمداد</t>
        </is>
      </c>
      <c r="C112" s="21" t="inlineStr">
        <is>
          <t>نسبة جاهزية الإمداد للمحطات الجديدة وخطط الافتتاح</t>
        </is>
      </c>
      <c r="D112" s="49" t="n">
        <v>0.952</v>
      </c>
      <c r="E112" s="49" t="n">
        <v>1</v>
      </c>
      <c r="F112" s="50" t="n">
        <v>0.952</v>
      </c>
      <c r="G112" s="12" t="n">
        <v>0.04800000000000004</v>
      </c>
      <c r="H112" s="49" t="n">
        <v>0.952</v>
      </c>
      <c r="I112" s="15" t="inlineStr">
        <is>
          <t>🔴 تحت الهدف</t>
        </is>
      </c>
      <c r="J112" s="11" t="inlineStr">
        <is>
          <t>انحراف جوهري — أولوية عاجلة.</t>
        </is>
      </c>
      <c r="K112" s="11" t="inlineStr">
        <is>
          <t>إجراء تصحيحي خلال 30 يوماً.</t>
        </is>
      </c>
      <c r="L112" s="15" t="inlineStr">
        <is>
          <t>مدير سلاسل الإمداد</t>
        </is>
      </c>
      <c r="M112" s="51" t="n"/>
    </row>
    <row r="113">
      <c r="A113" s="15" t="n">
        <v>111</v>
      </c>
      <c r="B113" s="13" t="inlineStr">
        <is>
          <t>الامتياز التجاري</t>
        </is>
      </c>
      <c r="C113" s="21" t="inlineStr">
        <is>
          <t>عدد عقود الامتياز الجديدة الموقّعة</t>
        </is>
      </c>
      <c r="D113" s="49" t="n">
        <v>159.2</v>
      </c>
      <c r="E113" s="49" t="n">
        <v>167</v>
      </c>
      <c r="F113" s="50" t="n">
        <v>0.9532934131736527</v>
      </c>
      <c r="G113" s="12" t="n">
        <v>0.04670658682634732</v>
      </c>
      <c r="H113" s="49" t="n">
        <v>318.4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الامتياز</t>
        </is>
      </c>
      <c r="M113" s="51" t="n"/>
    </row>
    <row r="114">
      <c r="A114" s="15" t="n">
        <v>112</v>
      </c>
      <c r="B114" s="13" t="inlineStr">
        <is>
          <t>الموارد البشرية</t>
        </is>
      </c>
      <c r="C114" s="21" t="inlineStr">
        <is>
          <t>نسبة كفاءة تكلفة القوى العاملة</t>
        </is>
      </c>
      <c r="D114" s="49" t="n">
        <v>0.917</v>
      </c>
      <c r="E114" s="49" t="n">
        <v>0.95</v>
      </c>
      <c r="F114" s="50" t="n">
        <v>0.9652631578947369</v>
      </c>
      <c r="G114" s="12" t="n">
        <v>0.03473684210526307</v>
      </c>
      <c r="H114" s="49" t="n">
        <v>0.917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الموارد البشرية</t>
        </is>
      </c>
      <c r="M114" s="51" t="n"/>
    </row>
    <row r="115">
      <c r="A115" s="15" t="n">
        <v>113</v>
      </c>
      <c r="B115" s="13" t="inlineStr">
        <is>
          <t>الامتياز التجاري</t>
        </is>
      </c>
      <c r="C115" s="21" t="inlineStr">
        <is>
          <t>نسبة حل الشكاوى خلال المدة المحددة</t>
        </is>
      </c>
      <c r="D115" s="49" t="n">
        <v>0.922</v>
      </c>
      <c r="E115" s="49" t="n">
        <v>0.95</v>
      </c>
      <c r="F115" s="50" t="n">
        <v>0.9705263157894738</v>
      </c>
      <c r="G115" s="12" t="n">
        <v>0.02947368421052621</v>
      </c>
      <c r="H115" s="49" t="n">
        <v>0.922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الامتياز</t>
        </is>
      </c>
      <c r="M115" s="51" t="n"/>
    </row>
    <row r="116">
      <c r="A116" s="15" t="n">
        <v>114</v>
      </c>
      <c r="B116" s="13" t="inlineStr">
        <is>
          <t>الإدارة التنفيذية</t>
        </is>
      </c>
      <c r="C116" s="21" t="inlineStr">
        <is>
          <t>إجمالي العقود الجديدة — الشركة</t>
        </is>
      </c>
      <c r="D116" s="49" t="n">
        <v>346.6</v>
      </c>
      <c r="E116" s="49" t="n">
        <v>357</v>
      </c>
      <c r="F116" s="50" t="n">
        <v>0.9708683473389357</v>
      </c>
      <c r="G116" s="12" t="n">
        <v>0.02913165266106432</v>
      </c>
      <c r="H116" s="49" t="n">
        <v>693.2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الرئيس التنفيذي</t>
        </is>
      </c>
      <c r="M116" s="51" t="n"/>
    </row>
    <row r="117">
      <c r="A117" s="15" t="n">
        <v>115</v>
      </c>
      <c r="B117" s="13" t="inlineStr">
        <is>
          <t>الإدارة القانونية</t>
        </is>
      </c>
      <c r="C117" s="21" t="inlineStr">
        <is>
          <t>نسبة العقود الخالية من الملاحظات والمخاطر القانونية</t>
        </is>
      </c>
      <c r="D117" s="49" t="n">
        <v>0.924</v>
      </c>
      <c r="E117" s="49" t="n">
        <v>0.95</v>
      </c>
      <c r="F117" s="50" t="n">
        <v>0.9726315789473685</v>
      </c>
      <c r="G117" s="12" t="n">
        <v>0.02736842105263149</v>
      </c>
      <c r="H117" s="49" t="n">
        <v>0.924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المدير القانوني</t>
        </is>
      </c>
      <c r="M117" s="51" t="n"/>
    </row>
    <row r="118">
      <c r="A118" s="15" t="n">
        <v>116</v>
      </c>
      <c r="B118" s="13" t="inlineStr">
        <is>
          <t>الإدارة المالية</t>
        </is>
      </c>
      <c r="C118" s="21" t="inlineStr">
        <is>
          <t>اكتمال مطابقة حسابات الموردين</t>
        </is>
      </c>
      <c r="D118" s="49" t="n">
        <v>0.926</v>
      </c>
      <c r="E118" s="49" t="n">
        <v>0.95</v>
      </c>
      <c r="F118" s="50" t="n">
        <v>0.9747368421052632</v>
      </c>
      <c r="G118" s="12" t="n">
        <v>0.02526315789473677</v>
      </c>
      <c r="H118" s="49" t="n">
        <v>0.926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المدير المالي</t>
        </is>
      </c>
      <c r="M118" s="51" t="n"/>
    </row>
    <row r="119">
      <c r="A119" s="15" t="n">
        <v>117</v>
      </c>
      <c r="B119" s="13" t="inlineStr">
        <is>
          <t>سلاسل الإمداد</t>
        </is>
      </c>
      <c r="C119" s="21" t="inlineStr">
        <is>
          <t>كفاءة إدارة الموردين</t>
        </is>
      </c>
      <c r="D119" s="49" t="n">
        <v>0.881</v>
      </c>
      <c r="E119" s="49" t="n">
        <v>0.9</v>
      </c>
      <c r="F119" s="50" t="n">
        <v>0.9788888888888889</v>
      </c>
      <c r="G119" s="12" t="n">
        <v>0.02111111111111108</v>
      </c>
      <c r="H119" s="49" t="n">
        <v>0.881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سلاسل الإمداد</t>
        </is>
      </c>
      <c r="M119" s="51" t="n"/>
    </row>
    <row r="120">
      <c r="A120" s="15" t="n">
        <v>118</v>
      </c>
      <c r="B120" s="13" t="inlineStr">
        <is>
          <t>سلاسل الإمداد</t>
        </is>
      </c>
      <c r="C120" s="21" t="inlineStr">
        <is>
          <t>نسبة إنجاز أوامر الشراء خلال المدة المستهدفة</t>
        </is>
      </c>
      <c r="D120" s="49" t="n">
        <v>0.9320000000000001</v>
      </c>
      <c r="E120" s="49" t="n">
        <v>0.95</v>
      </c>
      <c r="F120" s="50" t="n">
        <v>0.9810526315789475</v>
      </c>
      <c r="G120" s="12" t="n">
        <v>0.01894736842105249</v>
      </c>
      <c r="H120" s="49" t="n">
        <v>0.9320000000000001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سلاسل الإمداد</t>
        </is>
      </c>
      <c r="M120" s="51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تطبيق المعيار الشامل في المحطات</t>
        </is>
      </c>
      <c r="D121" s="49" t="n">
        <v>0.787</v>
      </c>
      <c r="E121" s="49" t="n">
        <v>0.8</v>
      </c>
      <c r="F121" s="50" t="n">
        <v>0.98375</v>
      </c>
      <c r="G121" s="12" t="n">
        <v>0.01624999999999999</v>
      </c>
      <c r="H121" s="49" t="n">
        <v>0.787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1" t="n"/>
    </row>
    <row r="122">
      <c r="A122" s="15" t="n">
        <v>120</v>
      </c>
      <c r="B122" s="13" t="inlineStr">
        <is>
          <t>التقنية الرقمية</t>
        </is>
      </c>
      <c r="C122" s="21" t="inlineStr">
        <is>
          <t>نسبة إنجاز مشاريع التحول الرقمي والمشاريع التقنية حسب الخطة</t>
        </is>
      </c>
      <c r="D122" s="49" t="n">
        <v>0.89</v>
      </c>
      <c r="E122" s="49" t="n">
        <v>0.9</v>
      </c>
      <c r="F122" s="50" t="n">
        <v>0.9888888888888889</v>
      </c>
      <c r="G122" s="12" t="n">
        <v>0.01111111111111107</v>
      </c>
      <c r="H122" s="49" t="n">
        <v>0.89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التقنية</t>
        </is>
      </c>
      <c r="M122" s="51" t="n"/>
    </row>
    <row r="123">
      <c r="A123" s="15" t="n">
        <v>121</v>
      </c>
      <c r="B123" s="13" t="inlineStr">
        <is>
          <t>الإدارة المالية</t>
        </is>
      </c>
      <c r="C123" s="21" t="inlineStr">
        <is>
          <t>انحراف الموازنة</t>
        </is>
      </c>
      <c r="D123" s="49" t="n">
        <v>0.101</v>
      </c>
      <c r="E123" s="49" t="n">
        <v>0.1</v>
      </c>
      <c r="F123" s="50" t="n">
        <v>0.9900990099009901</v>
      </c>
      <c r="G123" s="12" t="n">
        <v>0.00990099009900991</v>
      </c>
      <c r="H123" s="49" t="n">
        <v>0.101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المدير المالي</t>
        </is>
      </c>
      <c r="M123" s="51" t="n"/>
    </row>
    <row r="124">
      <c r="A124" s="15" t="n">
        <v>122</v>
      </c>
      <c r="B124" s="13" t="inlineStr">
        <is>
          <t>الصيانة والأتمتة</t>
        </is>
      </c>
      <c r="C124" s="21" t="inlineStr">
        <is>
          <t>نسبة استعادة أنظمة الأتمتة ضمن الزمن المحدد</t>
        </is>
      </c>
      <c r="D124" s="49" t="n">
        <v>0.9419999999999999</v>
      </c>
      <c r="E124" s="49" t="n">
        <v>0.95</v>
      </c>
      <c r="F124" s="50" t="n">
        <v>0.991578947368421</v>
      </c>
      <c r="G124" s="12" t="n">
        <v>0.008421052631578996</v>
      </c>
      <c r="H124" s="49" t="n">
        <v>0.9419999999999999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الصيانة والأتمتة</t>
        </is>
      </c>
      <c r="M124" s="51" t="n"/>
    </row>
    <row r="125">
      <c r="A125" s="15" t="n">
        <v>123</v>
      </c>
      <c r="B125" s="13" t="inlineStr">
        <is>
          <t>الجودة</t>
        </is>
      </c>
      <c r="C125" s="21" t="inlineStr">
        <is>
          <t>نسبة اكتمال وتحديث الإجراءات المعتمدة</t>
        </is>
      </c>
      <c r="D125" s="49" t="n">
        <v>0.944</v>
      </c>
      <c r="E125" s="49" t="n">
        <v>0.95</v>
      </c>
      <c r="F125" s="50" t="n">
        <v>0.9936842105263158</v>
      </c>
      <c r="G125" s="12" t="n">
        <v>0.006315789473684164</v>
      </c>
      <c r="H125" s="49" t="n">
        <v>0.944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الجودة</t>
        </is>
      </c>
      <c r="M125" s="51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تطبيق المعيار الشامل داخل المحطات</t>
        </is>
      </c>
      <c r="D126" s="49" t="n">
        <v>0.299</v>
      </c>
      <c r="E126" s="49" t="n">
        <v>0.3</v>
      </c>
      <c r="F126" s="50" t="n">
        <v>0.9966666666666667</v>
      </c>
      <c r="G126" s="12" t="n">
        <v>0.003333333333333299</v>
      </c>
      <c r="H126" s="49" t="n">
        <v>0.299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1" t="n"/>
    </row>
  </sheetData>
  <autoFilter ref="A2:M126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70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نسبة إشغال الوحدات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0.6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زيادة عدد العلامات التجارية</t>
        </is>
      </c>
      <c r="D53" s="15" t="inlineStr">
        <is>
          <t>شهري</t>
        </is>
      </c>
      <c r="E53" s="15" t="inlineStr">
        <is>
          <t>لقطة</t>
        </is>
      </c>
      <c r="F53" s="49" t="inlineStr">
        <is>
          <t>↑</t>
        </is>
      </c>
      <c r="G53" s="55" t="n">
        <v>246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IFERROR(LOOKUP(2,1/($H53:$S53&lt;&gt;""),$H53:$S53),"")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معدل رضا المستأجرين (استبيان ربعي)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9" t="n">
        <v>0.9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61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تحصيل الإيجارات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0.95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إدارة المشاريع</t>
        </is>
      </c>
      <c r="C56" s="11" t="inlineStr">
        <is>
          <t>نسبة إنجاز محفظة المشاريع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9" t="n">
        <v>0.7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إدارة المشاريع</t>
        </is>
      </c>
      <c r="C57" s="11" t="inlineStr">
        <is>
          <t>نسبة تسليم المحطات في الموعد المخطط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0.8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إدارة المشاريع</t>
        </is>
      </c>
      <c r="C58" s="11" t="inlineStr">
        <is>
          <t>متوسط مدة إغلاق قائمة الملاحظات النهائية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↓</t>
        </is>
      </c>
      <c r="G58" s="62" t="n">
        <v>30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4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5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سلاسل الإمداد</t>
        </is>
      </c>
      <c r="C59" s="11" t="inlineStr">
        <is>
          <t>نسبة تلبية طلبات المحطات من الوقود Fill Rate</t>
        </is>
      </c>
      <c r="D59" s="15" t="inlineStr">
        <is>
          <t>شهري</t>
        </is>
      </c>
      <c r="E59" s="15" t="inlineStr">
        <is>
          <t>معدل</t>
        </is>
      </c>
      <c r="F59" s="49" t="inlineStr">
        <is>
          <t>↑</t>
        </is>
      </c>
      <c r="G59" s="59" t="n">
        <v>0.98</v>
      </c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50">
        <f>IF(COUNT($H59:$S59)=0,"",SUM($H59:$S59)/COUNT($H59:$S59))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61">
        <f>IF($G59="","",$G59)</f>
        <v/>
      </c>
      <c r="X59" s="54">
        <f>IF($U59="","—",IF($U59&gt;=0.85,"🟢 على المسار","🟠 متأخّر"))</f>
        <v/>
      </c>
    </row>
    <row r="60" ht="22" customHeight="1">
      <c r="A60" s="54" t="n">
        <v>57</v>
      </c>
      <c r="B60" s="13" t="inlineStr">
        <is>
          <t>سلاسل الإمداد</t>
        </is>
      </c>
      <c r="C60" s="11" t="inlineStr">
        <is>
          <t>عدد انقطاعات التوريد المؤثرة شهريًا</t>
        </is>
      </c>
      <c r="D60" s="15" t="inlineStr">
        <is>
          <t>شهري</t>
        </is>
      </c>
      <c r="E60" s="15" t="inlineStr">
        <is>
          <t>تراكمي</t>
        </is>
      </c>
      <c r="F60" s="49" t="inlineStr">
        <is>
          <t>↓</t>
        </is>
      </c>
      <c r="G60" s="55" t="n">
        <v>0</v>
      </c>
      <c r="H60" s="56" t="n"/>
      <c r="I60" s="56" t="n"/>
      <c r="J60" s="56" t="n"/>
      <c r="K60" s="56" t="n"/>
      <c r="L60" s="56" t="n"/>
      <c r="M60" s="56" t="n"/>
      <c r="N60" s="56" t="n"/>
      <c r="O60" s="56" t="n"/>
      <c r="P60" s="56" t="n"/>
      <c r="Q60" s="56" t="n"/>
      <c r="R60" s="56" t="n"/>
      <c r="S60" s="56" t="n"/>
      <c r="T60" s="57">
        <f>IF(COUNT($H60:$S60)=0,"",SUM($H60:$S60))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58">
        <f>IF($G60="","",$G60*COUNT($H60:$S60)/12)</f>
        <v/>
      </c>
      <c r="X60" s="54">
        <f>IF($U60="","—",IF($U60&gt;=COUNT($H60:$S60)/12,"🟢 على المسار","🟠 متأخّر"))</f>
        <v/>
      </c>
    </row>
    <row r="61" ht="22" customHeight="1">
      <c r="A61" s="54" t="n">
        <v>58</v>
      </c>
      <c r="B61" s="13" t="inlineStr">
        <is>
          <t>سلاسل الإمداد</t>
        </is>
      </c>
      <c r="C61" s="11" t="inlineStr">
        <is>
          <t>نسبة تغطية مخزون الوقود بالأيام</t>
        </is>
      </c>
      <c r="D61" s="15" t="inlineStr">
        <is>
          <t>شهري</t>
        </is>
      </c>
      <c r="E61" s="15" t="inlineStr">
        <is>
          <t>معدل</t>
        </is>
      </c>
      <c r="F61" s="49" t="inlineStr">
        <is>
          <t>↑</t>
        </is>
      </c>
      <c r="G61" s="62" t="n">
        <v>5</v>
      </c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4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هدف",IF($U61&gt;=1.0,"✅ محقق",IF($U61&gt;=0.85,"🟡 قريب","🔴 تحت الهدف")))</f>
        <v/>
      </c>
      <c r="W61" s="65">
        <f>IF($G61="","",$G61)</f>
        <v/>
      </c>
      <c r="X61" s="54">
        <f>IF($U61="","—",IF($U61&gt;=0.85,"🟢 على المسار","🟠 متأخّر"))</f>
        <v/>
      </c>
    </row>
    <row r="62" ht="22" customHeight="1">
      <c r="A62" s="54" t="n">
        <v>59</v>
      </c>
      <c r="B62" s="13" t="inlineStr">
        <is>
          <t>سلاسل الإمداد</t>
        </is>
      </c>
      <c r="C62" s="11" t="inlineStr">
        <is>
          <t>نسبة توفر المواد المخزنية والحرجة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0.98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سلاسل الإمداد</t>
        </is>
      </c>
      <c r="C63" s="11" t="inlineStr">
        <is>
          <t>نسبة المواد الراكدة من المخزون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↓</t>
        </is>
      </c>
      <c r="G63" s="59" t="n">
        <v>0.05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سلاسل الإمداد</t>
        </is>
      </c>
      <c r="C64" s="11" t="inlineStr">
        <is>
          <t>دقة أوامر الشراء ومستنداتها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↑</t>
        </is>
      </c>
      <c r="G64" s="59" t="n">
        <v>0.98</v>
      </c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1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سلاسل الإمداد</t>
        </is>
      </c>
      <c r="C65" s="11" t="inlineStr">
        <is>
          <t>نسبة إنجاز أوامر الشراء خلال المدة المستهدفة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0.95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سلاسل الإمداد</t>
        </is>
      </c>
      <c r="C66" s="11" t="inlineStr">
        <is>
          <t>نسبة الالتزام بزمن التسليم والتوريد للمحطات والإدارات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0.95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سلاسل الإمداد</t>
        </is>
      </c>
      <c r="C67" s="11" t="inlineStr">
        <is>
          <t>نسبة جاهزية الإمداد للمحطات الجديدة وخطط الافتتاح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↑</t>
        </is>
      </c>
      <c r="G67" s="59" t="n">
        <v>1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محقق",IF($U67&gt;=0.97,"🟡 قريب","🔴 تحت الهدف")))</f>
        <v/>
      </c>
      <c r="W67" s="61">
        <f>IF($G67="","",$G67)</f>
        <v/>
      </c>
      <c r="X67" s="54">
        <f>IF($U67="","—",IF($U67&gt;=0.97,"🟢 على المسار","🟠 متأخّر"))</f>
        <v/>
      </c>
    </row>
    <row r="68" ht="22" customHeight="1">
      <c r="A68" s="54" t="n">
        <v>65</v>
      </c>
      <c r="B68" s="13" t="inlineStr">
        <is>
          <t>سلاسل الإمداد</t>
        </is>
      </c>
      <c r="C68" s="11" t="inlineStr">
        <is>
          <t>نسبة الالتزام بجدول النقل واستخدام الأسطول بكفاءة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59" t="n">
        <v>0.9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سلاسل الإمداد</t>
        </is>
      </c>
      <c r="C69" s="11" t="inlineStr">
        <is>
          <t>كفاءة إدارة الموردين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↑</t>
        </is>
      </c>
      <c r="G69" s="59" t="n">
        <v>0.9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سلاسل الإمداد</t>
        </is>
      </c>
      <c r="C70" s="11" t="inlineStr">
        <is>
          <t>مستوى رضا الإدارات عن خدمات سلاسل الإمداد</t>
        </is>
      </c>
      <c r="D70" s="15" t="inlineStr">
        <is>
          <t>ربعي</t>
        </is>
      </c>
      <c r="E70" s="15" t="inlineStr">
        <is>
          <t>معدل</t>
        </is>
      </c>
      <c r="F70" s="49" t="inlineStr">
        <is>
          <t>↑</t>
        </is>
      </c>
      <c r="G70" s="59" t="n">
        <v>0.85</v>
      </c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50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هدف",IF($U70&gt;=0.9,"✅ محقق",IF($U70&gt;=0.75,"🟡 قريب","🔴 تحت الهدف")))</f>
        <v/>
      </c>
      <c r="W70" s="61">
        <f>IF($G70="","",$G70)</f>
        <v/>
      </c>
      <c r="X70" s="54">
        <f>IF($U70="","—",IF($U70&gt;=0.75,"🟢 على المسار","🟠 متأخّر"))</f>
        <v/>
      </c>
    </row>
    <row r="71" ht="22" customHeight="1">
      <c r="A71" s="54" t="n">
        <v>68</v>
      </c>
      <c r="B71" s="13" t="inlineStr">
        <is>
          <t>الصيانة والأتمتة</t>
        </is>
      </c>
      <c r="C71" s="11" t="inlineStr">
        <is>
          <t>نسبة الجاهزية الفنية للأصول والمعدات (Availability)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0.98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محقق",IF($U71&gt;=0.97,"🟡 قريب","🔴 تحت الهدف")))</f>
        <v/>
      </c>
      <c r="W71" s="61">
        <f>IF($G71="","",$G71)</f>
        <v/>
      </c>
      <c r="X71" s="54">
        <f>IF($U71="","—",IF($U71&gt;=0.97,"🟢 على المسار","🟠 متأخّر"))</f>
        <v/>
      </c>
    </row>
    <row r="72" ht="22" customHeight="1">
      <c r="A72" s="54" t="n">
        <v>69</v>
      </c>
      <c r="B72" s="13" t="inlineStr">
        <is>
          <t>الصيانة والأتمتة</t>
        </is>
      </c>
      <c r="C72" s="11" t="inlineStr">
        <is>
          <t>نسبة تنفيذ الصيانة الوقائية في موعدها (PM)</t>
        </is>
      </c>
      <c r="D72" s="15" t="inlineStr">
        <is>
          <t>شهري</t>
        </is>
      </c>
      <c r="E72" s="15" t="inlineStr">
        <is>
          <t>معدل</t>
        </is>
      </c>
      <c r="F72" s="49" t="inlineStr">
        <is>
          <t>↑</t>
        </is>
      </c>
      <c r="G72" s="59" t="n">
        <v>0.95</v>
      </c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50">
        <f>IF(COUNT($H72:$S72)=0,"",SUM($H72:$S72)/COUNT($H72:$S72))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61">
        <f>IF($G72="","",$G72)</f>
        <v/>
      </c>
      <c r="X72" s="54">
        <f>IF($U72="","—",IF($U72&gt;=0.85,"🟢 على المسار","🟠 متأخّر"))</f>
        <v/>
      </c>
    </row>
    <row r="73" ht="22" customHeight="1">
      <c r="A73" s="54" t="n">
        <v>70</v>
      </c>
      <c r="B73" s="13" t="inlineStr">
        <is>
          <t>الصيانة والأتمتة</t>
        </is>
      </c>
      <c r="C73" s="11" t="inlineStr">
        <is>
          <t>نسبة إغلاق بلاغات الصيانة ضمن اتفاقية الخدمة (SLA)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59" t="n">
        <v>0.95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الصيانة والأتمتة</t>
        </is>
      </c>
      <c r="C74" s="11" t="inlineStr">
        <is>
          <t>متوسط زمن الاستجابة للبلاغات الطارئة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↓</t>
        </is>
      </c>
      <c r="G74" s="62" t="n">
        <v>30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5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الصيانة والأتمتة</t>
        </is>
      </c>
      <c r="C75" s="11" t="inlineStr">
        <is>
          <t>متوسط زمن إصلاح الأعطال (MTTR)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↓</t>
        </is>
      </c>
      <c r="G75" s="62" t="n">
        <v>4</v>
      </c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4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65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الصيانة والأتمتة</t>
        </is>
      </c>
      <c r="C76" s="11" t="inlineStr">
        <is>
          <t>معدل تكرار الأعطال</t>
        </is>
      </c>
      <c r="D76" s="15" t="inlineStr">
        <is>
          <t>شهري</t>
        </is>
      </c>
      <c r="E76" s="15" t="inlineStr">
        <is>
          <t>معدل</t>
        </is>
      </c>
      <c r="F76" s="49" t="inlineStr">
        <is>
          <t>↓</t>
        </is>
      </c>
      <c r="G76" s="59" t="n">
        <v>0.05</v>
      </c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50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61">
        <f>IF($G76="","",$G76)</f>
        <v/>
      </c>
      <c r="X76" s="54">
        <f>IF($U76="","—",IF($U76&gt;=0.85,"🟢 على المسار","🟠 متأخّر"))</f>
        <v/>
      </c>
    </row>
    <row r="77" ht="22" customHeight="1">
      <c r="A77" s="54" t="n">
        <v>74</v>
      </c>
      <c r="B77" s="13" t="inlineStr">
        <is>
          <t>الصيانة والأتمتة</t>
        </is>
      </c>
      <c r="C77" s="11" t="inlineStr">
        <is>
          <t>نسبة استمرارية تشغيل المحطات دون توقف فني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0.99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الصيانة والأتمتة</t>
        </is>
      </c>
      <c r="C78" s="11" t="inlineStr">
        <is>
          <t>نسبة التشغيل السليم لأنظمة الأتمتة (Uptime)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0.99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محقق",IF($U78&gt;=0.97,"🟡 قريب","🔴 تحت الهدف")))</f>
        <v/>
      </c>
      <c r="W78" s="61">
        <f>IF($G78="","",$G78)</f>
        <v/>
      </c>
      <c r="X78" s="54">
        <f>IF($U78="","—",IF($U78&gt;=0.97,"🟢 على المسار","🟠 متأخّر"))</f>
        <v/>
      </c>
    </row>
    <row r="79" ht="22" customHeight="1">
      <c r="A79" s="54" t="n">
        <v>76</v>
      </c>
      <c r="B79" s="13" t="inlineStr">
        <is>
          <t>الصيانة والأتمتة</t>
        </is>
      </c>
      <c r="C79" s="11" t="inlineStr">
        <is>
          <t>نسبة استعادة أنظمة الأتمتة ضمن الزمن المحدد</t>
        </is>
      </c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59" t="n">
        <v>0.95</v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1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الصيانة والأتمتة</t>
        </is>
      </c>
      <c r="C80" s="11" t="inlineStr">
        <is>
          <t>كفاءة تكاليف الصيانة (الالتزام بالميزانية)</t>
        </is>
      </c>
      <c r="D80" s="15" t="inlineStr">
        <is>
          <t>شهري</t>
        </is>
      </c>
      <c r="E80" s="15" t="inlineStr">
        <is>
          <t>معدل</t>
        </is>
      </c>
      <c r="F80" s="49" t="inlineStr">
        <is>
          <t>↑</t>
        </is>
      </c>
      <c r="G80" s="59" t="n">
        <v>0.95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61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التقنية الرقمية</t>
        </is>
      </c>
      <c r="C81" s="11" t="inlineStr">
        <is>
          <t>نسبة توفر الأنظمة والخدمات التقنية المركزية</t>
        </is>
      </c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59" t="n">
        <v>0.99</v>
      </c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61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التقنية الرقمية</t>
        </is>
      </c>
      <c r="C82" s="11" t="inlineStr">
        <is>
          <t>نسبة معالجة الأعطال وطلبات الدعم الفني ضمن المدة المستهدفة SLA</t>
        </is>
      </c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59" t="n">
        <v>0.95</v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1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التقنية الرقمية</t>
        </is>
      </c>
      <c r="C83" s="11" t="inlineStr">
        <is>
          <t>نسبة استقرار التشغيل التقني للمحطات</t>
        </is>
      </c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59" t="n">
        <v>0.99</v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1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التقنية الرقمية</t>
        </is>
      </c>
      <c r="C84" s="11" t="inlineStr">
        <is>
          <t>نسبة إنجاز مشاريع التحول الرقمي والمشاريع التقنية حسب الخطة</t>
        </is>
      </c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59" t="n">
        <v>0.9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التقنية الرقمية</t>
        </is>
      </c>
      <c r="C85" s="11" t="inlineStr">
        <is>
          <t>نسبة تسليم المشاريع التقنية ضمن الوقت والميزانية ونطاق العمل المعتمد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0.9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التقنية الرقمية</t>
        </is>
      </c>
      <c r="C86" s="11" t="inlineStr">
        <is>
          <t>نسبة الالتزام بإدارة صلاحيات المستخدمين والحسابات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59" t="n">
        <v>1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التقنية الرقمية</t>
        </is>
      </c>
      <c r="C87" s="11" t="inlineStr">
        <is>
          <t>نسبة نجاح النسخ الاحتياطي واختبارات استعادة البيانات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↑</t>
        </is>
      </c>
      <c r="G87" s="59" t="n">
        <v>1</v>
      </c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1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التقنية الرقمية</t>
        </is>
      </c>
      <c r="C88" s="11" t="inlineStr">
        <is>
          <t>نسبة الامتثال لضوابط الأمن السيبراني الأساسية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9" t="n">
        <v>0.95</v>
      </c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محقق",IF($U88&gt;=0.97,"🟡 قريب","🔴 تحت الهدف")))</f>
        <v/>
      </c>
      <c r="W88" s="61">
        <f>IF($G88="","",$G88)</f>
        <v/>
      </c>
      <c r="X88" s="54">
        <f>IF($U88="","—",IF($U88&gt;=0.97,"🟢 على المسار","🟠 متأخّر"))</f>
        <v/>
      </c>
    </row>
    <row r="89" ht="22" customHeight="1">
      <c r="A89" s="54" t="n">
        <v>86</v>
      </c>
      <c r="B89" s="13" t="inlineStr">
        <is>
          <t>التقنية الرقمية</t>
        </is>
      </c>
      <c r="C89" s="11" t="inlineStr">
        <is>
          <t>نسبة دقة وتكامل البيانات بين الأنظمة الرقمية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59" t="n">
        <v>0.98</v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التقنية الرقمية</t>
        </is>
      </c>
      <c r="C90" s="11" t="inlineStr">
        <is>
          <t>نسبة الالتزام بتحديث وتوثيق أصول تقنية المعلومات والتراخيص</t>
        </is>
      </c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59" t="n">
        <v>0.95</v>
      </c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50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61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التقنية الرقمية</t>
        </is>
      </c>
      <c r="C91" s="11" t="inlineStr">
        <is>
          <t>نسبة تنفيذ الصيانة الوقائية للأجهزة والبنية التقنية</t>
        </is>
      </c>
      <c r="D91" s="15" t="inlineStr">
        <is>
          <t>شهري</t>
        </is>
      </c>
      <c r="E91" s="15" t="inlineStr">
        <is>
          <t>معدل</t>
        </is>
      </c>
      <c r="F91" s="49" t="inlineStr">
        <is>
          <t>↑</t>
        </is>
      </c>
      <c r="G91" s="59" t="n">
        <v>0.95</v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التقنية الرقمية</t>
        </is>
      </c>
      <c r="C92" s="11" t="inlineStr">
        <is>
          <t>مستوى رضا الإدارات والمستخدمين عن خدمات تقنية المعلومات</t>
        </is>
      </c>
      <c r="D92" s="15" t="inlineStr">
        <is>
          <t>ربعي</t>
        </is>
      </c>
      <c r="E92" s="15" t="inlineStr">
        <is>
          <t>معدل</t>
        </is>
      </c>
      <c r="F92" s="49" t="inlineStr">
        <is>
          <t>↑</t>
        </is>
      </c>
      <c r="G92" s="59" t="n">
        <v>0.85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هدف",IF($U92&gt;=0.9,"✅ محقق",IF($U92&gt;=0.75,"🟡 قريب","🔴 تحت الهدف")))</f>
        <v/>
      </c>
      <c r="W92" s="61">
        <f>IF($G92="","",$G92)</f>
        <v/>
      </c>
      <c r="X92" s="54">
        <f>IF($U92="","—",IF($U92&gt;=0.75,"🟢 على المسار","🟠 متأخّر"))</f>
        <v/>
      </c>
    </row>
    <row r="93" ht="22" customHeight="1">
      <c r="A93" s="54" t="n">
        <v>90</v>
      </c>
      <c r="B93" s="13" t="inlineStr">
        <is>
          <t>الموارد البشرية</t>
        </is>
      </c>
      <c r="C93" s="11" t="inlineStr">
        <is>
          <t>نسبة الالتزام بالتوطين والامتثال الحكومي دون مخالفات</t>
        </is>
      </c>
      <c r="D93" s="15" t="inlineStr">
        <is>
          <t>شهري</t>
        </is>
      </c>
      <c r="E93" s="15" t="inlineStr">
        <is>
          <t>معدل</t>
        </is>
      </c>
      <c r="F93" s="49" t="inlineStr">
        <is>
          <t>↑</t>
        </is>
      </c>
      <c r="G93" s="59" t="n">
        <v>1</v>
      </c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50">
        <f>IF(COUNT($H93:$S93)=0,"",SUM($H93:$S93)/COUNT($H93:$S93))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محقق",IF($U93&gt;=0.97,"🟡 قريب","🔴 تحت الهدف")))</f>
        <v/>
      </c>
      <c r="W93" s="61">
        <f>IF($G93="","",$G93)</f>
        <v/>
      </c>
      <c r="X93" s="54">
        <f>IF($U93="","—",IF($U93&gt;=0.97,"🟢 على المسار","🟠 متأخّر"))</f>
        <v/>
      </c>
    </row>
    <row r="94" ht="22" customHeight="1">
      <c r="A94" s="54" t="n">
        <v>91</v>
      </c>
      <c r="B94" s="13" t="inlineStr">
        <is>
          <t>الموارد البشرية</t>
        </is>
      </c>
      <c r="C94" s="11" t="inlineStr">
        <is>
          <t>نسبة الالتزام بنظام العمل واللوائح وخطة القوى العاملة المعتمدة</t>
        </is>
      </c>
      <c r="D94" s="15" t="inlineStr">
        <is>
          <t>شهري</t>
        </is>
      </c>
      <c r="E94" s="15" t="inlineStr">
        <is>
          <t>معدل</t>
        </is>
      </c>
      <c r="F94" s="49" t="inlineStr">
        <is>
          <t>↑</t>
        </is>
      </c>
      <c r="G94" s="59" t="n">
        <v>1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61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الموارد البشرية</t>
        </is>
      </c>
      <c r="C95" s="11" t="inlineStr">
        <is>
          <t>نسبة إنجاز معاملات شؤون الموظفين ضمن المدة المستهدفة SLA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↑</t>
        </is>
      </c>
      <c r="G95" s="59" t="n">
        <v>0.9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1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الموارد البشرية</t>
        </is>
      </c>
      <c r="C96" s="11" t="inlineStr">
        <is>
          <t>نسبة الالتزام بتجديد الوثائق واكتمال ملفات الموظفين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1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الموارد البشرية</t>
        </is>
      </c>
      <c r="C97" s="11" t="inlineStr">
        <is>
          <t>نسبة جاهزية وتغطية عمالة المحطات حسب خطة التشغيل والافتتاحات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0.95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محقق",IF($U97&gt;=0.97,"🟡 قريب","🔴 تحت الهدف")))</f>
        <v/>
      </c>
      <c r="W97" s="61">
        <f>IF($G97="","",$G97)</f>
        <v/>
      </c>
      <c r="X97" s="54">
        <f>IF($U97="","—",IF($U97&gt;=0.97,"🟢 على المسار","🟠 متأخّر"))</f>
        <v/>
      </c>
    </row>
    <row r="98" ht="22" customHeight="1">
      <c r="A98" s="54" t="n">
        <v>95</v>
      </c>
      <c r="B98" s="13" t="inlineStr">
        <is>
          <t>الموارد البشرية</t>
        </is>
      </c>
      <c r="C98" s="11" t="inlineStr">
        <is>
          <t>متوسط مدة إغلاق الشواغر المعتمدة</t>
        </is>
      </c>
      <c r="D98" s="15" t="inlineStr">
        <is>
          <t>شهري</t>
        </is>
      </c>
      <c r="E98" s="15" t="inlineStr">
        <is>
          <t>معدل</t>
        </is>
      </c>
      <c r="F98" s="49" t="inlineStr">
        <is>
          <t>↓</t>
        </is>
      </c>
      <c r="G98" s="62" t="n">
        <v>30</v>
      </c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4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65">
        <f>IF($G98="","",$G98)</f>
        <v/>
      </c>
      <c r="X98" s="54">
        <f>IF($U98="","—",IF($U98&gt;=0.85,"🟢 على المسار","🟠 متأخّر"))</f>
        <v/>
      </c>
    </row>
    <row r="99" ht="22" customHeight="1">
      <c r="A99" s="54" t="n">
        <v>96</v>
      </c>
      <c r="B99" s="13" t="inlineStr">
        <is>
          <t>الموارد البشرية</t>
        </is>
      </c>
      <c r="C99" s="11" t="inlineStr">
        <is>
          <t>نسبة نجاح التعيينات الجديدة خلال فترة التجربة</t>
        </is>
      </c>
      <c r="D99" s="15" t="inlineStr">
        <is>
          <t>شهري</t>
        </is>
      </c>
      <c r="E99" s="15" t="inlineStr">
        <is>
          <t>معدل</t>
        </is>
      </c>
      <c r="F99" s="49" t="inlineStr">
        <is>
          <t>↑</t>
        </is>
      </c>
      <c r="G99" s="59" t="n">
        <v>0.9</v>
      </c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50">
        <f>IF(COUNT($H99:$S99)=0,"",SUM($H99:$S99)/COUNT($H99:$S99))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61">
        <f>IF($G99="","",$G99)</f>
        <v/>
      </c>
      <c r="X99" s="54">
        <f>IF($U99="","—",IF($U99&gt;=0.85,"🟢 على المسار","🟠 متأخّر"))</f>
        <v/>
      </c>
    </row>
    <row r="100" ht="22" customHeight="1">
      <c r="A100" s="54" t="n">
        <v>97</v>
      </c>
      <c r="B100" s="13" t="inlineStr">
        <is>
          <t>الموارد البشرية</t>
        </is>
      </c>
      <c r="C100" s="11" t="inlineStr">
        <is>
          <t>نسبة كفاءة تكلفة القوى العاملة</t>
        </is>
      </c>
      <c r="D100" s="15" t="inlineStr">
        <is>
          <t>شهري</t>
        </is>
      </c>
      <c r="E100" s="15" t="inlineStr">
        <is>
          <t>معدل</t>
        </is>
      </c>
      <c r="F100" s="49" t="inlineStr">
        <is>
          <t>↑</t>
        </is>
      </c>
      <c r="G100" s="59" t="n">
        <v>0.95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61">
        <f>IF($G100="","",$G100)</f>
        <v/>
      </c>
      <c r="X100" s="54">
        <f>IF($U100="","—",IF($U100&gt;=0.85,"🟢 على المسار","🟠 متأخّر"))</f>
        <v/>
      </c>
    </row>
    <row r="101" ht="22" customHeight="1">
      <c r="A101" s="54" t="n">
        <v>98</v>
      </c>
      <c r="B101" s="13" t="inlineStr">
        <is>
          <t>الموارد البشرية</t>
        </is>
      </c>
      <c r="C101" s="11" t="inlineStr">
        <is>
          <t>نسبة دقة الرواتب والمستحقات الشهرية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↑</t>
        </is>
      </c>
      <c r="G101" s="59" t="n">
        <v>0.995</v>
      </c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50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1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الموارد البشرية</t>
        </is>
      </c>
      <c r="C102" s="11" t="inlineStr">
        <is>
          <t>معدل دوران الموظفين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↓</t>
        </is>
      </c>
      <c r="G102" s="59" t="n">
        <v>0.1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1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الموارد البشرية</t>
        </is>
      </c>
      <c r="C103" s="11" t="inlineStr">
        <is>
          <t>نسبة تنفيذ برامج التدريب والتأهيل المعتمدة</t>
        </is>
      </c>
      <c r="D103" s="15" t="inlineStr">
        <is>
          <t>شهري</t>
        </is>
      </c>
      <c r="E103" s="15" t="inlineStr">
        <is>
          <t>معدل</t>
        </is>
      </c>
      <c r="F103" s="49" t="inlineStr">
        <is>
          <t>↑</t>
        </is>
      </c>
      <c r="G103" s="59" t="n">
        <v>0.9</v>
      </c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50">
        <f>IF(COUNT($H103:$S103)=0,"",SUM($H103:$S103)/COUNT($H103:$S103))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61">
        <f>IF($G103="","",$G103)</f>
        <v/>
      </c>
      <c r="X103" s="54">
        <f>IF($U103="","—",IF($U103&gt;=0.85,"🟢 على المسار","🟠 متأخّر"))</f>
        <v/>
      </c>
    </row>
    <row r="104" ht="22" customHeight="1">
      <c r="A104" s="54" t="n">
        <v>101</v>
      </c>
      <c r="B104" s="13" t="inlineStr">
        <is>
          <t>الموارد البشرية</t>
        </is>
      </c>
      <c r="C104" s="11" t="inlineStr">
        <is>
          <t>نسبة إغلاق تقييمات الأداء وخطط الإحلال للوظائف الحرجة</t>
        </is>
      </c>
      <c r="D104" s="15" t="inlineStr">
        <is>
          <t>شهري</t>
        </is>
      </c>
      <c r="E104" s="15" t="inlineStr">
        <is>
          <t>معدل</t>
        </is>
      </c>
      <c r="F104" s="49" t="inlineStr">
        <is>
          <t>↑</t>
        </is>
      </c>
      <c r="G104" s="59" t="n">
        <v>0.95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التسويق</t>
        </is>
      </c>
      <c r="C105" s="11" t="inlineStr">
        <is>
          <t>الوصول الكلي (Total Reach)</t>
        </is>
      </c>
      <c r="D105" s="15" t="inlineStr">
        <is>
          <t>شهري</t>
        </is>
      </c>
      <c r="E105" s="15" t="inlineStr">
        <is>
          <t>لقطة</t>
        </is>
      </c>
      <c r="F105" s="49" t="inlineStr">
        <is>
          <t>↑</t>
        </is>
      </c>
      <c r="G105" s="55" t="n">
        <v>50000000</v>
      </c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7">
        <f>IFERROR(LOOKUP(2,1/($H105:$S105&lt;&gt;""),$H105:$S105),"")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هدف",IF($U105&gt;=0.9,"✅ محقق",IF($U105&gt;=0.75,"🟡 قريب","🔴 تحت الهدف")))</f>
        <v/>
      </c>
      <c r="W105" s="58">
        <f>IF($G105="","",$G105)</f>
        <v/>
      </c>
      <c r="X105" s="54">
        <f>IF($U105="","—",IF($U105&gt;=0.75,"🟢 على المسار","🟠 متأخّر"))</f>
        <v/>
      </c>
    </row>
    <row r="106" ht="22" customHeight="1">
      <c r="A106" s="54" t="n">
        <v>103</v>
      </c>
      <c r="B106" s="13" t="inlineStr">
        <is>
          <t>التسويق</t>
        </is>
      </c>
      <c r="C106" s="11" t="inlineStr">
        <is>
          <t>عملاء تجاريون جدد</t>
        </is>
      </c>
      <c r="D106" s="15" t="inlineStr">
        <is>
          <t>شهري</t>
        </is>
      </c>
      <c r="E106" s="15" t="inlineStr">
        <is>
          <t>تراكمي</t>
        </is>
      </c>
      <c r="F106" s="49" t="inlineStr">
        <is>
          <t>↑</t>
        </is>
      </c>
      <c r="G106" s="55" t="n">
        <v>200</v>
      </c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7">
        <f>IF(COUNT($H106:$S106)=0,"",SUM($H106:$S106))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58">
        <f>IF($G106="","",$G106*COUNT($H106:$S106)/12)</f>
        <v/>
      </c>
      <c r="X106" s="54">
        <f>IF($U106="","—",IF($U106&gt;=COUNT($H106:$S106)/12,"🟢 على المسار","🟠 متأخّر"))</f>
        <v/>
      </c>
    </row>
    <row r="107" ht="22" customHeight="1">
      <c r="A107" s="54" t="n">
        <v>104</v>
      </c>
      <c r="B107" s="13" t="inlineStr">
        <is>
          <t>التسويق</t>
        </is>
      </c>
      <c r="C107" s="11" t="inlineStr">
        <is>
          <t>إجمالي المتابعين (كل المنصات)</t>
        </is>
      </c>
      <c r="D107" s="15" t="inlineStr">
        <is>
          <t>شهري</t>
        </is>
      </c>
      <c r="E107" s="15" t="inlineStr">
        <is>
          <t>لقطة</t>
        </is>
      </c>
      <c r="F107" s="49" t="inlineStr">
        <is>
          <t>↑</t>
        </is>
      </c>
      <c r="G107" s="55" t="n">
        <v>380000</v>
      </c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7">
        <f>IFERROR(LOOKUP(2,1/($H107:$S107&lt;&gt;""),$H107:$S107),"")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هدف",IF($U107&gt;=0.9,"✅ محقق",IF($U107&gt;=0.75,"🟡 قريب","🔴 تحت الهدف")))</f>
        <v/>
      </c>
      <c r="W107" s="58">
        <f>IF($G107="","",$G107)</f>
        <v/>
      </c>
      <c r="X107" s="54">
        <f>IF($U107="","—",IF($U107&gt;=0.75,"🟢 على المسار","🟠 متأخّر"))</f>
        <v/>
      </c>
    </row>
    <row r="108" ht="22" customHeight="1">
      <c r="A108" s="54" t="n">
        <v>105</v>
      </c>
      <c r="B108" s="13" t="inlineStr">
        <is>
          <t>التسويق</t>
        </is>
      </c>
      <c r="C108" s="11" t="inlineStr">
        <is>
          <t>معدل التفاعل (Engagement)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59" t="n">
        <v>0.5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هدف",IF($U108&gt;=0.9,"✅ محقق",IF($U108&gt;=0.75,"🟡 قريب","🔴 تحت الهدف")))</f>
        <v/>
      </c>
      <c r="W108" s="61">
        <f>IF($G108="","",$G108)</f>
        <v/>
      </c>
      <c r="X108" s="54">
        <f>IF($U108="","—",IF($U108&gt;=0.75,"🟢 على المسار","🟠 متأخّر"))</f>
        <v/>
      </c>
    </row>
    <row r="109" ht="22" customHeight="1">
      <c r="A109" s="54" t="n">
        <v>106</v>
      </c>
      <c r="B109" s="13" t="inlineStr">
        <is>
          <t>التسويق</t>
        </is>
      </c>
      <c r="C109" s="11" t="inlineStr">
        <is>
          <t>حملات تسويقية منجزة</t>
        </is>
      </c>
      <c r="D109" s="15" t="inlineStr">
        <is>
          <t>شهري</t>
        </is>
      </c>
      <c r="E109" s="15" t="inlineStr">
        <is>
          <t>تراكمي</t>
        </is>
      </c>
      <c r="F109" s="49" t="inlineStr">
        <is>
          <t>↑</t>
        </is>
      </c>
      <c r="G109" s="55" t="n">
        <v>48</v>
      </c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7">
        <f>IF(COUNT($H109:$S109)=0,"",SUM($H109:$S109))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58">
        <f>IF($G109="","",$G109*COUNT($H109:$S109)/12)</f>
        <v/>
      </c>
      <c r="X109" s="54">
        <f>IF($U109="","—",IF($U109&gt;=COUNT($H109:$S109)/12,"🟢 على المسار","🟠 متأخّر"))</f>
        <v/>
      </c>
    </row>
    <row r="110" ht="22" customHeight="1">
      <c r="A110" s="54" t="n">
        <v>107</v>
      </c>
      <c r="B110" s="13" t="inlineStr">
        <is>
          <t>التسويق</t>
        </is>
      </c>
      <c r="C110" s="11" t="inlineStr">
        <is>
          <t>تحويل الفرص إلى عقود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↑</t>
        </is>
      </c>
      <c r="G110" s="59" t="n">
        <v>0.25</v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50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محقق",IF($U110&gt;=0.85,"🟡 قريب","🔴 تحت الهدف")))</f>
        <v/>
      </c>
      <c r="W110" s="61">
        <f>IF($G110="","",$G110)</f>
        <v/>
      </c>
      <c r="X110" s="54">
        <f>IF($U110="","—",IF($U110&gt;=0.85,"🟢 على المسار","🟠 متأخّر"))</f>
        <v/>
      </c>
    </row>
    <row r="111" ht="22" customHeight="1">
      <c r="A111" s="54" t="n">
        <v>108</v>
      </c>
      <c r="B111" s="13" t="inlineStr">
        <is>
          <t>التسويق</t>
        </is>
      </c>
      <c r="C111" s="11" t="inlineStr">
        <is>
          <t>نسبة المبيعات لكل حملة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↑</t>
        </is>
      </c>
      <c r="G111" s="59" t="n">
        <v>1</v>
      </c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50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61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التسويق</t>
        </is>
      </c>
      <c r="C112" s="11" t="inlineStr">
        <is>
          <t>نسبة التزام الهوية البصرية</t>
        </is>
      </c>
      <c r="D112" s="15" t="inlineStr">
        <is>
          <t>شهري</t>
        </is>
      </c>
      <c r="E112" s="15" t="inlineStr">
        <is>
          <t>لقطة</t>
        </is>
      </c>
      <c r="F112" s="49" t="inlineStr">
        <is>
          <t>↑</t>
        </is>
      </c>
      <c r="G112" s="59" t="n">
        <v>1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IFERROR(LOOKUP(2,1/($H112:$S112&lt;&gt;""),$H112:$S112),"")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التسويق</t>
        </is>
      </c>
      <c r="C113" s="11" t="inlineStr">
        <is>
          <t>وصول العلاقات العامة (PR)</t>
        </is>
      </c>
      <c r="D113" s="15" t="inlineStr">
        <is>
          <t>شهري</t>
        </is>
      </c>
      <c r="E113" s="15" t="inlineStr">
        <is>
          <t>لقطة</t>
        </is>
      </c>
      <c r="F113" s="49" t="inlineStr">
        <is>
          <t>↑</t>
        </is>
      </c>
      <c r="G113" s="55" t="n">
        <v>7000000</v>
      </c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7">
        <f>IFERROR(LOOKUP(2,1/($H113:$S113&lt;&gt;""),$H113:$S113),"")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58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التسويق</t>
        </is>
      </c>
      <c r="C114" s="11" t="inlineStr">
        <is>
          <t>عدد المعارض بالسنة</t>
        </is>
      </c>
      <c r="D114" s="15" t="inlineStr">
        <is>
          <t>شهري</t>
        </is>
      </c>
      <c r="E114" s="15" t="inlineStr">
        <is>
          <t>تراكمي</t>
        </is>
      </c>
      <c r="F114" s="49" t="inlineStr">
        <is>
          <t>↑</t>
        </is>
      </c>
      <c r="G114" s="55" t="n">
        <v>3</v>
      </c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7">
        <f>IF(COUNT($H114:$S114)=0,"",SUM($H114:$S114))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58">
        <f>IF($G114="","",$G114*COUNT($H114:$S114)/12)</f>
        <v/>
      </c>
      <c r="X114" s="54">
        <f>IF($U114="","—",IF($U114&gt;=COUNT($H114:$S114)/12,"🟢 على المسار","🟠 متأخّر"))</f>
        <v/>
      </c>
    </row>
    <row r="115" ht="22" customHeight="1">
      <c r="A115" s="54" t="n">
        <v>112</v>
      </c>
      <c r="B115" s="13" t="inlineStr">
        <is>
          <t>التسويق</t>
        </is>
      </c>
      <c r="C115" s="11" t="inlineStr">
        <is>
          <t>اتفاقيات استراتيجية</t>
        </is>
      </c>
      <c r="D115" s="15" t="inlineStr">
        <is>
          <t>شهري</t>
        </is>
      </c>
      <c r="E115" s="15" t="inlineStr">
        <is>
          <t>تراكمي</t>
        </is>
      </c>
      <c r="F115" s="49" t="inlineStr">
        <is>
          <t>↑</t>
        </is>
      </c>
      <c r="G115" s="55" t="n">
        <v>3</v>
      </c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7">
        <f>IF(COUNT($H115:$S115)=0,"",SUM($H115:$S115))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58">
        <f>IF($G115="","",$G115*COUNT($H115:$S115)/12)</f>
        <v/>
      </c>
      <c r="X115" s="54">
        <f>IF($U115="","—",IF($U115&gt;=COUNT($H115:$S115)/12,"🟢 على المسار","🟠 متأخّر"))</f>
        <v/>
      </c>
    </row>
    <row r="116" ht="22" customHeight="1">
      <c r="A116" s="54" t="n">
        <v>113</v>
      </c>
      <c r="B116" s="13" t="inlineStr">
        <is>
          <t>التسويق</t>
        </is>
      </c>
      <c r="C116" s="11" t="inlineStr">
        <is>
          <t>تقييم خرائط قوقل</t>
        </is>
      </c>
      <c r="D116" s="15" t="inlineStr">
        <is>
          <t>شهري</t>
        </is>
      </c>
      <c r="E116" s="15" t="inlineStr">
        <is>
          <t>معدل</t>
        </is>
      </c>
      <c r="F116" s="49" t="inlineStr">
        <is>
          <t>↑</t>
        </is>
      </c>
      <c r="G116" s="62" t="n">
        <v>4.7</v>
      </c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4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5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التسويق</t>
        </is>
      </c>
      <c r="C117" s="11" t="inlineStr">
        <is>
          <t>معدل خفض الشكاوى</t>
        </is>
      </c>
      <c r="D117" s="15" t="inlineStr">
        <is>
          <t>شهري</t>
        </is>
      </c>
      <c r="E117" s="15" t="inlineStr">
        <is>
          <t>معدل</t>
        </is>
      </c>
      <c r="F117" s="49" t="inlineStr">
        <is>
          <t>↑</t>
        </is>
      </c>
      <c r="G117" s="59" t="n">
        <v>0.3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50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1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التسويق</t>
        </is>
      </c>
      <c r="C118" s="11" t="inlineStr">
        <is>
          <t>وصول محتوى تطبيق تانكي</t>
        </is>
      </c>
      <c r="D118" s="15" t="inlineStr">
        <is>
          <t>شهري</t>
        </is>
      </c>
      <c r="E118" s="15" t="inlineStr">
        <is>
          <t>لقطة</t>
        </is>
      </c>
      <c r="F118" s="49" t="inlineStr">
        <is>
          <t>↑</t>
        </is>
      </c>
      <c r="G118" s="55" t="n">
        <v>1000000</v>
      </c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7">
        <f>IFERROR(LOOKUP(2,1/($H118:$S118&lt;&gt;""),$H118:$S118),"")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58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التسويق</t>
        </is>
      </c>
      <c r="C119" s="11" t="inlineStr">
        <is>
          <t>مشاركات تطبيق تانكي</t>
        </is>
      </c>
      <c r="D119" s="15" t="inlineStr">
        <is>
          <t>شهري</t>
        </is>
      </c>
      <c r="E119" s="15" t="inlineStr">
        <is>
          <t>تراكمي</t>
        </is>
      </c>
      <c r="F119" s="49" t="inlineStr">
        <is>
          <t>↑</t>
        </is>
      </c>
      <c r="G119" s="55" t="n">
        <v>250</v>
      </c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7">
        <f>IF(COUNT($H119:$S119)=0,"",SUM($H119:$S119))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58">
        <f>IF($G119="","",$G119*COUNT($H119:$S119)/12)</f>
        <v/>
      </c>
      <c r="X119" s="54">
        <f>IF($U119="","—",IF($U119&gt;=COUNT($H119:$S119)/12,"🟢 على المسار","🟠 متأخّر"))</f>
        <v/>
      </c>
    </row>
    <row r="120" ht="22" customHeight="1">
      <c r="A120" s="54" t="n">
        <v>117</v>
      </c>
      <c r="B120" s="13" t="inlineStr">
        <is>
          <t>الجودة</t>
        </is>
      </c>
      <c r="C120" s="11" t="inlineStr">
        <is>
          <t>نسبة المحطات الحرجة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↓</t>
        </is>
      </c>
      <c r="G120" s="59" t="n">
        <v>0.05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1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الجودة</t>
        </is>
      </c>
      <c r="C121" s="11" t="inlineStr">
        <is>
          <t>نسبة مطابقة جودة الوقود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0.995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محقق",IF($U121&gt;=0.97,"🟡 قريب","🔴 تحت الهدف")))</f>
        <v/>
      </c>
      <c r="W121" s="61">
        <f>IF($G121="","",$G121)</f>
        <v/>
      </c>
      <c r="X121" s="54">
        <f>IF($U121="","—",IF($U121&gt;=0.97,"🟢 على المسار","🟠 متأخّر"))</f>
        <v/>
      </c>
    </row>
    <row r="122" ht="22" customHeight="1">
      <c r="A122" s="54" t="n">
        <v>119</v>
      </c>
      <c r="B122" s="13" t="inlineStr">
        <is>
          <t>الجودة</t>
        </is>
      </c>
      <c r="C122" s="11" t="inlineStr">
        <is>
          <t>نسبة إغلاق الملاحظات في الوقت المحدد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0.9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1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الجودة</t>
        </is>
      </c>
      <c r="C123" s="11" t="inlineStr">
        <is>
          <t>نسبة فعالية الإجراءات التصحيحية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0.85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الجودة</t>
        </is>
      </c>
      <c r="C124" s="11" t="inlineStr">
        <is>
          <t>نسبة تكرار الملاحظات</t>
        </is>
      </c>
      <c r="D124" s="15" t="inlineStr">
        <is>
          <t>شهري</t>
        </is>
      </c>
      <c r="E124" s="15" t="inlineStr">
        <is>
          <t>معدل</t>
        </is>
      </c>
      <c r="F124" s="49" t="inlineStr">
        <is>
          <t>↓</t>
        </is>
      </c>
      <c r="G124" s="59" t="n">
        <v>0.1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الجودة</t>
        </is>
      </c>
      <c r="C125" s="11" t="inlineStr">
        <is>
          <t>نسبة تنفيذ خطة التفتيش والتدقيق</t>
        </is>
      </c>
      <c r="D125" s="15" t="inlineStr">
        <is>
          <t>ربعي</t>
        </is>
      </c>
      <c r="E125" s="15" t="inlineStr">
        <is>
          <t>معدل</t>
        </is>
      </c>
      <c r="F125" s="49" t="inlineStr">
        <is>
          <t>↑</t>
        </is>
      </c>
      <c r="G125" s="59" t="n">
        <v>0.95</v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50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هدف",IF($U125&gt;=1.0,"✅ محقق",IF($U125&gt;=0.85,"🟡 قريب","🔴 تحت الهدف")))</f>
        <v/>
      </c>
      <c r="W125" s="61">
        <f>IF($G125="","",$G125)</f>
        <v/>
      </c>
      <c r="X125" s="54">
        <f>IF($U125="","—",IF($U125&gt;=0.85,"🟢 على المسار","🟠 متأخّر"))</f>
        <v/>
      </c>
    </row>
    <row r="126" ht="22" customHeight="1">
      <c r="A126" s="54" t="n">
        <v>123</v>
      </c>
      <c r="B126" s="13" t="inlineStr">
        <is>
          <t>الجودة</t>
        </is>
      </c>
      <c r="C126" s="11" t="inlineStr">
        <is>
          <t>نسبة جاهزية نظام إدارة الجودة QMS</t>
        </is>
      </c>
      <c r="D126" s="15" t="inlineStr">
        <is>
          <t>شهري</t>
        </is>
      </c>
      <c r="E126" s="15" t="inlineStr">
        <is>
          <t>لقطة</t>
        </is>
      </c>
      <c r="F126" s="49" t="inlineStr">
        <is>
          <t>↑</t>
        </is>
      </c>
      <c r="G126" s="59" t="n">
        <v>0.9</v>
      </c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50">
        <f>IFERROR(LOOKUP(2,1/($H126:$S126&lt;&gt;""),$H126:$S126),"")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محقق",IF($U126&gt;=0.97,"🟡 قريب","🔴 تحت الهدف")))</f>
        <v/>
      </c>
      <c r="W126" s="61">
        <f>IF($G126="","",$G126)</f>
        <v/>
      </c>
      <c r="X126" s="54">
        <f>IF($U126="","—",IF($U126&gt;=0.97,"🟢 على المسار","🟠 متأخّر"))</f>
        <v/>
      </c>
    </row>
    <row r="127" ht="22" customHeight="1">
      <c r="A127" s="54" t="n">
        <v>124</v>
      </c>
      <c r="B127" s="13" t="inlineStr">
        <is>
          <t>الجودة</t>
        </is>
      </c>
      <c r="C127" s="11" t="inlineStr">
        <is>
          <t>عدد مخاطر الجودة الحرجة المفتوحة</t>
        </is>
      </c>
      <c r="D127" s="15" t="inlineStr">
        <is>
          <t>شهري</t>
        </is>
      </c>
      <c r="E127" s="15" t="inlineStr">
        <is>
          <t>لقطة</t>
        </is>
      </c>
      <c r="F127" s="49" t="inlineStr">
        <is>
          <t>↓</t>
        </is>
      </c>
      <c r="G127" s="55" t="n">
        <v>0</v>
      </c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7">
        <f>IFERROR(LOOKUP(2,1/($H127:$S127&lt;&gt;""),$H127:$S127),"")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58">
        <f>IF($G127="","",$G127)</f>
        <v/>
      </c>
      <c r="X127" s="54">
        <f>IF($U127="","—",IF($U127&gt;=0.85,"🟢 على المسار","🟠 متأخّر"))</f>
        <v/>
      </c>
    </row>
    <row r="128" ht="22" customHeight="1">
      <c r="A128" s="54" t="n">
        <v>125</v>
      </c>
      <c r="B128" s="13" t="inlineStr">
        <is>
          <t>الجودة</t>
        </is>
      </c>
      <c r="C128" s="11" t="inlineStr">
        <is>
          <t>نسبة إغلاق مخاطر الجودة في الوقت المحدد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↑</t>
        </is>
      </c>
      <c r="G128" s="59" t="n">
        <v>0.9</v>
      </c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50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1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الجودة</t>
        </is>
      </c>
      <c r="C129" s="11" t="inlineStr">
        <is>
          <t>نسبة انخفاض الشكاوى المتكررة ذات العلاقة بالجودة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↑</t>
        </is>
      </c>
      <c r="G129" s="59" t="n">
        <v>0.15</v>
      </c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50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محقق",IF($U129&gt;=0.85,"🟡 قريب","🔴 تحت الهدف")))</f>
        <v/>
      </c>
      <c r="W129" s="61">
        <f>IF($G129="","",$G129)</f>
        <v/>
      </c>
      <c r="X129" s="54">
        <f>IF($U129="","—",IF($U129&gt;=0.85,"🟢 على المسار","🟠 متأخّر"))</f>
        <v/>
      </c>
    </row>
    <row r="130" ht="22" customHeight="1">
      <c r="A130" s="54" t="n">
        <v>127</v>
      </c>
      <c r="B130" s="13" t="inlineStr">
        <is>
          <t>الجودة</t>
        </is>
      </c>
      <c r="C130" s="11" t="inlineStr">
        <is>
          <t>نسبة اكتمال وتحديث الإجراءات المعتمدة</t>
        </is>
      </c>
      <c r="D130" s="15" t="inlineStr">
        <is>
          <t>شهري</t>
        </is>
      </c>
      <c r="E130" s="15" t="inlineStr">
        <is>
          <t>معدل</t>
        </is>
      </c>
      <c r="F130" s="49" t="inlineStr">
        <is>
          <t>↑</t>
        </is>
      </c>
      <c r="G130" s="59" t="n">
        <v>0.95</v>
      </c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50">
        <f>IF(COUNT($H130:$S130)=0,"",SUM($H130:$S130)/COUNT($H130:$S130))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61">
        <f>IF($G130="","",$G130)</f>
        <v/>
      </c>
      <c r="X130" s="54">
        <f>IF($U130="","—",IF($U130&gt;=0.85,"🟢 على المسار","🟠 متأخّر"))</f>
        <v/>
      </c>
    </row>
    <row r="131" ht="22" customHeight="1">
      <c r="A131" s="54" t="n">
        <v>128</v>
      </c>
      <c r="B131" s="13" t="inlineStr">
        <is>
          <t>الجودة</t>
        </is>
      </c>
      <c r="C131" s="11" t="inlineStr">
        <is>
          <t>نسبة اكتمال سجلات الجودة</t>
        </is>
      </c>
      <c r="D131" s="15" t="inlineStr">
        <is>
          <t>شهري</t>
        </is>
      </c>
      <c r="E131" s="15" t="inlineStr">
        <is>
          <t>معدل</t>
        </is>
      </c>
      <c r="F131" s="49" t="inlineStr">
        <is>
          <t>↑</t>
        </is>
      </c>
      <c r="G131" s="59" t="n">
        <v>0.95</v>
      </c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50">
        <f>IF(COUNT($H131:$S131)=0,"",SUM($H131:$S131)/COUNT($H131:$S131))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محقق",IF($U131&gt;=0.85,"🟡 قريب","🔴 تحت الهدف")))</f>
        <v/>
      </c>
      <c r="W131" s="61">
        <f>IF($G131="","",$G131)</f>
        <v/>
      </c>
      <c r="X131" s="54">
        <f>IF($U131="","—",IF($U131&gt;=0.85,"🟢 على المسار","🟠 متأخّر"))</f>
        <v/>
      </c>
    </row>
    <row r="132" ht="22" customHeight="1">
      <c r="A132" s="54" t="n">
        <v>129</v>
      </c>
      <c r="B132" s="13" t="inlineStr">
        <is>
          <t>الجودة</t>
        </is>
      </c>
      <c r="C132" s="11" t="inlineStr">
        <is>
          <t>نسبة رقمنة عمليات الجودة</t>
        </is>
      </c>
      <c r="D132" s="15" t="inlineStr">
        <is>
          <t>شهري</t>
        </is>
      </c>
      <c r="E132" s="15" t="inlineStr">
        <is>
          <t>لقطة</t>
        </is>
      </c>
      <c r="F132" s="49" t="inlineStr">
        <is>
          <t>↑</t>
        </is>
      </c>
      <c r="G132" s="59" t="n">
        <v>0.8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IFERROR(LOOKUP(2,1/($H132:$S132&lt;&gt;""),$H132:$S132),"")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1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الجودة</t>
        </is>
      </c>
      <c r="C133" s="11" t="inlineStr">
        <is>
          <t>عدد مبادرات التحسين المؤثرة</t>
        </is>
      </c>
      <c r="D133" s="15" t="inlineStr">
        <is>
          <t>ربعي</t>
        </is>
      </c>
      <c r="E133" s="15" t="inlineStr">
        <is>
          <t>تراكمي</t>
        </is>
      </c>
      <c r="F133" s="49" t="inlineStr">
        <is>
          <t>↑</t>
        </is>
      </c>
      <c r="G133" s="55" t="n">
        <v>8</v>
      </c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7">
        <f>IF(COUNT($H133:$S133)=0,"",SUM($H133:$S133))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محقق",IF($U133&gt;=0.85,"🟡 قريب","🔴 تحت الهدف")))</f>
        <v/>
      </c>
      <c r="W133" s="58">
        <f>IF($G133="","",$G133*COUNT($H133:$S133)/12)</f>
        <v/>
      </c>
      <c r="X133" s="54">
        <f>IF($U133="","—",IF($U133&gt;=COUNT($H133:$S133)/12,"🟢 على المسار","🟠 متأخّر"))</f>
        <v/>
      </c>
    </row>
    <row r="134" ht="22" customHeight="1">
      <c r="A134" s="54" t="n">
        <v>131</v>
      </c>
      <c r="B134" s="13" t="inlineStr">
        <is>
          <t>الإدارة القانونية</t>
        </is>
      </c>
      <c r="C134" s="11" t="inlineStr">
        <is>
          <t>نسبة العقود المُراجَعة قانونياً قبل التوقيع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1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الإدارة القانونية</t>
        </is>
      </c>
      <c r="C135" s="11" t="inlineStr">
        <is>
          <t>متوسط زمن صياغة ومراجعة العقد</t>
        </is>
      </c>
      <c r="D135" s="15" t="inlineStr">
        <is>
          <t>شهري</t>
        </is>
      </c>
      <c r="E135" s="15" t="inlineStr">
        <is>
          <t>معدل</t>
        </is>
      </c>
      <c r="F135" s="49" t="inlineStr">
        <is>
          <t>↓</t>
        </is>
      </c>
      <c r="G135" s="62" t="n">
        <v>3</v>
      </c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4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5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الإدارة القانونية</t>
        </is>
      </c>
      <c r="C136" s="11" t="inlineStr">
        <is>
          <t>نسبة العقود الخالية من الملاحظات والمخاطر القانونية</t>
        </is>
      </c>
      <c r="D136" s="15" t="inlineStr">
        <is>
          <t>شهري</t>
        </is>
      </c>
      <c r="E136" s="15" t="inlineStr">
        <is>
          <t>معدل</t>
        </is>
      </c>
      <c r="F136" s="49" t="inlineStr">
        <is>
          <t>↑</t>
        </is>
      </c>
      <c r="G136" s="59" t="n">
        <v>0.95</v>
      </c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50">
        <f>IF(COUNT($H136:$S136)=0,"",SUM($H136:$S136)/COUNT($H136:$S136))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محقق",IF($U136&gt;=0.85,"🟡 قريب","🔴 تحت الهدف")))</f>
        <v/>
      </c>
      <c r="W136" s="61">
        <f>IF($G136="","",$G136)</f>
        <v/>
      </c>
      <c r="X136" s="54">
        <f>IF($U136="","—",IF($U136&gt;=0.85,"🟢 على المسار","🟠 متأخّر"))</f>
        <v/>
      </c>
    </row>
    <row r="137" ht="22" customHeight="1">
      <c r="A137" s="54" t="n">
        <v>134</v>
      </c>
      <c r="B137" s="13" t="inlineStr">
        <is>
          <t>الإدارة القانونية</t>
        </is>
      </c>
      <c r="C137" s="11" t="inlineStr">
        <is>
          <t>نسبة القضايا المُغلقة لصالح الشركة</t>
        </is>
      </c>
      <c r="D137" s="15" t="inlineStr">
        <is>
          <t>شهري</t>
        </is>
      </c>
      <c r="E137" s="15" t="inlineStr">
        <is>
          <t>معدل</t>
        </is>
      </c>
      <c r="F137" s="49" t="inlineStr">
        <is>
          <t>↑</t>
        </is>
      </c>
      <c r="G137" s="59" t="n">
        <v>0.8</v>
      </c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50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61">
        <f>IF($G137="","",$G137)</f>
        <v/>
      </c>
      <c r="X137" s="54">
        <f>IF($U137="","—",IF($U137&gt;=0.85,"🟢 على المسار","🟠 متأخّر"))</f>
        <v/>
      </c>
    </row>
    <row r="138" ht="22" customHeight="1">
      <c r="A138" s="54" t="n">
        <v>135</v>
      </c>
      <c r="B138" s="13" t="inlineStr">
        <is>
          <t>الإدارة القانونية</t>
        </is>
      </c>
      <c r="C138" s="11" t="inlineStr">
        <is>
          <t>نسبة تقديم المذكرات والردود في المواعيد النظامية</t>
        </is>
      </c>
      <c r="D138" s="15" t="inlineStr">
        <is>
          <t>شهري</t>
        </is>
      </c>
      <c r="E138" s="15" t="inlineStr">
        <is>
          <t>معدل</t>
        </is>
      </c>
      <c r="F138" s="49" t="inlineStr">
        <is>
          <t>↑</t>
        </is>
      </c>
      <c r="G138" s="59" t="n">
        <v>1</v>
      </c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50">
        <f>IF(COUNT($H138:$S138)=0,"",SUM($H138:$S138)/COUNT($H138:$S138))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محقق",IF($U138&gt;=0.85,"🟡 قريب","🔴 تحت الهدف")))</f>
        <v/>
      </c>
      <c r="W138" s="61">
        <f>IF($G138="","",$G138)</f>
        <v/>
      </c>
      <c r="X138" s="54">
        <f>IF($U138="","—",IF($U138&gt;=0.85,"🟢 على المسار","🟠 متأخّر"))</f>
        <v/>
      </c>
    </row>
    <row r="139" ht="22" customHeight="1">
      <c r="A139" s="54" t="n">
        <v>136</v>
      </c>
      <c r="B139" s="13" t="inlineStr">
        <is>
          <t>الإدارة القانونية</t>
        </is>
      </c>
      <c r="C139" s="11" t="inlineStr">
        <is>
          <t>متوسط زمن إعداد المذكرة القانونية</t>
        </is>
      </c>
      <c r="D139" s="15" t="inlineStr">
        <is>
          <t>شهري</t>
        </is>
      </c>
      <c r="E139" s="15" t="inlineStr">
        <is>
          <t>معدل</t>
        </is>
      </c>
      <c r="F139" s="49" t="inlineStr">
        <is>
          <t>↓</t>
        </is>
      </c>
      <c r="G139" s="62" t="n">
        <v>5</v>
      </c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4">
        <f>IF(COUNT($H139:$S139)=0,"",SUM($H139:$S139)/COUNT($H139:$S139))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65">
        <f>IF($G139="","",$G139)</f>
        <v/>
      </c>
      <c r="X139" s="54">
        <f>IF($U139="","—",IF($U139&gt;=0.85,"🟢 على المسار","🟠 متأخّر"))</f>
        <v/>
      </c>
    </row>
    <row r="140" ht="22" customHeight="1">
      <c r="A140" s="54" t="n">
        <v>137</v>
      </c>
      <c r="B140" s="13" t="inlineStr">
        <is>
          <t>الإدارة القانونية</t>
        </is>
      </c>
      <c r="C140" s="11" t="inlineStr">
        <is>
          <t>نسبة الاستشارات المُنجزة ضمن المدة المستهدفة (SLA)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↑</t>
        </is>
      </c>
      <c r="G140" s="59" t="n">
        <v>0.9</v>
      </c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50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محقق",IF($U140&gt;=0.85,"🟡 قريب","🔴 تحت الهدف")))</f>
        <v/>
      </c>
      <c r="W140" s="61">
        <f>IF($G140="","",$G140)</f>
        <v/>
      </c>
      <c r="X140" s="54">
        <f>IF($U140="","—",IF($U140&gt;=0.85,"🟢 على المسار","🟠 متأخّر"))</f>
        <v/>
      </c>
    </row>
    <row r="141" ht="22" customHeight="1">
      <c r="A141" s="54" t="n">
        <v>138</v>
      </c>
      <c r="B141" s="13" t="inlineStr">
        <is>
          <t>الإدارة القانونية</t>
        </is>
      </c>
      <c r="C141" s="11" t="inlineStr">
        <is>
          <t>مستوى رضا الإدارات عن الدعم القانوني</t>
        </is>
      </c>
      <c r="D141" s="15" t="inlineStr">
        <is>
          <t>ربعي</t>
        </is>
      </c>
      <c r="E141" s="15" t="inlineStr">
        <is>
          <t>معدل</t>
        </is>
      </c>
      <c r="F141" s="49" t="inlineStr">
        <is>
          <t>↑</t>
        </is>
      </c>
      <c r="G141" s="59" t="n">
        <v>0.85</v>
      </c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50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هدف",IF($U141&gt;=0.9,"✅ محقق",IF($U141&gt;=0.75,"🟡 قريب","🔴 تحت الهدف")))</f>
        <v/>
      </c>
      <c r="W141" s="61">
        <f>IF($G141="","",$G141)</f>
        <v/>
      </c>
      <c r="X141" s="54">
        <f>IF($U141="","—",IF($U141&gt;=0.75,"🟢 على المسار","🟠 متأخّر"))</f>
        <v/>
      </c>
    </row>
    <row r="142" ht="22" customHeight="1">
      <c r="A142" s="54" t="n">
        <v>139</v>
      </c>
      <c r="B142" s="13" t="inlineStr">
        <is>
          <t>الإدارة القانونية</t>
        </is>
      </c>
      <c r="C142" s="11" t="inlineStr">
        <is>
          <t>نسبة إنجاز التحقيقات ضمن المدة المحددة</t>
        </is>
      </c>
      <c r="D142" s="15" t="inlineStr">
        <is>
          <t>شهري</t>
        </is>
      </c>
      <c r="E142" s="15" t="inlineStr">
        <is>
          <t>معدل</t>
        </is>
      </c>
      <c r="F142" s="49" t="inlineStr">
        <is>
          <t>↑</t>
        </is>
      </c>
      <c r="G142" s="59" t="n">
        <v>0.9</v>
      </c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50">
        <f>IF(COUNT($H142:$S142)=0,"",SUM($H142:$S142)/COUNT($H142:$S142))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61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الإدارة القانونية</t>
        </is>
      </c>
      <c r="C143" s="11" t="inlineStr">
        <is>
          <t>نسبة التحقيقات المُغلقة من إجمالي المُحالة</t>
        </is>
      </c>
      <c r="D143" s="15" t="inlineStr">
        <is>
          <t>شهري</t>
        </is>
      </c>
      <c r="E143" s="15" t="inlineStr">
        <is>
          <t>معدل</t>
        </is>
      </c>
      <c r="F143" s="49" t="inlineStr">
        <is>
          <t>↑</t>
        </is>
      </c>
      <c r="G143" s="59" t="n">
        <v>0.95</v>
      </c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50">
        <f>IF(COUNT($H143:$S143)=0,"",SUM($H143:$S143)/COUNT($H143:$S143))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محقق",IF($U143&gt;=0.85,"🟡 قريب","🔴 تحت الهدف")))</f>
        <v/>
      </c>
      <c r="W143" s="61">
        <f>IF($G143="","",$G143)</f>
        <v/>
      </c>
      <c r="X143" s="54">
        <f>IF($U143="","—",IF($U143&gt;=0.85,"🟢 على المسار","🟠 متأخّر"))</f>
        <v/>
      </c>
    </row>
    <row r="144" ht="22" customHeight="1">
      <c r="A144" s="54" t="n">
        <v>141</v>
      </c>
      <c r="B144" s="13" t="inlineStr">
        <is>
          <t>الإدارة القانونية</t>
        </is>
      </c>
      <c r="C144" s="11" t="inlineStr">
        <is>
          <t>متوسط زمن إغلاق قضية التحقيق</t>
        </is>
      </c>
      <c r="D144" s="15" t="inlineStr">
        <is>
          <t>شهري</t>
        </is>
      </c>
      <c r="E144" s="15" t="inlineStr">
        <is>
          <t>معدل</t>
        </is>
      </c>
      <c r="F144" s="49" t="inlineStr">
        <is>
          <t>↓</t>
        </is>
      </c>
      <c r="G144" s="62" t="n">
        <v>30</v>
      </c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4">
        <f>IF(COUNT($H144:$S144)=0,"",SUM($H144:$S144)/COUNT($H144:$S144))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محقق",IF($U144&gt;=0.85,"🟡 قريب","🔴 تحت الهدف")))</f>
        <v/>
      </c>
      <c r="W144" s="65">
        <f>IF($G144="","",$G144)</f>
        <v/>
      </c>
      <c r="X144" s="54">
        <f>IF($U144="","—",IF($U144&gt;=0.85,"🟢 على المسار","🟠 متأخّر"))</f>
        <v/>
      </c>
    </row>
    <row r="145" ht="22" customHeight="1">
      <c r="A145" s="54" t="n">
        <v>142</v>
      </c>
      <c r="B145" s="13" t="inlineStr">
        <is>
          <t>الإدارة القانونية</t>
        </is>
      </c>
      <c r="C145" s="11" t="inlineStr">
        <is>
          <t>نسبة تنفيذ التوصيات الصادرة عن التحقيقات</t>
        </is>
      </c>
      <c r="D145" s="15" t="inlineStr">
        <is>
          <t>شهري</t>
        </is>
      </c>
      <c r="E145" s="15" t="inlineStr">
        <is>
          <t>معدل</t>
        </is>
      </c>
      <c r="F145" s="49" t="inlineStr">
        <is>
          <t>↑</t>
        </is>
      </c>
      <c r="G145" s="59" t="n">
        <v>0.9</v>
      </c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50">
        <f>IF(COUNT($H145:$S145)=0,"",SUM($H145:$S145)/COUNT($H145:$S145))</f>
        <v/>
      </c>
      <c r="U145" s="50">
        <f>IF($G145="","",IF($T145="","",MIN(1,IF($G145=0,IF($T145&lt;=0,1,0),IF($F145="↓",IFERROR($G145/$T145,0),IFERROR($T145/$G145,0))))))</f>
        <v/>
      </c>
      <c r="V145" s="54">
        <f>IF($U145="","⏳ بانتظار هدف",IF($U145&gt;=1.0,"✅ محقق",IF($U145&gt;=0.85,"🟡 قريب","🔴 تحت الهدف")))</f>
        <v/>
      </c>
      <c r="W145" s="61">
        <f>IF($G145="","",$G145)</f>
        <v/>
      </c>
      <c r="X145" s="54">
        <f>IF($U145="","—",IF($U145&gt;=0.85,"🟢 على المسار","🟠 متأخّر"))</f>
        <v/>
      </c>
    </row>
    <row r="146" ht="22" customHeight="1">
      <c r="A146" s="54" t="n">
        <v>143</v>
      </c>
      <c r="B146" s="13" t="inlineStr">
        <is>
          <t>الإدارة القانونية</t>
        </is>
      </c>
      <c r="C146" s="11" t="inlineStr">
        <is>
          <t>نسبة التزام التحقيقات بالإجراءات النظامية والعدالة الإجرائية</t>
        </is>
      </c>
      <c r="D146" s="15" t="inlineStr">
        <is>
          <t>شهري</t>
        </is>
      </c>
      <c r="E146" s="15" t="inlineStr">
        <is>
          <t>معدل</t>
        </is>
      </c>
      <c r="F146" s="49" t="inlineStr">
        <is>
          <t>↑</t>
        </is>
      </c>
      <c r="G146" s="59" t="n">
        <v>1</v>
      </c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50">
        <f>IF(COUNT($H146:$S146)=0,"",SUM($H146:$S146)/COUNT($H146:$S146))</f>
        <v/>
      </c>
      <c r="U146" s="50">
        <f>IF($G146="","",IF($T146="","",MIN(1,IF($G146=0,IF($T146&lt;=0,1,0),IF($F146="↓",IFERROR($G146/$T146,0),IFERROR($T146/$G146,0))))))</f>
        <v/>
      </c>
      <c r="V146" s="54">
        <f>IF($U146="","⏳ بانتظار هدف",IF($U146&gt;=1.0,"✅ محقق",IF($U146&gt;=0.85,"🟡 قريب","🔴 تحت الهدف")))</f>
        <v/>
      </c>
      <c r="W146" s="61">
        <f>IF($G146="","",$G146)</f>
        <v/>
      </c>
      <c r="X146" s="54">
        <f>IF($U146="","—",IF($U146&gt;=0.85,"🟢 على المسار","🟠 متأخّر"))</f>
        <v/>
      </c>
    </row>
    <row r="147" ht="22" customHeight="1">
      <c r="A147" s="54" t="n">
        <v>144</v>
      </c>
      <c r="B147" s="13" t="inlineStr">
        <is>
          <t>الإدارة المالية</t>
        </is>
      </c>
      <c r="C147" s="11" t="inlineStr">
        <is>
          <t>نمو الإيرادات السنوي</t>
        </is>
      </c>
      <c r="D147" s="15" t="inlineStr">
        <is>
          <t>ربعي</t>
        </is>
      </c>
      <c r="E147" s="15" t="inlineStr">
        <is>
          <t>معدل</t>
        </is>
      </c>
      <c r="F147" s="49" t="inlineStr">
        <is>
          <t>↑</t>
        </is>
      </c>
      <c r="G147" s="59" t="n">
        <v>0.2</v>
      </c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50">
        <f>IF(COUNT($H147:$S147)=0,"",SUM($H147:$S147)/COUNT($H147:$S147))</f>
        <v/>
      </c>
      <c r="U147" s="50">
        <f>IF($G147="","",IF($T147="","",MIN(1,IF($G147=0,IF($T147&lt;=0,1,0),IF($F147="↓",IFERROR($G147/$T147,0),IFERROR($T147/$G147,0))))))</f>
        <v/>
      </c>
      <c r="V147" s="54">
        <f>IF($U147="","⏳ بانتظار هدف",IF($U147&gt;=1.0,"✅ محقق",IF($U147&gt;=0.85,"🟡 قريب","🔴 تحت الهدف")))</f>
        <v/>
      </c>
      <c r="W147" s="61">
        <f>IF($G147="","",$G147)</f>
        <v/>
      </c>
      <c r="X147" s="54">
        <f>IF($U147="","—",IF($U147&gt;=0.85,"🟢 على المسار","🟠 متأخّر"))</f>
        <v/>
      </c>
    </row>
    <row r="148" ht="22" customHeight="1">
      <c r="A148" s="54" t="n">
        <v>145</v>
      </c>
      <c r="B148" s="13" t="inlineStr">
        <is>
          <t>الإدارة المالية</t>
        </is>
      </c>
      <c r="C148" s="11" t="inlineStr">
        <is>
          <t>هامش EBITDA</t>
        </is>
      </c>
      <c r="D148" s="15" t="inlineStr">
        <is>
          <t>شهري</t>
        </is>
      </c>
      <c r="E148" s="15" t="inlineStr">
        <is>
          <t>معدل</t>
        </is>
      </c>
      <c r="F148" s="49" t="inlineStr">
        <is>
          <t>↑</t>
        </is>
      </c>
      <c r="G148" s="59" t="n">
        <v>0.08</v>
      </c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50">
        <f>IF(COUNT($H148:$S148)=0,"",SUM($H148:$S148)/COUNT($H148:$S148))</f>
        <v/>
      </c>
      <c r="U148" s="50">
        <f>IF($G148="","",IF($T148="","",MIN(1,IF($G148=0,IF($T148&lt;=0,1,0),IF($F148="↓",IFERROR($G148/$T148,0),IFERROR($T148/$G148,0))))))</f>
        <v/>
      </c>
      <c r="V148" s="54">
        <f>IF($U148="","⏳ بانتظار هدف",IF($U148&gt;=1.0,"✅ محقق",IF($U148&gt;=0.85,"🟡 قريب","🔴 تحت الهدف")))</f>
        <v/>
      </c>
      <c r="W148" s="61">
        <f>IF($G148="","",$G148)</f>
        <v/>
      </c>
      <c r="X148" s="54">
        <f>IF($U148="","—",IF($U148&gt;=0.85,"🟢 على المسار","🟠 متأخّر"))</f>
        <v/>
      </c>
    </row>
    <row r="149" ht="22" customHeight="1">
      <c r="A149" s="54" t="n">
        <v>146</v>
      </c>
      <c r="B149" s="13" t="inlineStr">
        <is>
          <t>الإدارة المالية</t>
        </is>
      </c>
      <c r="C149" s="11" t="inlineStr">
        <is>
          <t>هامش صافي الربح</t>
        </is>
      </c>
      <c r="D149" s="15" t="inlineStr">
        <is>
          <t>شهري</t>
        </is>
      </c>
      <c r="E149" s="15" t="inlineStr">
        <is>
          <t>معدل</t>
        </is>
      </c>
      <c r="F149" s="49" t="inlineStr">
        <is>
          <t>↑</t>
        </is>
      </c>
      <c r="G149" s="59" t="n">
        <v>0.01</v>
      </c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50">
        <f>IF(COUNT($H149:$S149)=0,"",SUM($H149:$S149)/COUNT($H149:$S149))</f>
        <v/>
      </c>
      <c r="U149" s="50">
        <f>IF($G149="","",IF($T149="","",MIN(1,IF($G149=0,IF($T149&lt;=0,1,0),IF($F149="↓",IFERROR($G149/$T149,0),IFERROR($T149/$G149,0))))))</f>
        <v/>
      </c>
      <c r="V149" s="54">
        <f>IF($U149="","⏳ بانتظار هدف",IF($U149&gt;=1.0,"✅ محقق",IF($U149&gt;=0.85,"🟡 قريب","🔴 تحت الهدف")))</f>
        <v/>
      </c>
      <c r="W149" s="61">
        <f>IF($G149="","",$G149)</f>
        <v/>
      </c>
      <c r="X149" s="54">
        <f>IF($U149="","—",IF($U149&gt;=0.85,"🟢 على المسار","🟠 متأخّر"))</f>
        <v/>
      </c>
    </row>
    <row r="150" ht="22" customHeight="1">
      <c r="A150" s="54" t="n">
        <v>147</v>
      </c>
      <c r="B150" s="13" t="inlineStr">
        <is>
          <t>الإدارة المالية</t>
        </is>
      </c>
      <c r="C150" s="11" t="inlineStr">
        <is>
          <t>العائد على حقوق الملكية (ROE)</t>
        </is>
      </c>
      <c r="D150" s="15" t="inlineStr">
        <is>
          <t>ربعي</t>
        </is>
      </c>
      <c r="E150" s="15" t="inlineStr">
        <is>
          <t>معدل</t>
        </is>
      </c>
      <c r="F150" s="49" t="inlineStr">
        <is>
          <t>↑</t>
        </is>
      </c>
      <c r="G150" s="59" t="n">
        <v>0.1</v>
      </c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50">
        <f>IF(COUNT($H150:$S150)=0,"",SUM($H150:$S150)/COUNT($H150:$S150))</f>
        <v/>
      </c>
      <c r="U150" s="50">
        <f>IF($G150="","",IF($T150="","",MIN(1,IF($G150=0,IF($T150&lt;=0,1,0),IF($F150="↓",IFERROR($G150/$T150,0),IFERROR($T150/$G150,0))))))</f>
        <v/>
      </c>
      <c r="V150" s="54">
        <f>IF($U150="","⏳ بانتظار هدف",IF($U150&gt;=1.0,"✅ محقق",IF($U150&gt;=0.85,"🟡 قريب","🔴 تحت الهدف")))</f>
        <v/>
      </c>
      <c r="W150" s="61">
        <f>IF($G150="","",$G150)</f>
        <v/>
      </c>
      <c r="X150" s="54">
        <f>IF($U150="","—",IF($U150&gt;=0.85,"🟢 على المسار","🟠 متأخّر"))</f>
        <v/>
      </c>
    </row>
    <row r="151" ht="22" customHeight="1">
      <c r="A151" s="54" t="n">
        <v>148</v>
      </c>
      <c r="B151" s="13" t="inlineStr">
        <is>
          <t>الإدارة المالية</t>
        </is>
      </c>
      <c r="C151" s="11" t="inlineStr">
        <is>
          <t>نسبة التدفق النقدي التشغيلي</t>
        </is>
      </c>
      <c r="D151" s="15" t="inlineStr">
        <is>
          <t>شهري</t>
        </is>
      </c>
      <c r="E151" s="15" t="inlineStr">
        <is>
          <t>معدل</t>
        </is>
      </c>
      <c r="F151" s="49" t="inlineStr">
        <is>
          <t>↑</t>
        </is>
      </c>
      <c r="G151" s="62" t="n">
        <v>1</v>
      </c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4">
        <f>IF(COUNT($H151:$S151)=0,"",SUM($H151:$S151)/COUNT($H151:$S151))</f>
        <v/>
      </c>
      <c r="U151" s="50">
        <f>IF($G151="","",IF($T151="","",MIN(1,IF($G151=0,IF($T151&lt;=0,1,0),IF($F151="↓",IFERROR($G151/$T151,0),IFERROR($T151/$G151,0))))))</f>
        <v/>
      </c>
      <c r="V151" s="54">
        <f>IF($U151="","⏳ بانتظار هدف",IF($U151&gt;=1.0,"✅ محقق",IF($U151&gt;=0.85,"🟡 قريب","🔴 تحت الهدف")))</f>
        <v/>
      </c>
      <c r="W151" s="65">
        <f>IF($G151="","",$G151)</f>
        <v/>
      </c>
      <c r="X151" s="54">
        <f>IF($U151="","—",IF($U151&gt;=0.85,"🟢 على المسار","🟠 متأخّر"))</f>
        <v/>
      </c>
    </row>
    <row r="152" ht="22" customHeight="1">
      <c r="A152" s="54" t="n">
        <v>149</v>
      </c>
      <c r="B152" s="13" t="inlineStr">
        <is>
          <t>الإدارة المالية</t>
        </is>
      </c>
      <c r="C152" s="11" t="inlineStr">
        <is>
          <t>النسبة الجارية (Current Ratio)</t>
        </is>
      </c>
      <c r="D152" s="15" t="inlineStr">
        <is>
          <t>شهري</t>
        </is>
      </c>
      <c r="E152" s="15" t="inlineStr">
        <is>
          <t>لقطة</t>
        </is>
      </c>
      <c r="F152" s="49" t="inlineStr">
        <is>
          <t>↑</t>
        </is>
      </c>
      <c r="G152" s="62" t="n">
        <v>1</v>
      </c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4">
        <f>IFERROR(LOOKUP(2,1/($H152:$S152&lt;&gt;""),$H152:$S152),"")</f>
        <v/>
      </c>
      <c r="U152" s="50">
        <f>IF($G152="","",IF($T152="","",MIN(1,IF($G152=0,IF($T152&lt;=0,1,0),IF($F152="↓",IFERROR($G152/$T152,0),IFERROR($T152/$G152,0))))))</f>
        <v/>
      </c>
      <c r="V152" s="54">
        <f>IF($U152="","⏳ بانتظار هدف",IF($U152&gt;=1.0,"✅ محقق",IF($U152&gt;=0.85,"🟡 قريب","🔴 تحت الهدف")))</f>
        <v/>
      </c>
      <c r="W152" s="65">
        <f>IF($G152="","",$G152)</f>
        <v/>
      </c>
      <c r="X152" s="54">
        <f>IF($U152="","—",IF($U152&gt;=0.85,"🟢 على المسار","🟠 متأخّر"))</f>
        <v/>
      </c>
    </row>
    <row r="153" ht="22" customHeight="1">
      <c r="A153" s="54" t="n">
        <v>150</v>
      </c>
      <c r="B153" s="13" t="inlineStr">
        <is>
          <t>الإدارة المالية</t>
        </is>
      </c>
      <c r="C153" s="11" t="inlineStr">
        <is>
          <t>دورة التحويل النقدي</t>
        </is>
      </c>
      <c r="D153" s="15" t="inlineStr">
        <is>
          <t>شهري</t>
        </is>
      </c>
      <c r="E153" s="15" t="inlineStr">
        <is>
          <t>معدل</t>
        </is>
      </c>
      <c r="F153" s="49" t="inlineStr">
        <is>
          <t>↓</t>
        </is>
      </c>
      <c r="G153" s="62" t="n">
        <v>20</v>
      </c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4">
        <f>IF(COUNT($H153:$S153)=0,"",SUM($H153:$S153)/COUNT($H153:$S153))</f>
        <v/>
      </c>
      <c r="U153" s="50">
        <f>IF($G153="","",IF($T153="","",MIN(1,IF($G153=0,IF($T153&lt;=0,1,0),IF($F153="↓",IFERROR($G153/$T153,0),IFERROR($T153/$G153,0))))))</f>
        <v/>
      </c>
      <c r="V153" s="54">
        <f>IF($U153="","⏳ بانتظار هدف",IF($U153&gt;=1.0,"✅ محقق",IF($U153&gt;=0.85,"🟡 قريب","🔴 تحت الهدف")))</f>
        <v/>
      </c>
      <c r="W153" s="65">
        <f>IF($G153="","",$G153)</f>
        <v/>
      </c>
      <c r="X153" s="54">
        <f>IF($U153="","—",IF($U153&gt;=0.85,"🟢 على المسار","🟠 متأخّر"))</f>
        <v/>
      </c>
    </row>
    <row r="154" ht="22" customHeight="1">
      <c r="A154" s="54" t="n">
        <v>151</v>
      </c>
      <c r="B154" s="13" t="inlineStr">
        <is>
          <t>الإدارة المالية</t>
        </is>
      </c>
      <c r="C154" s="11" t="inlineStr">
        <is>
          <t>متوسط أيام التحصيل العام (DSO)</t>
        </is>
      </c>
      <c r="D154" s="15" t="inlineStr">
        <is>
          <t>شهري</t>
        </is>
      </c>
      <c r="E154" s="15" t="inlineStr">
        <is>
          <t>معدل</t>
        </is>
      </c>
      <c r="F154" s="49" t="inlineStr">
        <is>
          <t>↓</t>
        </is>
      </c>
      <c r="G154" s="62" t="n">
        <v>30</v>
      </c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4">
        <f>IF(COUNT($H154:$S154)=0,"",SUM($H154:$S154)/COUNT($H154:$S154))</f>
        <v/>
      </c>
      <c r="U154" s="50">
        <f>IF($G154="","",IF($T154="","",MIN(1,IF($G154=0,IF($T154&lt;=0,1,0),IF($F154="↓",IFERROR($G154/$T154,0),IFERROR($T154/$G154,0))))))</f>
        <v/>
      </c>
      <c r="V154" s="54">
        <f>IF($U154="","⏳ بانتظار هدف",IF($U154&gt;=1.0,"✅ محقق",IF($U154&gt;=0.85,"🟡 قريب","🔴 تحت الهدف")))</f>
        <v/>
      </c>
      <c r="W154" s="65">
        <f>IF($G154="","",$G154)</f>
        <v/>
      </c>
      <c r="X154" s="54">
        <f>IF($U154="","—",IF($U154&gt;=0.85,"🟢 على المسار","🟠 متأخّر"))</f>
        <v/>
      </c>
    </row>
    <row r="155" ht="22" customHeight="1">
      <c r="A155" s="54" t="n">
        <v>152</v>
      </c>
      <c r="B155" s="13" t="inlineStr">
        <is>
          <t>الإدارة المالية</t>
        </is>
      </c>
      <c r="C155" s="11" t="inlineStr">
        <is>
          <t>نسبة التحصيل العام (الشركة)</t>
        </is>
      </c>
      <c r="D155" s="15" t="inlineStr">
        <is>
          <t>شهري</t>
        </is>
      </c>
      <c r="E155" s="15" t="inlineStr">
        <is>
          <t>معدل</t>
        </is>
      </c>
      <c r="F155" s="49" t="inlineStr">
        <is>
          <t>↑</t>
        </is>
      </c>
      <c r="G155" s="59" t="n">
        <v>0.95</v>
      </c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50">
        <f>IF(COUNT($H155:$S155)=0,"",SUM($H155:$S155)/COUNT($H155:$S155))</f>
        <v/>
      </c>
      <c r="U155" s="50">
        <f>IF($G155="","",IF($T155="","",MIN(1,IF($G155=0,IF($T155&lt;=0,1,0),IF($F155="↓",IFERROR($G155/$T155,0),IFERROR($T155/$G155,0))))))</f>
        <v/>
      </c>
      <c r="V155" s="54">
        <f>IF($U155="","⏳ بانتظار هدف",IF($U155&gt;=1.0,"✅ محقق",IF($U155&gt;=0.85,"🟡 قريب","🔴 تحت الهدف")))</f>
        <v/>
      </c>
      <c r="W155" s="61">
        <f>IF($G155="","",$G155)</f>
        <v/>
      </c>
      <c r="X155" s="54">
        <f>IF($U155="","—",IF($U155&gt;=0.85,"🟢 على المسار","🟠 متأخّر"))</f>
        <v/>
      </c>
    </row>
    <row r="156" ht="22" customHeight="1">
      <c r="A156" s="54" t="n">
        <v>153</v>
      </c>
      <c r="B156" s="13" t="inlineStr">
        <is>
          <t>الإدارة المالية</t>
        </is>
      </c>
      <c r="C156" s="11" t="inlineStr">
        <is>
          <t>نسبة الذمم المتأخرة</t>
        </is>
      </c>
      <c r="D156" s="15" t="inlineStr">
        <is>
          <t>شهري</t>
        </is>
      </c>
      <c r="E156" s="15" t="inlineStr">
        <is>
          <t>معدل</t>
        </is>
      </c>
      <c r="F156" s="49" t="inlineStr">
        <is>
          <t>↓</t>
        </is>
      </c>
      <c r="G156" s="59" t="n">
        <v>0.1</v>
      </c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50">
        <f>IF(COUNT($H156:$S156)=0,"",SUM($H156:$S156)/COUNT($H156:$S156))</f>
        <v/>
      </c>
      <c r="U156" s="50">
        <f>IF($G156="","",IF($T156="","",MIN(1,IF($G156=0,IF($T156&lt;=0,1,0),IF($F156="↓",IFERROR($G156/$T156,0),IFERROR($T156/$G156,0))))))</f>
        <v/>
      </c>
      <c r="V156" s="54">
        <f>IF($U156="","⏳ بانتظار هدف",IF($U156&gt;=1.0,"✅ محقق",IF($U156&gt;=0.85,"🟡 قريب","🔴 تحت الهدف")))</f>
        <v/>
      </c>
      <c r="W156" s="61">
        <f>IF($G156="","",$G156)</f>
        <v/>
      </c>
      <c r="X156" s="54">
        <f>IF($U156="","—",IF($U156&gt;=0.85,"🟢 على المسار","🟠 متأخّر"))</f>
        <v/>
      </c>
    </row>
    <row r="157" ht="22" customHeight="1">
      <c r="A157" s="54" t="n">
        <v>154</v>
      </c>
      <c r="B157" s="13" t="inlineStr">
        <is>
          <t>الإدارة المالية</t>
        </is>
      </c>
      <c r="C157" s="11" t="inlineStr">
        <is>
          <t>نسبة الديون المعدومة</t>
        </is>
      </c>
      <c r="D157" s="15" t="inlineStr">
        <is>
          <t>شهري</t>
        </is>
      </c>
      <c r="E157" s="15" t="inlineStr">
        <is>
          <t>معدل</t>
        </is>
      </c>
      <c r="F157" s="49" t="inlineStr">
        <is>
          <t>↓</t>
        </is>
      </c>
      <c r="G157" s="59" t="n">
        <v>0.01</v>
      </c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50">
        <f>IF(COUNT($H157:$S157)=0,"",SUM($H157:$S157)/COUNT($H157:$S157))</f>
        <v/>
      </c>
      <c r="U157" s="50">
        <f>IF($G157="","",IF($T157="","",MIN(1,IF($G157=0,IF($T157&lt;=0,1,0),IF($F157="↓",IFERROR($G157/$T157,0),IFERROR($T157/$G157,0))))))</f>
        <v/>
      </c>
      <c r="V157" s="54">
        <f>IF($U157="","⏳ بانتظار هدف",IF($U157&gt;=1.0,"✅ محقق",IF($U157&gt;=0.85,"🟡 قريب","🔴 تحت الهدف")))</f>
        <v/>
      </c>
      <c r="W157" s="61">
        <f>IF($G157="","",$G157)</f>
        <v/>
      </c>
      <c r="X157" s="54">
        <f>IF($U157="","—",IF($U157&gt;=0.85,"🟢 على المسار","🟠 متأخّر"))</f>
        <v/>
      </c>
    </row>
    <row r="158" ht="22" customHeight="1">
      <c r="A158" s="54" t="n">
        <v>155</v>
      </c>
      <c r="B158" s="13" t="inlineStr">
        <is>
          <t>الإدارة المالية</t>
        </is>
      </c>
      <c r="C158" s="11" t="inlineStr">
        <is>
          <t>سداد الموردين في الموعد</t>
        </is>
      </c>
      <c r="D158" s="15" t="inlineStr">
        <is>
          <t>شهري</t>
        </is>
      </c>
      <c r="E158" s="15" t="inlineStr">
        <is>
          <t>معدل</t>
        </is>
      </c>
      <c r="F158" s="49" t="inlineStr">
        <is>
          <t>↑</t>
        </is>
      </c>
      <c r="G158" s="59" t="n">
        <v>0.98</v>
      </c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50">
        <f>IF(COUNT($H158:$S158)=0,"",SUM($H158:$S158)/COUNT($H158:$S158))</f>
        <v/>
      </c>
      <c r="U158" s="50">
        <f>IF($G158="","",IF($T158="","",MIN(1,IF($G158=0,IF($T158&lt;=0,1,0),IF($F158="↓",IFERROR($G158/$T158,0),IFERROR($T158/$G158,0))))))</f>
        <v/>
      </c>
      <c r="V158" s="54">
        <f>IF($U158="","⏳ بانتظار هدف",IF($U158&gt;=1.0,"✅ محقق",IF($U158&gt;=0.85,"🟡 قريب","🔴 تحت الهدف")))</f>
        <v/>
      </c>
      <c r="W158" s="61">
        <f>IF($G158="","",$G158)</f>
        <v/>
      </c>
      <c r="X158" s="54">
        <f>IF($U158="","—",IF($U158&gt;=0.85,"🟢 على المسار","🟠 متأخّر"))</f>
        <v/>
      </c>
    </row>
    <row r="159" ht="22" customHeight="1">
      <c r="A159" s="54" t="n">
        <v>156</v>
      </c>
      <c r="B159" s="13" t="inlineStr">
        <is>
          <t>الإدارة المالية</t>
        </is>
      </c>
      <c r="C159" s="11" t="inlineStr">
        <is>
          <t>اكتمال مطابقة حسابات الموردين</t>
        </is>
      </c>
      <c r="D159" s="15" t="inlineStr">
        <is>
          <t>شهري</t>
        </is>
      </c>
      <c r="E159" s="15" t="inlineStr">
        <is>
          <t>معدل</t>
        </is>
      </c>
      <c r="F159" s="49" t="inlineStr">
        <is>
          <t>↑</t>
        </is>
      </c>
      <c r="G159" s="59" t="n">
        <v>0.95</v>
      </c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50">
        <f>IF(COUNT($H159:$S159)=0,"",SUM($H159:$S159)/COUNT($H159:$S159))</f>
        <v/>
      </c>
      <c r="U159" s="50">
        <f>IF($G159="","",IF($T159="","",MIN(1,IF($G159=0,IF($T159&lt;=0,1,0),IF($F159="↓",IFERROR($G159/$T159,0),IFERROR($T159/$G159,0))))))</f>
        <v/>
      </c>
      <c r="V159" s="54">
        <f>IF($U159="","⏳ بانتظار هدف",IF($U159&gt;=1.0,"✅ محقق",IF($U159&gt;=0.97,"🟡 قريب","🔴 تحت الهدف")))</f>
        <v/>
      </c>
      <c r="W159" s="61">
        <f>IF($G159="","",$G159)</f>
        <v/>
      </c>
      <c r="X159" s="54">
        <f>IF($U159="","—",IF($U159&gt;=0.97,"🟢 على المسار","🟠 متأخّر"))</f>
        <v/>
      </c>
    </row>
    <row r="160" ht="22" customHeight="1">
      <c r="A160" s="54" t="n">
        <v>157</v>
      </c>
      <c r="B160" s="13" t="inlineStr">
        <is>
          <t>الإدارة المالية</t>
        </is>
      </c>
      <c r="C160" s="11" t="inlineStr">
        <is>
          <t>دقة التنبؤ النقدي</t>
        </is>
      </c>
      <c r="D160" s="15" t="inlineStr">
        <is>
          <t>شهري</t>
        </is>
      </c>
      <c r="E160" s="15" t="inlineStr">
        <is>
          <t>معدل</t>
        </is>
      </c>
      <c r="F160" s="49" t="inlineStr">
        <is>
          <t>↑</t>
        </is>
      </c>
      <c r="G160" s="59" t="n">
        <v>0.9</v>
      </c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50">
        <f>IF(COUNT($H160:$S160)=0,"",SUM($H160:$S160)/COUNT($H160:$S160))</f>
        <v/>
      </c>
      <c r="U160" s="50">
        <f>IF($G160="","",IF($T160="","",MIN(1,IF($G160=0,IF($T160&lt;=0,1,0),IF($F160="↓",IFERROR($G160/$T160,0),IFERROR($T160/$G160,0))))))</f>
        <v/>
      </c>
      <c r="V160" s="54">
        <f>IF($U160="","⏳ بانتظار هدف",IF($U160&gt;=1.0,"✅ محقق",IF($U160&gt;=0.85,"🟡 قريب","🔴 تحت الهدف")))</f>
        <v/>
      </c>
      <c r="W160" s="61">
        <f>IF($G160="","",$G160)</f>
        <v/>
      </c>
      <c r="X160" s="54">
        <f>IF($U160="","—",IF($U160&gt;=0.85,"🟢 على المسار","🟠 متأخّر"))</f>
        <v/>
      </c>
    </row>
    <row r="161" ht="22" customHeight="1">
      <c r="A161" s="54" t="n">
        <v>158</v>
      </c>
      <c r="B161" s="13" t="inlineStr">
        <is>
          <t>الإدارة المالية</t>
        </is>
      </c>
      <c r="C161" s="11" t="inlineStr">
        <is>
          <t>تباين مخزون الوقود</t>
        </is>
      </c>
      <c r="D161" s="15" t="inlineStr">
        <is>
          <t>شهري</t>
        </is>
      </c>
      <c r="E161" s="15" t="inlineStr">
        <is>
          <t>معدل</t>
        </is>
      </c>
      <c r="F161" s="49" t="inlineStr">
        <is>
          <t>↓</t>
        </is>
      </c>
      <c r="G161" s="59" t="n">
        <v>0.001</v>
      </c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50">
        <f>IF(COUNT($H161:$S161)=0,"",SUM($H161:$S161)/COUNT($H161:$S161))</f>
        <v/>
      </c>
      <c r="U161" s="50">
        <f>IF($G161="","",IF($T161="","",MIN(1,IF($G161=0,IF($T161&lt;=0,1,0),IF($F161="↓",IFERROR($G161/$T161,0),IFERROR($T161/$G161,0))))))</f>
        <v/>
      </c>
      <c r="V161" s="54">
        <f>IF($U161="","⏳ بانتظار هدف",IF($U161&gt;=1.0,"✅ محقق",IF($U161&gt;=0.85,"🟡 قريب","🔴 تحت الهدف")))</f>
        <v/>
      </c>
      <c r="W161" s="61">
        <f>IF($G161="","",$G161)</f>
        <v/>
      </c>
      <c r="X161" s="54">
        <f>IF($U161="","—",IF($U161&gt;=0.85,"🟢 على المسار","🟠 متأخّر"))</f>
        <v/>
      </c>
    </row>
    <row r="162" ht="22" customHeight="1">
      <c r="A162" s="54" t="n">
        <v>159</v>
      </c>
      <c r="B162" s="13" t="inlineStr">
        <is>
          <t>الإدارة المالية</t>
        </is>
      </c>
      <c r="C162" s="11" t="inlineStr">
        <is>
          <t>دقة مطابقة المخزون</t>
        </is>
      </c>
      <c r="D162" s="15" t="inlineStr">
        <is>
          <t>شهري</t>
        </is>
      </c>
      <c r="E162" s="15" t="inlineStr">
        <is>
          <t>معدل</t>
        </is>
      </c>
      <c r="F162" s="49" t="inlineStr">
        <is>
          <t>↑</t>
        </is>
      </c>
      <c r="G162" s="59" t="n">
        <v>0.995</v>
      </c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50">
        <f>IF(COUNT($H162:$S162)=0,"",SUM($H162:$S162)/COUNT($H162:$S162))</f>
        <v/>
      </c>
      <c r="U162" s="50">
        <f>IF($G162="","",IF($T162="","",MIN(1,IF($G162=0,IF($T162&lt;=0,1,0),IF($F162="↓",IFERROR($G162/$T162,0),IFERROR($T162/$G162,0))))))</f>
        <v/>
      </c>
      <c r="V162" s="54">
        <f>IF($U162="","⏳ بانتظار هدف",IF($U162&gt;=1.0,"✅ محقق",IF($U162&gt;=0.97,"🟡 قريب","🔴 تحت الهدف")))</f>
        <v/>
      </c>
      <c r="W162" s="61">
        <f>IF($G162="","",$G162)</f>
        <v/>
      </c>
      <c r="X162" s="54">
        <f>IF($U162="","—",IF($U162&gt;=0.97,"🟢 على المسار","🟠 متأخّر"))</f>
        <v/>
      </c>
    </row>
    <row r="163" ht="22" customHeight="1">
      <c r="A163" s="54" t="n">
        <v>160</v>
      </c>
      <c r="B163" s="13" t="inlineStr">
        <is>
          <t>الإدارة المالية</t>
        </is>
      </c>
      <c r="C163" s="11" t="inlineStr">
        <is>
          <t>دقة تسوية أرامكو</t>
        </is>
      </c>
      <c r="D163" s="15" t="inlineStr">
        <is>
          <t>شهري</t>
        </is>
      </c>
      <c r="E163" s="15" t="inlineStr">
        <is>
          <t>معدل</t>
        </is>
      </c>
      <c r="F163" s="49" t="inlineStr">
        <is>
          <t>↑</t>
        </is>
      </c>
      <c r="G163" s="59" t="n">
        <v>1</v>
      </c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50">
        <f>IF(COUNT($H163:$S163)=0,"",SUM($H163:$S163)/COUNT($H163:$S163))</f>
        <v/>
      </c>
      <c r="U163" s="50">
        <f>IF($G163="","",IF($T163="","",MIN(1,IF($G163=0,IF($T163&lt;=0,1,0),IF($F163="↓",IFERROR($G163/$T163,0),IFERROR($T163/$G163,0))))))</f>
        <v/>
      </c>
      <c r="V163" s="54">
        <f>IF($U163="","⏳ بانتظار هدف",IF($U163&gt;=1.0,"✅ محقق",IF($U163&gt;=0.97,"🟡 قريب","🔴 تحت الهدف")))</f>
        <v/>
      </c>
      <c r="W163" s="61">
        <f>IF($G163="","",$G163)</f>
        <v/>
      </c>
      <c r="X163" s="54">
        <f>IF($U163="","—",IF($U163&gt;=0.97,"🟢 على المسار","🟠 متأخّر"))</f>
        <v/>
      </c>
    </row>
    <row r="164" ht="22" customHeight="1">
      <c r="A164" s="54" t="n">
        <v>161</v>
      </c>
      <c r="B164" s="13" t="inlineStr">
        <is>
          <t>الإدارة المالية</t>
        </is>
      </c>
      <c r="C164" s="11" t="inlineStr">
        <is>
          <t>نسبة تحصيل الامتياز</t>
        </is>
      </c>
      <c r="D164" s="15" t="inlineStr">
        <is>
          <t>شهري</t>
        </is>
      </c>
      <c r="E164" s="15" t="inlineStr">
        <is>
          <t>معدل</t>
        </is>
      </c>
      <c r="F164" s="49" t="inlineStr">
        <is>
          <t>↑</t>
        </is>
      </c>
      <c r="G164" s="59" t="n">
        <v>0.98</v>
      </c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50">
        <f>IF(COUNT($H164:$S164)=0,"",SUM($H164:$S164)/COUNT($H164:$S164))</f>
        <v/>
      </c>
      <c r="U164" s="50">
        <f>IF($G164="","",IF($T164="","",MIN(1,IF($G164=0,IF($T164&lt;=0,1,0),IF($F164="↓",IFERROR($G164/$T164,0),IFERROR($T164/$G164,0))))))</f>
        <v/>
      </c>
      <c r="V164" s="54">
        <f>IF($U164="","⏳ بانتظار هدف",IF($U164&gt;=1.0,"✅ محقق",IF($U164&gt;=0.85,"🟡 قريب","🔴 تحت الهدف")))</f>
        <v/>
      </c>
      <c r="W164" s="61">
        <f>IF($G164="","",$G164)</f>
        <v/>
      </c>
      <c r="X164" s="54">
        <f>IF($U164="","—",IF($U164&gt;=0.85,"🟢 على المسار","🟠 متأخّر"))</f>
        <v/>
      </c>
    </row>
    <row r="165" ht="22" customHeight="1">
      <c r="A165" s="54" t="n">
        <v>162</v>
      </c>
      <c r="B165" s="13" t="inlineStr">
        <is>
          <t>الإدارة المالية</t>
        </is>
      </c>
      <c r="C165" s="11" t="inlineStr">
        <is>
          <t>أيام تحصيل رسوم الامتياز</t>
        </is>
      </c>
      <c r="D165" s="15" t="inlineStr">
        <is>
          <t>شهري</t>
        </is>
      </c>
      <c r="E165" s="15" t="inlineStr">
        <is>
          <t>معدل</t>
        </is>
      </c>
      <c r="F165" s="49" t="inlineStr">
        <is>
          <t>↓</t>
        </is>
      </c>
      <c r="G165" s="62" t="n">
        <v>15</v>
      </c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4">
        <f>IF(COUNT($H165:$S165)=0,"",SUM($H165:$S165)/COUNT($H165:$S165))</f>
        <v/>
      </c>
      <c r="U165" s="50">
        <f>IF($G165="","",IF($T165="","",MIN(1,IF($G165=0,IF($T165&lt;=0,1,0),IF($F165="↓",IFERROR($G165/$T165,0),IFERROR($T165/$G165,0))))))</f>
        <v/>
      </c>
      <c r="V165" s="54">
        <f>IF($U165="","⏳ بانتظار هدف",IF($U165&gt;=1.0,"✅ محقق",IF($U165&gt;=0.85,"🟡 قريب","🔴 تحت الهدف")))</f>
        <v/>
      </c>
      <c r="W165" s="65">
        <f>IF($G165="","",$G165)</f>
        <v/>
      </c>
      <c r="X165" s="54">
        <f>IF($U165="","—",IF($U165&gt;=0.85,"🟢 على المسار","🟠 متأخّر"))</f>
        <v/>
      </c>
    </row>
    <row r="166" ht="22" customHeight="1">
      <c r="A166" s="54" t="n">
        <v>163</v>
      </c>
      <c r="B166" s="13" t="inlineStr">
        <is>
          <t>الإدارة المالية</t>
        </is>
      </c>
      <c r="C166" s="11" t="inlineStr">
        <is>
          <t>نسبة تحصيل الإيجار</t>
        </is>
      </c>
      <c r="D166" s="15" t="inlineStr">
        <is>
          <t>شهري</t>
        </is>
      </c>
      <c r="E166" s="15" t="inlineStr">
        <is>
          <t>معدل</t>
        </is>
      </c>
      <c r="F166" s="49" t="inlineStr">
        <is>
          <t>↑</t>
        </is>
      </c>
      <c r="G166" s="59" t="n">
        <v>0.98</v>
      </c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50">
        <f>IF(COUNT($H166:$S166)=0,"",SUM($H166:$S166)/COUNT($H166:$S166))</f>
        <v/>
      </c>
      <c r="U166" s="50">
        <f>IF($G166="","",IF($T166="","",MIN(1,IF($G166=0,IF($T166&lt;=0,1,0),IF($F166="↓",IFERROR($G166/$T166,0),IFERROR($T166/$G166,0))))))</f>
        <v/>
      </c>
      <c r="V166" s="54">
        <f>IF($U166="","⏳ بانتظار هدف",IF($U166&gt;=1.0,"✅ محقق",IF($U166&gt;=0.85,"🟡 قريب","🔴 تحت الهدف")))</f>
        <v/>
      </c>
      <c r="W166" s="61">
        <f>IF($G166="","",$G166)</f>
        <v/>
      </c>
      <c r="X166" s="54">
        <f>IF($U166="","—",IF($U166&gt;=0.85,"🟢 على المسار","🟠 متأخّر"))</f>
        <v/>
      </c>
    </row>
    <row r="167" ht="22" customHeight="1">
      <c r="A167" s="54" t="n">
        <v>164</v>
      </c>
      <c r="B167" s="13" t="inlineStr">
        <is>
          <t>الإدارة المالية</t>
        </is>
      </c>
      <c r="C167" s="11" t="inlineStr">
        <is>
          <t>معدل تجديد عقود الإيجار</t>
        </is>
      </c>
      <c r="D167" s="15" t="inlineStr">
        <is>
          <t>شهري</t>
        </is>
      </c>
      <c r="E167" s="15" t="inlineStr">
        <is>
          <t>معدل</t>
        </is>
      </c>
      <c r="F167" s="49" t="inlineStr">
        <is>
          <t>↑</t>
        </is>
      </c>
      <c r="G167" s="59" t="n">
        <v>0.9</v>
      </c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50">
        <f>IF(COUNT($H167:$S167)=0,"",SUM($H167:$S167)/COUNT($H167:$S167))</f>
        <v/>
      </c>
      <c r="U167" s="50">
        <f>IF($G167="","",IF($T167="","",MIN(1,IF($G167=0,IF($T167&lt;=0,1,0),IF($F167="↓",IFERROR($G167/$T167,0),IFERROR($T167/$G167,0))))))</f>
        <v/>
      </c>
      <c r="V167" s="54">
        <f>IF($U167="","⏳ بانتظار هدف",IF($U167&gt;=1.0,"✅ محقق",IF($U167&gt;=0.85,"🟡 قريب","🔴 تحت الهدف")))</f>
        <v/>
      </c>
      <c r="W167" s="61">
        <f>IF($G167="","",$G167)</f>
        <v/>
      </c>
      <c r="X167" s="54">
        <f>IF($U167="","—",IF($U167&gt;=0.85,"🟢 على المسار","🟠 متأخّر"))</f>
        <v/>
      </c>
    </row>
    <row r="168" ht="22" customHeight="1">
      <c r="A168" s="54" t="n">
        <v>165</v>
      </c>
      <c r="B168" s="13" t="inlineStr">
        <is>
          <t>الإدارة المالية</t>
        </is>
      </c>
      <c r="C168" s="11" t="inlineStr">
        <is>
          <t>انحراف الموازنة</t>
        </is>
      </c>
      <c r="D168" s="15" t="inlineStr">
        <is>
          <t>ربعي</t>
        </is>
      </c>
      <c r="E168" s="15" t="inlineStr">
        <is>
          <t>معدل</t>
        </is>
      </c>
      <c r="F168" s="49" t="inlineStr">
        <is>
          <t>↓</t>
        </is>
      </c>
      <c r="G168" s="59" t="n">
        <v>0.1</v>
      </c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50">
        <f>IF(COUNT($H168:$S168)=0,"",SUM($H168:$S168)/COUNT($H168:$S168))</f>
        <v/>
      </c>
      <c r="U168" s="50">
        <f>IF($G168="","",IF($T168="","",MIN(1,IF($G168=0,IF($T168&lt;=0,1,0),IF($F168="↓",IFERROR($G168/$T168,0),IFERROR($T168/$G168,0))))))</f>
        <v/>
      </c>
      <c r="V168" s="54">
        <f>IF($U168="","⏳ بانتظار هدف",IF($U168&gt;=1.0,"✅ محقق",IF($U168&gt;=0.85,"🟡 قريب","🔴 تحت الهدف")))</f>
        <v/>
      </c>
      <c r="W168" s="61">
        <f>IF($G168="","",$G168)</f>
        <v/>
      </c>
      <c r="X168" s="54">
        <f>IF($U168="","—",IF($U168&gt;=0.85,"🟢 على المسار","🟠 متأخّر"))</f>
        <v/>
      </c>
    </row>
    <row r="169" ht="22" customHeight="1">
      <c r="A169" s="54" t="n">
        <v>166</v>
      </c>
      <c r="B169" s="13" t="inlineStr">
        <is>
          <t>الإدارة المالية</t>
        </is>
      </c>
      <c r="C169" s="11" t="inlineStr">
        <is>
          <t>أيام الإقفال الشهري</t>
        </is>
      </c>
      <c r="D169" s="15" t="inlineStr">
        <is>
          <t>شهري</t>
        </is>
      </c>
      <c r="E169" s="15" t="inlineStr">
        <is>
          <t>معدل</t>
        </is>
      </c>
      <c r="F169" s="49" t="inlineStr">
        <is>
          <t>↓</t>
        </is>
      </c>
      <c r="G169" s="62" t="n">
        <v>6</v>
      </c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4">
        <f>IF(COUNT($H169:$S169)=0,"",SUM($H169:$S169)/COUNT($H169:$S169))</f>
        <v/>
      </c>
      <c r="U169" s="50">
        <f>IF($G169="","",IF($T169="","",MIN(1,IF($G169=0,IF($T169&lt;=0,1,0),IF($F169="↓",IFERROR($G169/$T169,0),IFERROR($T169/$G169,0))))))</f>
        <v/>
      </c>
      <c r="V169" s="54">
        <f>IF($U169="","⏳ بانتظار هدف",IF($U169&gt;=1.0,"✅ محقق",IF($U169&gt;=0.85,"🟡 قريب","🔴 تحت الهدف")))</f>
        <v/>
      </c>
      <c r="W169" s="65">
        <f>IF($G169="","",$G169)</f>
        <v/>
      </c>
      <c r="X169" s="54">
        <f>IF($U169="","—",IF($U169&gt;=0.85,"🟢 على المسار","🟠 متأخّر"))</f>
        <v/>
      </c>
    </row>
    <row r="170" ht="22" customHeight="1">
      <c r="A170" s="54" t="n">
        <v>167</v>
      </c>
      <c r="B170" s="13" t="inlineStr">
        <is>
          <t>الإدارة المالية</t>
        </is>
      </c>
      <c r="C170" s="11" t="inlineStr">
        <is>
          <t>نسبة تسويات التدقيق</t>
        </is>
      </c>
      <c r="D170" s="15" t="inlineStr">
        <is>
          <t>ربعي</t>
        </is>
      </c>
      <c r="E170" s="15" t="inlineStr">
        <is>
          <t>معدل</t>
        </is>
      </c>
      <c r="F170" s="49" t="inlineStr">
        <is>
          <t>↓</t>
        </is>
      </c>
      <c r="G170" s="59" t="n">
        <v>0.02</v>
      </c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50">
        <f>IF(COUNT($H170:$S170)=0,"",SUM($H170:$S170)/COUNT($H170:$S170))</f>
        <v/>
      </c>
      <c r="U170" s="50">
        <f>IF($G170="","",IF($T170="","",MIN(1,IF($G170=0,IF($T170&lt;=0,1,0),IF($F170="↓",IFERROR($G170/$T170,0),IFERROR($T170/$G170,0))))))</f>
        <v/>
      </c>
      <c r="V170" s="54">
        <f>IF($U170="","⏳ بانتظار هدف",IF($U170&gt;=1.0,"✅ محقق",IF($U170&gt;=0.85,"🟡 قريب","🔴 تحت الهدف")))</f>
        <v/>
      </c>
      <c r="W170" s="61">
        <f>IF($G170="","",$G170)</f>
        <v/>
      </c>
      <c r="X170" s="54">
        <f>IF($U170="","—",IF($U170&gt;=0.85,"🟢 على المسار","🟠 متأخّر"))</f>
        <v/>
      </c>
    </row>
  </sheetData>
  <autoFilter ref="A3:X170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3</v>
      </c>
      <c r="D10" s="70" t="n">
        <v>1</v>
      </c>
      <c r="E10" s="15" t="n">
        <v>2</v>
      </c>
      <c r="F10" s="15" t="n">
        <v>0</v>
      </c>
      <c r="G10" s="15" t="n">
        <v>1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0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0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0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0.156</v>
      </c>
    </row>
    <row r="23">
      <c r="A23" s="15" t="n">
        <v>2</v>
      </c>
      <c r="B23" s="13" t="inlineStr">
        <is>
          <t>العملاء</t>
        </is>
      </c>
      <c r="C23" s="15" t="n">
        <v>20</v>
      </c>
      <c r="D23" s="24" t="n">
        <v>0.12</v>
      </c>
    </row>
    <row r="24">
      <c r="A24" s="15" t="n">
        <v>3</v>
      </c>
      <c r="B24" s="13" t="inlineStr">
        <is>
          <t>العمليات الداخلية</t>
        </is>
      </c>
      <c r="C24" s="15" t="n">
        <v>100</v>
      </c>
      <c r="D24" s="24" t="n">
        <v>0.599</v>
      </c>
    </row>
    <row r="25">
      <c r="A25" s="15" t="n">
        <v>4</v>
      </c>
      <c r="B25" s="13" t="inlineStr">
        <is>
          <t>التعلّم والنمو</t>
        </is>
      </c>
      <c r="C25" s="15" t="n">
        <v>21</v>
      </c>
      <c r="D25" s="24" t="n">
        <v>0.126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10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8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3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13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74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6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نسبة إشغال الوحدات</t>
        </is>
      </c>
      <c r="D51" s="71" t="inlineStr">
        <is>
          <t>يقيس نسبة إشغال الوحدات ضمن محور «التأجير»،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العمليات الداخلية</t>
        </is>
      </c>
      <c r="I51" s="59" t="n">
        <v>0.2</v>
      </c>
      <c r="J51" s="15" t="inlineStr">
        <is>
          <t>مدير العقار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العقار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زيادة عدد العلامات التجارية</t>
        </is>
      </c>
      <c r="D52" s="71" t="inlineStr">
        <is>
          <t>يقيس زيادة عدد العلامات التجارية ضمن محور «التأجير»، ويعكس مساهمة الإدارة في ركيزة الاستدامة.</t>
        </is>
      </c>
      <c r="E52" s="11" t="inlineStr">
        <is>
          <t>إجمالي العدد خلال الفترة</t>
        </is>
      </c>
      <c r="F52" s="15" t="inlineStr">
        <is>
          <t>⚙️ نشاط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0.2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معدل رضا المستأجرين (استبيان ربعي)</t>
        </is>
      </c>
      <c r="D53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0.3</v>
      </c>
      <c r="J53" s="15" t="inlineStr">
        <is>
          <t>مدير العقار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العقار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تحصيل الإيجارات</t>
        </is>
      </c>
      <c r="D54" s="71" t="inlineStr">
        <is>
          <t>يقيس نسبة تحصيل الإيجارات ضمن محور «الإدارة»،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مالي</t>
        </is>
      </c>
      <c r="I54" s="59" t="n">
        <v>0.3</v>
      </c>
      <c r="J54" s="15" t="inlineStr">
        <is>
          <t>مدير العقار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إدارة المشاريع</t>
        </is>
      </c>
      <c r="C55" s="21" t="inlineStr">
        <is>
          <t>نسبة إنجاز محفظة المشاريع</t>
        </is>
      </c>
      <c r="D55" s="71" t="inlineStr">
        <is>
          <t>يقيس نسبة إنجاز محفظة المشاريع ضمن محور «تنفيذ المشاريع»،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59" t="n">
        <v>0.38</v>
      </c>
      <c r="J55" s="15" t="inlineStr">
        <is>
          <t>مدير إدارة المشاريع</t>
        </is>
      </c>
      <c r="K55" s="11" t="inlineStr">
        <is>
          <t>نظام إدارة المشاريع (PMO/Primavera)</t>
        </is>
      </c>
      <c r="L55" s="15" t="inlineStr">
        <is>
          <t>شهري</t>
        </is>
      </c>
      <c r="M55" s="15" t="inlineStr">
        <is>
          <t>مدير إدارة المشاريع</t>
        </is>
      </c>
      <c r="N55" s="51" t="n"/>
    </row>
    <row r="56" ht="30" customHeight="1">
      <c r="A56" s="15" t="n">
        <v>54</v>
      </c>
      <c r="B56" s="13" t="inlineStr">
        <is>
          <t>إدارة المشاريع</t>
        </is>
      </c>
      <c r="C56" s="21" t="inlineStr">
        <is>
          <t>نسبة تسليم المحطات في الموعد المخطط</t>
        </is>
      </c>
      <c r="D56" s="71" t="inlineStr">
        <is>
          <t>يقيس نسبة تسليم المحطات في الموعد المخطط ضمن محور «تنفيذ المشاريع»،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0.37</v>
      </c>
      <c r="J56" s="15" t="inlineStr">
        <is>
          <t>مدير إدارة المشاريع</t>
        </is>
      </c>
      <c r="K56" s="11" t="inlineStr">
        <is>
          <t>نظام إدارة المشاريع (PMO/Primavera)</t>
        </is>
      </c>
      <c r="L56" s="15" t="inlineStr">
        <is>
          <t>شهري</t>
        </is>
      </c>
      <c r="M56" s="15" t="inlineStr">
        <is>
          <t>مدير إدارة المشاريع</t>
        </is>
      </c>
      <c r="N56" s="51" t="n"/>
    </row>
    <row r="57" ht="30" customHeight="1">
      <c r="A57" s="15" t="n">
        <v>55</v>
      </c>
      <c r="B57" s="13" t="inlineStr">
        <is>
          <t>إدارة المشاريع</t>
        </is>
      </c>
      <c r="C57" s="21" t="inlineStr">
        <is>
          <t>متوسط مدة إغلاق قائمة الملاحظات النهائية</t>
        </is>
      </c>
      <c r="D57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57" s="11" t="inlineStr">
        <is>
          <t>متوسط يوم خلال الفترة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0.25</v>
      </c>
      <c r="J57" s="15" t="inlineStr">
        <is>
          <t>مدير إدارة المشاريع</t>
        </is>
      </c>
      <c r="K57" s="11" t="inlineStr">
        <is>
          <t>نظام إدارة المشاريع (PMO/Primavera)</t>
        </is>
      </c>
      <c r="L57" s="15" t="inlineStr">
        <is>
          <t>شهري</t>
        </is>
      </c>
      <c r="M57" s="15" t="inlineStr">
        <is>
          <t>مدير إدارة المشاريع</t>
        </is>
      </c>
      <c r="N57" s="51" t="n"/>
    </row>
    <row r="58" ht="30" customHeight="1">
      <c r="A58" s="15" t="n">
        <v>56</v>
      </c>
      <c r="B58" s="13" t="inlineStr">
        <is>
          <t>سلاسل الإمداد</t>
        </is>
      </c>
      <c r="C58" s="21" t="inlineStr">
        <is>
          <t>نسبة تلبية طلبات المحطات من الوقود Fill Rate</t>
        </is>
      </c>
      <c r="D58" s="71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النمو · زيادة وصول العملاء</t>
        </is>
      </c>
      <c r="H58" s="15" t="inlineStr">
        <is>
          <t>العمليات الداخلية</t>
        </is>
      </c>
      <c r="I58" s="59" t="n">
        <v>0.13</v>
      </c>
      <c r="J58" s="15" t="inlineStr">
        <is>
          <t>مدير سلاسل الإمداد</t>
        </is>
      </c>
      <c r="K58" s="11" t="inlineStr">
        <is>
          <t>نظام سلاسل الإمداد والمخزون (WMS/ERP)</t>
        </is>
      </c>
      <c r="L58" s="15" t="inlineStr">
        <is>
          <t>شهري</t>
        </is>
      </c>
      <c r="M58" s="15" t="inlineStr">
        <is>
          <t>مدير سلاسل الإمداد</t>
        </is>
      </c>
      <c r="N58" s="51" t="n"/>
    </row>
    <row r="59" ht="30" customHeight="1">
      <c r="A59" s="15" t="n">
        <v>57</v>
      </c>
      <c r="B59" s="13" t="inlineStr">
        <is>
          <t>سلاسل الإمداد</t>
        </is>
      </c>
      <c r="C59" s="21" t="inlineStr">
        <is>
          <t>عدد انقطاعات التوريد المؤثرة شهريًا</t>
        </is>
      </c>
      <c r="D59" s="71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59" s="11" t="inlineStr">
        <is>
          <t>إجمالي العدد خلال الفترة</t>
        </is>
      </c>
      <c r="F59" s="15" t="inlineStr">
        <is>
          <t>⚙️ نشاط</t>
        </is>
      </c>
      <c r="G59" s="11" t="inlineStr">
        <is>
          <t>الاستدامة · جودة التشغيل</t>
        </is>
      </c>
      <c r="H59" s="15" t="inlineStr">
        <is>
          <t>العمليات الداخلية</t>
        </is>
      </c>
      <c r="I59" s="59" t="n">
        <v>0.1</v>
      </c>
      <c r="J59" s="15" t="inlineStr">
        <is>
          <t>مدير سلاسل الإمداد</t>
        </is>
      </c>
      <c r="K59" s="11" t="inlineStr">
        <is>
          <t>نظام سلاسل الإمداد والمخزون (WMS/ERP)</t>
        </is>
      </c>
      <c r="L59" s="15" t="inlineStr">
        <is>
          <t>شهري</t>
        </is>
      </c>
      <c r="M59" s="15" t="inlineStr">
        <is>
          <t>مدير سلاسل الإمداد</t>
        </is>
      </c>
      <c r="N59" s="51" t="n"/>
    </row>
    <row r="60" ht="30" customHeight="1">
      <c r="A60" s="15" t="n">
        <v>58</v>
      </c>
      <c r="B60" s="13" t="inlineStr">
        <is>
          <t>سلاسل الإمداد</t>
        </is>
      </c>
      <c r="C60" s="21" t="inlineStr">
        <is>
          <t>نسبة تغطية مخزون الوقود بالأيام</t>
        </is>
      </c>
      <c r="D60" s="71" t="inlineStr">
        <is>
          <t>يقيس نسبة تغطية مخزون الوقود بالأيام ضمن محور «المخزون»،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العمليات الداخلية</t>
        </is>
      </c>
      <c r="I60" s="59" t="n">
        <v>0.09</v>
      </c>
      <c r="J60" s="15" t="inlineStr">
        <is>
          <t>مدير سلاسل الإمداد</t>
        </is>
      </c>
      <c r="K60" s="11" t="inlineStr">
        <is>
          <t>نظام سلاسل الإمداد والمخزون (WMS/ERP)</t>
        </is>
      </c>
      <c r="L60" s="15" t="inlineStr">
        <is>
          <t>شهري</t>
        </is>
      </c>
      <c r="M60" s="15" t="inlineStr">
        <is>
          <t>مدير سلاسل الإمداد</t>
        </is>
      </c>
      <c r="N60" s="51" t="n"/>
    </row>
    <row r="61" ht="30" customHeight="1">
      <c r="A61" s="15" t="n">
        <v>59</v>
      </c>
      <c r="B61" s="13" t="inlineStr">
        <is>
          <t>سلاسل الإمداد</t>
        </is>
      </c>
      <c r="C61" s="21" t="inlineStr">
        <is>
          <t>نسبة توفر المواد المخزنية والحرجة</t>
        </is>
      </c>
      <c r="D61" s="71" t="inlineStr">
        <is>
          <t>يقيس نسبة توفر المواد المخزنية والحرجة ضمن محور «المخزون»،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العمليات الداخلية</t>
        </is>
      </c>
      <c r="I61" s="59" t="n">
        <v>0.09</v>
      </c>
      <c r="J61" s="15" t="inlineStr">
        <is>
          <t>مدير سلاسل الإمداد</t>
        </is>
      </c>
      <c r="K61" s="11" t="inlineStr">
        <is>
          <t>نظام سلاسل الإمداد والمخزون (WMS/ERP)</t>
        </is>
      </c>
      <c r="L61" s="15" t="inlineStr">
        <is>
          <t>شهري</t>
        </is>
      </c>
      <c r="M61" s="15" t="inlineStr">
        <is>
          <t>مدير سلاسل الإمداد</t>
        </is>
      </c>
      <c r="N61" s="51" t="n"/>
    </row>
    <row r="62" ht="30" customHeight="1">
      <c r="A62" s="15" t="n">
        <v>60</v>
      </c>
      <c r="B62" s="13" t="inlineStr">
        <is>
          <t>سلاسل الإمداد</t>
        </is>
      </c>
      <c r="C62" s="21" t="inlineStr">
        <is>
          <t>نسبة المواد الراكدة من المخزون</t>
        </is>
      </c>
      <c r="D62" s="71" t="inlineStr">
        <is>
          <t>يقيس نسبة المواد الراكدة من المخزون ضمن محور «المخزون»،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الاستدامة · جودة التشغيل</t>
        </is>
      </c>
      <c r="H62" s="15" t="inlineStr">
        <is>
          <t>العمليات الداخلية</t>
        </is>
      </c>
      <c r="I62" s="59" t="n">
        <v>0.06</v>
      </c>
      <c r="J62" s="15" t="inlineStr">
        <is>
          <t>مدير سلاسل الإمداد</t>
        </is>
      </c>
      <c r="K62" s="11" t="inlineStr">
        <is>
          <t>نظام سلاسل الإمداد والمخزون (WMS/ERP)</t>
        </is>
      </c>
      <c r="L62" s="15" t="inlineStr">
        <is>
          <t>شهري</t>
        </is>
      </c>
      <c r="M62" s="15" t="inlineStr">
        <is>
          <t>مدير سلاسل الإمداد</t>
        </is>
      </c>
      <c r="N62" s="51" t="n"/>
    </row>
    <row r="63" ht="30" customHeight="1">
      <c r="A63" s="15" t="n">
        <v>61</v>
      </c>
      <c r="B63" s="13" t="inlineStr">
        <is>
          <t>سلاسل الإمداد</t>
        </is>
      </c>
      <c r="C63" s="21" t="inlineStr">
        <is>
          <t>دقة أوامر الشراء ومستنداتها</t>
        </is>
      </c>
      <c r="D63" s="71" t="inlineStr">
        <is>
          <t>يقيس دقة أوامر الشراء ومستنداتها ضمن محور «المشتريات»،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🎯 نتيجة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0.1</v>
      </c>
      <c r="J63" s="15" t="inlineStr">
        <is>
          <t>مدير سلاسل الإمداد</t>
        </is>
      </c>
      <c r="K63" s="11" t="inlineStr">
        <is>
          <t>نظام سلاسل الإمداد والمخزون (WMS/ERP)</t>
        </is>
      </c>
      <c r="L63" s="15" t="inlineStr">
        <is>
          <t>شهري</t>
        </is>
      </c>
      <c r="M63" s="15" t="inlineStr">
        <is>
          <t>مدير سلاسل الإمداد</t>
        </is>
      </c>
      <c r="N63" s="51" t="n"/>
    </row>
    <row r="64" ht="30" customHeight="1">
      <c r="A64" s="15" t="n">
        <v>62</v>
      </c>
      <c r="B64" s="13" t="inlineStr">
        <is>
          <t>سلاسل الإمداد</t>
        </is>
      </c>
      <c r="C64" s="21" t="inlineStr">
        <is>
          <t>نسبة إنجاز أوامر الشراء خلال المدة المستهدفة</t>
        </is>
      </c>
      <c r="D64" s="71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59" t="n">
        <v>0.08</v>
      </c>
      <c r="J64" s="15" t="inlineStr">
        <is>
          <t>مدير سلاسل الإمداد</t>
        </is>
      </c>
      <c r="K64" s="11" t="inlineStr">
        <is>
          <t>نظام سلاسل الإمداد والمخزون (WMS/ERP)</t>
        </is>
      </c>
      <c r="L64" s="15" t="inlineStr">
        <is>
          <t>شهري</t>
        </is>
      </c>
      <c r="M64" s="15" t="inlineStr">
        <is>
          <t>مدير سلاسل الإمداد</t>
        </is>
      </c>
      <c r="N64" s="51" t="n"/>
    </row>
    <row r="65" ht="30" customHeight="1">
      <c r="A65" s="15" t="n">
        <v>63</v>
      </c>
      <c r="B65" s="13" t="inlineStr">
        <is>
          <t>سلاسل الإمداد</t>
        </is>
      </c>
      <c r="C65" s="21" t="inlineStr">
        <is>
          <t>نسبة الالتزام بزمن التسليم والتوريد للمحطات والإدارات</t>
        </is>
      </c>
      <c r="D65" s="71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59" t="n">
        <v>0.1</v>
      </c>
      <c r="J65" s="15" t="inlineStr">
        <is>
          <t>مدير سلاسل الإمداد</t>
        </is>
      </c>
      <c r="K65" s="11" t="inlineStr">
        <is>
          <t>نظام سلاسل الإمداد والمخزون (WMS/ERP)</t>
        </is>
      </c>
      <c r="L65" s="15" t="inlineStr">
        <is>
          <t>شهري</t>
        </is>
      </c>
      <c r="M65" s="15" t="inlineStr">
        <is>
          <t>مدير سلاسل الإمداد</t>
        </is>
      </c>
      <c r="N65" s="51" t="n"/>
    </row>
    <row r="66" ht="30" customHeight="1">
      <c r="A66" s="15" t="n">
        <v>64</v>
      </c>
      <c r="B66" s="13" t="inlineStr">
        <is>
          <t>سلاسل الإمداد</t>
        </is>
      </c>
      <c r="C66" s="21" t="inlineStr">
        <is>
          <t>نسبة جاهزية الإمداد للمحطات الجديدة وخطط الافتتاح</t>
        </is>
      </c>
      <c r="D66" s="71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النمو · التوسع في المواقع</t>
        </is>
      </c>
      <c r="H66" s="15" t="inlineStr">
        <is>
          <t>العمليات الداخلية</t>
        </is>
      </c>
      <c r="I66" s="59" t="n">
        <v>0.08</v>
      </c>
      <c r="J66" s="15" t="inlineStr">
        <is>
          <t>مدير سلاسل الإمداد</t>
        </is>
      </c>
      <c r="K66" s="11" t="inlineStr">
        <is>
          <t>نظام سلاسل الإمداد والمخزون (WMS/ERP)</t>
        </is>
      </c>
      <c r="L66" s="15" t="inlineStr">
        <is>
          <t>شهري</t>
        </is>
      </c>
      <c r="M66" s="15" t="inlineStr">
        <is>
          <t>مدير سلاسل الإمداد</t>
        </is>
      </c>
      <c r="N66" s="51" t="n"/>
    </row>
    <row r="67" ht="30" customHeight="1">
      <c r="A67" s="15" t="n">
        <v>65</v>
      </c>
      <c r="B67" s="13" t="inlineStr">
        <is>
          <t>سلاسل الإمداد</t>
        </is>
      </c>
      <c r="C67" s="21" t="inlineStr">
        <is>
          <t>نسبة الالتزام بجدول النقل واستخدام الأسطول بكفاءة</t>
        </is>
      </c>
      <c r="D67" s="71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جودة التشغيل</t>
        </is>
      </c>
      <c r="H67" s="15" t="inlineStr">
        <is>
          <t>العمليات الداخلية</t>
        </is>
      </c>
      <c r="I67" s="59" t="n">
        <v>0.07000000000000001</v>
      </c>
      <c r="J67" s="15" t="inlineStr">
        <is>
          <t>مدير سلاسل الإمداد</t>
        </is>
      </c>
      <c r="K67" s="11" t="inlineStr">
        <is>
          <t>نظام سلاسل الإمداد والمخزون (WMS/ERP)</t>
        </is>
      </c>
      <c r="L67" s="15" t="inlineStr">
        <is>
          <t>شهري</t>
        </is>
      </c>
      <c r="M67" s="15" t="inlineStr">
        <is>
          <t>مدير سلاسل الإمداد</t>
        </is>
      </c>
      <c r="N67" s="51" t="n"/>
    </row>
    <row r="68" ht="30" customHeight="1">
      <c r="A68" s="15" t="n">
        <v>66</v>
      </c>
      <c r="B68" s="13" t="inlineStr">
        <is>
          <t>سلاسل الإمداد</t>
        </is>
      </c>
      <c r="C68" s="21" t="inlineStr">
        <is>
          <t>كفاءة إدارة الموردين</t>
        </is>
      </c>
      <c r="D68" s="71" t="inlineStr">
        <is>
          <t>يقيس كفاءة إدارة الموردين ضمن محور «الموردون والرضا»،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الاستدامة · جودة التشغيل</t>
        </is>
      </c>
      <c r="H68" s="15" t="inlineStr">
        <is>
          <t>العمليات الداخلية</t>
        </is>
      </c>
      <c r="I68" s="59" t="n">
        <v>0.06</v>
      </c>
      <c r="J68" s="15" t="inlineStr">
        <is>
          <t>مدير سلاسل الإمداد</t>
        </is>
      </c>
      <c r="K68" s="11" t="inlineStr">
        <is>
          <t>نظام سلاسل الإمداد والمخزون (WMS/ERP)</t>
        </is>
      </c>
      <c r="L68" s="15" t="inlineStr">
        <is>
          <t>شهري</t>
        </is>
      </c>
      <c r="M68" s="15" t="inlineStr">
        <is>
          <t>مدير سلاسل الإمداد</t>
        </is>
      </c>
      <c r="N68" s="51" t="n"/>
    </row>
    <row r="69" ht="30" customHeight="1">
      <c r="A69" s="15" t="n">
        <v>67</v>
      </c>
      <c r="B69" s="13" t="inlineStr">
        <is>
          <t>سلاسل الإمداد</t>
        </is>
      </c>
      <c r="C69" s="21" t="inlineStr">
        <is>
          <t>مستوى رضا الإدارات عن خدمات سلاسل الإمداد</t>
        </is>
      </c>
      <c r="D69" s="71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🎯 نتيجة</t>
        </is>
      </c>
      <c r="G69" s="11" t="inlineStr">
        <is>
          <t>الاستدامة · جودة التشغيل</t>
        </is>
      </c>
      <c r="H69" s="15" t="inlineStr">
        <is>
          <t>العملاء</t>
        </is>
      </c>
      <c r="I69" s="59" t="n">
        <v>0.04</v>
      </c>
      <c r="J69" s="15" t="inlineStr">
        <is>
          <t>مدير سلاسل الإمداد</t>
        </is>
      </c>
      <c r="K69" s="11" t="inlineStr">
        <is>
          <t>نظام سلاسل الإمداد والمخزون (WMS/ERP)</t>
        </is>
      </c>
      <c r="L69" s="15" t="inlineStr">
        <is>
          <t>ربعي</t>
        </is>
      </c>
      <c r="M69" s="15" t="inlineStr">
        <is>
          <t>مدير سلاسل الإمداد</t>
        </is>
      </c>
      <c r="N69" s="51" t="n"/>
    </row>
    <row r="70" ht="30" customHeight="1">
      <c r="A70" s="15" t="n">
        <v>68</v>
      </c>
      <c r="B70" s="13" t="inlineStr">
        <is>
          <t>الصيانة والأتمتة</t>
        </is>
      </c>
      <c r="C70" s="21" t="inlineStr">
        <is>
          <t>نسبة الجاهزية الفنية للأصول والمعدات (Availability)</t>
        </is>
      </c>
      <c r="D70" s="71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جودة التشغيل</t>
        </is>
      </c>
      <c r="H70" s="15" t="inlineStr">
        <is>
          <t>العمليات الداخلية</t>
        </is>
      </c>
      <c r="I70" s="59" t="n">
        <v>0.15</v>
      </c>
      <c r="J70" s="15" t="inlineStr">
        <is>
          <t>مدير الصيانة والأتمتة</t>
        </is>
      </c>
      <c r="K70" s="11" t="inlineStr">
        <is>
          <t>نظام إدارة الصيانة (CMMS) وأنظمة الأتمتة (SCADA)</t>
        </is>
      </c>
      <c r="L70" s="15" t="inlineStr">
        <is>
          <t>شهري</t>
        </is>
      </c>
      <c r="M70" s="15" t="inlineStr">
        <is>
          <t>مدير الصيانة والأتمتة</t>
        </is>
      </c>
      <c r="N70" s="51" t="n"/>
    </row>
    <row r="71" ht="30" customHeight="1">
      <c r="A71" s="15" t="n">
        <v>69</v>
      </c>
      <c r="B71" s="13" t="inlineStr">
        <is>
          <t>الصيانة والأتمتة</t>
        </is>
      </c>
      <c r="C71" s="21" t="inlineStr">
        <is>
          <t>نسبة تنفيذ الصيانة الوقائية في موعدها (PM)</t>
        </is>
      </c>
      <c r="D71" s="71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⚙️ نشاط</t>
        </is>
      </c>
      <c r="G71" s="11" t="inlineStr">
        <is>
          <t>الاستدامة · جودة التشغيل</t>
        </is>
      </c>
      <c r="H71" s="15" t="inlineStr">
        <is>
          <t>العمليات الداخلية</t>
        </is>
      </c>
      <c r="I71" s="59" t="n">
        <v>0.12</v>
      </c>
      <c r="J71" s="15" t="inlineStr">
        <is>
          <t>مدير الصيانة والأتمتة</t>
        </is>
      </c>
      <c r="K71" s="11" t="inlineStr">
        <is>
          <t>نظام إدارة الصيانة (CMMS) وأنظمة الأتمتة (SCADA)</t>
        </is>
      </c>
      <c r="L71" s="15" t="inlineStr">
        <is>
          <t>شهري</t>
        </is>
      </c>
      <c r="M71" s="15" t="inlineStr">
        <is>
          <t>مدير الصيانة والأتمتة</t>
        </is>
      </c>
      <c r="N71" s="51" t="n"/>
    </row>
    <row r="72" ht="30" customHeight="1">
      <c r="A72" s="15" t="n">
        <v>70</v>
      </c>
      <c r="B72" s="13" t="inlineStr">
        <is>
          <t>الصيانة والأتمتة</t>
        </is>
      </c>
      <c r="C72" s="21" t="inlineStr">
        <is>
          <t>نسبة إغلاق بلاغات الصيانة ضمن اتفاقية الخدمة (SLA)</t>
        </is>
      </c>
      <c r="D72" s="71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🎯 نتيجة</t>
        </is>
      </c>
      <c r="G72" s="11" t="inlineStr">
        <is>
          <t>الاستدامة · جودة التشغيل</t>
        </is>
      </c>
      <c r="H72" s="15" t="inlineStr">
        <is>
          <t>العمليات الداخلية</t>
        </is>
      </c>
      <c r="I72" s="59" t="n">
        <v>0.1</v>
      </c>
      <c r="J72" s="15" t="inlineStr">
        <is>
          <t>مدير الصيانة والأتمتة</t>
        </is>
      </c>
      <c r="K72" s="11" t="inlineStr">
        <is>
          <t>نظام إدارة الصيانة (CMMS) وأنظمة الأتمتة (SCADA)</t>
        </is>
      </c>
      <c r="L72" s="15" t="inlineStr">
        <is>
          <t>شهري</t>
        </is>
      </c>
      <c r="M72" s="15" t="inlineStr">
        <is>
          <t>مدير الصيانة والأتمتة</t>
        </is>
      </c>
      <c r="N72" s="51" t="n"/>
    </row>
    <row r="73" ht="30" customHeight="1">
      <c r="A73" s="15" t="n">
        <v>71</v>
      </c>
      <c r="B73" s="13" t="inlineStr">
        <is>
          <t>الصيانة والأتمتة</t>
        </is>
      </c>
      <c r="C73" s="21" t="inlineStr">
        <is>
          <t>متوسط زمن الاستجابة للبلاغات الطارئة</t>
        </is>
      </c>
      <c r="D73" s="71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73" s="11" t="inlineStr">
        <is>
          <t>متوسط دقيقة خلال الفترة</t>
        </is>
      </c>
      <c r="F73" s="15" t="inlineStr">
        <is>
          <t>🔧 تشغيلي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59" t="n">
        <v>0.08</v>
      </c>
      <c r="J73" s="15" t="inlineStr">
        <is>
          <t>مدير الصيانة والأتمتة</t>
        </is>
      </c>
      <c r="K73" s="11" t="inlineStr">
        <is>
          <t>نظام إدارة الصيانة (CMMS) وأنظمة الأتمتة (SCADA)</t>
        </is>
      </c>
      <c r="L73" s="15" t="inlineStr">
        <is>
          <t>شهري</t>
        </is>
      </c>
      <c r="M73" s="15" t="inlineStr">
        <is>
          <t>مدير الصيانة والأتمتة</t>
        </is>
      </c>
      <c r="N73" s="51" t="n"/>
    </row>
    <row r="74" ht="30" customHeight="1">
      <c r="A74" s="15" t="n">
        <v>72</v>
      </c>
      <c r="B74" s="13" t="inlineStr">
        <is>
          <t>الصيانة والأتمتة</t>
        </is>
      </c>
      <c r="C74" s="21" t="inlineStr">
        <is>
          <t>متوسط زمن إصلاح الأعطال (MTTR)</t>
        </is>
      </c>
      <c r="D74" s="71" t="inlineStr">
        <is>
          <t>يقيس متوسط زمن إصلاح الأعطال (MTTR) ضمن محور «الاستجابة والإصلاح»، ويعكس مساهمة الإدارة في ركيزة الاستدامة.</t>
        </is>
      </c>
      <c r="E74" s="11" t="inlineStr">
        <is>
          <t>متوسط ساعة خلال الفترة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59" t="n">
        <v>0.08</v>
      </c>
      <c r="J74" s="15" t="inlineStr">
        <is>
          <t>مدير الصيانة والأتمتة</t>
        </is>
      </c>
      <c r="K74" s="11" t="inlineStr">
        <is>
          <t>نظام إدارة الصيانة (CMMS) وأنظمة الأتمتة (SCADA)</t>
        </is>
      </c>
      <c r="L74" s="15" t="inlineStr">
        <is>
          <t>شهري</t>
        </is>
      </c>
      <c r="M74" s="15" t="inlineStr">
        <is>
          <t>مدير الصيانة والأتمتة</t>
        </is>
      </c>
      <c r="N74" s="51" t="n"/>
    </row>
    <row r="75" ht="30" customHeight="1">
      <c r="A75" s="15" t="n">
        <v>73</v>
      </c>
      <c r="B75" s="13" t="inlineStr">
        <is>
          <t>الصيانة والأتمتة</t>
        </is>
      </c>
      <c r="C75" s="21" t="inlineStr">
        <is>
          <t>معدل تكرار الأعطال</t>
        </is>
      </c>
      <c r="D75" s="71" t="inlineStr">
        <is>
          <t>يقيس معدل تكرار الأعطال ضمن محور «الاستجابة والإصلاح»،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9" t="n">
        <v>0.1</v>
      </c>
      <c r="J75" s="15" t="inlineStr">
        <is>
          <t>مدير الصيانة والأتمتة</t>
        </is>
      </c>
      <c r="K75" s="11" t="inlineStr">
        <is>
          <t>نظام إدارة الصيانة (CMMS) وأنظمة الأتمتة (SCADA)</t>
        </is>
      </c>
      <c r="L75" s="15" t="inlineStr">
        <is>
          <t>شهري</t>
        </is>
      </c>
      <c r="M75" s="15" t="inlineStr">
        <is>
          <t>مدير الصيانة والأتمتة</t>
        </is>
      </c>
      <c r="N75" s="51" t="n"/>
    </row>
    <row r="76" ht="30" customHeight="1">
      <c r="A76" s="15" t="n">
        <v>74</v>
      </c>
      <c r="B76" s="13" t="inlineStr">
        <is>
          <t>الصيانة والأتمتة</t>
        </is>
      </c>
      <c r="C76" s="21" t="inlineStr">
        <is>
          <t>نسبة استمرارية تشغيل المحطات دون توقف فني</t>
        </is>
      </c>
      <c r="D76" s="71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9" t="n">
        <v>0.15</v>
      </c>
      <c r="J76" s="15" t="inlineStr">
        <is>
          <t>مدير الصيانة والأتمتة</t>
        </is>
      </c>
      <c r="K76" s="11" t="inlineStr">
        <is>
          <t>نظام إدارة الصيانة (CMMS) وأنظمة الأتمتة (SCADA)</t>
        </is>
      </c>
      <c r="L76" s="15" t="inlineStr">
        <is>
          <t>شهري</t>
        </is>
      </c>
      <c r="M76" s="15" t="inlineStr">
        <is>
          <t>مدير الصيانة والأتمتة</t>
        </is>
      </c>
      <c r="N76" s="51" t="n"/>
    </row>
    <row r="77" ht="30" customHeight="1">
      <c r="A77" s="15" t="n">
        <v>75</v>
      </c>
      <c r="B77" s="13" t="inlineStr">
        <is>
          <t>الصيانة والأتمتة</t>
        </is>
      </c>
      <c r="C77" s="21" t="inlineStr">
        <is>
          <t>نسبة التشغيل السليم لأنظمة الأتمتة (Uptime)</t>
        </is>
      </c>
      <c r="D77" s="71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الابتكار · التحول التقني</t>
        </is>
      </c>
      <c r="H77" s="15" t="inlineStr">
        <is>
          <t>التعلّم والنمو</t>
        </is>
      </c>
      <c r="I77" s="59" t="n">
        <v>0.1</v>
      </c>
      <c r="J77" s="15" t="inlineStr">
        <is>
          <t>مدير الصيانة والأتمتة</t>
        </is>
      </c>
      <c r="K77" s="11" t="inlineStr">
        <is>
          <t>نظام إدارة الصيانة (CMMS) وأنظمة الأتمتة (SCADA)</t>
        </is>
      </c>
      <c r="L77" s="15" t="inlineStr">
        <is>
          <t>شهري</t>
        </is>
      </c>
      <c r="M77" s="15" t="inlineStr">
        <is>
          <t>مدير الصيانة والأتمتة</t>
        </is>
      </c>
      <c r="N77" s="51" t="n"/>
    </row>
    <row r="78" ht="30" customHeight="1">
      <c r="A78" s="15" t="n">
        <v>76</v>
      </c>
      <c r="B78" s="13" t="inlineStr">
        <is>
          <t>الصيانة والأتمتة</t>
        </is>
      </c>
      <c r="C78" s="21" t="inlineStr">
        <is>
          <t>نسبة استعادة أنظمة الأتمتة ضمن الزمن المحدد</t>
        </is>
      </c>
      <c r="D78" s="71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الابتكار · التحول التقني</t>
        </is>
      </c>
      <c r="H78" s="15" t="inlineStr">
        <is>
          <t>التعلّم والنمو</t>
        </is>
      </c>
      <c r="I78" s="59" t="n">
        <v>0.08</v>
      </c>
      <c r="J78" s="15" t="inlineStr">
        <is>
          <t>مدير الصيانة والأتمتة</t>
        </is>
      </c>
      <c r="K78" s="11" t="inlineStr">
        <is>
          <t>نظام إدارة الصيانة (CMMS) وأنظمة الأتمتة (SCADA)</t>
        </is>
      </c>
      <c r="L78" s="15" t="inlineStr">
        <is>
          <t>شهري</t>
        </is>
      </c>
      <c r="M78" s="15" t="inlineStr">
        <is>
          <t>مدير الصيانة والأتمتة</t>
        </is>
      </c>
      <c r="N78" s="51" t="n"/>
    </row>
    <row r="79" ht="30" customHeight="1">
      <c r="A79" s="15" t="n">
        <v>77</v>
      </c>
      <c r="B79" s="13" t="inlineStr">
        <is>
          <t>الصيانة والأتمتة</t>
        </is>
      </c>
      <c r="C79" s="21" t="inlineStr">
        <is>
          <t>كفاءة تكاليف الصيانة (الالتزام بالميزانية)</t>
        </is>
      </c>
      <c r="D79" s="71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جودة التشغيل</t>
        </is>
      </c>
      <c r="H79" s="15" t="inlineStr">
        <is>
          <t>العمليات الداخلية</t>
        </is>
      </c>
      <c r="I79" s="59" t="n">
        <v>0.04</v>
      </c>
      <c r="J79" s="15" t="inlineStr">
        <is>
          <t>مدير الصيانة والأتمتة</t>
        </is>
      </c>
      <c r="K79" s="11" t="inlineStr">
        <is>
          <t>نظام إدارة الصيانة (CMMS) وأنظمة الأتمتة (SCADA)</t>
        </is>
      </c>
      <c r="L79" s="15" t="inlineStr">
        <is>
          <t>شهري</t>
        </is>
      </c>
      <c r="M79" s="15" t="inlineStr">
        <is>
          <t>مدير الصيانة والأتمتة</t>
        </is>
      </c>
      <c r="N79" s="51" t="n"/>
    </row>
    <row r="80" ht="30" customHeight="1">
      <c r="A80" s="15" t="n">
        <v>78</v>
      </c>
      <c r="B80" s="13" t="inlineStr">
        <is>
          <t>التقنية الرقمية</t>
        </is>
      </c>
      <c r="C80" s="21" t="inlineStr">
        <is>
          <t>نسبة توفر الأنظمة والخدمات التقنية المركزية</t>
        </is>
      </c>
      <c r="D80" s="71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80" s="11" t="inlineStr">
        <is>
          <t>(المتحقّق ÷ الإجمالي) × 100٪</t>
        </is>
      </c>
      <c r="F80" s="15" t="inlineStr">
        <is>
          <t>🔧 تشغيلي</t>
        </is>
      </c>
      <c r="G80" s="11" t="inlineStr">
        <is>
          <t>الابتكار · التحول التقني</t>
        </is>
      </c>
      <c r="H80" s="15" t="inlineStr">
        <is>
          <t>التعلّم والنمو</t>
        </is>
      </c>
      <c r="I80" s="59" t="n">
        <v>0.13</v>
      </c>
      <c r="J80" s="15" t="inlineStr">
        <is>
          <t>مدير التقنية</t>
        </is>
      </c>
      <c r="K80" s="11" t="inlineStr">
        <is>
          <t>أنظمة تقنية المعلومات (ERP/ITSM/SIEM)</t>
        </is>
      </c>
      <c r="L80" s="15" t="inlineStr">
        <is>
          <t>شهري</t>
        </is>
      </c>
      <c r="M80" s="15" t="inlineStr">
        <is>
          <t>مدير التقنية</t>
        </is>
      </c>
      <c r="N80" s="51" t="n"/>
    </row>
    <row r="81" ht="30" customHeight="1">
      <c r="A81" s="15" t="n">
        <v>79</v>
      </c>
      <c r="B81" s="13" t="inlineStr">
        <is>
          <t>التقنية الرقمية</t>
        </is>
      </c>
      <c r="C81" s="21" t="inlineStr">
        <is>
          <t>نسبة معالجة الأعطال وطلبات الدعم الفني ضمن المدة المستهدفة SLA</t>
        </is>
      </c>
      <c r="D81" s="71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الابتكار · التحول التقني</t>
        </is>
      </c>
      <c r="H81" s="15" t="inlineStr">
        <is>
          <t>العمليات الداخلية</t>
        </is>
      </c>
      <c r="I81" s="59" t="n">
        <v>0.12</v>
      </c>
      <c r="J81" s="15" t="inlineStr">
        <is>
          <t>مدير التقنية</t>
        </is>
      </c>
      <c r="K81" s="11" t="inlineStr">
        <is>
          <t>أنظمة تقنية المعلومات (ERP/ITSM/SIEM)</t>
        </is>
      </c>
      <c r="L81" s="15" t="inlineStr">
        <is>
          <t>شهري</t>
        </is>
      </c>
      <c r="M81" s="15" t="inlineStr">
        <is>
          <t>مدير التقنية</t>
        </is>
      </c>
      <c r="N81" s="51" t="n"/>
    </row>
    <row r="82" ht="30" customHeight="1">
      <c r="A82" s="15" t="n">
        <v>80</v>
      </c>
      <c r="B82" s="13" t="inlineStr">
        <is>
          <t>التقنية الرقمية</t>
        </is>
      </c>
      <c r="C82" s="21" t="inlineStr">
        <is>
          <t>نسبة استقرار التشغيل التقني للمحطات</t>
        </is>
      </c>
      <c r="D82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الابتكار · التحول التقني</t>
        </is>
      </c>
      <c r="H82" s="15" t="inlineStr">
        <is>
          <t>العمليات الداخلية</t>
        </is>
      </c>
      <c r="I82" s="59" t="n">
        <v>0.1</v>
      </c>
      <c r="J82" s="15" t="inlineStr">
        <is>
          <t>مدير التقنية</t>
        </is>
      </c>
      <c r="K82" s="11" t="inlineStr">
        <is>
          <t>أنظمة تقنية المعلومات (ERP/ITSM/SIEM)</t>
        </is>
      </c>
      <c r="L82" s="15" t="inlineStr">
        <is>
          <t>شهري</t>
        </is>
      </c>
      <c r="M82" s="15" t="inlineStr">
        <is>
          <t>مدير التقنية</t>
        </is>
      </c>
      <c r="N82" s="51" t="n"/>
    </row>
    <row r="83" ht="30" customHeight="1">
      <c r="A83" s="15" t="n">
        <v>81</v>
      </c>
      <c r="B83" s="13" t="inlineStr">
        <is>
          <t>التقنية الرقمية</t>
        </is>
      </c>
      <c r="C83" s="21" t="inlineStr">
        <is>
          <t>نسبة إنجاز مشاريع التحول الرقمي والمشاريع التقنية حسب الخطة</t>
        </is>
      </c>
      <c r="D83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الابتكار · التحول التقني</t>
        </is>
      </c>
      <c r="H83" s="15" t="inlineStr">
        <is>
          <t>التعلّم والنمو</t>
        </is>
      </c>
      <c r="I83" s="59" t="n">
        <v>0.1</v>
      </c>
      <c r="J83" s="15" t="inlineStr">
        <is>
          <t>مدير التقنية</t>
        </is>
      </c>
      <c r="K83" s="11" t="inlineStr">
        <is>
          <t>أنظمة تقنية المعلومات (ERP/ITSM/SIEM)</t>
        </is>
      </c>
      <c r="L83" s="15" t="inlineStr">
        <is>
          <t>شهري</t>
        </is>
      </c>
      <c r="M83" s="15" t="inlineStr">
        <is>
          <t>مدير التقنية</t>
        </is>
      </c>
      <c r="N83" s="51" t="n"/>
    </row>
    <row r="84" ht="30" customHeight="1">
      <c r="A84" s="15" t="n">
        <v>82</v>
      </c>
      <c r="B84" s="13" t="inlineStr">
        <is>
          <t>التقنية الرقمية</t>
        </is>
      </c>
      <c r="C84" s="21" t="inlineStr">
        <is>
          <t>نسبة تسليم المشاريع التقنية ضمن الوقت والميزانية ونطاق العمل المعتمد</t>
        </is>
      </c>
      <c r="D84" s="71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الابتكار · التحول التقني</t>
        </is>
      </c>
      <c r="H84" s="15" t="inlineStr">
        <is>
          <t>العمليات الداخلية</t>
        </is>
      </c>
      <c r="I84" s="59" t="n">
        <v>0.09</v>
      </c>
      <c r="J84" s="15" t="inlineStr">
        <is>
          <t>مدير التقنية</t>
        </is>
      </c>
      <c r="K84" s="11" t="inlineStr">
        <is>
          <t>أنظمة تقنية المعلومات (ERP/ITSM/SIEM)</t>
        </is>
      </c>
      <c r="L84" s="15" t="inlineStr">
        <is>
          <t>شهري</t>
        </is>
      </c>
      <c r="M84" s="15" t="inlineStr">
        <is>
          <t>مدير التقنية</t>
        </is>
      </c>
      <c r="N84" s="51" t="n"/>
    </row>
    <row r="85" ht="30" customHeight="1">
      <c r="A85" s="15" t="n">
        <v>83</v>
      </c>
      <c r="B85" s="13" t="inlineStr">
        <is>
          <t>التقنية الرقمية</t>
        </is>
      </c>
      <c r="C85" s="21" t="inlineStr">
        <is>
          <t>نسبة الالتزام بإدارة صلاحيات المستخدمين والحسابات</t>
        </is>
      </c>
      <c r="D85" s="71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الابتكار · التحول التقني</t>
        </is>
      </c>
      <c r="H85" s="15" t="inlineStr">
        <is>
          <t>التعلّم والنمو</t>
        </is>
      </c>
      <c r="I85" s="59" t="n">
        <v>0.1</v>
      </c>
      <c r="J85" s="15" t="inlineStr">
        <is>
          <t>مدير التقنية</t>
        </is>
      </c>
      <c r="K85" s="11" t="inlineStr">
        <is>
          <t>أنظمة تقنية المعلومات (ERP/ITSM/SIEM)</t>
        </is>
      </c>
      <c r="L85" s="15" t="inlineStr">
        <is>
          <t>شهري</t>
        </is>
      </c>
      <c r="M85" s="15" t="inlineStr">
        <is>
          <t>مدير التقنية</t>
        </is>
      </c>
      <c r="N85" s="51" t="n"/>
    </row>
    <row r="86" ht="30" customHeight="1">
      <c r="A86" s="15" t="n">
        <v>84</v>
      </c>
      <c r="B86" s="13" t="inlineStr">
        <is>
          <t>التقنية الرقمية</t>
        </is>
      </c>
      <c r="C86" s="21" t="inlineStr">
        <is>
          <t>نسبة نجاح النسخ الاحتياطي واختبارات استعادة البيانات</t>
        </is>
      </c>
      <c r="D86" s="71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الابتكار · التحول التقني</t>
        </is>
      </c>
      <c r="H86" s="15" t="inlineStr">
        <is>
          <t>العمليات الداخلية</t>
        </is>
      </c>
      <c r="I86" s="59" t="n">
        <v>0.08</v>
      </c>
      <c r="J86" s="15" t="inlineStr">
        <is>
          <t>مدير التقنية</t>
        </is>
      </c>
      <c r="K86" s="11" t="inlineStr">
        <is>
          <t>أنظمة تقنية المعلومات (ERP/ITSM/SIEM)</t>
        </is>
      </c>
      <c r="L86" s="15" t="inlineStr">
        <is>
          <t>شهري</t>
        </is>
      </c>
      <c r="M86" s="15" t="inlineStr">
        <is>
          <t>مدير التقنية</t>
        </is>
      </c>
      <c r="N86" s="51" t="n"/>
    </row>
    <row r="87" ht="30" customHeight="1">
      <c r="A87" s="15" t="n">
        <v>85</v>
      </c>
      <c r="B87" s="13" t="inlineStr">
        <is>
          <t>التقنية الرقمية</t>
        </is>
      </c>
      <c r="C87" s="21" t="inlineStr">
        <is>
          <t>نسبة الامتثال لضوابط الأمن السيبراني الأساسية</t>
        </is>
      </c>
      <c r="D87" s="71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الابتكار · التحول التقني</t>
        </is>
      </c>
      <c r="H87" s="15" t="inlineStr">
        <is>
          <t>التعلّم والنمو</t>
        </is>
      </c>
      <c r="I87" s="59" t="n">
        <v>0.08</v>
      </c>
      <c r="J87" s="15" t="inlineStr">
        <is>
          <t>مدير التقنية</t>
        </is>
      </c>
      <c r="K87" s="11" t="inlineStr">
        <is>
          <t>أنظمة تقنية المعلومات (ERP/ITSM/SIEM)</t>
        </is>
      </c>
      <c r="L87" s="15" t="inlineStr">
        <is>
          <t>شهري</t>
        </is>
      </c>
      <c r="M87" s="15" t="inlineStr">
        <is>
          <t>مدير التقنية</t>
        </is>
      </c>
      <c r="N87" s="51" t="n"/>
    </row>
    <row r="88" ht="30" customHeight="1">
      <c r="A88" s="15" t="n">
        <v>86</v>
      </c>
      <c r="B88" s="13" t="inlineStr">
        <is>
          <t>التقنية الرقمية</t>
        </is>
      </c>
      <c r="C88" s="21" t="inlineStr">
        <is>
          <t>نسبة دقة وتكامل البيانات بين الأنظمة الرقمية</t>
        </is>
      </c>
      <c r="D88" s="71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الابتكار · التحول التقني</t>
        </is>
      </c>
      <c r="H88" s="15" t="inlineStr">
        <is>
          <t>التعلّم والنمو</t>
        </is>
      </c>
      <c r="I88" s="59" t="n">
        <v>0.06</v>
      </c>
      <c r="J88" s="15" t="inlineStr">
        <is>
          <t>مدير التقنية</t>
        </is>
      </c>
      <c r="K88" s="11" t="inlineStr">
        <is>
          <t>أنظمة تقنية المعلومات (ERP/ITSM/SIEM)</t>
        </is>
      </c>
      <c r="L88" s="15" t="inlineStr">
        <is>
          <t>شهري</t>
        </is>
      </c>
      <c r="M88" s="15" t="inlineStr">
        <is>
          <t>مدير التقنية</t>
        </is>
      </c>
      <c r="N88" s="51" t="n"/>
    </row>
    <row r="89" ht="30" customHeight="1">
      <c r="A89" s="15" t="n">
        <v>87</v>
      </c>
      <c r="B89" s="13" t="inlineStr">
        <is>
          <t>التقنية الرقمية</t>
        </is>
      </c>
      <c r="C89" s="21" t="inlineStr">
        <is>
          <t>نسبة الالتزام بتحديث وتوثيق أصول تقنية المعلومات والتراخيص</t>
        </is>
      </c>
      <c r="D89" s="71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الابتكار · التحول التقني</t>
        </is>
      </c>
      <c r="H89" s="15" t="inlineStr">
        <is>
          <t>العمليات الداخلية</t>
        </is>
      </c>
      <c r="I89" s="59" t="n">
        <v>0.05</v>
      </c>
      <c r="J89" s="15" t="inlineStr">
        <is>
          <t>مدير التقنية</t>
        </is>
      </c>
      <c r="K89" s="11" t="inlineStr">
        <is>
          <t>أنظمة تقنية المعلومات (ERP/ITSM/SIEM)</t>
        </is>
      </c>
      <c r="L89" s="15" t="inlineStr">
        <is>
          <t>شهري</t>
        </is>
      </c>
      <c r="M89" s="15" t="inlineStr">
        <is>
          <t>مدير التقنية</t>
        </is>
      </c>
      <c r="N89" s="51" t="n"/>
    </row>
    <row r="90" ht="30" customHeight="1">
      <c r="A90" s="15" t="n">
        <v>88</v>
      </c>
      <c r="B90" s="13" t="inlineStr">
        <is>
          <t>التقنية الرقمية</t>
        </is>
      </c>
      <c r="C90" s="21" t="inlineStr">
        <is>
          <t>نسبة تنفيذ الصيانة الوقائية للأجهزة والبنية التقنية</t>
        </is>
      </c>
      <c r="D90" s="71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90" s="11" t="inlineStr">
        <is>
          <t>(المتحقّق ÷ الإجمالي) × 100٪</t>
        </is>
      </c>
      <c r="F90" s="15" t="inlineStr">
        <is>
          <t>⚙️ نشاط</t>
        </is>
      </c>
      <c r="G90" s="11" t="inlineStr">
        <is>
          <t>الابتكار · التحول التقني</t>
        </is>
      </c>
      <c r="H90" s="15" t="inlineStr">
        <is>
          <t>العمليات الداخلية</t>
        </is>
      </c>
      <c r="I90" s="59" t="n">
        <v>0.05</v>
      </c>
      <c r="J90" s="15" t="inlineStr">
        <is>
          <t>مدير التقنية</t>
        </is>
      </c>
      <c r="K90" s="11" t="inlineStr">
        <is>
          <t>أنظمة تقنية المعلومات (ERP/ITSM/SIEM)</t>
        </is>
      </c>
      <c r="L90" s="15" t="inlineStr">
        <is>
          <t>شهري</t>
        </is>
      </c>
      <c r="M90" s="15" t="inlineStr">
        <is>
          <t>مدير التقنية</t>
        </is>
      </c>
      <c r="N90" s="51" t="n"/>
    </row>
    <row r="91" ht="30" customHeight="1">
      <c r="A91" s="15" t="n">
        <v>89</v>
      </c>
      <c r="B91" s="13" t="inlineStr">
        <is>
          <t>التقنية الرقمية</t>
        </is>
      </c>
      <c r="C91" s="21" t="inlineStr">
        <is>
          <t>مستوى رضا الإدارات والمستخدمين عن خدمات تقنية المعلومات</t>
        </is>
      </c>
      <c r="D91" s="71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الابتكار · التحول التقني</t>
        </is>
      </c>
      <c r="H91" s="15" t="inlineStr">
        <is>
          <t>التعلّم والنمو</t>
        </is>
      </c>
      <c r="I91" s="59" t="n">
        <v>0.04</v>
      </c>
      <c r="J91" s="15" t="inlineStr">
        <is>
          <t>مدير التقنية</t>
        </is>
      </c>
      <c r="K91" s="11" t="inlineStr">
        <is>
          <t>أنظمة تقنية المعلومات (ERP/ITSM/SIEM)</t>
        </is>
      </c>
      <c r="L91" s="15" t="inlineStr">
        <is>
          <t>ربعي</t>
        </is>
      </c>
      <c r="M91" s="15" t="inlineStr">
        <is>
          <t>مدير التقنية</t>
        </is>
      </c>
      <c r="N91" s="51" t="n"/>
    </row>
    <row r="92" ht="30" customHeight="1">
      <c r="A92" s="15" t="n">
        <v>90</v>
      </c>
      <c r="B92" s="13" t="inlineStr">
        <is>
          <t>الموارد البشرية</t>
        </is>
      </c>
      <c r="C92" s="21" t="inlineStr">
        <is>
          <t>نسبة الالتزام بالتوطين والامتثال الحكومي دون مخالفات</t>
        </is>
      </c>
      <c r="D92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الاستثمار في الموظفين</t>
        </is>
      </c>
      <c r="H92" s="15" t="inlineStr">
        <is>
          <t>العمليات الداخلية</t>
        </is>
      </c>
      <c r="I92" s="59" t="n">
        <v>0.11</v>
      </c>
      <c r="J92" s="15" t="inlineStr">
        <is>
          <t>مدير الموارد البشرية</t>
        </is>
      </c>
      <c r="K92" s="11" t="inlineStr">
        <is>
          <t>نظام الموارد البشرية (HRMS)</t>
        </is>
      </c>
      <c r="L92" s="15" t="inlineStr">
        <is>
          <t>شهري</t>
        </is>
      </c>
      <c r="M92" s="15" t="inlineStr">
        <is>
          <t>مدير الموارد البشرية</t>
        </is>
      </c>
      <c r="N92" s="51" t="n"/>
    </row>
    <row r="93" ht="30" customHeight="1">
      <c r="A93" s="15" t="n">
        <v>91</v>
      </c>
      <c r="B93" s="13" t="inlineStr">
        <is>
          <t>الموارد البشرية</t>
        </is>
      </c>
      <c r="C93" s="21" t="inlineStr">
        <is>
          <t>نسبة الالتزام بنظام العمل واللوائح وخطة القوى العاملة المعتمدة</t>
        </is>
      </c>
      <c r="D93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الاستثمار في الموظفين</t>
        </is>
      </c>
      <c r="H93" s="15" t="inlineStr">
        <is>
          <t>العمليات الداخلية</t>
        </is>
      </c>
      <c r="I93" s="59" t="n">
        <v>0.11</v>
      </c>
      <c r="J93" s="15" t="inlineStr">
        <is>
          <t>مدير الموارد البشرية</t>
        </is>
      </c>
      <c r="K93" s="11" t="inlineStr">
        <is>
          <t>نظام الموارد البشرية (HRMS)</t>
        </is>
      </c>
      <c r="L93" s="15" t="inlineStr">
        <is>
          <t>شهري</t>
        </is>
      </c>
      <c r="M93" s="15" t="inlineStr">
        <is>
          <t>مدير الموارد البشرية</t>
        </is>
      </c>
      <c r="N93" s="51" t="n"/>
    </row>
    <row r="94" ht="30" customHeight="1">
      <c r="A94" s="15" t="n">
        <v>92</v>
      </c>
      <c r="B94" s="13" t="inlineStr">
        <is>
          <t>الموارد البشرية</t>
        </is>
      </c>
      <c r="C94" s="21" t="inlineStr">
        <is>
          <t>نسبة إنجاز معاملات شؤون الموظفين ضمن المدة المستهدفة SLA</t>
        </is>
      </c>
      <c r="D94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🔧 تشغيلي</t>
        </is>
      </c>
      <c r="G94" s="11" t="inlineStr">
        <is>
          <t>الاستدامة · الاستثمار في الموظفين</t>
        </is>
      </c>
      <c r="H94" s="15" t="inlineStr">
        <is>
          <t>التعلّم والنمو</t>
        </is>
      </c>
      <c r="I94" s="59" t="n">
        <v>0.09</v>
      </c>
      <c r="J94" s="15" t="inlineStr">
        <is>
          <t>مدير الموارد البشرية</t>
        </is>
      </c>
      <c r="K94" s="11" t="inlineStr">
        <is>
          <t>نظام الموارد البشرية (HRMS)</t>
        </is>
      </c>
      <c r="L94" s="15" t="inlineStr">
        <is>
          <t>شهري</t>
        </is>
      </c>
      <c r="M94" s="15" t="inlineStr">
        <is>
          <t>مدير الموارد البشرية</t>
        </is>
      </c>
      <c r="N94" s="51" t="n"/>
    </row>
    <row r="95" ht="30" customHeight="1">
      <c r="A95" s="15" t="n">
        <v>93</v>
      </c>
      <c r="B95" s="13" t="inlineStr">
        <is>
          <t>الموارد البشرية</t>
        </is>
      </c>
      <c r="C95" s="21" t="inlineStr">
        <is>
          <t>نسبة الالتزام بتجديد الوثائق واكتمال ملفات الموظفين</t>
        </is>
      </c>
      <c r="D95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الاستثمار في الموظفين</t>
        </is>
      </c>
      <c r="H95" s="15" t="inlineStr">
        <is>
          <t>التعلّم والنمو</t>
        </is>
      </c>
      <c r="I95" s="59" t="n">
        <v>0.09</v>
      </c>
      <c r="J95" s="15" t="inlineStr">
        <is>
          <t>مدير الموارد البشرية</t>
        </is>
      </c>
      <c r="K95" s="11" t="inlineStr">
        <is>
          <t>نظام الموارد البشرية (HRMS)</t>
        </is>
      </c>
      <c r="L95" s="15" t="inlineStr">
        <is>
          <t>شهري</t>
        </is>
      </c>
      <c r="M95" s="15" t="inlineStr">
        <is>
          <t>مدير الموارد البشرية</t>
        </is>
      </c>
      <c r="N95" s="51" t="n"/>
    </row>
    <row r="96" ht="30" customHeight="1">
      <c r="A96" s="15" t="n">
        <v>94</v>
      </c>
      <c r="B96" s="13" t="inlineStr">
        <is>
          <t>الموارد البشرية</t>
        </is>
      </c>
      <c r="C96" s="21" t="inlineStr">
        <is>
          <t>نسبة جاهزية وتغطية عمالة المحطات حسب خطة التشغيل والافتتاحات</t>
        </is>
      </c>
      <c r="D96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الاستثمار في الموظفين</t>
        </is>
      </c>
      <c r="H96" s="15" t="inlineStr">
        <is>
          <t>العمليات الداخلية</t>
        </is>
      </c>
      <c r="I96" s="59" t="n">
        <v>0.11</v>
      </c>
      <c r="J96" s="15" t="inlineStr">
        <is>
          <t>مدير الموارد البشرية</t>
        </is>
      </c>
      <c r="K96" s="11" t="inlineStr">
        <is>
          <t>نظام الموارد البشرية (HRMS)</t>
        </is>
      </c>
      <c r="L96" s="15" t="inlineStr">
        <is>
          <t>شهري</t>
        </is>
      </c>
      <c r="M96" s="15" t="inlineStr">
        <is>
          <t>مدير الموارد البشرية</t>
        </is>
      </c>
      <c r="N96" s="51" t="n"/>
    </row>
    <row r="97" ht="30" customHeight="1">
      <c r="A97" s="15" t="n">
        <v>95</v>
      </c>
      <c r="B97" s="13" t="inlineStr">
        <is>
          <t>الموارد البشرية</t>
        </is>
      </c>
      <c r="C97" s="21" t="inlineStr">
        <is>
          <t>متوسط مدة إغلاق الشواغر المعتمدة</t>
        </is>
      </c>
      <c r="D97" s="71" t="inlineStr">
        <is>
          <t>يقيس متوسط مدة إغلاق الشواغر المعتمدة ضمن محور «الاستقطاب»، ويعكس مساهمة الإدارة في ركيزة الاستدامة.</t>
        </is>
      </c>
      <c r="E97" s="11" t="inlineStr">
        <is>
          <t>متوسط يوم خلال الفترة</t>
        </is>
      </c>
      <c r="F97" s="15" t="inlineStr">
        <is>
          <t>🎯 نتيجة</t>
        </is>
      </c>
      <c r="G97" s="11" t="inlineStr">
        <is>
          <t>الاستدامة · الاستثمار في الموظفين</t>
        </is>
      </c>
      <c r="H97" s="15" t="inlineStr">
        <is>
          <t>العمليات الداخلية</t>
        </is>
      </c>
      <c r="I97" s="59" t="n">
        <v>0.08</v>
      </c>
      <c r="J97" s="15" t="inlineStr">
        <is>
          <t>مدير الموارد البشرية</t>
        </is>
      </c>
      <c r="K97" s="11" t="inlineStr">
        <is>
          <t>نظام الموارد البشرية (HRMS)</t>
        </is>
      </c>
      <c r="L97" s="15" t="inlineStr">
        <is>
          <t>شهري</t>
        </is>
      </c>
      <c r="M97" s="15" t="inlineStr">
        <is>
          <t>مدير الموارد البشرية</t>
        </is>
      </c>
      <c r="N97" s="51" t="n"/>
    </row>
    <row r="98" ht="30" customHeight="1">
      <c r="A98" s="15" t="n">
        <v>96</v>
      </c>
      <c r="B98" s="13" t="inlineStr">
        <is>
          <t>الموارد البشرية</t>
        </is>
      </c>
      <c r="C98" s="21" t="inlineStr">
        <is>
          <t>نسبة نجاح التعيينات الجديدة خلال فترة التجربة</t>
        </is>
      </c>
      <c r="D98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الاستثمار في الموظفين</t>
        </is>
      </c>
      <c r="H98" s="15" t="inlineStr">
        <is>
          <t>العملاء</t>
        </is>
      </c>
      <c r="I98" s="59" t="n">
        <v>0.08</v>
      </c>
      <c r="J98" s="15" t="inlineStr">
        <is>
          <t>مدير الموارد البشرية</t>
        </is>
      </c>
      <c r="K98" s="11" t="inlineStr">
        <is>
          <t>نظام الموارد البشرية (HRMS)</t>
        </is>
      </c>
      <c r="L98" s="15" t="inlineStr">
        <is>
          <t>شهري</t>
        </is>
      </c>
      <c r="M98" s="15" t="inlineStr">
        <is>
          <t>مدير الموارد البشرية</t>
        </is>
      </c>
      <c r="N98" s="51" t="n"/>
    </row>
    <row r="99" ht="30" customHeight="1">
      <c r="A99" s="15" t="n">
        <v>97</v>
      </c>
      <c r="B99" s="13" t="inlineStr">
        <is>
          <t>الموارد البشرية</t>
        </is>
      </c>
      <c r="C99" s="21" t="inlineStr">
        <is>
          <t>نسبة كفاءة تكلفة القوى العاملة</t>
        </is>
      </c>
      <c r="D99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الاستثمار في الموظفين</t>
        </is>
      </c>
      <c r="H99" s="15" t="inlineStr">
        <is>
          <t>مالي</t>
        </is>
      </c>
      <c r="I99" s="59" t="n">
        <v>0.09</v>
      </c>
      <c r="J99" s="15" t="inlineStr">
        <is>
          <t>مدير الموارد البشرية</t>
        </is>
      </c>
      <c r="K99" s="11" t="inlineStr">
        <is>
          <t>نظام الرواتب (Payroll) / حماية الأجور</t>
        </is>
      </c>
      <c r="L99" s="15" t="inlineStr">
        <is>
          <t>شهري</t>
        </is>
      </c>
      <c r="M99" s="15" t="inlineStr">
        <is>
          <t>مدير الموارد البشرية</t>
        </is>
      </c>
      <c r="N99" s="51" t="n"/>
    </row>
    <row r="100" ht="30" customHeight="1">
      <c r="A100" s="15" t="n">
        <v>98</v>
      </c>
      <c r="B100" s="13" t="inlineStr">
        <is>
          <t>الموارد البشرية</t>
        </is>
      </c>
      <c r="C100" s="21" t="inlineStr">
        <is>
          <t>نسبة دقة الرواتب والمستحقات الشهرية</t>
        </is>
      </c>
      <c r="D100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الاستثمار في الموظفين</t>
        </is>
      </c>
      <c r="H100" s="15" t="inlineStr">
        <is>
          <t>مالي</t>
        </is>
      </c>
      <c r="I100" s="59" t="n">
        <v>0.08</v>
      </c>
      <c r="J100" s="15" t="inlineStr">
        <is>
          <t>مدير الموارد البشرية</t>
        </is>
      </c>
      <c r="K100" s="11" t="inlineStr">
        <is>
          <t>نظام الرواتب (Payroll) / حماية الأجور</t>
        </is>
      </c>
      <c r="L100" s="15" t="inlineStr">
        <is>
          <t>شهري</t>
        </is>
      </c>
      <c r="M100" s="15" t="inlineStr">
        <is>
          <t>مدير الموارد البشرية</t>
        </is>
      </c>
      <c r="N100" s="51" t="n"/>
    </row>
    <row r="101" ht="30" customHeight="1">
      <c r="A101" s="15" t="n">
        <v>99</v>
      </c>
      <c r="B101" s="13" t="inlineStr">
        <is>
          <t>الموارد البشرية</t>
        </is>
      </c>
      <c r="C101" s="21" t="inlineStr">
        <is>
          <t>معدل دوران الموظفين</t>
        </is>
      </c>
      <c r="D101" s="71" t="inlineStr">
        <is>
          <t>يقيس معدل دوران الموظفين ضمن محور «الاستقرار والتطوير»،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الاستثمار في الموظفين</t>
        </is>
      </c>
      <c r="H101" s="15" t="inlineStr">
        <is>
          <t>التعلّم والنمو</t>
        </is>
      </c>
      <c r="I101" s="59" t="n">
        <v>0.06</v>
      </c>
      <c r="J101" s="15" t="inlineStr">
        <is>
          <t>مدير الموارد البشرية</t>
        </is>
      </c>
      <c r="K101" s="11" t="inlineStr">
        <is>
          <t>نظام الموارد البشرية (HRMS)</t>
        </is>
      </c>
      <c r="L101" s="15" t="inlineStr">
        <is>
          <t>شهري</t>
        </is>
      </c>
      <c r="M101" s="15" t="inlineStr">
        <is>
          <t>مدير الموارد البشرية</t>
        </is>
      </c>
      <c r="N101" s="51" t="n"/>
    </row>
    <row r="102" ht="30" customHeight="1">
      <c r="A102" s="15" t="n">
        <v>100</v>
      </c>
      <c r="B102" s="13" t="inlineStr">
        <is>
          <t>الموارد البشرية</t>
        </is>
      </c>
      <c r="C102" s="21" t="inlineStr">
        <is>
          <t>نسبة تنفيذ برامج التدريب والتأهيل المعتمدة</t>
        </is>
      </c>
      <c r="D102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⚙️ نشاط</t>
        </is>
      </c>
      <c r="G102" s="11" t="inlineStr">
        <is>
          <t>الاستدامة · الاستثمار في الموظفين</t>
        </is>
      </c>
      <c r="H102" s="15" t="inlineStr">
        <is>
          <t>التعلّم والنمو</t>
        </is>
      </c>
      <c r="I102" s="59" t="n">
        <v>0.06</v>
      </c>
      <c r="J102" s="15" t="inlineStr">
        <is>
          <t>مدير الموارد البشرية</t>
        </is>
      </c>
      <c r="K102" s="11" t="inlineStr">
        <is>
          <t>نظام الموارد البشرية (HRMS)</t>
        </is>
      </c>
      <c r="L102" s="15" t="inlineStr">
        <is>
          <t>شهري</t>
        </is>
      </c>
      <c r="M102" s="15" t="inlineStr">
        <is>
          <t>مدير الموارد البشرية</t>
        </is>
      </c>
      <c r="N102" s="51" t="n"/>
    </row>
    <row r="103" ht="30" customHeight="1">
      <c r="A103" s="15" t="n">
        <v>101</v>
      </c>
      <c r="B103" s="13" t="inlineStr">
        <is>
          <t>الموارد البشرية</t>
        </is>
      </c>
      <c r="C103" s="21" t="inlineStr">
        <is>
          <t>نسبة إغلاق تقييمات الأداء وخطط الإحلال للوظائف الحرجة</t>
        </is>
      </c>
      <c r="D103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الاستثمار في الموظفين</t>
        </is>
      </c>
      <c r="H103" s="15" t="inlineStr">
        <is>
          <t>العمليات الداخلية</t>
        </is>
      </c>
      <c r="I103" s="59" t="n">
        <v>0.04</v>
      </c>
      <c r="J103" s="15" t="inlineStr">
        <is>
          <t>مدير الموارد البشرية</t>
        </is>
      </c>
      <c r="K103" s="11" t="inlineStr">
        <is>
          <t>نظام الموارد البشرية (HRMS)</t>
        </is>
      </c>
      <c r="L103" s="15" t="inlineStr">
        <is>
          <t>شهري</t>
        </is>
      </c>
      <c r="M103" s="15" t="inlineStr">
        <is>
          <t>مدير الموارد البشرية</t>
        </is>
      </c>
      <c r="N103" s="51" t="n"/>
    </row>
    <row r="104" ht="30" customHeight="1">
      <c r="A104" s="15" t="n">
        <v>102</v>
      </c>
      <c r="B104" s="13" t="inlineStr">
        <is>
          <t>التسويق</t>
        </is>
      </c>
      <c r="C104" s="21" t="inlineStr">
        <is>
          <t>الوصول الكلي (Total Reach)</t>
        </is>
      </c>
      <c r="D104" s="71" t="inlineStr">
        <is>
          <t>يقيس الوصول الكلي (Total Reach) ضمن محور «الإدارة العامة»، ويعكس مساهمة الإدارة في ركيزة النمو.</t>
        </is>
      </c>
      <c r="E104" s="11" t="inlineStr">
        <is>
          <t>إجمالي العدد خلال الفترة</t>
        </is>
      </c>
      <c r="F104" s="15" t="inlineStr">
        <is>
          <t>🎯 نتيجة</t>
        </is>
      </c>
      <c r="G104" s="11" t="inlineStr">
        <is>
          <t>النمو · زيادة وصول العملاء</t>
        </is>
      </c>
      <c r="H104" s="15" t="inlineStr">
        <is>
          <t>العملاء</t>
        </is>
      </c>
      <c r="I104" s="59" t="n">
        <v>0.08</v>
      </c>
      <c r="J104" s="15" t="inlineStr">
        <is>
          <t>مدير التسويق</t>
        </is>
      </c>
      <c r="K104" s="11" t="inlineStr">
        <is>
          <t>أنظمة التسويق الرقمي / تانكي</t>
        </is>
      </c>
      <c r="L104" s="15" t="inlineStr">
        <is>
          <t>شهري</t>
        </is>
      </c>
      <c r="M104" s="15" t="inlineStr">
        <is>
          <t>مدير التسويق</t>
        </is>
      </c>
      <c r="N104" s="51" t="n"/>
    </row>
    <row r="105" ht="30" customHeight="1">
      <c r="A105" s="15" t="n">
        <v>103</v>
      </c>
      <c r="B105" s="13" t="inlineStr">
        <is>
          <t>التسويق</t>
        </is>
      </c>
      <c r="C105" s="21" t="inlineStr">
        <is>
          <t>عملاء تجاريون جدد</t>
        </is>
      </c>
      <c r="D105" s="71" t="inlineStr">
        <is>
          <t>يقيس عملاء تجاريون جدد ضمن محور «الإدارة العامة»، ويعكس مساهمة الإدارة في ركيزة النمو.</t>
        </is>
      </c>
      <c r="E105" s="11" t="inlineStr">
        <is>
          <t>إجمالي العدد خلال الفترة</t>
        </is>
      </c>
      <c r="F105" s="15" t="inlineStr">
        <is>
          <t>🔧 تشغيلي</t>
        </is>
      </c>
      <c r="G105" s="11" t="inlineStr">
        <is>
          <t>النمو · زيادة وصول العملاء</t>
        </is>
      </c>
      <c r="H105" s="15" t="inlineStr">
        <is>
          <t>العملاء</t>
        </is>
      </c>
      <c r="I105" s="59" t="n">
        <v>0.06</v>
      </c>
      <c r="J105" s="15" t="inlineStr">
        <is>
          <t>مدير التسويق</t>
        </is>
      </c>
      <c r="K105" s="11" t="inlineStr">
        <is>
          <t>سجلات الإدارة</t>
        </is>
      </c>
      <c r="L105" s="15" t="inlineStr">
        <is>
          <t>شهري</t>
        </is>
      </c>
      <c r="M105" s="15" t="inlineStr">
        <is>
          <t>مدير التسويق</t>
        </is>
      </c>
      <c r="N105" s="51" t="n"/>
    </row>
    <row r="106" ht="30" customHeight="1">
      <c r="A106" s="15" t="n">
        <v>104</v>
      </c>
      <c r="B106" s="13" t="inlineStr">
        <is>
          <t>التسويق</t>
        </is>
      </c>
      <c r="C106" s="21" t="inlineStr">
        <is>
          <t>إجمالي المتابعين (كل المنصات)</t>
        </is>
      </c>
      <c r="D106" s="71" t="inlineStr">
        <is>
          <t>يقيس إجمالي المتابعين (كل المنصات) ضمن محور «الفريق الإبداعي»، ويعكس مساهمة الإدارة في ركيزة النمو.</t>
        </is>
      </c>
      <c r="E106" s="11" t="inlineStr">
        <is>
          <t>إجمالي العدد خلال الفترة</t>
        </is>
      </c>
      <c r="F106" s="15" t="inlineStr">
        <is>
          <t>🔧 تشغيلي</t>
        </is>
      </c>
      <c r="G106" s="11" t="inlineStr">
        <is>
          <t>النمو · زيادة وصول العملاء</t>
        </is>
      </c>
      <c r="H106" s="15" t="inlineStr">
        <is>
          <t>العملاء</t>
        </is>
      </c>
      <c r="I106" s="59" t="n">
        <v>0.08</v>
      </c>
      <c r="J106" s="15" t="inlineStr">
        <is>
          <t>مدير التسويق</t>
        </is>
      </c>
      <c r="K106" s="11" t="inlineStr">
        <is>
          <t>أنظمة التسويق الرقمي / تانكي</t>
        </is>
      </c>
      <c r="L106" s="15" t="inlineStr">
        <is>
          <t>شهري</t>
        </is>
      </c>
      <c r="M106" s="15" t="inlineStr">
        <is>
          <t>مدير التسويق</t>
        </is>
      </c>
      <c r="N106" s="51" t="n"/>
    </row>
    <row r="107" ht="30" customHeight="1">
      <c r="A107" s="15" t="n">
        <v>105</v>
      </c>
      <c r="B107" s="13" t="inlineStr">
        <is>
          <t>التسويق</t>
        </is>
      </c>
      <c r="C107" s="21" t="inlineStr">
        <is>
          <t>معدل التفاعل (Engagement)</t>
        </is>
      </c>
      <c r="D107" s="71" t="inlineStr">
        <is>
          <t>يقيس معدل التفاعل (Engagement) ضمن محور «الفريق الإبداعي»، ويعكس مساهمة الإدارة في ركيزة النمو.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النمو · زيادة وصول العملاء</t>
        </is>
      </c>
      <c r="H107" s="15" t="inlineStr">
        <is>
          <t>العملاء</t>
        </is>
      </c>
      <c r="I107" s="59" t="n">
        <v>0.08</v>
      </c>
      <c r="J107" s="15" t="inlineStr">
        <is>
          <t>مدير التسويق</t>
        </is>
      </c>
      <c r="K107" s="11" t="inlineStr">
        <is>
          <t>أنظمة التسويق الرقمي / تانكي</t>
        </is>
      </c>
      <c r="L107" s="15" t="inlineStr">
        <is>
          <t>شهري</t>
        </is>
      </c>
      <c r="M107" s="15" t="inlineStr">
        <is>
          <t>مدير التسويق</t>
        </is>
      </c>
      <c r="N107" s="51" t="n"/>
    </row>
    <row r="108" ht="30" customHeight="1">
      <c r="A108" s="15" t="n">
        <v>106</v>
      </c>
      <c r="B108" s="13" t="inlineStr">
        <is>
          <t>التسويق</t>
        </is>
      </c>
      <c r="C108" s="21" t="inlineStr">
        <is>
          <t>حملات تسويقية منجزة</t>
        </is>
      </c>
      <c r="D108" s="71" t="inlineStr">
        <is>
          <t>يقيس حملات تسويقية منجزة ضمن محور «الحملات التسويقية»، ويعكس مساهمة الإدارة في ركيزة النمو.</t>
        </is>
      </c>
      <c r="E108" s="11" t="inlineStr">
        <is>
          <t>إجمالي العدد خلال الفترة</t>
        </is>
      </c>
      <c r="F108" s="15" t="inlineStr">
        <is>
          <t>⚙️ نشاط</t>
        </is>
      </c>
      <c r="G108" s="11" t="inlineStr">
        <is>
          <t>النمو · زيادة وصول العملاء</t>
        </is>
      </c>
      <c r="H108" s="15" t="inlineStr">
        <is>
          <t>العمليات الداخلية</t>
        </is>
      </c>
      <c r="I108" s="59" t="n">
        <v>0.06</v>
      </c>
      <c r="J108" s="15" t="inlineStr">
        <is>
          <t>مدير التسويق</t>
        </is>
      </c>
      <c r="K108" s="11" t="inlineStr">
        <is>
          <t>أنظمة التسويق الرقمي / تانكي</t>
        </is>
      </c>
      <c r="L108" s="15" t="inlineStr">
        <is>
          <t>شهري</t>
        </is>
      </c>
      <c r="M108" s="15" t="inlineStr">
        <is>
          <t>مدير التسويق</t>
        </is>
      </c>
      <c r="N108" s="51" t="n"/>
    </row>
    <row r="109" ht="30" customHeight="1">
      <c r="A109" s="15" t="n">
        <v>107</v>
      </c>
      <c r="B109" s="13" t="inlineStr">
        <is>
          <t>التسويق</t>
        </is>
      </c>
      <c r="C109" s="21" t="inlineStr">
        <is>
          <t>تحويل الفرص إلى عقود</t>
        </is>
      </c>
      <c r="D109" s="71" t="inlineStr">
        <is>
          <t>يقيس تحويل الفرص إلى عقود ضمن محور «الحملات التسويقية»، ويعكس مساهمة الإدارة في ركيزة النمو.</t>
        </is>
      </c>
      <c r="E109" s="11" t="inlineStr">
        <is>
          <t>(المتحقّق ÷ الإجمالي) × 100٪</t>
        </is>
      </c>
      <c r="F109" s="15" t="inlineStr">
        <is>
          <t>🔧 تشغيلي</t>
        </is>
      </c>
      <c r="G109" s="11" t="inlineStr">
        <is>
          <t>النمو · زيادة وصول العملاء</t>
        </is>
      </c>
      <c r="H109" s="15" t="inlineStr">
        <is>
          <t>العمليات الداخلية</t>
        </is>
      </c>
      <c r="I109" s="59" t="n">
        <v>0.08</v>
      </c>
      <c r="J109" s="15" t="inlineStr">
        <is>
          <t>مدير التسويق</t>
        </is>
      </c>
      <c r="K109" s="11" t="inlineStr">
        <is>
          <t>أنظمة التسويق الرقمي / تانكي</t>
        </is>
      </c>
      <c r="L109" s="15" t="inlineStr">
        <is>
          <t>شهري</t>
        </is>
      </c>
      <c r="M109" s="15" t="inlineStr">
        <is>
          <t>مدير التسويق</t>
        </is>
      </c>
      <c r="N109" s="51" t="n"/>
    </row>
    <row r="110" ht="30" customHeight="1">
      <c r="A110" s="15" t="n">
        <v>108</v>
      </c>
      <c r="B110" s="13" t="inlineStr">
        <is>
          <t>التسويق</t>
        </is>
      </c>
      <c r="C110" s="21" t="inlineStr">
        <is>
          <t>نسبة المبيعات لكل حملة</t>
        </is>
      </c>
      <c r="D110" s="71" t="inlineStr">
        <is>
          <t>يقيس نسبة المبيعات لكل حملة ضمن محور «الحملات التسويقية»، ويعكس مساهمة الإدارة في ركيزة النمو.</t>
        </is>
      </c>
      <c r="E110" s="11" t="inlineStr">
        <is>
          <t>(المتحقّق ÷ الإجمالي) × 100٪</t>
        </is>
      </c>
      <c r="F110" s="15" t="inlineStr">
        <is>
          <t>⚙️ نشاط</t>
        </is>
      </c>
      <c r="G110" s="11" t="inlineStr">
        <is>
          <t>النمو · زيادة وصول العملاء</t>
        </is>
      </c>
      <c r="H110" s="15" t="inlineStr">
        <is>
          <t>مالي</t>
        </is>
      </c>
      <c r="I110" s="59" t="n">
        <v>0.08</v>
      </c>
      <c r="J110" s="15" t="inlineStr">
        <is>
          <t>مدير التسويق</t>
        </is>
      </c>
      <c r="K110" s="11" t="inlineStr">
        <is>
          <t>أنظمة التسويق الرقمي / تانكي</t>
        </is>
      </c>
      <c r="L110" s="15" t="inlineStr">
        <is>
          <t>شهري</t>
        </is>
      </c>
      <c r="M110" s="15" t="inlineStr">
        <is>
          <t>مدير التسويق</t>
        </is>
      </c>
      <c r="N110" s="51" t="n"/>
    </row>
    <row r="111" ht="30" customHeight="1">
      <c r="A111" s="15" t="n">
        <v>109</v>
      </c>
      <c r="B111" s="13" t="inlineStr">
        <is>
          <t>التسويق</t>
        </is>
      </c>
      <c r="C111" s="21" t="inlineStr">
        <is>
          <t>نسبة التزام الهوية البصرية</t>
        </is>
      </c>
      <c r="D111" s="71" t="inlineStr">
        <is>
          <t>يقيس نسبة التزام الهوية البصرية ضمن محور «الدعاية والإعلان»، ويعكس مساهمة الإدارة في ركيزة الابتكار.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الابتكار · تطوير التصاميم والهوية</t>
        </is>
      </c>
      <c r="H111" s="15" t="inlineStr">
        <is>
          <t>التعلّم والنمو</t>
        </is>
      </c>
      <c r="I111" s="59" t="n">
        <v>0.08</v>
      </c>
      <c r="J111" s="15" t="inlineStr">
        <is>
          <t>مدير التسويق</t>
        </is>
      </c>
      <c r="K111" s="11" t="inlineStr">
        <is>
          <t>سجلات الإدارة</t>
        </is>
      </c>
      <c r="L111" s="15" t="inlineStr">
        <is>
          <t>شهري</t>
        </is>
      </c>
      <c r="M111" s="15" t="inlineStr">
        <is>
          <t>مدير التسويق</t>
        </is>
      </c>
      <c r="N111" s="51" t="n"/>
    </row>
    <row r="112" ht="30" customHeight="1">
      <c r="A112" s="15" t="n">
        <v>110</v>
      </c>
      <c r="B112" s="13" t="inlineStr">
        <is>
          <t>التسويق</t>
        </is>
      </c>
      <c r="C112" s="21" t="inlineStr">
        <is>
          <t>وصول العلاقات العامة (PR)</t>
        </is>
      </c>
      <c r="D112" s="71" t="inlineStr">
        <is>
          <t>يقيس وصول العلاقات العامة (PR) ضمن محور «العلاقات والشراكات»، ويعكس مساهمة الإدارة في ركيزة النمو.</t>
        </is>
      </c>
      <c r="E112" s="11" t="inlineStr">
        <is>
          <t>إجمالي العدد خلال الفترة</t>
        </is>
      </c>
      <c r="F112" s="15" t="inlineStr">
        <is>
          <t>🔧 تشغيلي</t>
        </is>
      </c>
      <c r="G112" s="11" t="inlineStr">
        <is>
          <t>النمو · زيادة وصول العملاء</t>
        </is>
      </c>
      <c r="H112" s="15" t="inlineStr">
        <is>
          <t>العملاء</t>
        </is>
      </c>
      <c r="I112" s="59" t="n">
        <v>0.06</v>
      </c>
      <c r="J112" s="15" t="inlineStr">
        <is>
          <t>مدير التسويق</t>
        </is>
      </c>
      <c r="K112" s="11" t="inlineStr">
        <is>
          <t>أنظمة التسويق الرقمي / تانكي</t>
        </is>
      </c>
      <c r="L112" s="15" t="inlineStr">
        <is>
          <t>شهري</t>
        </is>
      </c>
      <c r="M112" s="15" t="inlineStr">
        <is>
          <t>مدير التسويق</t>
        </is>
      </c>
      <c r="N112" s="51" t="n"/>
    </row>
    <row r="113" ht="30" customHeight="1">
      <c r="A113" s="15" t="n">
        <v>111</v>
      </c>
      <c r="B113" s="13" t="inlineStr">
        <is>
          <t>التسويق</t>
        </is>
      </c>
      <c r="C113" s="21" t="inlineStr">
        <is>
          <t>عدد المعارض بالسنة</t>
        </is>
      </c>
      <c r="D113" s="71" t="inlineStr">
        <is>
          <t>يقيس عدد المعارض بالسنة ضمن محور «العلاقات والشراكات»، ويعكس مساهمة الإدارة في ركيزة الابتكار.</t>
        </is>
      </c>
      <c r="E113" s="11" t="inlineStr">
        <is>
          <t>إجمالي العدد خلال الفترة</t>
        </is>
      </c>
      <c r="F113" s="15" t="inlineStr">
        <is>
          <t>⚙️ نشاط</t>
        </is>
      </c>
      <c r="G113" s="11" t="inlineStr">
        <is>
          <t>الابتكار · إطلاق مشاريع جديدة</t>
        </is>
      </c>
      <c r="H113" s="15" t="inlineStr">
        <is>
          <t>العمليات الداخلية</t>
        </is>
      </c>
      <c r="I113" s="59" t="n">
        <v>0.06</v>
      </c>
      <c r="J113" s="15" t="inlineStr">
        <is>
          <t>مدير التسويق</t>
        </is>
      </c>
      <c r="K113" s="11" t="inlineStr">
        <is>
          <t>سجلات الإدارة</t>
        </is>
      </c>
      <c r="L113" s="15" t="inlineStr">
        <is>
          <t>شهري</t>
        </is>
      </c>
      <c r="M113" s="15" t="inlineStr">
        <is>
          <t>مدير التسويق</t>
        </is>
      </c>
      <c r="N113" s="51" t="n"/>
    </row>
    <row r="114" ht="30" customHeight="1">
      <c r="A114" s="15" t="n">
        <v>112</v>
      </c>
      <c r="B114" s="13" t="inlineStr">
        <is>
          <t>التسويق</t>
        </is>
      </c>
      <c r="C114" s="21" t="inlineStr">
        <is>
          <t>اتفاقيات استراتيجية</t>
        </is>
      </c>
      <c r="D114" s="71" t="inlineStr">
        <is>
          <t>يقيس اتفاقيات استراتيجية ضمن محور «العلاقات والشراكات»، ويعكس مساهمة الإدارة في ركيزة الابتكار.</t>
        </is>
      </c>
      <c r="E114" s="11" t="inlineStr">
        <is>
          <t>إجمالي العدد خلال الفترة</t>
        </is>
      </c>
      <c r="F114" s="15" t="inlineStr">
        <is>
          <t>🔧 تشغيلي</t>
        </is>
      </c>
      <c r="G114" s="11" t="inlineStr">
        <is>
          <t>الابتكار · إطلاق مشاريع جديدة</t>
        </is>
      </c>
      <c r="H114" s="15" t="inlineStr">
        <is>
          <t>العمليات الداخلية</t>
        </is>
      </c>
      <c r="I114" s="59" t="n">
        <v>0.06</v>
      </c>
      <c r="J114" s="15" t="inlineStr">
        <is>
          <t>مدير التسويق</t>
        </is>
      </c>
      <c r="K114" s="11" t="inlineStr">
        <is>
          <t>سجلات الإدارة</t>
        </is>
      </c>
      <c r="L114" s="15" t="inlineStr">
        <is>
          <t>شهري</t>
        </is>
      </c>
      <c r="M114" s="15" t="inlineStr">
        <is>
          <t>مدير التسويق</t>
        </is>
      </c>
      <c r="N114" s="51" t="n"/>
    </row>
    <row r="115" ht="30" customHeight="1">
      <c r="A115" s="15" t="n">
        <v>113</v>
      </c>
      <c r="B115" s="13" t="inlineStr">
        <is>
          <t>التسويق</t>
        </is>
      </c>
      <c r="C115" s="21" t="inlineStr">
        <is>
          <t>تقييم خرائط قوقل</t>
        </is>
      </c>
      <c r="D115" s="71" t="inlineStr">
        <is>
          <t>يقيس تقييم خرائط قوقل ضمن محور «خدمة العملاء والدعم»، ويعكس مساهمة الإدارة في ركيزة الاستدامة.</t>
        </is>
      </c>
      <c r="E115" s="11" t="inlineStr">
        <is>
          <t>متوسط التقييم (من 5)</t>
        </is>
      </c>
      <c r="F115" s="15" t="inlineStr">
        <is>
          <t>🎯 نتيجة</t>
        </is>
      </c>
      <c r="G115" s="11" t="inlineStr">
        <is>
          <t>الاستدامة · تعزيز تجربة العملاء</t>
        </is>
      </c>
      <c r="H115" s="15" t="inlineStr">
        <is>
          <t>العملاء</t>
        </is>
      </c>
      <c r="I115" s="59" t="n">
        <v>0.06</v>
      </c>
      <c r="J115" s="15" t="inlineStr">
        <is>
          <t>مدير التسويق</t>
        </is>
      </c>
      <c r="K115" s="11" t="inlineStr">
        <is>
          <t>تقييمات خرائط قوقل</t>
        </is>
      </c>
      <c r="L115" s="15" t="inlineStr">
        <is>
          <t>شهري</t>
        </is>
      </c>
      <c r="M115" s="15" t="inlineStr">
        <is>
          <t>مدير التسويق</t>
        </is>
      </c>
      <c r="N115" s="51" t="n"/>
    </row>
    <row r="116" ht="30" customHeight="1">
      <c r="A116" s="15" t="n">
        <v>114</v>
      </c>
      <c r="B116" s="13" t="inlineStr">
        <is>
          <t>التسويق</t>
        </is>
      </c>
      <c r="C116" s="21" t="inlineStr">
        <is>
          <t>معدل خفض الشكاوى</t>
        </is>
      </c>
      <c r="D116" s="71" t="inlineStr">
        <is>
          <t>يقيس معدل خفض الشكاوى ضمن محور «خدمة العملاء والدعم»،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تعزيز تجربة العملاء</t>
        </is>
      </c>
      <c r="H116" s="15" t="inlineStr">
        <is>
          <t>العملاء</t>
        </is>
      </c>
      <c r="I116" s="59" t="n">
        <v>0.06</v>
      </c>
      <c r="J116" s="15" t="inlineStr">
        <is>
          <t>مدير التسويق</t>
        </is>
      </c>
      <c r="K116" s="11" t="inlineStr">
        <is>
          <t>سجلات الإدارة</t>
        </is>
      </c>
      <c r="L116" s="15" t="inlineStr">
        <is>
          <t>شهري</t>
        </is>
      </c>
      <c r="M116" s="15" t="inlineStr">
        <is>
          <t>مدير التسويق</t>
        </is>
      </c>
      <c r="N116" s="51" t="n"/>
    </row>
    <row r="117" ht="30" customHeight="1">
      <c r="A117" s="15" t="n">
        <v>115</v>
      </c>
      <c r="B117" s="13" t="inlineStr">
        <is>
          <t>التسويق</t>
        </is>
      </c>
      <c r="C117" s="21" t="inlineStr">
        <is>
          <t>وصول محتوى تطبيق تانكي</t>
        </is>
      </c>
      <c r="D117" s="71" t="inlineStr">
        <is>
          <t>يقيس وصول محتوى تطبيق تانكي ضمن محور «تطبيق تانكي»، ويعكس مساهمة الإدارة في ركيزة الابتكار.</t>
        </is>
      </c>
      <c r="E117" s="11" t="inlineStr">
        <is>
          <t>إجمالي العدد خلال الفترة</t>
        </is>
      </c>
      <c r="F117" s="15" t="inlineStr">
        <is>
          <t>🔧 تشغيلي</t>
        </is>
      </c>
      <c r="G117" s="11" t="inlineStr">
        <is>
          <t>الابتكار · تطبيق «تانكي»</t>
        </is>
      </c>
      <c r="H117" s="15" t="inlineStr">
        <is>
          <t>العملاء</t>
        </is>
      </c>
      <c r="I117" s="59" t="n">
        <v>0.05</v>
      </c>
      <c r="J117" s="15" t="inlineStr">
        <is>
          <t>مدير التسويق</t>
        </is>
      </c>
      <c r="K117" s="11" t="inlineStr">
        <is>
          <t>أنظمة التسويق الرقمي / تانكي</t>
        </is>
      </c>
      <c r="L117" s="15" t="inlineStr">
        <is>
          <t>شهري</t>
        </is>
      </c>
      <c r="M117" s="15" t="inlineStr">
        <is>
          <t>مدير التسويق</t>
        </is>
      </c>
      <c r="N117" s="51" t="n"/>
    </row>
    <row r="118" ht="30" customHeight="1">
      <c r="A118" s="15" t="n">
        <v>116</v>
      </c>
      <c r="B118" s="13" t="inlineStr">
        <is>
          <t>التسويق</t>
        </is>
      </c>
      <c r="C118" s="21" t="inlineStr">
        <is>
          <t>مشاركات تطبيق تانكي</t>
        </is>
      </c>
      <c r="D118" s="71" t="inlineStr">
        <is>
          <t>يقيس مشاركات تطبيق تانكي ضمن محور «تطبيق تانكي»، ويعكس مساهمة الإدارة في ركيزة الابتكار.</t>
        </is>
      </c>
      <c r="E118" s="11" t="inlineStr">
        <is>
          <t>إجمالي العدد خلال الفترة</t>
        </is>
      </c>
      <c r="F118" s="15" t="inlineStr">
        <is>
          <t>🔧 تشغيلي</t>
        </is>
      </c>
      <c r="G118" s="11" t="inlineStr">
        <is>
          <t>الابتكار · تطبيق «تانكي»</t>
        </is>
      </c>
      <c r="H118" s="15" t="inlineStr">
        <is>
          <t>العمليات الداخلية</t>
        </is>
      </c>
      <c r="I118" s="59" t="n">
        <v>0.05</v>
      </c>
      <c r="J118" s="15" t="inlineStr">
        <is>
          <t>مدير التسويق</t>
        </is>
      </c>
      <c r="K118" s="11" t="inlineStr">
        <is>
          <t>أنظمة التسويق الرقمي / تانكي</t>
        </is>
      </c>
      <c r="L118" s="15" t="inlineStr">
        <is>
          <t>شهري</t>
        </is>
      </c>
      <c r="M118" s="15" t="inlineStr">
        <is>
          <t>مدير التسويق</t>
        </is>
      </c>
      <c r="N118" s="51" t="n"/>
    </row>
    <row r="119" ht="30" customHeight="1">
      <c r="A119" s="15" t="n">
        <v>117</v>
      </c>
      <c r="B119" s="13" t="inlineStr">
        <is>
          <t>الجودة</t>
        </is>
      </c>
      <c r="C119" s="21" t="inlineStr">
        <is>
          <t>نسبة المحطات الحرجة</t>
        </is>
      </c>
      <c r="D119" s="71" t="inlineStr">
        <is>
          <t>يقيس نسبة المحطات الحرجة ضمن محور «مخاطر الجودة»،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0.1</v>
      </c>
      <c r="J119" s="15" t="inlineStr">
        <is>
          <t>مدير الجودة</t>
        </is>
      </c>
      <c r="K119" s="11" t="inlineStr">
        <is>
          <t>نظام إدارة الجودة (QMS)</t>
        </is>
      </c>
      <c r="L119" s="15" t="inlineStr">
        <is>
          <t>شهري</t>
        </is>
      </c>
      <c r="M119" s="15" t="inlineStr">
        <is>
          <t>مدير الجودة</t>
        </is>
      </c>
      <c r="N119" s="51" t="n"/>
    </row>
    <row r="120" ht="30" customHeight="1">
      <c r="A120" s="15" t="n">
        <v>118</v>
      </c>
      <c r="B120" s="13" t="inlineStr">
        <is>
          <t>الجودة</t>
        </is>
      </c>
      <c r="C120" s="21" t="inlineStr">
        <is>
          <t>نسبة مطابقة جودة الوقود</t>
        </is>
      </c>
      <c r="D120" s="71" t="inlineStr">
        <is>
          <t>يقيس نسبة مطابقة جودة الوقود ضمن محور «جودة الوقود»،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59" t="n">
        <v>0.07000000000000001</v>
      </c>
      <c r="J120" s="15" t="inlineStr">
        <is>
          <t>مدير الجودة</t>
        </is>
      </c>
      <c r="K120" s="11" t="inlineStr">
        <is>
          <t>نظام إدارة الجودة (QMS)</t>
        </is>
      </c>
      <c r="L120" s="15" t="inlineStr">
        <is>
          <t>شهري</t>
        </is>
      </c>
      <c r="M120" s="15" t="inlineStr">
        <is>
          <t>مدير الجودة</t>
        </is>
      </c>
      <c r="N120" s="51" t="n"/>
    </row>
    <row r="121" ht="30" customHeight="1">
      <c r="A121" s="15" t="n">
        <v>119</v>
      </c>
      <c r="B121" s="13" t="inlineStr">
        <is>
          <t>الجودة</t>
        </is>
      </c>
      <c r="C121" s="21" t="inlineStr">
        <is>
          <t>نسبة إغلاق الملاحظات في الوقت المحدد</t>
        </is>
      </c>
      <c r="D121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59" t="n">
        <v>0.07000000000000001</v>
      </c>
      <c r="J121" s="15" t="inlineStr">
        <is>
          <t>مدير الجودة</t>
        </is>
      </c>
      <c r="K121" s="11" t="inlineStr">
        <is>
          <t>نظام إدارة الجودة (QMS)</t>
        </is>
      </c>
      <c r="L121" s="15" t="inlineStr">
        <is>
          <t>شهري</t>
        </is>
      </c>
      <c r="M121" s="15" t="inlineStr">
        <is>
          <t>مدير الجودة</t>
        </is>
      </c>
      <c r="N121" s="51" t="n"/>
    </row>
    <row r="122" ht="30" customHeight="1">
      <c r="A122" s="15" t="n">
        <v>120</v>
      </c>
      <c r="B122" s="13" t="inlineStr">
        <is>
          <t>الجودة</t>
        </is>
      </c>
      <c r="C122" s="21" t="inlineStr">
        <is>
          <t>نسبة فعالية الإجراءات التصحيحية</t>
        </is>
      </c>
      <c r="D122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59" t="n">
        <v>0.07000000000000001</v>
      </c>
      <c r="J122" s="15" t="inlineStr">
        <is>
          <t>مدير الجودة</t>
        </is>
      </c>
      <c r="K122" s="11" t="inlineStr">
        <is>
          <t>سجلات الإدارة</t>
        </is>
      </c>
      <c r="L122" s="15" t="inlineStr">
        <is>
          <t>شهري</t>
        </is>
      </c>
      <c r="M122" s="15" t="inlineStr">
        <is>
          <t>مدير الجودة</t>
        </is>
      </c>
      <c r="N122" s="51" t="n"/>
    </row>
    <row r="123" ht="30" customHeight="1">
      <c r="A123" s="15" t="n">
        <v>121</v>
      </c>
      <c r="B123" s="13" t="inlineStr">
        <is>
          <t>الجودة</t>
        </is>
      </c>
      <c r="C123" s="21" t="inlineStr">
        <is>
          <t>نسبة تكرار الملاحظات</t>
        </is>
      </c>
      <c r="D123" s="71" t="inlineStr">
        <is>
          <t>يقيس نسبة تكرار الملاحظات ضمن محور «منع التكرار»،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9" t="n">
        <v>0.07000000000000001</v>
      </c>
      <c r="J123" s="15" t="inlineStr">
        <is>
          <t>مدير الجودة</t>
        </is>
      </c>
      <c r="K123" s="11" t="inlineStr">
        <is>
          <t>نظام إدارة الجودة (QMS)</t>
        </is>
      </c>
      <c r="L123" s="15" t="inlineStr">
        <is>
          <t>شهري</t>
        </is>
      </c>
      <c r="M123" s="15" t="inlineStr">
        <is>
          <t>مدير الجودة</t>
        </is>
      </c>
      <c r="N123" s="51" t="n"/>
    </row>
    <row r="124" ht="30" customHeight="1">
      <c r="A124" s="15" t="n">
        <v>122</v>
      </c>
      <c r="B124" s="13" t="inlineStr">
        <is>
          <t>الجودة</t>
        </is>
      </c>
      <c r="C124" s="21" t="inlineStr">
        <is>
          <t>نسبة تنفيذ خطة التفتيش والتدقيق</t>
        </is>
      </c>
      <c r="D124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⚙️ نشاط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59" t="n">
        <v>0.07000000000000001</v>
      </c>
      <c r="J124" s="15" t="inlineStr">
        <is>
          <t>مدير الجودة</t>
        </is>
      </c>
      <c r="K124" s="11" t="inlineStr">
        <is>
          <t>نظام المحاسبة / ERP (D365)</t>
        </is>
      </c>
      <c r="L124" s="15" t="inlineStr">
        <is>
          <t>ربعي</t>
        </is>
      </c>
      <c r="M124" s="15" t="inlineStr">
        <is>
          <t>الإدارة المالية</t>
        </is>
      </c>
      <c r="N124" s="51" t="n"/>
    </row>
    <row r="125" ht="30" customHeight="1">
      <c r="A125" s="15" t="n">
        <v>123</v>
      </c>
      <c r="B125" s="13" t="inlineStr">
        <is>
          <t>الجودة</t>
        </is>
      </c>
      <c r="C125" s="21" t="inlineStr">
        <is>
          <t>نسبة جاهزية نظام إدارة الجودة QMS</t>
        </is>
      </c>
      <c r="D125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59" t="n">
        <v>0.1</v>
      </c>
      <c r="J125" s="15" t="inlineStr">
        <is>
          <t>مدير الجودة</t>
        </is>
      </c>
      <c r="K125" s="11" t="inlineStr">
        <is>
          <t>نظام إدارة الجودة (QMS)</t>
        </is>
      </c>
      <c r="L125" s="15" t="inlineStr">
        <is>
          <t>شهري</t>
        </is>
      </c>
      <c r="M125" s="15" t="inlineStr">
        <is>
          <t>مدير الجودة</t>
        </is>
      </c>
      <c r="N125" s="51" t="n"/>
    </row>
    <row r="126" ht="30" customHeight="1">
      <c r="A126" s="15" t="n">
        <v>124</v>
      </c>
      <c r="B126" s="13" t="inlineStr">
        <is>
          <t>الجودة</t>
        </is>
      </c>
      <c r="C126" s="21" t="inlineStr">
        <is>
          <t>عدد مخاطر الجودة الحرجة المفتوحة</t>
        </is>
      </c>
      <c r="D126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26" s="11" t="inlineStr">
        <is>
          <t>إجمالي العدد خلال الفترة</t>
        </is>
      </c>
      <c r="F126" s="15" t="inlineStr">
        <is>
          <t>⚙️ نشاط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9" t="n">
        <v>0.07000000000000001</v>
      </c>
      <c r="J126" s="15" t="inlineStr">
        <is>
          <t>مدير الجودة</t>
        </is>
      </c>
      <c r="K126" s="11" t="inlineStr">
        <is>
          <t>نظام إدارة الجودة (QMS)</t>
        </is>
      </c>
      <c r="L126" s="15" t="inlineStr">
        <is>
          <t>شهري</t>
        </is>
      </c>
      <c r="M126" s="15" t="inlineStr">
        <is>
          <t>مدير الجودة</t>
        </is>
      </c>
      <c r="N126" s="51" t="n"/>
    </row>
    <row r="127" ht="30" customHeight="1">
      <c r="A127" s="15" t="n">
        <v>125</v>
      </c>
      <c r="B127" s="13" t="inlineStr">
        <is>
          <t>الجودة</t>
        </is>
      </c>
      <c r="C127" s="21" t="inlineStr">
        <is>
          <t>نسبة إغلاق مخاطر الجودة في الوقت المحدد</t>
        </is>
      </c>
      <c r="D127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59" t="n">
        <v>0.07000000000000001</v>
      </c>
      <c r="J127" s="15" t="inlineStr">
        <is>
          <t>مدير الجودة</t>
        </is>
      </c>
      <c r="K127" s="11" t="inlineStr">
        <is>
          <t>نظام إدارة الجودة (QMS)</t>
        </is>
      </c>
      <c r="L127" s="15" t="inlineStr">
        <is>
          <t>شهري</t>
        </is>
      </c>
      <c r="M127" s="15" t="inlineStr">
        <is>
          <t>مدير الجودة</t>
        </is>
      </c>
      <c r="N127" s="51" t="n"/>
    </row>
    <row r="128" ht="30" customHeight="1">
      <c r="A128" s="15" t="n">
        <v>126</v>
      </c>
      <c r="B128" s="13" t="inlineStr">
        <is>
          <t>الجودة</t>
        </is>
      </c>
      <c r="C128" s="21" t="inlineStr">
        <is>
          <t>نسبة انخفاض الشكاوى المتكررة ذات العلاقة بالجودة</t>
        </is>
      </c>
      <c r="D128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تعزيز تجربة العملاء</t>
        </is>
      </c>
      <c r="H128" s="15" t="inlineStr">
        <is>
          <t>العملاء</t>
        </is>
      </c>
      <c r="I128" s="59" t="n">
        <v>0.07000000000000001</v>
      </c>
      <c r="J128" s="15" t="inlineStr">
        <is>
          <t>مدير الجودة</t>
        </is>
      </c>
      <c r="K128" s="11" t="inlineStr">
        <is>
          <t>نظام إدارة الجودة (QMS)</t>
        </is>
      </c>
      <c r="L128" s="15" t="inlineStr">
        <is>
          <t>شهري</t>
        </is>
      </c>
      <c r="M128" s="15" t="inlineStr">
        <is>
          <t>مدير الجودة</t>
        </is>
      </c>
      <c r="N128" s="51" t="n"/>
    </row>
    <row r="129" ht="30" customHeight="1">
      <c r="A129" s="15" t="n">
        <v>127</v>
      </c>
      <c r="B129" s="13" t="inlineStr">
        <is>
          <t>الجودة</t>
        </is>
      </c>
      <c r="C129" s="21" t="inlineStr">
        <is>
          <t>نسبة اكتمال وتحديث الإجراءات المعتمدة</t>
        </is>
      </c>
      <c r="D129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9" t="n">
        <v>0.03</v>
      </c>
      <c r="J129" s="15" t="inlineStr">
        <is>
          <t>مدير الجودة</t>
        </is>
      </c>
      <c r="K129" s="11" t="inlineStr">
        <is>
          <t>نظام إدارة الجودة (QMS)</t>
        </is>
      </c>
      <c r="L129" s="15" t="inlineStr">
        <is>
          <t>شهري</t>
        </is>
      </c>
      <c r="M129" s="15" t="inlineStr">
        <is>
          <t>مدير الجودة</t>
        </is>
      </c>
      <c r="N129" s="51" t="n"/>
    </row>
    <row r="130" ht="30" customHeight="1">
      <c r="A130" s="15" t="n">
        <v>128</v>
      </c>
      <c r="B130" s="13" t="inlineStr">
        <is>
          <t>الجودة</t>
        </is>
      </c>
      <c r="C130" s="21" t="inlineStr">
        <is>
          <t>نسبة اكتمال سجلات الجودة</t>
        </is>
      </c>
      <c r="D130" s="71" t="inlineStr">
        <is>
          <t>يقيس نسبة اكتمال سجلات الجودة ضمن محور «توثيق وحوكمة»،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59" t="n">
        <v>0.07000000000000001</v>
      </c>
      <c r="J130" s="15" t="inlineStr">
        <is>
          <t>مدير الجودة</t>
        </is>
      </c>
      <c r="K130" s="11" t="inlineStr">
        <is>
          <t>نظام إدارة الجودة (QMS)</t>
        </is>
      </c>
      <c r="L130" s="15" t="inlineStr">
        <is>
          <t>شهري</t>
        </is>
      </c>
      <c r="M130" s="15" t="inlineStr">
        <is>
          <t>مدير الجودة</t>
        </is>
      </c>
      <c r="N130" s="51" t="n"/>
    </row>
    <row r="131" ht="30" customHeight="1">
      <c r="A131" s="15" t="n">
        <v>129</v>
      </c>
      <c r="B131" s="13" t="inlineStr">
        <is>
          <t>الجودة</t>
        </is>
      </c>
      <c r="C131" s="21" t="inlineStr">
        <is>
          <t>نسبة رقمنة عمليات الجودة</t>
        </is>
      </c>
      <c r="D131" s="71" t="inlineStr">
        <is>
          <t>يقيس نسبة رقمنة عمليات الجودة ضمن محور «الابتكار والرقمنة»،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59" t="n">
        <v>0.07000000000000001</v>
      </c>
      <c r="J131" s="15" t="inlineStr">
        <is>
          <t>مدير الجودة</t>
        </is>
      </c>
      <c r="K131" s="11" t="inlineStr">
        <is>
          <t>نظام إدارة الجودة (QMS)</t>
        </is>
      </c>
      <c r="L131" s="15" t="inlineStr">
        <is>
          <t>شهري</t>
        </is>
      </c>
      <c r="M131" s="15" t="inlineStr">
        <is>
          <t>مدير الجودة</t>
        </is>
      </c>
      <c r="N131" s="51" t="n"/>
    </row>
    <row r="132" ht="30" customHeight="1">
      <c r="A132" s="15" t="n">
        <v>130</v>
      </c>
      <c r="B132" s="13" t="inlineStr">
        <is>
          <t>الجودة</t>
        </is>
      </c>
      <c r="C132" s="21" t="inlineStr">
        <is>
          <t>عدد مبادرات التحسين المؤثرة</t>
        </is>
      </c>
      <c r="D132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32" s="11" t="inlineStr">
        <is>
          <t>إجمالي العدد خلال الفترة</t>
        </is>
      </c>
      <c r="F132" s="15" t="inlineStr">
        <is>
          <t>⚙️ نشاط</t>
        </is>
      </c>
      <c r="G132" s="11" t="inlineStr">
        <is>
          <t>الاستدامة · جودة التشغيل</t>
        </is>
      </c>
      <c r="H132" s="15" t="inlineStr">
        <is>
          <t>التعلّم والنمو</t>
        </is>
      </c>
      <c r="I132" s="59" t="n">
        <v>0.07000000000000001</v>
      </c>
      <c r="J132" s="15" t="inlineStr">
        <is>
          <t>مدير الجودة</t>
        </is>
      </c>
      <c r="K132" s="11" t="inlineStr">
        <is>
          <t>سجلات الإدارة</t>
        </is>
      </c>
      <c r="L132" s="15" t="inlineStr">
        <is>
          <t>ربعي</t>
        </is>
      </c>
      <c r="M132" s="15" t="inlineStr">
        <is>
          <t>مدير الجودة</t>
        </is>
      </c>
      <c r="N132" s="51" t="n"/>
    </row>
    <row r="133" ht="30" customHeight="1">
      <c r="A133" s="15" t="n">
        <v>131</v>
      </c>
      <c r="B133" s="13" t="inlineStr">
        <is>
          <t>الإدارة القانونية</t>
        </is>
      </c>
      <c r="C133" s="21" t="inlineStr">
        <is>
          <t>نسبة العقود المُراجَعة قانونياً قبل التوقيع</t>
        </is>
      </c>
      <c r="D133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الاستدامة · جودة التشغيل</t>
        </is>
      </c>
      <c r="H133" s="15" t="inlineStr">
        <is>
          <t>العمليات الداخلية</t>
        </is>
      </c>
      <c r="I133" s="59" t="n">
        <v>0.1</v>
      </c>
      <c r="J133" s="15" t="inlineStr">
        <is>
          <t>المدير القانوني</t>
        </is>
      </c>
      <c r="K133" s="11" t="inlineStr">
        <is>
          <t>نظام إدارة العقود (CRM)</t>
        </is>
      </c>
      <c r="L133" s="15" t="inlineStr">
        <is>
          <t>شهري</t>
        </is>
      </c>
      <c r="M133" s="15" t="inlineStr">
        <is>
          <t>المدير القانوني</t>
        </is>
      </c>
      <c r="N133" s="51" t="n"/>
    </row>
    <row r="134" ht="30" customHeight="1">
      <c r="A134" s="15" t="n">
        <v>132</v>
      </c>
      <c r="B134" s="13" t="inlineStr">
        <is>
          <t>الإدارة القانونية</t>
        </is>
      </c>
      <c r="C134" s="21" t="inlineStr">
        <is>
          <t>متوسط زمن صياغة ومراجعة العقد</t>
        </is>
      </c>
      <c r="D134" s="71" t="inlineStr">
        <is>
          <t>يقيس متوسط زمن صياغة ومراجعة العقد ضمن محور «أعمال العقود»، ويعكس مساهمة الإدارة في ركيزة الاستدامة.</t>
        </is>
      </c>
      <c r="E134" s="11" t="inlineStr">
        <is>
          <t>متوسط يوم خلال الفترة</t>
        </is>
      </c>
      <c r="F134" s="15" t="inlineStr">
        <is>
          <t>🔧 تشغيلي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59" t="n">
        <v>0.1</v>
      </c>
      <c r="J134" s="15" t="inlineStr">
        <is>
          <t>المدير القانوني</t>
        </is>
      </c>
      <c r="K134" s="11" t="inlineStr">
        <is>
          <t>نظام إدارة القضايا والتحقيقات</t>
        </is>
      </c>
      <c r="L134" s="15" t="inlineStr">
        <is>
          <t>شهري</t>
        </is>
      </c>
      <c r="M134" s="15" t="inlineStr">
        <is>
          <t>المدير القانوني</t>
        </is>
      </c>
      <c r="N134" s="51" t="n"/>
    </row>
    <row r="135" ht="30" customHeight="1">
      <c r="A135" s="15" t="n">
        <v>133</v>
      </c>
      <c r="B135" s="13" t="inlineStr">
        <is>
          <t>الإدارة القانونية</t>
        </is>
      </c>
      <c r="C135" s="21" t="inlineStr">
        <is>
          <t>نسبة العقود الخالية من الملاحظات والمخاطر القانونية</t>
        </is>
      </c>
      <c r="D135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59" t="n">
        <v>0.1</v>
      </c>
      <c r="J135" s="15" t="inlineStr">
        <is>
          <t>المدير القانوني</t>
        </is>
      </c>
      <c r="K135" s="11" t="inlineStr">
        <is>
          <t>نظام إدارة الجودة (QMS)</t>
        </is>
      </c>
      <c r="L135" s="15" t="inlineStr">
        <is>
          <t>شهري</t>
        </is>
      </c>
      <c r="M135" s="15" t="inlineStr">
        <is>
          <t>المدير القانوني</t>
        </is>
      </c>
      <c r="N135" s="51" t="n"/>
    </row>
    <row r="136" ht="30" customHeight="1">
      <c r="A136" s="15" t="n">
        <v>134</v>
      </c>
      <c r="B136" s="13" t="inlineStr">
        <is>
          <t>الإدارة القانونية</t>
        </is>
      </c>
      <c r="C136" s="21" t="inlineStr">
        <is>
          <t>نسبة القضايا المُغلقة لصالح الشركة</t>
        </is>
      </c>
      <c r="D136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جودة التشغيل</t>
        </is>
      </c>
      <c r="H136" s="15" t="inlineStr">
        <is>
          <t>العمليات الداخلية</t>
        </is>
      </c>
      <c r="I136" s="59" t="n">
        <v>0.07000000000000001</v>
      </c>
      <c r="J136" s="15" t="inlineStr">
        <is>
          <t>المدير القانوني</t>
        </is>
      </c>
      <c r="K136" s="11" t="inlineStr">
        <is>
          <t>نظام إدارة القضايا والتحقيقات</t>
        </is>
      </c>
      <c r="L136" s="15" t="inlineStr">
        <is>
          <t>شهري</t>
        </is>
      </c>
      <c r="M136" s="15" t="inlineStr">
        <is>
          <t>المدير القانوني</t>
        </is>
      </c>
      <c r="N136" s="51" t="n"/>
    </row>
    <row r="137" ht="30" customHeight="1">
      <c r="A137" s="15" t="n">
        <v>135</v>
      </c>
      <c r="B137" s="13" t="inlineStr">
        <is>
          <t>الإدارة القانونية</t>
        </is>
      </c>
      <c r="C137" s="21" t="inlineStr">
        <is>
          <t>نسبة تقديم المذكرات والردود في المواعيد النظامية</t>
        </is>
      </c>
      <c r="D137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جودة التشغيل</t>
        </is>
      </c>
      <c r="H137" s="15" t="inlineStr">
        <is>
          <t>العمليات الداخلية</t>
        </is>
      </c>
      <c r="I137" s="59" t="n">
        <v>0.07000000000000001</v>
      </c>
      <c r="J137" s="15" t="inlineStr">
        <is>
          <t>المدير القانوني</t>
        </is>
      </c>
      <c r="K137" s="11" t="inlineStr">
        <is>
          <t>نظام إدارة القضايا والتحقيقات</t>
        </is>
      </c>
      <c r="L137" s="15" t="inlineStr">
        <is>
          <t>شهري</t>
        </is>
      </c>
      <c r="M137" s="15" t="inlineStr">
        <is>
          <t>المدير القانوني</t>
        </is>
      </c>
      <c r="N137" s="51" t="n"/>
    </row>
    <row r="138" ht="30" customHeight="1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إعداد المذكرة القانونية</t>
        </is>
      </c>
      <c r="D138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38" s="11" t="inlineStr">
        <is>
          <t>متوسط يوم خلال الفترة</t>
        </is>
      </c>
      <c r="F138" s="15" t="inlineStr">
        <is>
          <t>⚙️ نشاط</t>
        </is>
      </c>
      <c r="G138" s="11" t="inlineStr">
        <is>
          <t>الاستدامة · جودة التشغيل</t>
        </is>
      </c>
      <c r="H138" s="15" t="inlineStr">
        <is>
          <t>العمليات الداخلية</t>
        </is>
      </c>
      <c r="I138" s="59" t="n">
        <v>0.07000000000000001</v>
      </c>
      <c r="J138" s="15" t="inlineStr">
        <is>
          <t>المدير القانوني</t>
        </is>
      </c>
      <c r="K138" s="11" t="inlineStr">
        <is>
          <t>نظام إدارة القضايا والتحقيقات</t>
        </is>
      </c>
      <c r="L138" s="15" t="inlineStr">
        <is>
          <t>شهري</t>
        </is>
      </c>
      <c r="M138" s="15" t="inlineStr">
        <is>
          <t>المدير القانوني</t>
        </is>
      </c>
      <c r="N138" s="51" t="n"/>
    </row>
    <row r="139" ht="30" customHeight="1">
      <c r="A139" s="15" t="n">
        <v>137</v>
      </c>
      <c r="B139" s="13" t="inlineStr">
        <is>
          <t>الإدارة القانونية</t>
        </is>
      </c>
      <c r="C139" s="21" t="inlineStr">
        <is>
          <t>نسبة الاستشارات المُنجزة ضمن المدة المستهدفة (SLA)</t>
        </is>
      </c>
      <c r="D139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الاستدامة · جودة التشغيل</t>
        </is>
      </c>
      <c r="H139" s="15" t="inlineStr">
        <is>
          <t>العمليات الداخلية</t>
        </is>
      </c>
      <c r="I139" s="59" t="n">
        <v>0.07000000000000001</v>
      </c>
      <c r="J139" s="15" t="inlineStr">
        <is>
          <t>المدير القانوني</t>
        </is>
      </c>
      <c r="K139" s="11" t="inlineStr">
        <is>
          <t>نظام إدارة القضايا والتحقيقات</t>
        </is>
      </c>
      <c r="L139" s="15" t="inlineStr">
        <is>
          <t>شهري</t>
        </is>
      </c>
      <c r="M139" s="15" t="inlineStr">
        <is>
          <t>المدير القانوني</t>
        </is>
      </c>
      <c r="N139" s="51" t="n"/>
    </row>
    <row r="140" ht="30" customHeight="1">
      <c r="A140" s="15" t="n">
        <v>138</v>
      </c>
      <c r="B140" s="13" t="inlineStr">
        <is>
          <t>الإدارة القانونية</t>
        </is>
      </c>
      <c r="C140" s="21" t="inlineStr">
        <is>
          <t>مستوى رضا الإدارات عن الدعم القانوني</t>
        </is>
      </c>
      <c r="D140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جودة التشغيل</t>
        </is>
      </c>
      <c r="H140" s="15" t="inlineStr">
        <is>
          <t>العملاء</t>
        </is>
      </c>
      <c r="I140" s="59" t="n">
        <v>0.1</v>
      </c>
      <c r="J140" s="15" t="inlineStr">
        <is>
          <t>المدير القانوني</t>
        </is>
      </c>
      <c r="K140" s="11" t="inlineStr">
        <is>
          <t>استبيان دوري</t>
        </is>
      </c>
      <c r="L140" s="15" t="inlineStr">
        <is>
          <t>ربعي</t>
        </is>
      </c>
      <c r="M140" s="15" t="inlineStr">
        <is>
          <t>المدير القانوني</t>
        </is>
      </c>
      <c r="N140" s="51" t="n"/>
    </row>
    <row r="141" ht="30" customHeight="1">
      <c r="A141" s="15" t="n">
        <v>139</v>
      </c>
      <c r="B141" s="13" t="inlineStr">
        <is>
          <t>الإدارة القانونية</t>
        </is>
      </c>
      <c r="C141" s="21" t="inlineStr">
        <is>
          <t>نسبة إنجاز التحقيقات ضمن المدة المحددة</t>
        </is>
      </c>
      <c r="D141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جودة التشغيل</t>
        </is>
      </c>
      <c r="H141" s="15" t="inlineStr">
        <is>
          <t>العمليات الداخلية</t>
        </is>
      </c>
      <c r="I141" s="59" t="n">
        <v>0.07000000000000001</v>
      </c>
      <c r="J141" s="15" t="inlineStr">
        <is>
          <t>المدير القانوني</t>
        </is>
      </c>
      <c r="K141" s="11" t="inlineStr">
        <is>
          <t>نظام إدارة القضايا والتحقيقات</t>
        </is>
      </c>
      <c r="L141" s="15" t="inlineStr">
        <is>
          <t>شهري</t>
        </is>
      </c>
      <c r="M141" s="15" t="inlineStr">
        <is>
          <t>المدير القانوني</t>
        </is>
      </c>
      <c r="N141" s="51" t="n"/>
    </row>
    <row r="142" ht="30" customHeight="1">
      <c r="A142" s="15" t="n">
        <v>140</v>
      </c>
      <c r="B142" s="13" t="inlineStr">
        <is>
          <t>الإدارة القانونية</t>
        </is>
      </c>
      <c r="C142" s="21" t="inlineStr">
        <is>
          <t>نسبة التحقيقات المُغلقة من إجمالي المُحالة</t>
        </is>
      </c>
      <c r="D142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الاستدامة · جودة التشغيل</t>
        </is>
      </c>
      <c r="H142" s="15" t="inlineStr">
        <is>
          <t>العمليات الداخلية</t>
        </is>
      </c>
      <c r="I142" s="59" t="n">
        <v>0.07000000000000001</v>
      </c>
      <c r="J142" s="15" t="inlineStr">
        <is>
          <t>المدير القانوني</t>
        </is>
      </c>
      <c r="K142" s="11" t="inlineStr">
        <is>
          <t>نظام إدارة القضايا والتحقيقات</t>
        </is>
      </c>
      <c r="L142" s="15" t="inlineStr">
        <is>
          <t>شهري</t>
        </is>
      </c>
      <c r="M142" s="15" t="inlineStr">
        <is>
          <t>المدير القانوني</t>
        </is>
      </c>
      <c r="N142" s="51" t="n"/>
    </row>
    <row r="143" ht="30" customHeight="1">
      <c r="A143" s="15" t="n">
        <v>141</v>
      </c>
      <c r="B143" s="13" t="inlineStr">
        <is>
          <t>الإدارة القانونية</t>
        </is>
      </c>
      <c r="C143" s="21" t="inlineStr">
        <is>
          <t>متوسط زمن إغلاق قضية التحقيق</t>
        </is>
      </c>
      <c r="D143" s="71" t="inlineStr">
        <is>
          <t>يقيس متوسط زمن إغلاق قضية التحقيق ضمن محور «التحقيق»، ويعكس مساهمة الإدارة في ركيزة الاستدامة.</t>
        </is>
      </c>
      <c r="E143" s="11" t="inlineStr">
        <is>
          <t>متوسط يوم خلال الفترة</t>
        </is>
      </c>
      <c r="F143" s="15" t="inlineStr">
        <is>
          <t>🎯 نتيجة</t>
        </is>
      </c>
      <c r="G143" s="11" t="inlineStr">
        <is>
          <t>الاستدامة · جودة التشغيل</t>
        </is>
      </c>
      <c r="H143" s="15" t="inlineStr">
        <is>
          <t>العمليات الداخلية</t>
        </is>
      </c>
      <c r="I143" s="59" t="n">
        <v>0.06</v>
      </c>
      <c r="J143" s="15" t="inlineStr">
        <is>
          <t>المدير القانوني</t>
        </is>
      </c>
      <c r="K143" s="11" t="inlineStr">
        <is>
          <t>نظام إدارة القضايا والتحقيقات</t>
        </is>
      </c>
      <c r="L143" s="15" t="inlineStr">
        <is>
          <t>شهري</t>
        </is>
      </c>
      <c r="M143" s="15" t="inlineStr">
        <is>
          <t>المدير القانوني</t>
        </is>
      </c>
      <c r="N143" s="51" t="n"/>
    </row>
    <row r="144" ht="30" customHeight="1">
      <c r="A144" s="15" t="n">
        <v>142</v>
      </c>
      <c r="B144" s="13" t="inlineStr">
        <is>
          <t>الإدارة القانونية</t>
        </is>
      </c>
      <c r="C144" s="21" t="inlineStr">
        <is>
          <t>نسبة تنفيذ التوصيات الصادرة عن التحقيقات</t>
        </is>
      </c>
      <c r="D144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⚙️ نشاط</t>
        </is>
      </c>
      <c r="G144" s="11" t="inlineStr">
        <is>
          <t>الاستدامة · جودة التشغيل</t>
        </is>
      </c>
      <c r="H144" s="15" t="inlineStr">
        <is>
          <t>العمليات الداخلية</t>
        </is>
      </c>
      <c r="I144" s="59" t="n">
        <v>0.06</v>
      </c>
      <c r="J144" s="15" t="inlineStr">
        <is>
          <t>المدير القانوني</t>
        </is>
      </c>
      <c r="K144" s="11" t="inlineStr">
        <is>
          <t>نظام إدارة القضايا والتحقيقات</t>
        </is>
      </c>
      <c r="L144" s="15" t="inlineStr">
        <is>
          <t>شهري</t>
        </is>
      </c>
      <c r="M144" s="15" t="inlineStr">
        <is>
          <t>المدير القانوني</t>
        </is>
      </c>
      <c r="N144" s="51" t="n"/>
    </row>
    <row r="145" ht="30" customHeight="1">
      <c r="A145" s="15" t="n">
        <v>143</v>
      </c>
      <c r="B145" s="13" t="inlineStr">
        <is>
          <t>الإدارة القانونية</t>
        </is>
      </c>
      <c r="C145" s="21" t="inlineStr">
        <is>
          <t>نسبة التزام التحقيقات بالإجراءات النظامية والعدالة الإجرائية</t>
        </is>
      </c>
      <c r="D145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الاستدامة · جودة التشغيل</t>
        </is>
      </c>
      <c r="H145" s="15" t="inlineStr">
        <is>
          <t>العمليات الداخلية</t>
        </is>
      </c>
      <c r="I145" s="59" t="n">
        <v>0.06</v>
      </c>
      <c r="J145" s="15" t="inlineStr">
        <is>
          <t>المدير القانوني</t>
        </is>
      </c>
      <c r="K145" s="11" t="inlineStr">
        <is>
          <t>نظام إدارة القضايا والتحقيقات</t>
        </is>
      </c>
      <c r="L145" s="15" t="inlineStr">
        <is>
          <t>شهري</t>
        </is>
      </c>
      <c r="M145" s="15" t="inlineStr">
        <is>
          <t>المدير القانوني</t>
        </is>
      </c>
      <c r="N145" s="51" t="n"/>
    </row>
    <row r="146" ht="30" customHeight="1">
      <c r="A146" s="15" t="n">
        <v>144</v>
      </c>
      <c r="B146" s="13" t="inlineStr">
        <is>
          <t>الإدارة المالية</t>
        </is>
      </c>
      <c r="C146" s="21" t="inlineStr">
        <is>
          <t>نمو الإيرادات السنوي</t>
        </is>
      </c>
      <c r="D146" s="71" t="inlineStr">
        <is>
          <t>يقيس نمو الإيرادات السنوي ضمن محور «المالية الاستراتيجية»،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النمو · زيادة وصول العملاء</t>
        </is>
      </c>
      <c r="H146" s="15" t="inlineStr">
        <is>
          <t>مالي</t>
        </is>
      </c>
      <c r="I146" s="59" t="n">
        <v>0.05</v>
      </c>
      <c r="J146" s="15" t="inlineStr">
        <is>
          <t>المدير المالي</t>
        </is>
      </c>
      <c r="K146" s="11" t="inlineStr">
        <is>
          <t>نظام المحاسبة / ERP (D365)</t>
        </is>
      </c>
      <c r="L146" s="15" t="inlineStr">
        <is>
          <t>ربعي</t>
        </is>
      </c>
      <c r="M146" s="15" t="inlineStr">
        <is>
          <t>الإدارة المالية</t>
        </is>
      </c>
      <c r="N146" s="51" t="n"/>
    </row>
    <row r="147" ht="30" customHeight="1">
      <c r="A147" s="15" t="n">
        <v>145</v>
      </c>
      <c r="B147" s="13" t="inlineStr">
        <is>
          <t>الإدارة المالية</t>
        </is>
      </c>
      <c r="C147" s="21" t="inlineStr">
        <is>
          <t>هامش EBITDA</t>
        </is>
      </c>
      <c r="D147" s="71" t="inlineStr">
        <is>
          <t>يقيس هامش EBITDA ضمن محور «المالية الاستراتيجية»،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النمو · زيادة وصول العملاء</t>
        </is>
      </c>
      <c r="H147" s="15" t="inlineStr">
        <is>
          <t>مالي</t>
        </is>
      </c>
      <c r="I147" s="59" t="n">
        <v>0.04</v>
      </c>
      <c r="J147" s="15" t="inlineStr">
        <is>
          <t>المدير المالي</t>
        </is>
      </c>
      <c r="K147" s="11" t="inlineStr">
        <is>
          <t>نظام المحاسبة / ERP (D365)</t>
        </is>
      </c>
      <c r="L147" s="15" t="inlineStr">
        <is>
          <t>شهري</t>
        </is>
      </c>
      <c r="M147" s="15" t="inlineStr">
        <is>
          <t>الإدارة المالية</t>
        </is>
      </c>
      <c r="N147" s="51" t="n"/>
    </row>
    <row r="148" ht="30" customHeight="1">
      <c r="A148" s="15" t="n">
        <v>146</v>
      </c>
      <c r="B148" s="13" t="inlineStr">
        <is>
          <t>الإدارة المالية</t>
        </is>
      </c>
      <c r="C148" s="21" t="inlineStr">
        <is>
          <t>هامش صافي الربح</t>
        </is>
      </c>
      <c r="D148" s="71" t="inlineStr">
        <is>
          <t>يقيس هامش صافي الربح ضمن محور «المالية الاستراتيجية»، ويعكس مساهمة الإدارة في ركيزة النمو.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النمو · زيادة وصول العملاء</t>
        </is>
      </c>
      <c r="H148" s="15" t="inlineStr">
        <is>
          <t>مالي</t>
        </is>
      </c>
      <c r="I148" s="59" t="n">
        <v>0.04</v>
      </c>
      <c r="J148" s="15" t="inlineStr">
        <is>
          <t>المدير المالي</t>
        </is>
      </c>
      <c r="K148" s="11" t="inlineStr">
        <is>
          <t>نظام المحاسبة / ERP (D365)</t>
        </is>
      </c>
      <c r="L148" s="15" t="inlineStr">
        <is>
          <t>شهري</t>
        </is>
      </c>
      <c r="M148" s="15" t="inlineStr">
        <is>
          <t>الإدارة المالية</t>
        </is>
      </c>
      <c r="N148" s="51" t="n"/>
    </row>
    <row r="149" ht="30" customHeight="1">
      <c r="A149" s="15" t="n">
        <v>147</v>
      </c>
      <c r="B149" s="13" t="inlineStr">
        <is>
          <t>الإدارة المالية</t>
        </is>
      </c>
      <c r="C149" s="21" t="inlineStr">
        <is>
          <t>العائد على حقوق الملكية (ROE)</t>
        </is>
      </c>
      <c r="D149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النمو · زيادة وصول العملاء</t>
        </is>
      </c>
      <c r="H149" s="15" t="inlineStr">
        <is>
          <t>مالي</t>
        </is>
      </c>
      <c r="I149" s="59" t="n">
        <v>0.05</v>
      </c>
      <c r="J149" s="15" t="inlineStr">
        <is>
          <t>المدير المالي</t>
        </is>
      </c>
      <c r="K149" s="11" t="inlineStr">
        <is>
          <t>نظام المحاسبة / ERP (D365)</t>
        </is>
      </c>
      <c r="L149" s="15" t="inlineStr">
        <is>
          <t>ربعي</t>
        </is>
      </c>
      <c r="M149" s="15" t="inlineStr">
        <is>
          <t>الإدارة المالية</t>
        </is>
      </c>
      <c r="N149" s="51" t="n"/>
    </row>
    <row r="150" ht="30" customHeight="1">
      <c r="A150" s="15" t="n">
        <v>148</v>
      </c>
      <c r="B150" s="13" t="inlineStr">
        <is>
          <t>الإدارة المالية</t>
        </is>
      </c>
      <c r="C150" s="21" t="inlineStr">
        <is>
          <t>نسبة التدفق النقدي التشغيلي</t>
        </is>
      </c>
      <c r="D150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جودة التشغيل</t>
        </is>
      </c>
      <c r="H150" s="15" t="inlineStr">
        <is>
          <t>العمليات الداخلية</t>
        </is>
      </c>
      <c r="I150" s="59" t="n">
        <v>0.04</v>
      </c>
      <c r="J150" s="15" t="inlineStr">
        <is>
          <t>المدير المالي</t>
        </is>
      </c>
      <c r="K150" s="11" t="inlineStr">
        <is>
          <t>نظام المحاسبة / ERP (D365)</t>
        </is>
      </c>
      <c r="L150" s="15" t="inlineStr">
        <is>
          <t>شهري</t>
        </is>
      </c>
      <c r="M150" s="15" t="inlineStr">
        <is>
          <t>الإدارة المالية</t>
        </is>
      </c>
      <c r="N150" s="51" t="n"/>
    </row>
    <row r="151" ht="30" customHeight="1">
      <c r="A151" s="15" t="n">
        <v>149</v>
      </c>
      <c r="B151" s="13" t="inlineStr">
        <is>
          <t>الإدارة المالية</t>
        </is>
      </c>
      <c r="C151" s="21" t="inlineStr">
        <is>
          <t>النسبة الجارية (Current Ratio)</t>
        </is>
      </c>
      <c r="D151" s="71" t="inlineStr">
        <is>
          <t>يقيس النسبة الجارية (Current Ratio) ضمن محور «السيولة ورأس المال»،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59" t="n">
        <v>0.04</v>
      </c>
      <c r="J151" s="15" t="inlineStr">
        <is>
          <t>المدير المالي</t>
        </is>
      </c>
      <c r="K151" s="11" t="inlineStr">
        <is>
          <t>سجلات الإدارة</t>
        </is>
      </c>
      <c r="L151" s="15" t="inlineStr">
        <is>
          <t>شهري</t>
        </is>
      </c>
      <c r="M151" s="15" t="inlineStr">
        <is>
          <t>المدير المالي</t>
        </is>
      </c>
      <c r="N151" s="51" t="n"/>
    </row>
    <row r="152" ht="30" customHeight="1">
      <c r="A152" s="15" t="n">
        <v>150</v>
      </c>
      <c r="B152" s="13" t="inlineStr">
        <is>
          <t>الإدارة المالية</t>
        </is>
      </c>
      <c r="C152" s="21" t="inlineStr">
        <is>
          <t>دورة التحويل النقدي</t>
        </is>
      </c>
      <c r="D152" s="71" t="inlineStr">
        <is>
          <t>يقيس دورة التحويل النقدي ضمن محور «السيولة ورأس المال»، ويعكس مساهمة الإدارة في ركيزة الاستدامة.</t>
        </is>
      </c>
      <c r="E152" s="11" t="inlineStr">
        <is>
          <t>متوسط يوم خلال الفترة</t>
        </is>
      </c>
      <c r="F152" s="15" t="inlineStr">
        <is>
          <t>🔧 تشغيلي</t>
        </is>
      </c>
      <c r="G152" s="11" t="inlineStr">
        <is>
          <t>الاستدامة · جودة التشغيل</t>
        </is>
      </c>
      <c r="H152" s="15" t="inlineStr">
        <is>
          <t>العمليات الداخلية</t>
        </is>
      </c>
      <c r="I152" s="59" t="n">
        <v>0.05</v>
      </c>
      <c r="J152" s="15" t="inlineStr">
        <is>
          <t>المدير المالي</t>
        </is>
      </c>
      <c r="K152" s="11" t="inlineStr">
        <is>
          <t>نظام المحاسبة / ERP (D365)</t>
        </is>
      </c>
      <c r="L152" s="15" t="inlineStr">
        <is>
          <t>شهري</t>
        </is>
      </c>
      <c r="M152" s="15" t="inlineStr">
        <is>
          <t>الإدارة المالية</t>
        </is>
      </c>
      <c r="N152" s="51" t="n"/>
    </row>
    <row r="153" ht="30" customHeight="1">
      <c r="A153" s="15" t="n">
        <v>151</v>
      </c>
      <c r="B153" s="13" t="inlineStr">
        <is>
          <t>الإدارة المالية</t>
        </is>
      </c>
      <c r="C153" s="21" t="inlineStr">
        <is>
          <t>متوسط أيام التحصيل العام (DSO)</t>
        </is>
      </c>
      <c r="D153" s="71" t="inlineStr">
        <is>
          <t>يقيس متوسط أيام التحصيل العام (DSO) ضمن محور «الذمم المدينة»، ويعكس مساهمة الإدارة في ركيزة الاستدامة.</t>
        </is>
      </c>
      <c r="E153" s="11" t="inlineStr">
        <is>
          <t>متوسط يوم خلال الفترة</t>
        </is>
      </c>
      <c r="F153" s="15" t="inlineStr">
        <is>
          <t>🎯 نتيجة</t>
        </is>
      </c>
      <c r="G153" s="11" t="inlineStr">
        <is>
          <t>الاستدامة · جودة التشغيل</t>
        </is>
      </c>
      <c r="H153" s="15" t="inlineStr">
        <is>
          <t>مالي</t>
        </is>
      </c>
      <c r="I153" s="59" t="n">
        <v>0.05</v>
      </c>
      <c r="J153" s="15" t="inlineStr">
        <is>
          <t>المدير المالي</t>
        </is>
      </c>
      <c r="K153" s="11" t="inlineStr">
        <is>
          <t>نظام المحاسبة / ERP (D365)</t>
        </is>
      </c>
      <c r="L153" s="15" t="inlineStr">
        <is>
          <t>شهري</t>
        </is>
      </c>
      <c r="M153" s="15" t="inlineStr">
        <is>
          <t>الإدارة المالية</t>
        </is>
      </c>
      <c r="N153" s="51" t="n"/>
    </row>
    <row r="154" ht="30" customHeight="1">
      <c r="A154" s="15" t="n">
        <v>152</v>
      </c>
      <c r="B154" s="13" t="inlineStr">
        <is>
          <t>الإدارة المالية</t>
        </is>
      </c>
      <c r="C154" s="21" t="inlineStr">
        <is>
          <t>نسبة التحصيل العام (الشركة)</t>
        </is>
      </c>
      <c r="D154" s="71" t="inlineStr">
        <is>
          <t>يقيس نسبة التحصيل العام (الشركة) ضمن محور «الذمم المدينة»،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🎯 نتيجة</t>
        </is>
      </c>
      <c r="G154" s="11" t="inlineStr">
        <is>
          <t>الاستدامة · جودة التشغيل</t>
        </is>
      </c>
      <c r="H154" s="15" t="inlineStr">
        <is>
          <t>مالي</t>
        </is>
      </c>
      <c r="I154" s="59" t="n">
        <v>0.05</v>
      </c>
      <c r="J154" s="15" t="inlineStr">
        <is>
          <t>المدير المالي</t>
        </is>
      </c>
      <c r="K154" s="11" t="inlineStr">
        <is>
          <t>نظام المحاسبة / ERP (D365)</t>
        </is>
      </c>
      <c r="L154" s="15" t="inlineStr">
        <is>
          <t>شهري</t>
        </is>
      </c>
      <c r="M154" s="15" t="inlineStr">
        <is>
          <t>الإدارة المالية</t>
        </is>
      </c>
      <c r="N154" s="51" t="n"/>
    </row>
    <row r="155" ht="30" customHeight="1">
      <c r="A155" s="15" t="n">
        <v>153</v>
      </c>
      <c r="B155" s="13" t="inlineStr">
        <is>
          <t>الإدارة المالية</t>
        </is>
      </c>
      <c r="C155" s="21" t="inlineStr">
        <is>
          <t>نسبة الذمم المتأخرة</t>
        </is>
      </c>
      <c r="D155" s="71" t="inlineStr">
        <is>
          <t>يقيس نسبة الذمم المتأخرة ضمن محور «الذمم المدينة»،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59" t="n">
        <v>0.04</v>
      </c>
      <c r="J155" s="15" t="inlineStr">
        <is>
          <t>المدير المالي</t>
        </is>
      </c>
      <c r="K155" s="11" t="inlineStr">
        <is>
          <t>نظام المحاسبة / ERP (D365)</t>
        </is>
      </c>
      <c r="L155" s="15" t="inlineStr">
        <is>
          <t>شهري</t>
        </is>
      </c>
      <c r="M155" s="15" t="inlineStr">
        <is>
          <t>الإدارة المالية</t>
        </is>
      </c>
      <c r="N155" s="51" t="n"/>
    </row>
    <row r="156" ht="30" customHeight="1">
      <c r="A156" s="15" t="n">
        <v>154</v>
      </c>
      <c r="B156" s="13" t="inlineStr">
        <is>
          <t>الإدارة المالية</t>
        </is>
      </c>
      <c r="C156" s="21" t="inlineStr">
        <is>
          <t>نسبة الديون المعدومة</t>
        </is>
      </c>
      <c r="D156" s="71" t="inlineStr">
        <is>
          <t>يقيس نسبة الديون المعدومة ضمن محور «الذمم المدينة»،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59" t="n">
        <v>0.04</v>
      </c>
      <c r="J156" s="15" t="inlineStr">
        <is>
          <t>المدير المالي</t>
        </is>
      </c>
      <c r="K156" s="11" t="inlineStr">
        <is>
          <t>نظام المحاسبة / ERP (D365)</t>
        </is>
      </c>
      <c r="L156" s="15" t="inlineStr">
        <is>
          <t>شهري</t>
        </is>
      </c>
      <c r="M156" s="15" t="inlineStr">
        <is>
          <t>الإدارة المالية</t>
        </is>
      </c>
      <c r="N156" s="51" t="n"/>
    </row>
    <row r="157" ht="30" customHeight="1">
      <c r="A157" s="15" t="n">
        <v>155</v>
      </c>
      <c r="B157" s="13" t="inlineStr">
        <is>
          <t>الإدارة المالية</t>
        </is>
      </c>
      <c r="C157" s="21" t="inlineStr">
        <is>
          <t>سداد الموردين في الموعد</t>
        </is>
      </c>
      <c r="D157" s="71" t="inlineStr">
        <is>
          <t>يقيس سداد الموردين في الموعد ضمن محور «الذمم الدائنة»،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مالي</t>
        </is>
      </c>
      <c r="I157" s="59" t="n">
        <v>0.04</v>
      </c>
      <c r="J157" s="15" t="inlineStr">
        <is>
          <t>المدير المالي</t>
        </is>
      </c>
      <c r="K157" s="11" t="inlineStr">
        <is>
          <t>نظام المحاسبة / ERP (D365)</t>
        </is>
      </c>
      <c r="L157" s="15" t="inlineStr">
        <is>
          <t>شهري</t>
        </is>
      </c>
      <c r="M157" s="15" t="inlineStr">
        <is>
          <t>الإدارة المالية</t>
        </is>
      </c>
      <c r="N157" s="51" t="n"/>
    </row>
    <row r="158" ht="30" customHeight="1">
      <c r="A158" s="15" t="n">
        <v>156</v>
      </c>
      <c r="B158" s="13" t="inlineStr">
        <is>
          <t>الإدارة المالية</t>
        </is>
      </c>
      <c r="C158" s="21" t="inlineStr">
        <is>
          <t>اكتمال مطابقة حسابات الموردين</t>
        </is>
      </c>
      <c r="D158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59" t="n">
        <v>0.04</v>
      </c>
      <c r="J158" s="15" t="inlineStr">
        <is>
          <t>المدير المالي</t>
        </is>
      </c>
      <c r="K158" s="11" t="inlineStr">
        <is>
          <t>نظام المحاسبة / ERP (D365)</t>
        </is>
      </c>
      <c r="L158" s="15" t="inlineStr">
        <is>
          <t>شهري</t>
        </is>
      </c>
      <c r="M158" s="15" t="inlineStr">
        <is>
          <t>الإدارة المالية</t>
        </is>
      </c>
      <c r="N158" s="51" t="n"/>
    </row>
    <row r="159" ht="30" customHeight="1">
      <c r="A159" s="15" t="n">
        <v>157</v>
      </c>
      <c r="B159" s="13" t="inlineStr">
        <is>
          <t>الإدارة المالية</t>
        </is>
      </c>
      <c r="C159" s="21" t="inlineStr">
        <is>
          <t>دقة التنبؤ النقدي</t>
        </is>
      </c>
      <c r="D159" s="71" t="inlineStr">
        <is>
          <t>يقيس دقة التنبؤ النقدي ضمن محور «الخزينة»،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59" t="n">
        <v>0.04</v>
      </c>
      <c r="J159" s="15" t="inlineStr">
        <is>
          <t>المدير المالي</t>
        </is>
      </c>
      <c r="K159" s="11" t="inlineStr">
        <is>
          <t>نظام المحاسبة / ERP (D365)</t>
        </is>
      </c>
      <c r="L159" s="15" t="inlineStr">
        <is>
          <t>شهري</t>
        </is>
      </c>
      <c r="M159" s="15" t="inlineStr">
        <is>
          <t>الإدارة المالية</t>
        </is>
      </c>
      <c r="N159" s="51" t="n"/>
    </row>
    <row r="160" ht="30" customHeight="1">
      <c r="A160" s="15" t="n">
        <v>158</v>
      </c>
      <c r="B160" s="13" t="inlineStr">
        <is>
          <t>الإدارة المالية</t>
        </is>
      </c>
      <c r="C160" s="21" t="inlineStr">
        <is>
          <t>تباين مخزون الوقود</t>
        </is>
      </c>
      <c r="D160" s="71" t="inlineStr">
        <is>
          <t>يقيس تباين مخزون الوقود ضمن محور «صناعة الوقود»،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59" t="n">
        <v>0.04</v>
      </c>
      <c r="J160" s="15" t="inlineStr">
        <is>
          <t>المدير المالي</t>
        </is>
      </c>
      <c r="K160" s="11" t="inlineStr">
        <is>
          <t>نظام تشغيل المحطات</t>
        </is>
      </c>
      <c r="L160" s="15" t="inlineStr">
        <is>
          <t>شهري</t>
        </is>
      </c>
      <c r="M160" s="15" t="inlineStr">
        <is>
          <t>المدير المالي</t>
        </is>
      </c>
      <c r="N160" s="51" t="n"/>
    </row>
    <row r="161" ht="30" customHeight="1">
      <c r="A161" s="15" t="n">
        <v>159</v>
      </c>
      <c r="B161" s="13" t="inlineStr">
        <is>
          <t>الإدارة المالية</t>
        </is>
      </c>
      <c r="C161" s="21" t="inlineStr">
        <is>
          <t>دقة مطابقة المخزون</t>
        </is>
      </c>
      <c r="D161" s="71" t="inlineStr">
        <is>
          <t>يقيس دقة مطابقة المخزون ضمن محور «صناعة الوقود»،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59" t="n">
        <v>0.03</v>
      </c>
      <c r="J161" s="15" t="inlineStr">
        <is>
          <t>المدير المالي</t>
        </is>
      </c>
      <c r="K161" s="11" t="inlineStr">
        <is>
          <t>نظام إدارة الجودة (QMS)</t>
        </is>
      </c>
      <c r="L161" s="15" t="inlineStr">
        <is>
          <t>شهري</t>
        </is>
      </c>
      <c r="M161" s="15" t="inlineStr">
        <is>
          <t>المدير المالي</t>
        </is>
      </c>
      <c r="N161" s="51" t="n"/>
    </row>
    <row r="162" ht="30" customHeight="1">
      <c r="A162" s="15" t="n">
        <v>160</v>
      </c>
      <c r="B162" s="13" t="inlineStr">
        <is>
          <t>الإدارة المالية</t>
        </is>
      </c>
      <c r="C162" s="21" t="inlineStr">
        <is>
          <t>دقة تسوية أرامكو</t>
        </is>
      </c>
      <c r="D162" s="71" t="inlineStr">
        <is>
          <t>يقيس دقة تسوية أرامكو ضمن محور «صناعة الوقود»،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59" t="n">
        <v>0.03</v>
      </c>
      <c r="J162" s="15" t="inlineStr">
        <is>
          <t>المدير المالي</t>
        </is>
      </c>
      <c r="K162" s="11" t="inlineStr">
        <is>
          <t>نظام تشغيل المحطات</t>
        </is>
      </c>
      <c r="L162" s="15" t="inlineStr">
        <is>
          <t>شهري</t>
        </is>
      </c>
      <c r="M162" s="15" t="inlineStr">
        <is>
          <t>المدير المالي</t>
        </is>
      </c>
      <c r="N162" s="51" t="n"/>
    </row>
    <row r="163" ht="30" customHeight="1">
      <c r="A163" s="15" t="n">
        <v>161</v>
      </c>
      <c r="B163" s="13" t="inlineStr">
        <is>
          <t>الإدارة المالية</t>
        </is>
      </c>
      <c r="C163" s="21" t="inlineStr">
        <is>
          <t>نسبة تحصيل الامتياز</t>
        </is>
      </c>
      <c r="D163" s="71" t="inlineStr">
        <is>
          <t>يقيس نسبة تحصيل الامتياز ضمن محور «تمويل الامتياز»،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النمو · الامتياز التجاري</t>
        </is>
      </c>
      <c r="H163" s="15" t="inlineStr">
        <is>
          <t>مالي</t>
        </is>
      </c>
      <c r="I163" s="59" t="n">
        <v>0.05</v>
      </c>
      <c r="J163" s="15" t="inlineStr">
        <is>
          <t>المدير المالي</t>
        </is>
      </c>
      <c r="K163" s="11" t="inlineStr">
        <is>
          <t>نظام المحاسبة / ERP (D365)</t>
        </is>
      </c>
      <c r="L163" s="15" t="inlineStr">
        <is>
          <t>شهري</t>
        </is>
      </c>
      <c r="M163" s="15" t="inlineStr">
        <is>
          <t>الإدارة المالية</t>
        </is>
      </c>
      <c r="N163" s="51" t="n"/>
    </row>
    <row r="164" ht="30" customHeight="1">
      <c r="A164" s="15" t="n">
        <v>162</v>
      </c>
      <c r="B164" s="13" t="inlineStr">
        <is>
          <t>الإدارة المالية</t>
        </is>
      </c>
      <c r="C164" s="21" t="inlineStr">
        <is>
          <t>أيام تحصيل رسوم الامتياز</t>
        </is>
      </c>
      <c r="D164" s="71" t="inlineStr">
        <is>
          <t>يقيس أيام تحصيل رسوم الامتياز ضمن محور «تمويل الامتياز»، ويعكس مساهمة الإدارة في ركيزة النمو.</t>
        </is>
      </c>
      <c r="E164" s="11" t="inlineStr">
        <is>
          <t>متوسط يوم خلال الفترة</t>
        </is>
      </c>
      <c r="F164" s="15" t="inlineStr">
        <is>
          <t>🎯 نتيجة</t>
        </is>
      </c>
      <c r="G164" s="11" t="inlineStr">
        <is>
          <t>النمو · الامتياز التجاري</t>
        </is>
      </c>
      <c r="H164" s="15" t="inlineStr">
        <is>
          <t>مالي</t>
        </is>
      </c>
      <c r="I164" s="59" t="n">
        <v>0.05</v>
      </c>
      <c r="J164" s="15" t="inlineStr">
        <is>
          <t>المدير المالي</t>
        </is>
      </c>
      <c r="K164" s="11" t="inlineStr">
        <is>
          <t>نظام المحاسبة / ERP (D365)</t>
        </is>
      </c>
      <c r="L164" s="15" t="inlineStr">
        <is>
          <t>شهري</t>
        </is>
      </c>
      <c r="M164" s="15" t="inlineStr">
        <is>
          <t>الإدارة المالية</t>
        </is>
      </c>
      <c r="N164" s="51" t="n"/>
    </row>
    <row r="165" ht="30" customHeight="1">
      <c r="A165" s="15" t="n">
        <v>163</v>
      </c>
      <c r="B165" s="13" t="inlineStr">
        <is>
          <t>الإدارة المالية</t>
        </is>
      </c>
      <c r="C165" s="21" t="inlineStr">
        <is>
          <t>نسبة تحصيل الإيجار</t>
        </is>
      </c>
      <c r="D165" s="71" t="inlineStr">
        <is>
          <t>يقيس نسبة تحصيل الإيجار ضمن محور «العقار والإيجار»،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منظومة التأجير</t>
        </is>
      </c>
      <c r="H165" s="15" t="inlineStr">
        <is>
          <t>مالي</t>
        </is>
      </c>
      <c r="I165" s="59" t="n">
        <v>0.05</v>
      </c>
      <c r="J165" s="15" t="inlineStr">
        <is>
          <t>المدير المالي</t>
        </is>
      </c>
      <c r="K165" s="11" t="inlineStr">
        <is>
          <t>نظام المحاسبة / ERP (D365)</t>
        </is>
      </c>
      <c r="L165" s="15" t="inlineStr">
        <is>
          <t>شهري</t>
        </is>
      </c>
      <c r="M165" s="15" t="inlineStr">
        <is>
          <t>الإدارة المالية</t>
        </is>
      </c>
      <c r="N165" s="51" t="n"/>
    </row>
    <row r="166" ht="30" customHeight="1">
      <c r="A166" s="15" t="n">
        <v>164</v>
      </c>
      <c r="B166" s="13" t="inlineStr">
        <is>
          <t>الإدارة المالية</t>
        </is>
      </c>
      <c r="C166" s="21" t="inlineStr">
        <is>
          <t>معدل تجديد عقود الإيجار</t>
        </is>
      </c>
      <c r="D166" s="71" t="inlineStr">
        <is>
          <t>يقيس معدل تجديد عقود الإيجار ضمن محور «العقار والإيجار»،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منظومة التأجير</t>
        </is>
      </c>
      <c r="H166" s="15" t="inlineStr">
        <is>
          <t>العمليات الداخلية</t>
        </is>
      </c>
      <c r="I166" s="59" t="n">
        <v>0.05</v>
      </c>
      <c r="J166" s="15" t="inlineStr">
        <is>
          <t>المدير المالي</t>
        </is>
      </c>
      <c r="K166" s="11" t="inlineStr">
        <is>
          <t>نظام إدارة العقود (CRM)</t>
        </is>
      </c>
      <c r="L166" s="15" t="inlineStr">
        <is>
          <t>شهري</t>
        </is>
      </c>
      <c r="M166" s="15" t="inlineStr">
        <is>
          <t>المدير المالي</t>
        </is>
      </c>
      <c r="N166" s="51" t="n"/>
    </row>
    <row r="167" ht="30" customHeight="1">
      <c r="A167" s="15" t="n">
        <v>165</v>
      </c>
      <c r="B167" s="13" t="inlineStr">
        <is>
          <t>الإدارة المالية</t>
        </is>
      </c>
      <c r="C167" s="21" t="inlineStr">
        <is>
          <t>انحراف الموازنة</t>
        </is>
      </c>
      <c r="D167" s="71" t="inlineStr">
        <is>
          <t>يقيس انحراف الموازنة ضمن محور «الموازنة والتقارير»،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59" t="n">
        <v>0.03</v>
      </c>
      <c r="J167" s="15" t="inlineStr">
        <is>
          <t>المدير المالي</t>
        </is>
      </c>
      <c r="K167" s="11" t="inlineStr">
        <is>
          <t>نظام المحاسبة / ERP (D365)</t>
        </is>
      </c>
      <c r="L167" s="15" t="inlineStr">
        <is>
          <t>ربعي</t>
        </is>
      </c>
      <c r="M167" s="15" t="inlineStr">
        <is>
          <t>الإدارة المالية</t>
        </is>
      </c>
      <c r="N167" s="51" t="n"/>
    </row>
    <row r="168" ht="30" customHeight="1">
      <c r="A168" s="15" t="n">
        <v>166</v>
      </c>
      <c r="B168" s="13" t="inlineStr">
        <is>
          <t>الإدارة المالية</t>
        </is>
      </c>
      <c r="C168" s="21" t="inlineStr">
        <is>
          <t>أيام الإقفال الشهري</t>
        </is>
      </c>
      <c r="D168" s="71" t="inlineStr">
        <is>
          <t>يقيس أيام الإقفال الشهري ضمن محور «الموازنة والتقارير»، ويعكس مساهمة الإدارة في ركيزة الاستدامة.</t>
        </is>
      </c>
      <c r="E168" s="11" t="inlineStr">
        <is>
          <t>متوسط يوم خلال الفترة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59" t="n">
        <v>0.03</v>
      </c>
      <c r="J168" s="15" t="inlineStr">
        <is>
          <t>المدير المالي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1" t="n"/>
    </row>
    <row r="169" ht="30" customHeight="1">
      <c r="A169" s="15" t="n">
        <v>167</v>
      </c>
      <c r="B169" s="13" t="inlineStr">
        <is>
          <t>الإدارة المالية</t>
        </is>
      </c>
      <c r="C169" s="21" t="inlineStr">
        <is>
          <t>نسبة تسويات التدقيق</t>
        </is>
      </c>
      <c r="D169" s="71" t="inlineStr">
        <is>
          <t>يقيس نسبة تسويات التدقيق ضمن محور «الموازنة والتقارير»،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59" t="n">
        <v>0.03</v>
      </c>
      <c r="J169" s="15" t="inlineStr">
        <is>
          <t>المدير المالي</t>
        </is>
      </c>
      <c r="K169" s="11" t="inlineStr">
        <is>
          <t>نظام المحاسبة / ERP (D365)</t>
        </is>
      </c>
      <c r="L169" s="15" t="inlineStr">
        <is>
          <t>ربعي</t>
        </is>
      </c>
      <c r="M169" s="15" t="inlineStr">
        <is>
          <t>الإدارة المالية</t>
        </is>
      </c>
      <c r="N169" s="51" t="n"/>
    </row>
  </sheetData>
  <autoFilter ref="A2:N169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</v>
      </c>
      <c r="H4" s="59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60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5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0.3</v>
      </c>
      <c r="H7" s="59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0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تنفيذ المشاريع</t>
        </is>
      </c>
      <c r="C4" s="21" t="inlineStr">
        <is>
          <t>نسبة إنجاز محفظة المشاريع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0.7</v>
      </c>
      <c r="I4" s="22" t="inlineStr">
        <is>
          <t>≥ 70%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0" t="n">
        <v>0.607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محفظة المشاريع» ÷ الإجمالي المستهدف لنفس البند × 100٪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تنفيذ المشاريع</t>
        </is>
      </c>
      <c r="C5" s="21" t="inlineStr">
        <is>
          <t>نسبة تسليم المحطات في الموعد المخطط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0.37</v>
      </c>
      <c r="H5" s="59" t="n">
        <v>0.8</v>
      </c>
      <c r="I5" s="22" t="inlineStr">
        <is>
          <t>≥ 80%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0.805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«تسليم المحطات في الموعد المخطط»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التصاميم وأوامر التغيير</t>
        </is>
      </c>
      <c r="C6" s="21" t="inlineStr">
        <is>
          <t>متوسط مدة إغلاق قائمة الملاحظات النهائية</t>
        </is>
      </c>
      <c r="D6" s="49" t="inlineStr">
        <is>
          <t>يوم</t>
        </is>
      </c>
      <c r="E6" s="49" t="inlineStr">
        <is>
          <t>↓</t>
        </is>
      </c>
      <c r="F6" s="15" t="inlineStr">
        <is>
          <t>🟠 مهم</t>
        </is>
      </c>
      <c r="G6" s="59" t="n">
        <v>0.25</v>
      </c>
      <c r="H6" s="62" t="n">
        <v>30</v>
      </c>
      <c r="I6" s="22" t="inlineStr">
        <is>
          <t>≤ 30 يوم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32.4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أيام «مدة إغلاق قائمة الملاحظات النهائية» ÷ عدد الحالات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0.13</v>
      </c>
      <c r="H4" s="59" t="n">
        <v>0.98</v>
      </c>
      <c r="I4" s="22" t="inlineStr">
        <is>
          <t>≥ 98%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0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49" t="inlineStr">
        <is>
          <t>عدد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55" t="n">
        <v>0</v>
      </c>
      <c r="I5" s="22" t="inlineStr">
        <is>
          <t>صفر انقطاع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49" t="inlineStr">
        <is>
          <t>يوم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62" t="n">
        <v>5</v>
      </c>
      <c r="I6" s="22" t="inlineStr">
        <is>
          <t>≥ 5 أيام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4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0.98</v>
      </c>
      <c r="I7" s="22" t="inlineStr">
        <is>
          <t>≥ 98%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0.06</v>
      </c>
      <c r="H8" s="59" t="n">
        <v>0.05</v>
      </c>
      <c r="I8" s="22" t="inlineStr">
        <is>
          <t>≤ 5%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4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🟡 متابعة</t>
        </is>
      </c>
      <c r="G9" s="59" t="n">
        <v>0.1</v>
      </c>
      <c r="H9" s="59" t="n">
        <v>0.98</v>
      </c>
      <c r="I9" s="22" t="inlineStr">
        <is>
          <t>≥ 98%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4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0.95</v>
      </c>
      <c r="I10" s="22" t="inlineStr">
        <is>
          <t>≥ 95%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4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4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1</v>
      </c>
      <c r="I12" s="22" t="inlineStr">
        <is>
          <t>100%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0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4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4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4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0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4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0.15</v>
      </c>
      <c r="H4" s="59" t="n">
        <v>0.98</v>
      </c>
      <c r="I4" s="22" t="inlineStr">
        <is>
          <t>≥ 98%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إجمالي ساعات جاهزية الأصول والمعدات الحرجة ÷ إجمالي ساعات التشغيل المخططة لها × 100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أوامر الصيانة الوقائية المنفذة ضمن الموعد المحدد ÷ إجمالي أوامر الصيانة الوقائية المستحقة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عدد بلاغات الصيانة المغلقة ضمن الزمن المحدد حسب الأولوية ÷ إجمالي البلاغات المغلقة × 100</t>
        </is>
      </c>
      <c r="Q6" s="74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49" t="inlineStr">
        <is>
          <t>دقيقة</t>
        </is>
      </c>
      <c r="E7" s="49" t="inlineStr">
        <is>
          <t>↓</t>
        </is>
      </c>
      <c r="F7" s="15" t="inlineStr">
        <is>
          <t>🟠 مهم</t>
        </is>
      </c>
      <c r="G7" s="59" t="n">
        <v>0.08</v>
      </c>
      <c r="H7" s="62" t="n">
        <v>30</v>
      </c>
      <c r="I7" s="22" t="inlineStr">
        <is>
          <t>≤ 30 دقيقة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الدقائق من تسجيل البلاغ الطارئ حتى بدء المعالجة الفعلية ÷ إجمالي البلاغات الطارئة</t>
        </is>
      </c>
      <c r="Q7" s="74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49" t="inlineStr">
        <is>
          <t>ساعة</t>
        </is>
      </c>
      <c r="E8" s="49" t="inlineStr">
        <is>
          <t>↓</t>
        </is>
      </c>
      <c r="F8" s="15" t="inlineStr">
        <is>
          <t>🟠 مهم</t>
        </is>
      </c>
      <c r="G8" s="59" t="n">
        <v>0.08</v>
      </c>
      <c r="H8" s="62" t="n">
        <v>4</v>
      </c>
      <c r="I8" s="22" t="inlineStr">
        <is>
          <t>≤ 4 ساعات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ساعات الإصلاح الفعلية للأعطال المغلقة ÷ إجمالي عدد الأعطال المغلقة</t>
        </is>
      </c>
      <c r="Q8" s="74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9" t="n">
        <v>0.1</v>
      </c>
      <c r="H9" s="59" t="n">
        <v>0.05</v>
      </c>
      <c r="I9" s="22" t="inlineStr">
        <is>
          <t>≤ 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عدد الأعطال المتكررة لنفس الأصل وبنفس السبب ÷ إجمالي عدد الأعطال × 100</t>
        </is>
      </c>
      <c r="Q9" s="74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0.15</v>
      </c>
      <c r="H10" s="59" t="n">
        <v>0.99</v>
      </c>
      <c r="I10" s="22" t="inlineStr">
        <is>
          <t>≥ 99%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المحطات دون توقف كلي بسبب عطل فني ضمن مسؤولية الصيانة ÷ إجمالي المحطات العاملة × 100</t>
        </is>
      </c>
      <c r="Q10" s="74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0.1</v>
      </c>
      <c r="H11" s="59" t="n">
        <v>0.99</v>
      </c>
      <c r="I11" s="22" t="inlineStr">
        <is>
          <t>≥ 99%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عدد حالات الأتمتة العاملة والمتصلة بقراءات صحيحة ومحدثة ÷ إجمالي حالات الأتمتة المطلوبة × 100</t>
        </is>
      </c>
      <c r="Q11" s="74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عدد أعطال الأتمتة المستعادة ضمن الزمن المعتمد حسب الأولوية ÷ إجمالي أعطال الأتمتة المغلقة × 100</t>
        </is>
      </c>
      <c r="Q12" s="74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0.04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(1 − |الفرق بين المصروف الفعلي والميزانية| ÷ الميزانية المعتمدة) × 100</t>
        </is>
      </c>
      <c r="Q13" s="74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0.13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0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0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0.99</v>
      </c>
      <c r="I6" s="22" t="inlineStr">
        <is>
          <t>≥ 99%</t>
        </is>
      </c>
      <c r="J6" s="73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0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4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</v>
      </c>
      <c r="H7" s="59" t="n">
        <v>0.9</v>
      </c>
      <c r="I7" s="22" t="inlineStr">
        <is>
          <t>≥ 90%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مدى إنجاز محفظة مشاريع التحول الرقمي والمشاريع التقنية وفق الخطة الزمنية والأولويات المعتمدة.</t>
        </is>
      </c>
      <c r="Q7" s="74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0.09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0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4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0.1</v>
      </c>
      <c r="H9" s="59" t="n">
        <v>1</v>
      </c>
      <c r="I9" s="22" t="inlineStr">
        <is>
          <t>100%</t>
        </is>
      </c>
      <c r="J9" s="73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0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4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0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4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0.95</v>
      </c>
      <c r="I11" s="22" t="inlineStr">
        <is>
          <t>≥ 95%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4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9" t="n">
        <v>0.98</v>
      </c>
      <c r="I12" s="22" t="inlineStr">
        <is>
          <t>≥ 98%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4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🟡 متابعة</t>
        </is>
      </c>
      <c r="G13" s="59" t="n">
        <v>0.05</v>
      </c>
      <c r="H13" s="59" t="n">
        <v>0.95</v>
      </c>
      <c r="I13" s="22" t="inlineStr">
        <is>
          <t>≥ 95%</t>
        </is>
      </c>
      <c r="J13" s="73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0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4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9" t="n">
        <v>0.95</v>
      </c>
      <c r="I14" s="22" t="inlineStr">
        <is>
          <t>≥ 95%</t>
        </is>
      </c>
      <c r="J14" s="73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0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4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0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4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6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إدارة المشاريع</t>
        </is>
      </c>
      <c r="C54" s="13">
        <f>'إدارة المشاريع'!C4</f>
        <v/>
      </c>
      <c r="D54" s="15">
        <f>'إدارة المشاريع'!J4</f>
        <v/>
      </c>
      <c r="E54" s="13">
        <f>'إدارة المشاريع'!K4</f>
        <v/>
      </c>
      <c r="F54" s="15">
        <f>'إدارة المشاريع'!L4</f>
        <v/>
      </c>
      <c r="G54" s="50">
        <f>'إدارة المشاريع'!N4</f>
        <v/>
      </c>
      <c r="H54" s="15">
        <f>'إدارة المشاريع'!O4</f>
        <v/>
      </c>
      <c r="I54" s="24">
        <f>'إدارة المشاريع'!G4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إدارة المشاريع</t>
        </is>
      </c>
      <c r="C55" s="13">
        <f>'إدارة المشاريع'!C5</f>
        <v/>
      </c>
      <c r="D55" s="15">
        <f>'إدارة المشاريع'!J5</f>
        <v/>
      </c>
      <c r="E55" s="13">
        <f>'إدارة المشاريع'!K5</f>
        <v/>
      </c>
      <c r="F55" s="15">
        <f>'إدارة المشاريع'!L5</f>
        <v/>
      </c>
      <c r="G55" s="50">
        <f>'إدارة المشاريع'!N5</f>
        <v/>
      </c>
      <c r="H55" s="15">
        <f>'إدارة المشاريع'!O5</f>
        <v/>
      </c>
      <c r="I55" s="24">
        <f>'إدارة المشاريع'!G5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إدارة المشاريع</t>
        </is>
      </c>
      <c r="C56" s="13">
        <f>'إدارة المشاريع'!C6</f>
        <v/>
      </c>
      <c r="D56" s="15">
        <f>'إدارة المشاريع'!J6</f>
        <v/>
      </c>
      <c r="E56" s="13">
        <f>'إدارة المشاريع'!K6</f>
        <v/>
      </c>
      <c r="F56" s="15">
        <f>'إدارة المشاريع'!L6</f>
        <v/>
      </c>
      <c r="G56" s="50">
        <f>'إدارة المشاريع'!N6</f>
        <v/>
      </c>
      <c r="H56" s="15">
        <f>'إدارة المشاريع'!O6</f>
        <v/>
      </c>
      <c r="I56" s="24">
        <f>'إدارة المشاريع'!G6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سلاسل الإمداد</t>
        </is>
      </c>
      <c r="C57" s="13">
        <f>'سلاسل الإمداد'!C4</f>
        <v/>
      </c>
      <c r="D57" s="15">
        <f>'سلاسل الإمداد'!J4</f>
        <v/>
      </c>
      <c r="E57" s="13">
        <f>'سلاسل الإمداد'!K4</f>
        <v/>
      </c>
      <c r="F57" s="15">
        <f>'سلاسل الإمداد'!L4</f>
        <v/>
      </c>
      <c r="G57" s="50">
        <f>'سلاسل الإمداد'!N4</f>
        <v/>
      </c>
      <c r="H57" s="15">
        <f>'سلاسل الإمداد'!O4</f>
        <v/>
      </c>
      <c r="I57" s="24">
        <f>'سلاسل الإمداد'!G4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سلاسل الإمداد</t>
        </is>
      </c>
      <c r="C58" s="13">
        <f>'سلاسل الإمداد'!C5</f>
        <v/>
      </c>
      <c r="D58" s="15">
        <f>'سلاسل الإمداد'!J5</f>
        <v/>
      </c>
      <c r="E58" s="13">
        <f>'سلاسل الإمداد'!K5</f>
        <v/>
      </c>
      <c r="F58" s="15">
        <f>'سلاسل الإمداد'!L5</f>
        <v/>
      </c>
      <c r="G58" s="50">
        <f>'سلاسل الإمداد'!N5</f>
        <v/>
      </c>
      <c r="H58" s="15">
        <f>'سلاسل الإمداد'!O5</f>
        <v/>
      </c>
      <c r="I58" s="24">
        <f>'سلاسل الإمداد'!G5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سلاسل الإمداد</t>
        </is>
      </c>
      <c r="C59" s="13">
        <f>'سلاسل الإمداد'!C6</f>
        <v/>
      </c>
      <c r="D59" s="15">
        <f>'سلاسل الإمداد'!J6</f>
        <v/>
      </c>
      <c r="E59" s="13">
        <f>'سلاسل الإمداد'!K6</f>
        <v/>
      </c>
      <c r="F59" s="15">
        <f>'سلاسل الإمداد'!L6</f>
        <v/>
      </c>
      <c r="G59" s="50">
        <f>'سلاسل الإمداد'!N6</f>
        <v/>
      </c>
      <c r="H59" s="15">
        <f>'سلاسل الإمداد'!O6</f>
        <v/>
      </c>
      <c r="I59" s="24">
        <f>'سلاسل الإمداد'!G6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سلاسل الإمداد</t>
        </is>
      </c>
      <c r="C60" s="13">
        <f>'سلاسل الإمداد'!C7</f>
        <v/>
      </c>
      <c r="D60" s="15">
        <f>'سلاسل الإمداد'!J7</f>
        <v/>
      </c>
      <c r="E60" s="13">
        <f>'سلاسل الإمداد'!K7</f>
        <v/>
      </c>
      <c r="F60" s="15">
        <f>'سلاسل الإمداد'!L7</f>
        <v/>
      </c>
      <c r="G60" s="50">
        <f>'سلاسل الإمداد'!N7</f>
        <v/>
      </c>
      <c r="H60" s="15">
        <f>'سلاسل الإمداد'!O7</f>
        <v/>
      </c>
      <c r="I60" s="24">
        <f>'سلاسل الإمداد'!G7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سلاسل الإمداد</t>
        </is>
      </c>
      <c r="C61" s="13">
        <f>'سلاسل الإمداد'!C8</f>
        <v/>
      </c>
      <c r="D61" s="15">
        <f>'سلاسل الإمداد'!J8</f>
        <v/>
      </c>
      <c r="E61" s="13">
        <f>'سلاسل الإمداد'!K8</f>
        <v/>
      </c>
      <c r="F61" s="15">
        <f>'سلاسل الإمداد'!L8</f>
        <v/>
      </c>
      <c r="G61" s="50">
        <f>'سلاسل الإمداد'!N8</f>
        <v/>
      </c>
      <c r="H61" s="15">
        <f>'سلاسل الإمداد'!O8</f>
        <v/>
      </c>
      <c r="I61" s="24">
        <f>'سلاسل الإمداد'!G8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سلاسل الإمداد</t>
        </is>
      </c>
      <c r="C62" s="13">
        <f>'سلاسل الإمداد'!C9</f>
        <v/>
      </c>
      <c r="D62" s="15">
        <f>'سلاسل الإمداد'!J9</f>
        <v/>
      </c>
      <c r="E62" s="13">
        <f>'سلاسل الإمداد'!K9</f>
        <v/>
      </c>
      <c r="F62" s="15">
        <f>'سلاسل الإمداد'!L9</f>
        <v/>
      </c>
      <c r="G62" s="50">
        <f>'سلاسل الإمداد'!N9</f>
        <v/>
      </c>
      <c r="H62" s="15">
        <f>'سلاسل الإمداد'!O9</f>
        <v/>
      </c>
      <c r="I62" s="24">
        <f>'سلاسل الإمداد'!G9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سلاسل الإمداد</t>
        </is>
      </c>
      <c r="C63" s="13">
        <f>'سلاسل الإمداد'!C10</f>
        <v/>
      </c>
      <c r="D63" s="15">
        <f>'سلاسل الإمداد'!J10</f>
        <v/>
      </c>
      <c r="E63" s="13">
        <f>'سلاسل الإمداد'!K10</f>
        <v/>
      </c>
      <c r="F63" s="15">
        <f>'سلاسل الإمداد'!L10</f>
        <v/>
      </c>
      <c r="G63" s="50">
        <f>'سلاسل الإمداد'!N10</f>
        <v/>
      </c>
      <c r="H63" s="15">
        <f>'سلاسل الإمداد'!O10</f>
        <v/>
      </c>
      <c r="I63" s="24">
        <f>'سلاسل الإمداد'!G10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سلاسل الإمداد</t>
        </is>
      </c>
      <c r="C64" s="13">
        <f>'سلاسل الإمداد'!C11</f>
        <v/>
      </c>
      <c r="D64" s="15">
        <f>'سلاسل الإمداد'!J11</f>
        <v/>
      </c>
      <c r="E64" s="13">
        <f>'سلاسل الإمداد'!K11</f>
        <v/>
      </c>
      <c r="F64" s="15">
        <f>'سلاسل الإمداد'!L11</f>
        <v/>
      </c>
      <c r="G64" s="50">
        <f>'سلاسل الإمداد'!N11</f>
        <v/>
      </c>
      <c r="H64" s="15">
        <f>'سلاسل الإمداد'!O11</f>
        <v/>
      </c>
      <c r="I64" s="24">
        <f>'سلاسل الإمداد'!G11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سلاسل الإمداد</t>
        </is>
      </c>
      <c r="C65" s="13">
        <f>'سلاسل الإمداد'!C12</f>
        <v/>
      </c>
      <c r="D65" s="15">
        <f>'سلاسل الإمداد'!J12</f>
        <v/>
      </c>
      <c r="E65" s="13">
        <f>'سلاسل الإمداد'!K12</f>
        <v/>
      </c>
      <c r="F65" s="15">
        <f>'سلاسل الإمداد'!L12</f>
        <v/>
      </c>
      <c r="G65" s="50">
        <f>'سلاسل الإمداد'!N12</f>
        <v/>
      </c>
      <c r="H65" s="15">
        <f>'سلاسل الإمداد'!O12</f>
        <v/>
      </c>
      <c r="I65" s="24">
        <f>'سلاسل الإمداد'!G12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سلاسل الإمداد</t>
        </is>
      </c>
      <c r="C66" s="13">
        <f>'سلاسل الإمداد'!C13</f>
        <v/>
      </c>
      <c r="D66" s="15">
        <f>'سلاسل الإمداد'!J13</f>
        <v/>
      </c>
      <c r="E66" s="13">
        <f>'سلاسل الإمداد'!K13</f>
        <v/>
      </c>
      <c r="F66" s="15">
        <f>'سلاسل الإمداد'!L13</f>
        <v/>
      </c>
      <c r="G66" s="50">
        <f>'سلاسل الإمداد'!N13</f>
        <v/>
      </c>
      <c r="H66" s="15">
        <f>'سلاسل الإمداد'!O13</f>
        <v/>
      </c>
      <c r="I66" s="24">
        <f>'سلاسل الإمداد'!G13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سلاسل الإمداد</t>
        </is>
      </c>
      <c r="C67" s="13">
        <f>'سلاسل الإمداد'!C14</f>
        <v/>
      </c>
      <c r="D67" s="15">
        <f>'سلاسل الإمداد'!J14</f>
        <v/>
      </c>
      <c r="E67" s="13">
        <f>'سلاسل الإمداد'!K14</f>
        <v/>
      </c>
      <c r="F67" s="15">
        <f>'سلاسل الإمداد'!L14</f>
        <v/>
      </c>
      <c r="G67" s="50">
        <f>'سلاسل الإمداد'!N14</f>
        <v/>
      </c>
      <c r="H67" s="15">
        <f>'سلاسل الإمداد'!O14</f>
        <v/>
      </c>
      <c r="I67" s="24">
        <f>'سلاسل الإمداد'!G14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سلاسل الإمداد</t>
        </is>
      </c>
      <c r="C68" s="13">
        <f>'سلاسل الإمداد'!C15</f>
        <v/>
      </c>
      <c r="D68" s="15">
        <f>'سلاسل الإمداد'!J15</f>
        <v/>
      </c>
      <c r="E68" s="13">
        <f>'سلاسل الإمداد'!K15</f>
        <v/>
      </c>
      <c r="F68" s="15">
        <f>'سلاسل الإمداد'!L15</f>
        <v/>
      </c>
      <c r="G68" s="50">
        <f>'سلاسل الإمداد'!N15</f>
        <v/>
      </c>
      <c r="H68" s="15">
        <f>'سلاسل الإمداد'!O15</f>
        <v/>
      </c>
      <c r="I68" s="24">
        <f>'سلاسل الإمداد'!G15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الصيانة والأتمتة</t>
        </is>
      </c>
      <c r="C69" s="13">
        <f>'الصيانة والأتمتة'!C4</f>
        <v/>
      </c>
      <c r="D69" s="15">
        <f>'الصيانة والأتمتة'!J4</f>
        <v/>
      </c>
      <c r="E69" s="13">
        <f>'الصيانة والأتمتة'!K4</f>
        <v/>
      </c>
      <c r="F69" s="15">
        <f>'الصيانة والأتمتة'!L4</f>
        <v/>
      </c>
      <c r="G69" s="50">
        <f>'الصيانة والأتمتة'!N4</f>
        <v/>
      </c>
      <c r="H69" s="15">
        <f>'الصيانة والأتمتة'!O4</f>
        <v/>
      </c>
      <c r="I69" s="24">
        <f>'الصيانة والأتمتة'!G4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الصيانة والأتمتة</t>
        </is>
      </c>
      <c r="C70" s="13">
        <f>'الصيانة والأتمتة'!C5</f>
        <v/>
      </c>
      <c r="D70" s="15">
        <f>'الصيانة والأتمتة'!J5</f>
        <v/>
      </c>
      <c r="E70" s="13">
        <f>'الصيانة والأتمتة'!K5</f>
        <v/>
      </c>
      <c r="F70" s="15">
        <f>'الصيانة والأتمتة'!L5</f>
        <v/>
      </c>
      <c r="G70" s="50">
        <f>'الصيانة والأتمتة'!N5</f>
        <v/>
      </c>
      <c r="H70" s="15">
        <f>'الصيانة والأتمتة'!O5</f>
        <v/>
      </c>
      <c r="I70" s="24">
        <f>'الصيانة والأتمتة'!G5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الصيانة والأتمتة</t>
        </is>
      </c>
      <c r="C71" s="13">
        <f>'الصيانة والأتمتة'!C6</f>
        <v/>
      </c>
      <c r="D71" s="15">
        <f>'الصيانة والأتمتة'!J6</f>
        <v/>
      </c>
      <c r="E71" s="13">
        <f>'الصيانة والأتمتة'!K6</f>
        <v/>
      </c>
      <c r="F71" s="15">
        <f>'الصيانة والأتمتة'!L6</f>
        <v/>
      </c>
      <c r="G71" s="50">
        <f>'الصيانة والأتمتة'!N6</f>
        <v/>
      </c>
      <c r="H71" s="15">
        <f>'الصيانة والأتمتة'!O6</f>
        <v/>
      </c>
      <c r="I71" s="24">
        <f>'الصيانة والأتمتة'!G6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الصيانة والأتمتة</t>
        </is>
      </c>
      <c r="C72" s="13">
        <f>'الصيانة والأتمتة'!C7</f>
        <v/>
      </c>
      <c r="D72" s="15">
        <f>'الصيانة والأتمتة'!J7</f>
        <v/>
      </c>
      <c r="E72" s="13">
        <f>'الصيانة والأتمتة'!K7</f>
        <v/>
      </c>
      <c r="F72" s="15">
        <f>'الصيانة والأتمتة'!L7</f>
        <v/>
      </c>
      <c r="G72" s="50">
        <f>'الصيانة والأتمتة'!N7</f>
        <v/>
      </c>
      <c r="H72" s="15">
        <f>'الصيانة والأتمتة'!O7</f>
        <v/>
      </c>
      <c r="I72" s="24">
        <f>'الصيانة والأتمتة'!G7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الصيانة والأتمتة</t>
        </is>
      </c>
      <c r="C73" s="13">
        <f>'الصيانة والأتمتة'!C8</f>
        <v/>
      </c>
      <c r="D73" s="15">
        <f>'الصيانة والأتمتة'!J8</f>
        <v/>
      </c>
      <c r="E73" s="13">
        <f>'الصيانة والأتمتة'!K8</f>
        <v/>
      </c>
      <c r="F73" s="15">
        <f>'الصيانة والأتمتة'!L8</f>
        <v/>
      </c>
      <c r="G73" s="50">
        <f>'الصيانة والأتمتة'!N8</f>
        <v/>
      </c>
      <c r="H73" s="15">
        <f>'الصيانة والأتمتة'!O8</f>
        <v/>
      </c>
      <c r="I73" s="24">
        <f>'الصيانة والأتمتة'!G8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الصيانة والأتمتة</t>
        </is>
      </c>
      <c r="C74" s="13">
        <f>'الصيانة والأتمتة'!C9</f>
        <v/>
      </c>
      <c r="D74" s="15">
        <f>'الصيانة والأتمتة'!J9</f>
        <v/>
      </c>
      <c r="E74" s="13">
        <f>'الصيانة والأتمتة'!K9</f>
        <v/>
      </c>
      <c r="F74" s="15">
        <f>'الصيانة والأتمتة'!L9</f>
        <v/>
      </c>
      <c r="G74" s="50">
        <f>'الصيانة والأتمتة'!N9</f>
        <v/>
      </c>
      <c r="H74" s="15">
        <f>'الصيانة والأتمتة'!O9</f>
        <v/>
      </c>
      <c r="I74" s="24">
        <f>'الصيانة والأتمتة'!G9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الصيانة والأتمتة</t>
        </is>
      </c>
      <c r="C75" s="13">
        <f>'الصيانة والأتمتة'!C10</f>
        <v/>
      </c>
      <c r="D75" s="15">
        <f>'الصيانة والأتمتة'!J10</f>
        <v/>
      </c>
      <c r="E75" s="13">
        <f>'الصيانة والأتمتة'!K10</f>
        <v/>
      </c>
      <c r="F75" s="15">
        <f>'الصيانة والأتمتة'!L10</f>
        <v/>
      </c>
      <c r="G75" s="50">
        <f>'الصيانة والأتمتة'!N10</f>
        <v/>
      </c>
      <c r="H75" s="15">
        <f>'الصيانة والأتمتة'!O10</f>
        <v/>
      </c>
      <c r="I75" s="24">
        <f>'الصيانة والأتمتة'!G10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الصيانة والأتمتة</t>
        </is>
      </c>
      <c r="C76" s="13">
        <f>'الصيانة والأتمتة'!C11</f>
        <v/>
      </c>
      <c r="D76" s="15">
        <f>'الصيانة والأتمتة'!J11</f>
        <v/>
      </c>
      <c r="E76" s="13">
        <f>'الصيانة والأتمتة'!K11</f>
        <v/>
      </c>
      <c r="F76" s="15">
        <f>'الصيانة والأتمتة'!L11</f>
        <v/>
      </c>
      <c r="G76" s="50">
        <f>'الصيانة والأتمتة'!N11</f>
        <v/>
      </c>
      <c r="H76" s="15">
        <f>'الصيانة والأتمتة'!O11</f>
        <v/>
      </c>
      <c r="I76" s="24">
        <f>'الصيانة والأتمتة'!G11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الصيانة والأتمتة</t>
        </is>
      </c>
      <c r="C77" s="13">
        <f>'الصيانة والأتمتة'!C12</f>
        <v/>
      </c>
      <c r="D77" s="15">
        <f>'الصيانة والأتمتة'!J12</f>
        <v/>
      </c>
      <c r="E77" s="13">
        <f>'الصيانة والأتمتة'!K12</f>
        <v/>
      </c>
      <c r="F77" s="15">
        <f>'الصيانة والأتمتة'!L12</f>
        <v/>
      </c>
      <c r="G77" s="50">
        <f>'الصيانة والأتمتة'!N12</f>
        <v/>
      </c>
      <c r="H77" s="15">
        <f>'الصيانة والأتمتة'!O12</f>
        <v/>
      </c>
      <c r="I77" s="24">
        <f>'الصيانة والأتمتة'!G12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الصيانة والأتمتة</t>
        </is>
      </c>
      <c r="C78" s="13">
        <f>'الصيانة والأتمتة'!C13</f>
        <v/>
      </c>
      <c r="D78" s="15">
        <f>'الصيانة والأتمتة'!J13</f>
        <v/>
      </c>
      <c r="E78" s="13">
        <f>'الصيانة والأتمتة'!K13</f>
        <v/>
      </c>
      <c r="F78" s="15">
        <f>'الصيانة والأتمتة'!L13</f>
        <v/>
      </c>
      <c r="G78" s="50">
        <f>'الصيانة والأتمتة'!N13</f>
        <v/>
      </c>
      <c r="H78" s="15">
        <f>'الصيانة والأتمتة'!O13</f>
        <v/>
      </c>
      <c r="I78" s="24">
        <f>'الصيانة والأتمتة'!G13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التقنية الرقمية</t>
        </is>
      </c>
      <c r="C79" s="13">
        <f>'التقنية الرقمية'!C4</f>
        <v/>
      </c>
      <c r="D79" s="15">
        <f>'التقنية الرقمية'!J4</f>
        <v/>
      </c>
      <c r="E79" s="13">
        <f>'التقنية الرقمية'!K4</f>
        <v/>
      </c>
      <c r="F79" s="15">
        <f>'التقنية الرقمية'!L4</f>
        <v/>
      </c>
      <c r="G79" s="50">
        <f>'التقنية الرقمية'!N4</f>
        <v/>
      </c>
      <c r="H79" s="15">
        <f>'التقنية الرقمية'!O4</f>
        <v/>
      </c>
      <c r="I79" s="24">
        <f>'التقنية الرقمية'!G4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التقنية الرقمية</t>
        </is>
      </c>
      <c r="C80" s="13">
        <f>'التقنية الرقمية'!C5</f>
        <v/>
      </c>
      <c r="D80" s="15">
        <f>'التقنية الرقمية'!J5</f>
        <v/>
      </c>
      <c r="E80" s="13">
        <f>'التقنية الرقمية'!K5</f>
        <v/>
      </c>
      <c r="F80" s="15">
        <f>'التقنية الرقمية'!L5</f>
        <v/>
      </c>
      <c r="G80" s="50">
        <f>'التقنية الرقمية'!N5</f>
        <v/>
      </c>
      <c r="H80" s="15">
        <f>'التقنية الرقمية'!O5</f>
        <v/>
      </c>
      <c r="I80" s="24">
        <f>'التقنية الرقمية'!G5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التقنية الرقمية</t>
        </is>
      </c>
      <c r="C81" s="13">
        <f>'التقنية الرقمية'!C6</f>
        <v/>
      </c>
      <c r="D81" s="15">
        <f>'التقنية الرقمية'!J6</f>
        <v/>
      </c>
      <c r="E81" s="13">
        <f>'التقنية الرقمية'!K6</f>
        <v/>
      </c>
      <c r="F81" s="15">
        <f>'التقنية الرقمية'!L6</f>
        <v/>
      </c>
      <c r="G81" s="50">
        <f>'التقنية الرقمية'!N6</f>
        <v/>
      </c>
      <c r="H81" s="15">
        <f>'التقنية الرقمية'!O6</f>
        <v/>
      </c>
      <c r="I81" s="24">
        <f>'التقنية الرقمية'!G6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التقنية الرقمية</t>
        </is>
      </c>
      <c r="C82" s="13">
        <f>'التقنية الرقمية'!C7</f>
        <v/>
      </c>
      <c r="D82" s="15">
        <f>'التقنية الرقمية'!J7</f>
        <v/>
      </c>
      <c r="E82" s="13">
        <f>'التقنية الرقمية'!K7</f>
        <v/>
      </c>
      <c r="F82" s="15">
        <f>'التقنية الرقمية'!L7</f>
        <v/>
      </c>
      <c r="G82" s="50">
        <f>'التقنية الرقمية'!N7</f>
        <v/>
      </c>
      <c r="H82" s="15">
        <f>'التقنية الرقمية'!O7</f>
        <v/>
      </c>
      <c r="I82" s="24">
        <f>'التقنية الرقمية'!G7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التقنية الرقمية</t>
        </is>
      </c>
      <c r="C83" s="13">
        <f>'التقنية الرقمية'!C8</f>
        <v/>
      </c>
      <c r="D83" s="15">
        <f>'التقنية الرقمية'!J8</f>
        <v/>
      </c>
      <c r="E83" s="13">
        <f>'التقنية الرقمية'!K8</f>
        <v/>
      </c>
      <c r="F83" s="15">
        <f>'التقنية الرقمية'!L8</f>
        <v/>
      </c>
      <c r="G83" s="50">
        <f>'التقنية الرقمية'!N8</f>
        <v/>
      </c>
      <c r="H83" s="15">
        <f>'التقنية الرقمية'!O8</f>
        <v/>
      </c>
      <c r="I83" s="24">
        <f>'التقنية الرقمية'!G8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التقنية الرقمية</t>
        </is>
      </c>
      <c r="C84" s="13">
        <f>'التقنية الرقمية'!C9</f>
        <v/>
      </c>
      <c r="D84" s="15">
        <f>'التقنية الرقمية'!J9</f>
        <v/>
      </c>
      <c r="E84" s="13">
        <f>'التقنية الرقمية'!K9</f>
        <v/>
      </c>
      <c r="F84" s="15">
        <f>'التقنية الرقمية'!L9</f>
        <v/>
      </c>
      <c r="G84" s="50">
        <f>'التقنية الرقمية'!N9</f>
        <v/>
      </c>
      <c r="H84" s="15">
        <f>'التقنية الرقمية'!O9</f>
        <v/>
      </c>
      <c r="I84" s="24">
        <f>'التقنية الرقمية'!G9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التقنية الرقمية</t>
        </is>
      </c>
      <c r="C85" s="13">
        <f>'التقنية الرقمية'!C10</f>
        <v/>
      </c>
      <c r="D85" s="15">
        <f>'التقنية الرقمية'!J10</f>
        <v/>
      </c>
      <c r="E85" s="13">
        <f>'التقنية الرقمية'!K10</f>
        <v/>
      </c>
      <c r="F85" s="15">
        <f>'التقنية الرقمية'!L10</f>
        <v/>
      </c>
      <c r="G85" s="50">
        <f>'التقنية الرقمية'!N10</f>
        <v/>
      </c>
      <c r="H85" s="15">
        <f>'التقنية الرقمية'!O10</f>
        <v/>
      </c>
      <c r="I85" s="24">
        <f>'التقنية الرقمية'!G10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التقنية الرقمية</t>
        </is>
      </c>
      <c r="C86" s="13">
        <f>'التقنية الرقمية'!C11</f>
        <v/>
      </c>
      <c r="D86" s="15">
        <f>'التقنية الرقمية'!J11</f>
        <v/>
      </c>
      <c r="E86" s="13">
        <f>'التقنية الرقمية'!K11</f>
        <v/>
      </c>
      <c r="F86" s="15">
        <f>'التقنية الرقمية'!L11</f>
        <v/>
      </c>
      <c r="G86" s="50">
        <f>'التقنية الرقمية'!N11</f>
        <v/>
      </c>
      <c r="H86" s="15">
        <f>'التقنية الرقمية'!O11</f>
        <v/>
      </c>
      <c r="I86" s="24">
        <f>'التقنية الرقمية'!G11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التقنية الرقمية</t>
        </is>
      </c>
      <c r="C87" s="13">
        <f>'التقنية الرقمية'!C12</f>
        <v/>
      </c>
      <c r="D87" s="15">
        <f>'التقنية الرقمية'!J12</f>
        <v/>
      </c>
      <c r="E87" s="13">
        <f>'التقنية الرقمية'!K12</f>
        <v/>
      </c>
      <c r="F87" s="15">
        <f>'التقنية الرقمية'!L12</f>
        <v/>
      </c>
      <c r="G87" s="50">
        <f>'التقنية الرقمية'!N12</f>
        <v/>
      </c>
      <c r="H87" s="15">
        <f>'التقنية الرقمية'!O12</f>
        <v/>
      </c>
      <c r="I87" s="24">
        <f>'التقنية الرقمية'!G12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التقنية الرقمية</t>
        </is>
      </c>
      <c r="C88" s="13">
        <f>'التقنية الرقمية'!C13</f>
        <v/>
      </c>
      <c r="D88" s="15">
        <f>'التقنية الرقمية'!J13</f>
        <v/>
      </c>
      <c r="E88" s="13">
        <f>'التقنية الرقمية'!K13</f>
        <v/>
      </c>
      <c r="F88" s="15">
        <f>'التقنية الرقمية'!L13</f>
        <v/>
      </c>
      <c r="G88" s="50">
        <f>'التقنية الرقمية'!N13</f>
        <v/>
      </c>
      <c r="H88" s="15">
        <f>'التقنية الرقمية'!O13</f>
        <v/>
      </c>
      <c r="I88" s="24">
        <f>'التقنية الرقمية'!G13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التقنية الرقمية</t>
        </is>
      </c>
      <c r="C89" s="13">
        <f>'التقنية الرقمية'!C14</f>
        <v/>
      </c>
      <c r="D89" s="15">
        <f>'التقنية الرقمية'!J14</f>
        <v/>
      </c>
      <c r="E89" s="13">
        <f>'التقنية الرقمية'!K14</f>
        <v/>
      </c>
      <c r="F89" s="15">
        <f>'التقنية الرقمية'!L14</f>
        <v/>
      </c>
      <c r="G89" s="50">
        <f>'التقنية الرقمية'!N14</f>
        <v/>
      </c>
      <c r="H89" s="15">
        <f>'التقنية الرقمية'!O14</f>
        <v/>
      </c>
      <c r="I89" s="24">
        <f>'التقنية الرقمية'!G14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التقنية الرقمية</t>
        </is>
      </c>
      <c r="C90" s="13">
        <f>'التقنية الرقمية'!C15</f>
        <v/>
      </c>
      <c r="D90" s="15">
        <f>'التقنية الرقمية'!J15</f>
        <v/>
      </c>
      <c r="E90" s="13">
        <f>'التقنية الرقمية'!K15</f>
        <v/>
      </c>
      <c r="F90" s="15">
        <f>'التقنية الرقمية'!L15</f>
        <v/>
      </c>
      <c r="G90" s="50">
        <f>'التقنية الرقمية'!N15</f>
        <v/>
      </c>
      <c r="H90" s="15">
        <f>'التقنية الرقمية'!O15</f>
        <v/>
      </c>
      <c r="I90" s="24">
        <f>'التقنية الرقمية'!G15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الموارد البشرية</t>
        </is>
      </c>
      <c r="C91" s="13">
        <f>'الموارد البشرية'!C4</f>
        <v/>
      </c>
      <c r="D91" s="15">
        <f>'الموارد البشرية'!J4</f>
        <v/>
      </c>
      <c r="E91" s="13">
        <f>'الموارد البشرية'!K4</f>
        <v/>
      </c>
      <c r="F91" s="15">
        <f>'الموارد البشرية'!L4</f>
        <v/>
      </c>
      <c r="G91" s="50">
        <f>'الموارد البشرية'!N4</f>
        <v/>
      </c>
      <c r="H91" s="15">
        <f>'الموارد البشرية'!O4</f>
        <v/>
      </c>
      <c r="I91" s="24">
        <f>'الموارد البشرية'!G4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الموارد البشرية</t>
        </is>
      </c>
      <c r="C92" s="13">
        <f>'الموارد البشرية'!C5</f>
        <v/>
      </c>
      <c r="D92" s="15">
        <f>'الموارد البشرية'!J5</f>
        <v/>
      </c>
      <c r="E92" s="13">
        <f>'الموارد البشرية'!K5</f>
        <v/>
      </c>
      <c r="F92" s="15">
        <f>'الموارد البشرية'!L5</f>
        <v/>
      </c>
      <c r="G92" s="50">
        <f>'الموارد البشرية'!N5</f>
        <v/>
      </c>
      <c r="H92" s="15">
        <f>'الموارد البشرية'!O5</f>
        <v/>
      </c>
      <c r="I92" s="24">
        <f>'الموارد البشرية'!G5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الموارد البشرية</t>
        </is>
      </c>
      <c r="C93" s="13">
        <f>'الموارد البشرية'!C6</f>
        <v/>
      </c>
      <c r="D93" s="15">
        <f>'الموارد البشرية'!J6</f>
        <v/>
      </c>
      <c r="E93" s="13">
        <f>'الموارد البشرية'!K6</f>
        <v/>
      </c>
      <c r="F93" s="15">
        <f>'الموارد البشرية'!L6</f>
        <v/>
      </c>
      <c r="G93" s="50">
        <f>'الموارد البشرية'!N6</f>
        <v/>
      </c>
      <c r="H93" s="15">
        <f>'الموارد البشرية'!O6</f>
        <v/>
      </c>
      <c r="I93" s="24">
        <f>'الموارد البشرية'!G6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الموارد البشرية</t>
        </is>
      </c>
      <c r="C94" s="13">
        <f>'الموارد البشرية'!C7</f>
        <v/>
      </c>
      <c r="D94" s="15">
        <f>'الموارد البشرية'!J7</f>
        <v/>
      </c>
      <c r="E94" s="13">
        <f>'الموارد البشرية'!K7</f>
        <v/>
      </c>
      <c r="F94" s="15">
        <f>'الموارد البشرية'!L7</f>
        <v/>
      </c>
      <c r="G94" s="50">
        <f>'الموارد البشرية'!N7</f>
        <v/>
      </c>
      <c r="H94" s="15">
        <f>'الموارد البشرية'!O7</f>
        <v/>
      </c>
      <c r="I94" s="24">
        <f>'الموارد البشرية'!G7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الموارد البشرية</t>
        </is>
      </c>
      <c r="C95" s="13">
        <f>'الموارد البشرية'!C8</f>
        <v/>
      </c>
      <c r="D95" s="15">
        <f>'الموارد البشرية'!J8</f>
        <v/>
      </c>
      <c r="E95" s="13">
        <f>'الموارد البشرية'!K8</f>
        <v/>
      </c>
      <c r="F95" s="15">
        <f>'الموارد البشرية'!L8</f>
        <v/>
      </c>
      <c r="G95" s="50">
        <f>'الموارد البشرية'!N8</f>
        <v/>
      </c>
      <c r="H95" s="15">
        <f>'الموارد البشرية'!O8</f>
        <v/>
      </c>
      <c r="I95" s="24">
        <f>'الموارد البشرية'!G8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الموارد البشرية</t>
        </is>
      </c>
      <c r="C96" s="13">
        <f>'الموارد البشرية'!C9</f>
        <v/>
      </c>
      <c r="D96" s="15">
        <f>'الموارد البشرية'!J9</f>
        <v/>
      </c>
      <c r="E96" s="13">
        <f>'الموارد البشرية'!K9</f>
        <v/>
      </c>
      <c r="F96" s="15">
        <f>'الموارد البشرية'!L9</f>
        <v/>
      </c>
      <c r="G96" s="50">
        <f>'الموارد البشرية'!N9</f>
        <v/>
      </c>
      <c r="H96" s="15">
        <f>'الموارد البشرية'!O9</f>
        <v/>
      </c>
      <c r="I96" s="24">
        <f>'الموارد البشرية'!G9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الموارد البشرية</t>
        </is>
      </c>
      <c r="C97" s="13">
        <f>'الموارد البشرية'!C10</f>
        <v/>
      </c>
      <c r="D97" s="15">
        <f>'الموارد البشرية'!J10</f>
        <v/>
      </c>
      <c r="E97" s="13">
        <f>'الموارد البشرية'!K10</f>
        <v/>
      </c>
      <c r="F97" s="15">
        <f>'الموارد البشرية'!L10</f>
        <v/>
      </c>
      <c r="G97" s="50">
        <f>'الموارد البشرية'!N10</f>
        <v/>
      </c>
      <c r="H97" s="15">
        <f>'الموارد البشرية'!O10</f>
        <v/>
      </c>
      <c r="I97" s="24">
        <f>'الموارد البشرية'!G10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الموارد البشرية</t>
        </is>
      </c>
      <c r="C98" s="13">
        <f>'الموارد البشرية'!C11</f>
        <v/>
      </c>
      <c r="D98" s="15">
        <f>'الموارد البشرية'!J11</f>
        <v/>
      </c>
      <c r="E98" s="13">
        <f>'الموارد البشرية'!K11</f>
        <v/>
      </c>
      <c r="F98" s="15">
        <f>'الموارد البشرية'!L11</f>
        <v/>
      </c>
      <c r="G98" s="50">
        <f>'الموارد البشرية'!N11</f>
        <v/>
      </c>
      <c r="H98" s="15">
        <f>'الموارد البشرية'!O11</f>
        <v/>
      </c>
      <c r="I98" s="24">
        <f>'الموارد البشرية'!G11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الموارد البشرية</t>
        </is>
      </c>
      <c r="C99" s="13">
        <f>'الموارد البشرية'!C12</f>
        <v/>
      </c>
      <c r="D99" s="15">
        <f>'الموارد البشرية'!J12</f>
        <v/>
      </c>
      <c r="E99" s="13">
        <f>'الموارد البشرية'!K12</f>
        <v/>
      </c>
      <c r="F99" s="15">
        <f>'الموارد البشرية'!L12</f>
        <v/>
      </c>
      <c r="G99" s="50">
        <f>'الموارد البشرية'!N12</f>
        <v/>
      </c>
      <c r="H99" s="15">
        <f>'الموارد البشرية'!O12</f>
        <v/>
      </c>
      <c r="I99" s="24">
        <f>'الموارد البشرية'!G12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الموارد البشرية</t>
        </is>
      </c>
      <c r="C100" s="13">
        <f>'الموارد البشرية'!C13</f>
        <v/>
      </c>
      <c r="D100" s="15">
        <f>'الموارد البشرية'!J13</f>
        <v/>
      </c>
      <c r="E100" s="13">
        <f>'الموارد البشرية'!K13</f>
        <v/>
      </c>
      <c r="F100" s="15">
        <f>'الموارد البشرية'!L13</f>
        <v/>
      </c>
      <c r="G100" s="50">
        <f>'الموارد البشرية'!N13</f>
        <v/>
      </c>
      <c r="H100" s="15">
        <f>'الموارد البشرية'!O13</f>
        <v/>
      </c>
      <c r="I100" s="24">
        <f>'الموارد البشرية'!G13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الموارد البشرية</t>
        </is>
      </c>
      <c r="C101" s="13">
        <f>'الموارد البشرية'!C14</f>
        <v/>
      </c>
      <c r="D101" s="15">
        <f>'الموارد البشرية'!J14</f>
        <v/>
      </c>
      <c r="E101" s="13">
        <f>'الموارد البشرية'!K14</f>
        <v/>
      </c>
      <c r="F101" s="15">
        <f>'الموارد البشرية'!L14</f>
        <v/>
      </c>
      <c r="G101" s="50">
        <f>'الموارد البشرية'!N14</f>
        <v/>
      </c>
      <c r="H101" s="15">
        <f>'الموارد البشرية'!O14</f>
        <v/>
      </c>
      <c r="I101" s="24">
        <f>'الموارد البشرية'!G14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الموارد البشرية</t>
        </is>
      </c>
      <c r="C102" s="13">
        <f>'الموارد البشرية'!C15</f>
        <v/>
      </c>
      <c r="D102" s="15">
        <f>'الموارد البشرية'!J15</f>
        <v/>
      </c>
      <c r="E102" s="13">
        <f>'الموارد البشرية'!K15</f>
        <v/>
      </c>
      <c r="F102" s="15">
        <f>'الموارد البشرية'!L15</f>
        <v/>
      </c>
      <c r="G102" s="50">
        <f>'الموارد البشرية'!N15</f>
        <v/>
      </c>
      <c r="H102" s="15">
        <f>'الموارد البشرية'!O15</f>
        <v/>
      </c>
      <c r="I102" s="24">
        <f>'الموارد البشرية'!G15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التسويق</t>
        </is>
      </c>
      <c r="C103" s="13">
        <f>'التسويق'!C4</f>
        <v/>
      </c>
      <c r="D103" s="15">
        <f>'التسويق'!J4</f>
        <v/>
      </c>
      <c r="E103" s="13">
        <f>'التسويق'!K4</f>
        <v/>
      </c>
      <c r="F103" s="15">
        <f>'التسويق'!L4</f>
        <v/>
      </c>
      <c r="G103" s="50">
        <f>'التسويق'!N4</f>
        <v/>
      </c>
      <c r="H103" s="15">
        <f>'التسويق'!O4</f>
        <v/>
      </c>
      <c r="I103" s="24">
        <f>'التسويق'!G4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التسويق</t>
        </is>
      </c>
      <c r="C104" s="13">
        <f>'التسويق'!C5</f>
        <v/>
      </c>
      <c r="D104" s="15">
        <f>'التسويق'!J5</f>
        <v/>
      </c>
      <c r="E104" s="13">
        <f>'التسويق'!K5</f>
        <v/>
      </c>
      <c r="F104" s="15">
        <f>'التسويق'!L5</f>
        <v/>
      </c>
      <c r="G104" s="50">
        <f>'التسويق'!N5</f>
        <v/>
      </c>
      <c r="H104" s="15">
        <f>'التسويق'!O5</f>
        <v/>
      </c>
      <c r="I104" s="24">
        <f>'التسويق'!G5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التسويق</t>
        </is>
      </c>
      <c r="C105" s="13">
        <f>'التسويق'!C6</f>
        <v/>
      </c>
      <c r="D105" s="15">
        <f>'التسويق'!J6</f>
        <v/>
      </c>
      <c r="E105" s="13">
        <f>'التسويق'!K6</f>
        <v/>
      </c>
      <c r="F105" s="15">
        <f>'التسويق'!L6</f>
        <v/>
      </c>
      <c r="G105" s="50">
        <f>'التسويق'!N6</f>
        <v/>
      </c>
      <c r="H105" s="15">
        <f>'التسويق'!O6</f>
        <v/>
      </c>
      <c r="I105" s="24">
        <f>'التسويق'!G6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التسويق</t>
        </is>
      </c>
      <c r="C106" s="13">
        <f>'التسويق'!C7</f>
        <v/>
      </c>
      <c r="D106" s="15">
        <f>'التسويق'!J7</f>
        <v/>
      </c>
      <c r="E106" s="13">
        <f>'التسويق'!K7</f>
        <v/>
      </c>
      <c r="F106" s="15">
        <f>'التسويق'!L7</f>
        <v/>
      </c>
      <c r="G106" s="50">
        <f>'التسويق'!N7</f>
        <v/>
      </c>
      <c r="H106" s="15">
        <f>'التسويق'!O7</f>
        <v/>
      </c>
      <c r="I106" s="24">
        <f>'التسويق'!G7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التسويق</t>
        </is>
      </c>
      <c r="C107" s="13">
        <f>'التسويق'!C8</f>
        <v/>
      </c>
      <c r="D107" s="15">
        <f>'التسويق'!J8</f>
        <v/>
      </c>
      <c r="E107" s="13">
        <f>'التسويق'!K8</f>
        <v/>
      </c>
      <c r="F107" s="15">
        <f>'التسويق'!L8</f>
        <v/>
      </c>
      <c r="G107" s="50">
        <f>'التسويق'!N8</f>
        <v/>
      </c>
      <c r="H107" s="15">
        <f>'التسويق'!O8</f>
        <v/>
      </c>
      <c r="I107" s="24">
        <f>'التسويق'!G8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التسويق</t>
        </is>
      </c>
      <c r="C108" s="13">
        <f>'التسويق'!C9</f>
        <v/>
      </c>
      <c r="D108" s="15">
        <f>'التسويق'!J9</f>
        <v/>
      </c>
      <c r="E108" s="13">
        <f>'التسويق'!K9</f>
        <v/>
      </c>
      <c r="F108" s="15">
        <f>'التسويق'!L9</f>
        <v/>
      </c>
      <c r="G108" s="50">
        <f>'التسويق'!N9</f>
        <v/>
      </c>
      <c r="H108" s="15">
        <f>'التسويق'!O9</f>
        <v/>
      </c>
      <c r="I108" s="24">
        <f>'التسويق'!G9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التسويق</t>
        </is>
      </c>
      <c r="C109" s="13">
        <f>'التسويق'!C10</f>
        <v/>
      </c>
      <c r="D109" s="15">
        <f>'التسويق'!J10</f>
        <v/>
      </c>
      <c r="E109" s="13">
        <f>'التسويق'!K10</f>
        <v/>
      </c>
      <c r="F109" s="15">
        <f>'التسويق'!L10</f>
        <v/>
      </c>
      <c r="G109" s="50">
        <f>'التسويق'!N10</f>
        <v/>
      </c>
      <c r="H109" s="15">
        <f>'التسويق'!O10</f>
        <v/>
      </c>
      <c r="I109" s="24">
        <f>'التسويق'!G10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التسويق</t>
        </is>
      </c>
      <c r="C110" s="13">
        <f>'التسويق'!C11</f>
        <v/>
      </c>
      <c r="D110" s="15">
        <f>'التسويق'!J11</f>
        <v/>
      </c>
      <c r="E110" s="13">
        <f>'التسويق'!K11</f>
        <v/>
      </c>
      <c r="F110" s="15">
        <f>'التسويق'!L11</f>
        <v/>
      </c>
      <c r="G110" s="50">
        <f>'التسويق'!N11</f>
        <v/>
      </c>
      <c r="H110" s="15">
        <f>'التسويق'!O11</f>
        <v/>
      </c>
      <c r="I110" s="24">
        <f>'التسويق'!G11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التسويق</t>
        </is>
      </c>
      <c r="C111" s="13">
        <f>'التسويق'!C12</f>
        <v/>
      </c>
      <c r="D111" s="15">
        <f>'التسويق'!J12</f>
        <v/>
      </c>
      <c r="E111" s="13">
        <f>'التسويق'!K12</f>
        <v/>
      </c>
      <c r="F111" s="15">
        <f>'التسويق'!L12</f>
        <v/>
      </c>
      <c r="G111" s="50">
        <f>'التسويق'!N12</f>
        <v/>
      </c>
      <c r="H111" s="15">
        <f>'التسويق'!O12</f>
        <v/>
      </c>
      <c r="I111" s="24">
        <f>'التسويق'!G12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التسويق</t>
        </is>
      </c>
      <c r="C112" s="13">
        <f>'التسويق'!C13</f>
        <v/>
      </c>
      <c r="D112" s="15">
        <f>'التسويق'!J13</f>
        <v/>
      </c>
      <c r="E112" s="13">
        <f>'التسويق'!K13</f>
        <v/>
      </c>
      <c r="F112" s="15">
        <f>'التسويق'!L13</f>
        <v/>
      </c>
      <c r="G112" s="50">
        <f>'التسويق'!N13</f>
        <v/>
      </c>
      <c r="H112" s="15">
        <f>'التسويق'!O13</f>
        <v/>
      </c>
      <c r="I112" s="24">
        <f>'التسويق'!G13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التسويق</t>
        </is>
      </c>
      <c r="C113" s="13">
        <f>'التسويق'!C14</f>
        <v/>
      </c>
      <c r="D113" s="15">
        <f>'التسويق'!J14</f>
        <v/>
      </c>
      <c r="E113" s="13">
        <f>'التسويق'!K14</f>
        <v/>
      </c>
      <c r="F113" s="15">
        <f>'التسويق'!L14</f>
        <v/>
      </c>
      <c r="G113" s="50">
        <f>'التسويق'!N14</f>
        <v/>
      </c>
      <c r="H113" s="15">
        <f>'التسويق'!O14</f>
        <v/>
      </c>
      <c r="I113" s="24">
        <f>'التسويق'!G14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التسويق</t>
        </is>
      </c>
      <c r="C114" s="13">
        <f>'التسويق'!C15</f>
        <v/>
      </c>
      <c r="D114" s="15">
        <f>'التسويق'!J15</f>
        <v/>
      </c>
      <c r="E114" s="13">
        <f>'التسويق'!K15</f>
        <v/>
      </c>
      <c r="F114" s="15">
        <f>'التسويق'!L15</f>
        <v/>
      </c>
      <c r="G114" s="50">
        <f>'التسويق'!N15</f>
        <v/>
      </c>
      <c r="H114" s="15">
        <f>'التسويق'!O15</f>
        <v/>
      </c>
      <c r="I114" s="24">
        <f>'التسويق'!G15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التسويق</t>
        </is>
      </c>
      <c r="C115" s="13">
        <f>'التسويق'!C16</f>
        <v/>
      </c>
      <c r="D115" s="15">
        <f>'التسويق'!J16</f>
        <v/>
      </c>
      <c r="E115" s="13">
        <f>'التسويق'!K16</f>
        <v/>
      </c>
      <c r="F115" s="15">
        <f>'التسويق'!L16</f>
        <v/>
      </c>
      <c r="G115" s="50">
        <f>'التسويق'!N16</f>
        <v/>
      </c>
      <c r="H115" s="15">
        <f>'التسويق'!O16</f>
        <v/>
      </c>
      <c r="I115" s="24">
        <f>'التسويق'!G16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التسويق</t>
        </is>
      </c>
      <c r="C116" s="13">
        <f>'التسويق'!C17</f>
        <v/>
      </c>
      <c r="D116" s="15">
        <f>'التسويق'!J17</f>
        <v/>
      </c>
      <c r="E116" s="13">
        <f>'التسويق'!K17</f>
        <v/>
      </c>
      <c r="F116" s="15">
        <f>'التسويق'!L17</f>
        <v/>
      </c>
      <c r="G116" s="50">
        <f>'التسويق'!N17</f>
        <v/>
      </c>
      <c r="H116" s="15">
        <f>'التسويق'!O17</f>
        <v/>
      </c>
      <c r="I116" s="24">
        <f>'التسويق'!G17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التسويق</t>
        </is>
      </c>
      <c r="C117" s="13">
        <f>'التسويق'!C18</f>
        <v/>
      </c>
      <c r="D117" s="15">
        <f>'التسويق'!J18</f>
        <v/>
      </c>
      <c r="E117" s="13">
        <f>'التسويق'!K18</f>
        <v/>
      </c>
      <c r="F117" s="15">
        <f>'التسويق'!L18</f>
        <v/>
      </c>
      <c r="G117" s="50">
        <f>'التسويق'!N18</f>
        <v/>
      </c>
      <c r="H117" s="15">
        <f>'التسويق'!O18</f>
        <v/>
      </c>
      <c r="I117" s="24">
        <f>'التسويق'!G18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الجودة</t>
        </is>
      </c>
      <c r="C118" s="13">
        <f>'الجودة'!C4</f>
        <v/>
      </c>
      <c r="D118" s="15">
        <f>'الجودة'!J4</f>
        <v/>
      </c>
      <c r="E118" s="13">
        <f>'الجودة'!K4</f>
        <v/>
      </c>
      <c r="F118" s="15">
        <f>'الجودة'!L4</f>
        <v/>
      </c>
      <c r="G118" s="50">
        <f>'الجودة'!N4</f>
        <v/>
      </c>
      <c r="H118" s="15">
        <f>'الجودة'!O4</f>
        <v/>
      </c>
      <c r="I118" s="24">
        <f>'الجودة'!G4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الجودة</t>
        </is>
      </c>
      <c r="C119" s="13">
        <f>'الجودة'!C5</f>
        <v/>
      </c>
      <c r="D119" s="15">
        <f>'الجودة'!J5</f>
        <v/>
      </c>
      <c r="E119" s="13">
        <f>'الجودة'!K5</f>
        <v/>
      </c>
      <c r="F119" s="15">
        <f>'الجودة'!L5</f>
        <v/>
      </c>
      <c r="G119" s="50">
        <f>'الجودة'!N5</f>
        <v/>
      </c>
      <c r="H119" s="15">
        <f>'الجودة'!O5</f>
        <v/>
      </c>
      <c r="I119" s="24">
        <f>'الجودة'!G5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الجودة</t>
        </is>
      </c>
      <c r="C120" s="13">
        <f>'الجودة'!C6</f>
        <v/>
      </c>
      <c r="D120" s="15">
        <f>'الجودة'!J6</f>
        <v/>
      </c>
      <c r="E120" s="13">
        <f>'الجودة'!K6</f>
        <v/>
      </c>
      <c r="F120" s="15">
        <f>'الجودة'!L6</f>
        <v/>
      </c>
      <c r="G120" s="50">
        <f>'الجودة'!N6</f>
        <v/>
      </c>
      <c r="H120" s="15">
        <f>'الجودة'!O6</f>
        <v/>
      </c>
      <c r="I120" s="24">
        <f>'الجودة'!G6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الجودة</t>
        </is>
      </c>
      <c r="C121" s="13">
        <f>'الجودة'!C7</f>
        <v/>
      </c>
      <c r="D121" s="15">
        <f>'الجودة'!J7</f>
        <v/>
      </c>
      <c r="E121" s="13">
        <f>'الجودة'!K7</f>
        <v/>
      </c>
      <c r="F121" s="15">
        <f>'الجودة'!L7</f>
        <v/>
      </c>
      <c r="G121" s="50">
        <f>'الجودة'!N7</f>
        <v/>
      </c>
      <c r="H121" s="15">
        <f>'الجودة'!O7</f>
        <v/>
      </c>
      <c r="I121" s="24">
        <f>'الجودة'!G7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الجودة</t>
        </is>
      </c>
      <c r="C122" s="13">
        <f>'الجودة'!C8</f>
        <v/>
      </c>
      <c r="D122" s="15">
        <f>'الجودة'!J8</f>
        <v/>
      </c>
      <c r="E122" s="13">
        <f>'الجودة'!K8</f>
        <v/>
      </c>
      <c r="F122" s="15">
        <f>'الجودة'!L8</f>
        <v/>
      </c>
      <c r="G122" s="50">
        <f>'الجودة'!N8</f>
        <v/>
      </c>
      <c r="H122" s="15">
        <f>'الجودة'!O8</f>
        <v/>
      </c>
      <c r="I122" s="24">
        <f>'الجودة'!G8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الجودة</t>
        </is>
      </c>
      <c r="C123" s="13">
        <f>'الجودة'!C9</f>
        <v/>
      </c>
      <c r="D123" s="15">
        <f>'الجودة'!J9</f>
        <v/>
      </c>
      <c r="E123" s="13">
        <f>'الجودة'!K9</f>
        <v/>
      </c>
      <c r="F123" s="15">
        <f>'الجودة'!L9</f>
        <v/>
      </c>
      <c r="G123" s="50">
        <f>'الجودة'!N9</f>
        <v/>
      </c>
      <c r="H123" s="15">
        <f>'الجودة'!O9</f>
        <v/>
      </c>
      <c r="I123" s="24">
        <f>'الجودة'!G9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الجودة</t>
        </is>
      </c>
      <c r="C124" s="13">
        <f>'الجودة'!C10</f>
        <v/>
      </c>
      <c r="D124" s="15">
        <f>'الجودة'!J10</f>
        <v/>
      </c>
      <c r="E124" s="13">
        <f>'الجودة'!K10</f>
        <v/>
      </c>
      <c r="F124" s="15">
        <f>'الجودة'!L10</f>
        <v/>
      </c>
      <c r="G124" s="50">
        <f>'الجودة'!N10</f>
        <v/>
      </c>
      <c r="H124" s="15">
        <f>'الجودة'!O10</f>
        <v/>
      </c>
      <c r="I124" s="24">
        <f>'الجودة'!G10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الجودة</t>
        </is>
      </c>
      <c r="C125" s="13">
        <f>'الجودة'!C11</f>
        <v/>
      </c>
      <c r="D125" s="15">
        <f>'الجودة'!J11</f>
        <v/>
      </c>
      <c r="E125" s="13">
        <f>'الجودة'!K11</f>
        <v/>
      </c>
      <c r="F125" s="15">
        <f>'الجودة'!L11</f>
        <v/>
      </c>
      <c r="G125" s="50">
        <f>'الجودة'!N11</f>
        <v/>
      </c>
      <c r="H125" s="15">
        <f>'الجودة'!O11</f>
        <v/>
      </c>
      <c r="I125" s="24">
        <f>'الجودة'!G11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الجودة</t>
        </is>
      </c>
      <c r="C126" s="13">
        <f>'الجودة'!C12</f>
        <v/>
      </c>
      <c r="D126" s="15">
        <f>'الجودة'!J12</f>
        <v/>
      </c>
      <c r="E126" s="13">
        <f>'الجودة'!K12</f>
        <v/>
      </c>
      <c r="F126" s="15">
        <f>'الجودة'!L12</f>
        <v/>
      </c>
      <c r="G126" s="50">
        <f>'الجودة'!N12</f>
        <v/>
      </c>
      <c r="H126" s="15">
        <f>'الجودة'!O12</f>
        <v/>
      </c>
      <c r="I126" s="24">
        <f>'الجودة'!G12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الجودة</t>
        </is>
      </c>
      <c r="C127" s="13">
        <f>'الجودة'!C13</f>
        <v/>
      </c>
      <c r="D127" s="15">
        <f>'الجودة'!J13</f>
        <v/>
      </c>
      <c r="E127" s="13">
        <f>'الجودة'!K13</f>
        <v/>
      </c>
      <c r="F127" s="15">
        <f>'الجودة'!L13</f>
        <v/>
      </c>
      <c r="G127" s="50">
        <f>'الجودة'!N13</f>
        <v/>
      </c>
      <c r="H127" s="15">
        <f>'الجودة'!O13</f>
        <v/>
      </c>
      <c r="I127" s="24">
        <f>'الجودة'!G13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الجودة</t>
        </is>
      </c>
      <c r="C128" s="13">
        <f>'الجودة'!C14</f>
        <v/>
      </c>
      <c r="D128" s="15">
        <f>'الجودة'!J14</f>
        <v/>
      </c>
      <c r="E128" s="13">
        <f>'الجودة'!K14</f>
        <v/>
      </c>
      <c r="F128" s="15">
        <f>'الجودة'!L14</f>
        <v/>
      </c>
      <c r="G128" s="50">
        <f>'الجودة'!N14</f>
        <v/>
      </c>
      <c r="H128" s="15">
        <f>'الجودة'!O14</f>
        <v/>
      </c>
      <c r="I128" s="24">
        <f>'الجودة'!G14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الجودة</t>
        </is>
      </c>
      <c r="C129" s="13">
        <f>'الجودة'!C15</f>
        <v/>
      </c>
      <c r="D129" s="15">
        <f>'الجودة'!J15</f>
        <v/>
      </c>
      <c r="E129" s="13">
        <f>'الجودة'!K15</f>
        <v/>
      </c>
      <c r="F129" s="15">
        <f>'الجودة'!L15</f>
        <v/>
      </c>
      <c r="G129" s="50">
        <f>'الجودة'!N15</f>
        <v/>
      </c>
      <c r="H129" s="15">
        <f>'الجودة'!O15</f>
        <v/>
      </c>
      <c r="I129" s="24">
        <f>'الجودة'!G15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الجودة</t>
        </is>
      </c>
      <c r="C130" s="13">
        <f>'الجودة'!C16</f>
        <v/>
      </c>
      <c r="D130" s="15">
        <f>'الجودة'!J16</f>
        <v/>
      </c>
      <c r="E130" s="13">
        <f>'الجودة'!K16</f>
        <v/>
      </c>
      <c r="F130" s="15">
        <f>'الجودة'!L16</f>
        <v/>
      </c>
      <c r="G130" s="50">
        <f>'الجودة'!N16</f>
        <v/>
      </c>
      <c r="H130" s="15">
        <f>'الجودة'!O16</f>
        <v/>
      </c>
      <c r="I130" s="24">
        <f>'الجودة'!G16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الجودة</t>
        </is>
      </c>
      <c r="C131" s="13">
        <f>'الجودة'!C17</f>
        <v/>
      </c>
      <c r="D131" s="15">
        <f>'الجودة'!J17</f>
        <v/>
      </c>
      <c r="E131" s="13">
        <f>'الجودة'!K17</f>
        <v/>
      </c>
      <c r="F131" s="15">
        <f>'الجودة'!L17</f>
        <v/>
      </c>
      <c r="G131" s="50">
        <f>'الجودة'!N17</f>
        <v/>
      </c>
      <c r="H131" s="15">
        <f>'الجودة'!O17</f>
        <v/>
      </c>
      <c r="I131" s="24">
        <f>'الجودة'!G17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الإدارة القانونية</t>
        </is>
      </c>
      <c r="C132" s="13">
        <f>'الإدارة القانونية'!C4</f>
        <v/>
      </c>
      <c r="D132" s="15">
        <f>'الإدارة القانونية'!J4</f>
        <v/>
      </c>
      <c r="E132" s="13">
        <f>'الإدارة القانونية'!K4</f>
        <v/>
      </c>
      <c r="F132" s="15">
        <f>'الإدارة القانونية'!L4</f>
        <v/>
      </c>
      <c r="G132" s="50">
        <f>'الإدارة القانونية'!N4</f>
        <v/>
      </c>
      <c r="H132" s="15">
        <f>'الإدارة القانونية'!O4</f>
        <v/>
      </c>
      <c r="I132" s="24">
        <f>'الإدارة القانونية'!G4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الإدارة القانونية</t>
        </is>
      </c>
      <c r="C133" s="13">
        <f>'الإدارة القانونية'!C5</f>
        <v/>
      </c>
      <c r="D133" s="15">
        <f>'الإدارة القانونية'!J5</f>
        <v/>
      </c>
      <c r="E133" s="13">
        <f>'الإدارة القانونية'!K5</f>
        <v/>
      </c>
      <c r="F133" s="15">
        <f>'الإدارة القانونية'!L5</f>
        <v/>
      </c>
      <c r="G133" s="50">
        <f>'الإدارة القانونية'!N5</f>
        <v/>
      </c>
      <c r="H133" s="15">
        <f>'الإدارة القانونية'!O5</f>
        <v/>
      </c>
      <c r="I133" s="24">
        <f>'الإدارة القانونية'!G5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الإدارة القانونية</t>
        </is>
      </c>
      <c r="C134" s="13">
        <f>'الإدارة القانونية'!C6</f>
        <v/>
      </c>
      <c r="D134" s="15">
        <f>'الإدارة القانونية'!J6</f>
        <v/>
      </c>
      <c r="E134" s="13">
        <f>'الإدارة القانونية'!K6</f>
        <v/>
      </c>
      <c r="F134" s="15">
        <f>'الإدارة القانونية'!L6</f>
        <v/>
      </c>
      <c r="G134" s="50">
        <f>'الإدارة القانونية'!N6</f>
        <v/>
      </c>
      <c r="H134" s="15">
        <f>'الإدارة القانونية'!O6</f>
        <v/>
      </c>
      <c r="I134" s="24">
        <f>'الإدارة القانونية'!G6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الإدارة القانونية</t>
        </is>
      </c>
      <c r="C135" s="13">
        <f>'الإدارة القانونية'!C7</f>
        <v/>
      </c>
      <c r="D135" s="15">
        <f>'الإدارة القانونية'!J7</f>
        <v/>
      </c>
      <c r="E135" s="13">
        <f>'الإدارة القانونية'!K7</f>
        <v/>
      </c>
      <c r="F135" s="15">
        <f>'الإدارة القانونية'!L7</f>
        <v/>
      </c>
      <c r="G135" s="50">
        <f>'الإدارة القانونية'!N7</f>
        <v/>
      </c>
      <c r="H135" s="15">
        <f>'الإدارة القانونية'!O7</f>
        <v/>
      </c>
      <c r="I135" s="24">
        <f>'الإدارة القانونية'!G7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الإدارة القانونية</t>
        </is>
      </c>
      <c r="C136" s="13">
        <f>'الإدارة القانونية'!C8</f>
        <v/>
      </c>
      <c r="D136" s="15">
        <f>'الإدارة القانونية'!J8</f>
        <v/>
      </c>
      <c r="E136" s="13">
        <f>'الإدارة القانونية'!K8</f>
        <v/>
      </c>
      <c r="F136" s="15">
        <f>'الإدارة القانونية'!L8</f>
        <v/>
      </c>
      <c r="G136" s="50">
        <f>'الإدارة القانونية'!N8</f>
        <v/>
      </c>
      <c r="H136" s="15">
        <f>'الإدارة القانونية'!O8</f>
        <v/>
      </c>
      <c r="I136" s="24">
        <f>'الإدارة القانونية'!G8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الإدارة القانونية</t>
        </is>
      </c>
      <c r="C137" s="13">
        <f>'الإدارة القانونية'!C9</f>
        <v/>
      </c>
      <c r="D137" s="15">
        <f>'الإدارة القانونية'!J9</f>
        <v/>
      </c>
      <c r="E137" s="13">
        <f>'الإدارة القانونية'!K9</f>
        <v/>
      </c>
      <c r="F137" s="15">
        <f>'الإدارة القانونية'!L9</f>
        <v/>
      </c>
      <c r="G137" s="50">
        <f>'الإدارة القانونية'!N9</f>
        <v/>
      </c>
      <c r="H137" s="15">
        <f>'الإدارة القانونية'!O9</f>
        <v/>
      </c>
      <c r="I137" s="24">
        <f>'الإدارة القانونية'!G9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الإدارة القانونية</t>
        </is>
      </c>
      <c r="C138" s="13">
        <f>'الإدارة القانونية'!C10</f>
        <v/>
      </c>
      <c r="D138" s="15">
        <f>'الإدارة القانونية'!J10</f>
        <v/>
      </c>
      <c r="E138" s="13">
        <f>'الإدارة القانونية'!K10</f>
        <v/>
      </c>
      <c r="F138" s="15">
        <f>'الإدارة القانونية'!L10</f>
        <v/>
      </c>
      <c r="G138" s="50">
        <f>'الإدارة القانونية'!N10</f>
        <v/>
      </c>
      <c r="H138" s="15">
        <f>'الإدارة القانونية'!O10</f>
        <v/>
      </c>
      <c r="I138" s="24">
        <f>'الإدارة القانونية'!G10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الإدارة القانونية</t>
        </is>
      </c>
      <c r="C139" s="13">
        <f>'الإدارة القانونية'!C11</f>
        <v/>
      </c>
      <c r="D139" s="15">
        <f>'الإدارة القانونية'!J11</f>
        <v/>
      </c>
      <c r="E139" s="13">
        <f>'الإدارة القانونية'!K11</f>
        <v/>
      </c>
      <c r="F139" s="15">
        <f>'الإدارة القانونية'!L11</f>
        <v/>
      </c>
      <c r="G139" s="50">
        <f>'الإدارة القانونية'!N11</f>
        <v/>
      </c>
      <c r="H139" s="15">
        <f>'الإدارة القانونية'!O11</f>
        <v/>
      </c>
      <c r="I139" s="24">
        <f>'الإدارة القانونية'!G11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الإدارة القانونية</t>
        </is>
      </c>
      <c r="C140" s="13">
        <f>'الإدارة القانونية'!C12</f>
        <v/>
      </c>
      <c r="D140" s="15">
        <f>'الإدارة القانونية'!J12</f>
        <v/>
      </c>
      <c r="E140" s="13">
        <f>'الإدارة القانونية'!K12</f>
        <v/>
      </c>
      <c r="F140" s="15">
        <f>'الإدارة القانونية'!L12</f>
        <v/>
      </c>
      <c r="G140" s="50">
        <f>'الإدارة القانونية'!N12</f>
        <v/>
      </c>
      <c r="H140" s="15">
        <f>'الإدارة القانونية'!O12</f>
        <v/>
      </c>
      <c r="I140" s="24">
        <f>'الإدارة القانونية'!G12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الإدارة القانونية</t>
        </is>
      </c>
      <c r="C141" s="13">
        <f>'الإدارة القانونية'!C13</f>
        <v/>
      </c>
      <c r="D141" s="15">
        <f>'الإدارة القانونية'!J13</f>
        <v/>
      </c>
      <c r="E141" s="13">
        <f>'الإدارة القانونية'!K13</f>
        <v/>
      </c>
      <c r="F141" s="15">
        <f>'الإدارة القانونية'!L13</f>
        <v/>
      </c>
      <c r="G141" s="50">
        <f>'الإدارة القانونية'!N13</f>
        <v/>
      </c>
      <c r="H141" s="15">
        <f>'الإدارة القانونية'!O13</f>
        <v/>
      </c>
      <c r="I141" s="24">
        <f>'الإدارة القانونية'!G13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الإدارة القانونية</t>
        </is>
      </c>
      <c r="C142" s="13">
        <f>'الإدارة القانونية'!C14</f>
        <v/>
      </c>
      <c r="D142" s="15">
        <f>'الإدارة القانونية'!J14</f>
        <v/>
      </c>
      <c r="E142" s="13">
        <f>'الإدارة القانونية'!K14</f>
        <v/>
      </c>
      <c r="F142" s="15">
        <f>'الإدارة القانونية'!L14</f>
        <v/>
      </c>
      <c r="G142" s="50">
        <f>'الإدارة القانونية'!N14</f>
        <v/>
      </c>
      <c r="H142" s="15">
        <f>'الإدارة القانونية'!O14</f>
        <v/>
      </c>
      <c r="I142" s="24">
        <f>'الإدارة القانونية'!G14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الإدارة القانونية</t>
        </is>
      </c>
      <c r="C143" s="13">
        <f>'الإدارة القانونية'!C15</f>
        <v/>
      </c>
      <c r="D143" s="15">
        <f>'الإدارة القانونية'!J15</f>
        <v/>
      </c>
      <c r="E143" s="13">
        <f>'الإدارة القانونية'!K15</f>
        <v/>
      </c>
      <c r="F143" s="15">
        <f>'الإدارة القانونية'!L15</f>
        <v/>
      </c>
      <c r="G143" s="50">
        <f>'الإدارة القانونية'!N15</f>
        <v/>
      </c>
      <c r="H143" s="15">
        <f>'الإدارة القانونية'!O15</f>
        <v/>
      </c>
      <c r="I143" s="24">
        <f>'الإدارة القانونية'!G15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الإدارة القانونية</t>
        </is>
      </c>
      <c r="C144" s="13">
        <f>'الإدارة القانونية'!C16</f>
        <v/>
      </c>
      <c r="D144" s="15">
        <f>'الإدارة القانونية'!J16</f>
        <v/>
      </c>
      <c r="E144" s="13">
        <f>'الإدارة القانونية'!K16</f>
        <v/>
      </c>
      <c r="F144" s="15">
        <f>'الإدارة القانونية'!L16</f>
        <v/>
      </c>
      <c r="G144" s="50">
        <f>'الإدارة القانونية'!N16</f>
        <v/>
      </c>
      <c r="H144" s="15">
        <f>'الإدارة القانونية'!O16</f>
        <v/>
      </c>
      <c r="I144" s="24">
        <f>'الإدارة القانونية'!G16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الإدارة المالية</t>
        </is>
      </c>
      <c r="C145" s="13">
        <f>'الإدارة المالية'!C4</f>
        <v/>
      </c>
      <c r="D145" s="15">
        <f>'الإدارة المالية'!J4</f>
        <v/>
      </c>
      <c r="E145" s="13">
        <f>'الإدارة المالية'!K4</f>
        <v/>
      </c>
      <c r="F145" s="15">
        <f>'الإدارة المالية'!L4</f>
        <v/>
      </c>
      <c r="G145" s="50">
        <f>'الإدارة المالية'!N4</f>
        <v/>
      </c>
      <c r="H145" s="15">
        <f>'الإدارة المالية'!O4</f>
        <v/>
      </c>
      <c r="I145" s="24">
        <f>'الإدارة المالية'!G4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الإدارة المالية</t>
        </is>
      </c>
      <c r="C146" s="13">
        <f>'الإدارة المالية'!C5</f>
        <v/>
      </c>
      <c r="D146" s="15">
        <f>'الإدارة المالية'!J5</f>
        <v/>
      </c>
      <c r="E146" s="13">
        <f>'الإدارة المالية'!K5</f>
        <v/>
      </c>
      <c r="F146" s="15">
        <f>'الإدارة المالية'!L5</f>
        <v/>
      </c>
      <c r="G146" s="50">
        <f>'الإدارة المالية'!N5</f>
        <v/>
      </c>
      <c r="H146" s="15">
        <f>'الإدارة المالية'!O5</f>
        <v/>
      </c>
      <c r="I146" s="24">
        <f>'الإدارة المالية'!G5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الإدارة المالية</t>
        </is>
      </c>
      <c r="C147" s="13">
        <f>'الإدارة المالية'!C6</f>
        <v/>
      </c>
      <c r="D147" s="15">
        <f>'الإدارة المالية'!J6</f>
        <v/>
      </c>
      <c r="E147" s="13">
        <f>'الإدارة المالية'!K6</f>
        <v/>
      </c>
      <c r="F147" s="15">
        <f>'الإدارة المالية'!L6</f>
        <v/>
      </c>
      <c r="G147" s="50">
        <f>'الإدارة المالية'!N6</f>
        <v/>
      </c>
      <c r="H147" s="15">
        <f>'الإدارة المالية'!O6</f>
        <v/>
      </c>
      <c r="I147" s="24">
        <f>'الإدارة المالية'!G6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الإدارة المالية</t>
        </is>
      </c>
      <c r="C148" s="13">
        <f>'الإدارة المالية'!C7</f>
        <v/>
      </c>
      <c r="D148" s="15">
        <f>'الإدارة المالية'!J7</f>
        <v/>
      </c>
      <c r="E148" s="13">
        <f>'الإدارة المالية'!K7</f>
        <v/>
      </c>
      <c r="F148" s="15">
        <f>'الإدارة المالية'!L7</f>
        <v/>
      </c>
      <c r="G148" s="50">
        <f>'الإدارة المالية'!N7</f>
        <v/>
      </c>
      <c r="H148" s="15">
        <f>'الإدارة المالية'!O7</f>
        <v/>
      </c>
      <c r="I148" s="24">
        <f>'الإدارة المالية'!G7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الإدارة المالية</t>
        </is>
      </c>
      <c r="C149" s="13">
        <f>'الإدارة المالية'!C8</f>
        <v/>
      </c>
      <c r="D149" s="15">
        <f>'الإدارة المالية'!J8</f>
        <v/>
      </c>
      <c r="E149" s="13">
        <f>'الإدارة المالية'!K8</f>
        <v/>
      </c>
      <c r="F149" s="15">
        <f>'الإدارة المالية'!L8</f>
        <v/>
      </c>
      <c r="G149" s="50">
        <f>'الإدارة المالية'!N8</f>
        <v/>
      </c>
      <c r="H149" s="15">
        <f>'الإدارة المالية'!O8</f>
        <v/>
      </c>
      <c r="I149" s="24">
        <f>'الإدارة المالية'!G8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الإدارة المالية</t>
        </is>
      </c>
      <c r="C150" s="13">
        <f>'الإدارة المالية'!C9</f>
        <v/>
      </c>
      <c r="D150" s="15">
        <f>'الإدارة المالية'!J9</f>
        <v/>
      </c>
      <c r="E150" s="13">
        <f>'الإدارة المالية'!K9</f>
        <v/>
      </c>
      <c r="F150" s="15">
        <f>'الإدارة المالية'!L9</f>
        <v/>
      </c>
      <c r="G150" s="50">
        <f>'الإدارة المالية'!N9</f>
        <v/>
      </c>
      <c r="H150" s="15">
        <f>'الإدارة المالية'!O9</f>
        <v/>
      </c>
      <c r="I150" s="24">
        <f>'الإدارة المالية'!G9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الإدارة المالية</t>
        </is>
      </c>
      <c r="C151" s="13">
        <f>'الإدارة المالية'!C10</f>
        <v/>
      </c>
      <c r="D151" s="15">
        <f>'الإدارة المالية'!J10</f>
        <v/>
      </c>
      <c r="E151" s="13">
        <f>'الإدارة المالية'!K10</f>
        <v/>
      </c>
      <c r="F151" s="15">
        <f>'الإدارة المالية'!L10</f>
        <v/>
      </c>
      <c r="G151" s="50">
        <f>'الإدارة المالية'!N10</f>
        <v/>
      </c>
      <c r="H151" s="15">
        <f>'الإدارة المالية'!O10</f>
        <v/>
      </c>
      <c r="I151" s="24">
        <f>'الإدارة المالية'!G10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الإدارة المالية</t>
        </is>
      </c>
      <c r="C152" s="13">
        <f>'الإدارة المالية'!C11</f>
        <v/>
      </c>
      <c r="D152" s="15">
        <f>'الإدارة المالية'!J11</f>
        <v/>
      </c>
      <c r="E152" s="13">
        <f>'الإدارة المالية'!K11</f>
        <v/>
      </c>
      <c r="F152" s="15">
        <f>'الإدارة المالية'!L11</f>
        <v/>
      </c>
      <c r="G152" s="50">
        <f>'الإدارة المالية'!N11</f>
        <v/>
      </c>
      <c r="H152" s="15">
        <f>'الإدارة المالية'!O11</f>
        <v/>
      </c>
      <c r="I152" s="24">
        <f>'الإدارة المالية'!G11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الإدارة المالية</t>
        </is>
      </c>
      <c r="C153" s="13">
        <f>'الإدارة المالية'!C12</f>
        <v/>
      </c>
      <c r="D153" s="15">
        <f>'الإدارة المالية'!J12</f>
        <v/>
      </c>
      <c r="E153" s="13">
        <f>'الإدارة المالية'!K12</f>
        <v/>
      </c>
      <c r="F153" s="15">
        <f>'الإدارة المالية'!L12</f>
        <v/>
      </c>
      <c r="G153" s="50">
        <f>'الإدارة المالية'!N12</f>
        <v/>
      </c>
      <c r="H153" s="15">
        <f>'الإدارة المالية'!O12</f>
        <v/>
      </c>
      <c r="I153" s="24">
        <f>'الإدارة المالية'!G12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الإدارة المالية</t>
        </is>
      </c>
      <c r="C154" s="13">
        <f>'الإدارة المالية'!C13</f>
        <v/>
      </c>
      <c r="D154" s="15">
        <f>'الإدارة المالية'!J13</f>
        <v/>
      </c>
      <c r="E154" s="13">
        <f>'الإدارة المالية'!K13</f>
        <v/>
      </c>
      <c r="F154" s="15">
        <f>'الإدارة المالية'!L13</f>
        <v/>
      </c>
      <c r="G154" s="50">
        <f>'الإدارة المالية'!N13</f>
        <v/>
      </c>
      <c r="H154" s="15">
        <f>'الإدارة المالية'!O13</f>
        <v/>
      </c>
      <c r="I154" s="24">
        <f>'الإدارة المالية'!G13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الإدارة المالية</t>
        </is>
      </c>
      <c r="C155" s="13">
        <f>'الإدارة المالية'!C14</f>
        <v/>
      </c>
      <c r="D155" s="15">
        <f>'الإدارة المالية'!J14</f>
        <v/>
      </c>
      <c r="E155" s="13">
        <f>'الإدارة المالية'!K14</f>
        <v/>
      </c>
      <c r="F155" s="15">
        <f>'الإدارة المالية'!L14</f>
        <v/>
      </c>
      <c r="G155" s="50">
        <f>'الإدارة المالية'!N14</f>
        <v/>
      </c>
      <c r="H155" s="15">
        <f>'الإدارة المالية'!O14</f>
        <v/>
      </c>
      <c r="I155" s="24">
        <f>'الإدارة المالية'!G14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الإدارة المالية</t>
        </is>
      </c>
      <c r="C156" s="13">
        <f>'الإدارة المالية'!C15</f>
        <v/>
      </c>
      <c r="D156" s="15">
        <f>'الإدارة المالية'!J15</f>
        <v/>
      </c>
      <c r="E156" s="13">
        <f>'الإدارة المالية'!K15</f>
        <v/>
      </c>
      <c r="F156" s="15">
        <f>'الإدارة المالية'!L15</f>
        <v/>
      </c>
      <c r="G156" s="50">
        <f>'الإدارة المالية'!N15</f>
        <v/>
      </c>
      <c r="H156" s="15">
        <f>'الإدارة المالية'!O15</f>
        <v/>
      </c>
      <c r="I156" s="24">
        <f>'الإدارة المالية'!G15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الإدارة المالية</t>
        </is>
      </c>
      <c r="C157" s="13">
        <f>'الإدارة المالية'!C16</f>
        <v/>
      </c>
      <c r="D157" s="15">
        <f>'الإدارة المالية'!J16</f>
        <v/>
      </c>
      <c r="E157" s="13">
        <f>'الإدارة المالية'!K16</f>
        <v/>
      </c>
      <c r="F157" s="15">
        <f>'الإدارة المالية'!L16</f>
        <v/>
      </c>
      <c r="G157" s="50">
        <f>'الإدارة المالية'!N16</f>
        <v/>
      </c>
      <c r="H157" s="15">
        <f>'الإدارة المالية'!O16</f>
        <v/>
      </c>
      <c r="I157" s="24">
        <f>'الإدارة المالية'!G16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الإدارة المالية</t>
        </is>
      </c>
      <c r="C158" s="13">
        <f>'الإدارة المالية'!C17</f>
        <v/>
      </c>
      <c r="D158" s="15">
        <f>'الإدارة المالية'!J17</f>
        <v/>
      </c>
      <c r="E158" s="13">
        <f>'الإدارة المالية'!K17</f>
        <v/>
      </c>
      <c r="F158" s="15">
        <f>'الإدارة المالية'!L17</f>
        <v/>
      </c>
      <c r="G158" s="50">
        <f>'الإدارة المالية'!N17</f>
        <v/>
      </c>
      <c r="H158" s="15">
        <f>'الإدارة المالية'!O17</f>
        <v/>
      </c>
      <c r="I158" s="24">
        <f>'الإدارة المالية'!G17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الإدارة المالية</t>
        </is>
      </c>
      <c r="C159" s="13">
        <f>'الإدارة المالية'!C18</f>
        <v/>
      </c>
      <c r="D159" s="15">
        <f>'الإدارة المالية'!J18</f>
        <v/>
      </c>
      <c r="E159" s="13">
        <f>'الإدارة المالية'!K18</f>
        <v/>
      </c>
      <c r="F159" s="15">
        <f>'الإدارة المالية'!L18</f>
        <v/>
      </c>
      <c r="G159" s="50">
        <f>'الإدارة المالية'!N18</f>
        <v/>
      </c>
      <c r="H159" s="15">
        <f>'الإدارة المالية'!O18</f>
        <v/>
      </c>
      <c r="I159" s="24">
        <f>'الإدارة المالية'!G18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الإدارة المالية</t>
        </is>
      </c>
      <c r="C160" s="13">
        <f>'الإدارة المالية'!C19</f>
        <v/>
      </c>
      <c r="D160" s="15">
        <f>'الإدارة المالية'!J19</f>
        <v/>
      </c>
      <c r="E160" s="13">
        <f>'الإدارة المالية'!K19</f>
        <v/>
      </c>
      <c r="F160" s="15">
        <f>'الإدارة المالية'!L19</f>
        <v/>
      </c>
      <c r="G160" s="50">
        <f>'الإدارة المالية'!N19</f>
        <v/>
      </c>
      <c r="H160" s="15">
        <f>'الإدارة المالية'!O19</f>
        <v/>
      </c>
      <c r="I160" s="24">
        <f>'الإدارة المالية'!G19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الإدارة المالية</t>
        </is>
      </c>
      <c r="C161" s="13">
        <f>'الإدارة المالية'!C20</f>
        <v/>
      </c>
      <c r="D161" s="15">
        <f>'الإدارة المالية'!J20</f>
        <v/>
      </c>
      <c r="E161" s="13">
        <f>'الإدارة المالية'!K20</f>
        <v/>
      </c>
      <c r="F161" s="15">
        <f>'الإدارة المالية'!L20</f>
        <v/>
      </c>
      <c r="G161" s="50">
        <f>'الإدارة المالية'!N20</f>
        <v/>
      </c>
      <c r="H161" s="15">
        <f>'الإدارة المالية'!O20</f>
        <v/>
      </c>
      <c r="I161" s="24">
        <f>'الإدارة المالية'!G20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الإدارة المالية</t>
        </is>
      </c>
      <c r="C162" s="13">
        <f>'الإدارة المالية'!C21</f>
        <v/>
      </c>
      <c r="D162" s="15">
        <f>'الإدارة المالية'!J21</f>
        <v/>
      </c>
      <c r="E162" s="13">
        <f>'الإدارة المالية'!K21</f>
        <v/>
      </c>
      <c r="F162" s="15">
        <f>'الإدارة المالية'!L21</f>
        <v/>
      </c>
      <c r="G162" s="50">
        <f>'الإدارة المالية'!N21</f>
        <v/>
      </c>
      <c r="H162" s="15">
        <f>'الإدارة المالية'!O21</f>
        <v/>
      </c>
      <c r="I162" s="24">
        <f>'الإدارة المالية'!G21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الإدارة المالية</t>
        </is>
      </c>
      <c r="C163" s="13">
        <f>'الإدارة المالية'!C22</f>
        <v/>
      </c>
      <c r="D163" s="15">
        <f>'الإدارة المالية'!J22</f>
        <v/>
      </c>
      <c r="E163" s="13">
        <f>'الإدارة المالية'!K22</f>
        <v/>
      </c>
      <c r="F163" s="15">
        <f>'الإدارة المالية'!L22</f>
        <v/>
      </c>
      <c r="G163" s="50">
        <f>'الإدارة المالية'!N22</f>
        <v/>
      </c>
      <c r="H163" s="15">
        <f>'الإدارة المالية'!O22</f>
        <v/>
      </c>
      <c r="I163" s="24">
        <f>'الإدارة المالية'!G22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الإدارة المالية</t>
        </is>
      </c>
      <c r="C164" s="13">
        <f>'الإدارة المالية'!C23</f>
        <v/>
      </c>
      <c r="D164" s="15">
        <f>'الإدارة المالية'!J23</f>
        <v/>
      </c>
      <c r="E164" s="13">
        <f>'الإدارة المالية'!K23</f>
        <v/>
      </c>
      <c r="F164" s="15">
        <f>'الإدارة المالية'!L23</f>
        <v/>
      </c>
      <c r="G164" s="50">
        <f>'الإدارة المالية'!N23</f>
        <v/>
      </c>
      <c r="H164" s="15">
        <f>'الإدارة المالية'!O23</f>
        <v/>
      </c>
      <c r="I164" s="24">
        <f>'الإدارة المالية'!G23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الإدارة المالية</t>
        </is>
      </c>
      <c r="C165" s="13">
        <f>'الإدارة المالية'!C24</f>
        <v/>
      </c>
      <c r="D165" s="15">
        <f>'الإدارة المالية'!J24</f>
        <v/>
      </c>
      <c r="E165" s="13">
        <f>'الإدارة المالية'!K24</f>
        <v/>
      </c>
      <c r="F165" s="15">
        <f>'الإدارة المالية'!L24</f>
        <v/>
      </c>
      <c r="G165" s="50">
        <f>'الإدارة المالية'!N24</f>
        <v/>
      </c>
      <c r="H165" s="15">
        <f>'الإدارة المالية'!O24</f>
        <v/>
      </c>
      <c r="I165" s="24">
        <f>'الإدارة المالية'!G24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الإدارة المالية</t>
        </is>
      </c>
      <c r="C166" s="13">
        <f>'الإدارة المالية'!C25</f>
        <v/>
      </c>
      <c r="D166" s="15">
        <f>'الإدارة المالية'!J25</f>
        <v/>
      </c>
      <c r="E166" s="13">
        <f>'الإدارة المالية'!K25</f>
        <v/>
      </c>
      <c r="F166" s="15">
        <f>'الإدارة المالية'!L25</f>
        <v/>
      </c>
      <c r="G166" s="50">
        <f>'الإدارة المالية'!N25</f>
        <v/>
      </c>
      <c r="H166" s="15">
        <f>'الإدارة المالية'!O25</f>
        <v/>
      </c>
      <c r="I166" s="24">
        <f>'الإدارة المالية'!G25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الإدارة المالية</t>
        </is>
      </c>
      <c r="C167" s="13">
        <f>'الإدارة المالية'!C26</f>
        <v/>
      </c>
      <c r="D167" s="15">
        <f>'الإدارة المالية'!J26</f>
        <v/>
      </c>
      <c r="E167" s="13">
        <f>'الإدارة المالية'!K26</f>
        <v/>
      </c>
      <c r="F167" s="15">
        <f>'الإدارة المالية'!L26</f>
        <v/>
      </c>
      <c r="G167" s="50">
        <f>'الإدارة المالية'!N26</f>
        <v/>
      </c>
      <c r="H167" s="15">
        <f>'الإدارة المالية'!O26</f>
        <v/>
      </c>
      <c r="I167" s="24">
        <f>'الإدارة المالية'!G26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الإدارة المالية</t>
        </is>
      </c>
      <c r="C168" s="13">
        <f>'الإدارة المالية'!C27</f>
        <v/>
      </c>
      <c r="D168" s="15">
        <f>'الإدارة المالية'!J27</f>
        <v/>
      </c>
      <c r="E168" s="13">
        <f>'الإدارة المالية'!K27</f>
        <v/>
      </c>
      <c r="F168" s="15">
        <f>'الإدارة المالية'!L27</f>
        <v/>
      </c>
      <c r="G168" s="50">
        <f>'الإدارة المالية'!N27</f>
        <v/>
      </c>
      <c r="H168" s="15">
        <f>'الإدارة المالية'!O27</f>
        <v/>
      </c>
      <c r="I168" s="24">
        <f>'الإدارة المالية'!G27</f>
        <v/>
      </c>
      <c r="J168" s="15">
        <f>IF($G168="",0,$G168*$I168)</f>
        <v/>
      </c>
      <c r="K168" s="15">
        <f>IF($G168="",0,$I168)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2026-07-28T06:08:01Z</dcterms:created>
  <dcterms:modified xmlns:dcterms="http://purl.org/dc/terms/" xmlns:xsi="http://www.w3.org/2001/XMLSchema-instance" xsi:type="dcterms:W3CDTF">2026-07-28T06:08:03Z</dcterms:modified>
</cp:coreProperties>
</file>