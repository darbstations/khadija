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الانحراف'!$A$2:$M$158</definedName>
    <definedName name="_xlnm._FilterDatabase" localSheetId="5" hidden="1">'التتبّع الشهري'!$A$3:$X$224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المؤشرات'!$A$2:$N$223</definedName>
    <definedName name="_xlnm._FilterDatabase" localSheetId="10" hidden="1">'بيانات الباوربي'!$A$1:$AC$222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الإمداد'!$A$3:$R$12</definedName>
    <definedName name="_xlnm._FilterDatabase" localSheetId="18" hidden="1">'الصيانة والأتمتة'!$A$3:$R$13</definedName>
    <definedName name="_xlnm._FilterDatabase" localSheetId="19" hidden="1">'التقنية الرقمية'!$A$3:$R$12</definedName>
    <definedName name="_xlnm._FilterDatabase" localSheetId="20" hidden="1">'الموارد البشرية'!$A$3:$R$19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المؤشرات'!$G$2:$G$222,'قاعدة المؤشرات'!$D$2:$D$222,"النمو"),"—")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المؤشرات'!$G$2:$G$222,'قاعدة المؤشرات'!$D$2:$D$222,"الابتكار"),"—")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المؤشرات'!$G$2:$G$222,'قاعدة المؤشرات'!$D$2:$D$222,"الاستدامة"),"—")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المؤشرات'!$E$2:$E$222,"التوسع في المواقع")</f>
        <v/>
      </c>
      <c r="E19" s="10">
        <f>IFERROR(AVERAGEIFS('قاعدة المؤشرات'!$G$2:$G$222,'قاعدة المؤشرات'!$E$2:$E$222,"التوسع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المؤشرات'!$E$2:$E$222,"الامتياز التجاري")</f>
        <v/>
      </c>
      <c r="E20" s="10">
        <f>IFERROR(AVERAGEIFS('قاعدة المؤشرات'!$G$2:$G$222,'قاعدة المؤشرات'!$E$2:$E$222,"الامتياز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المؤشرات'!$E$2:$E$222,"زيادة وصول العملاء")</f>
        <v/>
      </c>
      <c r="E21" s="10">
        <f>IFERROR(AVERAGEIFS('قاعدة المؤشرات'!$G$2:$G$222,'قاعدة المؤشرات'!$E$2:$E$222,"زيادة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المؤشرات'!$E$2:$E$222,"إطلاق مشاريع جديدة")</f>
        <v/>
      </c>
      <c r="E22" s="10">
        <f>IFERROR(AVERAGEIFS('قاعدة المؤشرات'!$G$2:$G$222,'قاعدة المؤشرات'!$E$2:$E$222,"إطلاق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المؤشرات'!$E$2:$E$222,"تطوير التصاميم والهوية")</f>
        <v/>
      </c>
      <c r="E23" s="10">
        <f>IFERROR(AVERAGEIFS('قاعدة المؤشرات'!$G$2:$G$222,'قاعدة المؤشرات'!$E$2:$E$222,"تطوير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المؤشرات'!$E$2:$E$222,"التحول التقني")</f>
        <v/>
      </c>
      <c r="E24" s="10">
        <f>IFERROR(AVERAGEIFS('قاعدة المؤشرات'!$G$2:$G$222,'قاعدة المؤشرات'!$E$2:$E$222,"التحول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المؤشرات'!$E$2:$E$222,"ساحات درب")</f>
        <v/>
      </c>
      <c r="E25" s="10">
        <f>IFERROR(AVERAGEIFS('قاعدة المؤشرات'!$G$2:$G$222,'قاعدة المؤشرات'!$E$2:$E$222,"ساحات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المؤشرات'!$E$2:$E$222,"تطبيق «تانكي»")</f>
        <v/>
      </c>
      <c r="E26" s="10">
        <f>IFERROR(AVERAGEIFS('قاعدة المؤشرات'!$G$2:$G$222,'قاعدة المؤشرات'!$E$2:$E$222,"تطبيق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المؤشرات'!$E$2:$E$222,"تعزيز تجربة العملاء")</f>
        <v/>
      </c>
      <c r="E27" s="10">
        <f>IFERROR(AVERAGEIFS('قاعدة المؤشرات'!$G$2:$G$222,'قاعدة المؤشرات'!$E$2:$E$222,"تعزيز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المؤشرات'!$E$2:$E$222,"جودة التشغيل")</f>
        <v/>
      </c>
      <c r="E28" s="10">
        <f>IFERROR(AVERAGEIFS('قاعدة المؤشرات'!$G$2:$G$222,'قاعدة المؤشرات'!$E$2:$E$222,"جودة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المؤشرات'!$E$2:$E$222,"منظومة التأجير")</f>
        <v/>
      </c>
      <c r="E29" s="10">
        <f>IFERROR(AVERAGEIFS('قاعدة المؤشرات'!$G$2:$G$222,'قاعدة المؤشرات'!$E$2:$E$222,"منظومة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المؤشرات'!$E$2:$E$222,"الاستثمار في الموظفين")</f>
        <v/>
      </c>
      <c r="E30" s="10">
        <f>IFERROR(AVERAGEIFS('قاعدة المؤشرات'!$G$2:$G$222,'قاعدة المؤشرات'!$E$2:$E$222,"الاستثمار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المؤشرات'!$G$2:$G$222,'قاعدة المؤشرات'!$F$2:$F$222,"مالي"),"—")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المؤشرات'!$G$2:$G$222,'قاعدة المؤشرات'!$E$2:$E$222,"زيادة وصول العملاء"),"—")</f>
        <v/>
      </c>
      <c r="E10" s="35">
        <f>IFERROR(AVERAGEIFS('قاعدة المؤشرات'!$G$2:$G$222,'قاعدة المؤشرات'!$E$2:$E$222,"تعزيز تجربة العملاء"),"—")</f>
        <v/>
      </c>
      <c r="H10" s="35">
        <f>IFERROR(AVERAGEIFS('قاعدة المؤشرات'!$G$2:$G$222,'قاعدة المؤشرات'!$E$2:$E$222,"تطبيق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المؤشرات'!$G$2:$G$222,'قاعدة المؤشرات'!$E$2:$E$222,"التوسع في المواقع"),"—")</f>
        <v/>
      </c>
      <c r="D14" s="37">
        <f>IFERROR(AVERAGEIFS('قاعدة المؤشرات'!$G$2:$G$222,'قاعدة المؤشرات'!$E$2:$E$222,"الامتياز التجاري"),"—")</f>
        <v/>
      </c>
      <c r="F14" s="37">
        <f>IFERROR(AVERAGEIFS('قاعدة المؤشرات'!$G$2:$G$222,'قاعدة المؤشرات'!$E$2:$E$222,"منظومة التأجير"),"—")</f>
        <v/>
      </c>
      <c r="H14" s="37">
        <f>IFERROR(AVERAGEIFS('قاعدة المؤشرات'!$G$2:$G$222,'قاعدة المؤشرات'!$E$2:$E$222,"ساحات درب"),"—")</f>
        <v/>
      </c>
      <c r="J14" s="37">
        <f>IFERROR(AVERAGEIFS('قاعدة المؤشرات'!$G$2:$G$222,'قاعدة المؤشرات'!$E$2:$E$222,"جودة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المؤشرات'!$G$2:$G$222,'قاعدة المؤشرات'!$E$2:$E$222,"الاستثمار في الموظفين"),"—")</f>
        <v/>
      </c>
      <c r="D18" s="39">
        <f>IFERROR(AVERAGEIFS('قاعدة المؤشرات'!$G$2:$G$222,'قاعدة المؤشرات'!$E$2:$E$222,"التحول التقني"),"—")</f>
        <v/>
      </c>
      <c r="F18" s="39">
        <f>IFERROR(AVERAGEIFS('قاعدة المؤشرات'!$G$2:$G$222,'قاعدة المؤشرات'!$E$2:$E$222,"إطلاق مشاريع جديدة"),"—")</f>
        <v/>
      </c>
      <c r="H18" s="39">
        <f>IFERROR(AVERAGEIFS('قاعدة المؤشرات'!$G$2:$G$222,'قاعدة المؤشرات'!$E$2:$E$222,"تطوير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المؤشرات'!$H$2:$H$222,"✅ محقق",'قاعدة المؤشرات'!$B$2:$B$222,"&lt;&gt;الإدارة التنفيذية")</f>
        <v/>
      </c>
      <c r="D5" s="5">
        <f>COUNTIFS('قاعدة المؤشرات'!$H$2:$H$222,"🟡 قريب",'قاعدة المؤشرات'!$B$2:$B$222,"&lt;&gt;الإدارة التنفيذية")</f>
        <v/>
      </c>
      <c r="E5" s="5">
        <f>COUNTIFS('قاعدة المؤشرات'!$H$2:$H$222,"🔴 تحت الهدف",'قاعدة المؤشرات'!$B$2:$B$222,"&lt;&gt;الإدارة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المؤشرات'!$B$2:$B$222,"الإدارة التنفيذية",'قاعدة المؤشرات'!$J$2:$J$222)/SUMIF('قاعدة المؤشرات'!$B$2:$B$222,"الإدارة التنفيذية",'قاعدة المؤشرات'!$K$2:$K$222),"—")</f>
        <v/>
      </c>
      <c r="D9" s="9" t="inlineStr">
        <is>
          <t>النمو</t>
        </is>
      </c>
      <c r="E9" s="10">
        <f>IFERROR(AVERAGEIFS('قاعدة المؤشرات'!$G$2:$G$222,'قاعدة المؤشرات'!$D$2:$D$222,"النمو"),"—")</f>
        <v/>
      </c>
      <c r="H9" s="15">
        <f>IFERROR(SUMIF('قاعدة المؤشرات'!$B$2:$B$222,"الإدارة التنفيذية",'قاعدة المؤشرات'!$J$2:$J$222)/SUMIF('قاعدة المؤشرات'!$B$2:$B$222,"الإدارة التنفيذية",'قاعدة المؤشرات'!$K$2:$K$222),0)</f>
        <v/>
      </c>
      <c r="I9" s="15" t="n">
        <v>0</v>
      </c>
      <c r="J9" s="15">
        <f>IF(SUMIF('قاعدة المؤشرات'!$B$2:$B$222,"الإدارة التنفيذية",'قاعدة المؤشرات'!$K$2:$K$222)=0,0,1)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المؤشرات'!$B$2:$B$222,"الامتياز التجاري",'قاعدة المؤشرات'!$J$2:$J$222)/SUMIF('قاعدة المؤشرات'!$B$2:$B$222,"الامتياز التجاري",'قاعدة المؤشرات'!$K$2:$K$222),"—")</f>
        <v/>
      </c>
      <c r="D10" s="9" t="inlineStr">
        <is>
          <t>الابتكار</t>
        </is>
      </c>
      <c r="E10" s="10">
        <f>IFERROR(AVERAGEIFS('قاعدة المؤشرات'!$G$2:$G$222,'قاعدة المؤشرات'!$D$2:$D$222,"الابتكار"),"—")</f>
        <v/>
      </c>
      <c r="H10" s="15">
        <f>IFERROR(SUMIF('قاعدة المؤشرات'!$B$2:$B$222,"الامتياز التجاري",'قاعدة المؤشرات'!$J$2:$J$222)/SUMIF('قاعدة المؤشرات'!$B$2:$B$222,"الامتياز التجاري",'قاعدة المؤشرات'!$K$2:$K$222),0)</f>
        <v/>
      </c>
      <c r="I10" s="15" t="n">
        <v>0.14</v>
      </c>
      <c r="J10" s="15">
        <f>IF(SUMIF('قاعدة المؤشرات'!$B$2:$B$222,"الامتياز التجاري",'قاعدة المؤشرات'!$K$2:$K$222)=0,0,1)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المؤشرات'!$B$2:$B$222,"التشغيل والمحطات",'قاعدة المؤشرات'!$J$2:$J$222)/SUMIF('قاعدة المؤشرات'!$B$2:$B$222,"التشغيل والمحطات",'قاعدة المؤشرات'!$K$2:$K$222),"—")</f>
        <v/>
      </c>
      <c r="D11" s="9" t="inlineStr">
        <is>
          <t>الاستدامة</t>
        </is>
      </c>
      <c r="E11" s="10">
        <f>IFERROR(AVERAGEIFS('قاعدة المؤشرات'!$G$2:$G$222,'قاعدة المؤشرات'!$D$2:$D$222,"الاستدامة"),"—")</f>
        <v/>
      </c>
      <c r="H11" s="15">
        <f>IFERROR(SUMIF('قاعدة المؤشرات'!$B$2:$B$222,"التشغيل والمحطات",'قاعدة المؤشرات'!$J$2:$J$222)/SUMIF('قاعدة المؤشرات'!$B$2:$B$222,"التشغيل والمحطات",'قاعدة المؤشرات'!$K$2:$K$222),0)</f>
        <v/>
      </c>
      <c r="I11" s="15" t="n">
        <v>0.12</v>
      </c>
      <c r="J11" s="15">
        <f>IF(SUMIF('قاعدة المؤشرات'!$B$2:$B$222,"التشغيل والمحطات",'قاعدة المؤشرات'!$K$2:$K$222)=0,0,1)</f>
        <v/>
      </c>
    </row>
    <row r="12">
      <c r="B12" s="9" t="inlineStr">
        <is>
          <t>الاستثمار</t>
        </is>
      </c>
      <c r="C12" s="10">
        <f>IFERROR(SUMIF('قاعدة المؤشرات'!$B$2:$B$222,"الاستثمار",'قاعدة المؤشرات'!$J$2:$J$222)/SUMIF('قاعدة المؤشرات'!$B$2:$B$222,"الاستثمار",'قاعدة المؤشرات'!$K$2:$K$222),"—")</f>
        <v/>
      </c>
      <c r="H12" s="15">
        <f>IFERROR(SUMIF('قاعدة المؤشرات'!$B$2:$B$222,"الاستثمار",'قاعدة المؤشرات'!$J$2:$J$222)/SUMIF('قاعدة المؤشرات'!$B$2:$B$222,"الاستثمار",'قاعدة المؤشرات'!$K$2:$K$222),0)</f>
        <v/>
      </c>
      <c r="I12" s="15" t="n">
        <v>0.11</v>
      </c>
      <c r="J12" s="15">
        <f>IF(SUMIF('قاعدة المؤشرات'!$B$2:$B$222,"الاستثمار",'قاعدة المؤشرات'!$K$2:$K$222)=0,0,1)</f>
        <v/>
      </c>
    </row>
    <row r="13">
      <c r="B13" s="9" t="inlineStr">
        <is>
          <t>العقار</t>
        </is>
      </c>
      <c r="C13" s="10">
        <f>IFERROR(SUMIF('قاعدة المؤشرات'!$B$2:$B$222,"العقار",'قاعدة المؤشرات'!$J$2:$J$222)/SUMIF('قاعدة المؤشرات'!$B$2:$B$222,"العقار",'قاعدة المؤشرات'!$K$2:$K$222),"—")</f>
        <v/>
      </c>
      <c r="D13" s="42" t="inlineStr">
        <is>
          <t>حسب منظور BSC</t>
        </is>
      </c>
      <c r="E13" s="7" t="n"/>
      <c r="H13" s="15">
        <f>IFERROR(SUMIF('قاعدة المؤشرات'!$B$2:$B$222,"العقار",'قاعدة المؤشرات'!$J$2:$J$222)/SUMIF('قاعدة المؤشرات'!$B$2:$B$222,"العقار",'قاعدة المؤشرات'!$K$2:$K$222),0)</f>
        <v/>
      </c>
      <c r="I13" s="15" t="n">
        <v>0.09</v>
      </c>
      <c r="J13" s="15">
        <f>IF(SUMIF('قاعدة المؤشرات'!$B$2:$B$222,"العقار",'قاعدة المؤشرات'!$K$2:$K$222)=0,0,1)</f>
        <v/>
      </c>
    </row>
    <row r="14">
      <c r="B14" s="9" t="inlineStr">
        <is>
          <t>إدارة المشاريع</t>
        </is>
      </c>
      <c r="C14" s="10">
        <f>IFERROR(SUMIF('قاعدة المؤشرات'!$B$2:$B$222,"إدارة المشاريع",'قاعدة المؤشرات'!$J$2:$J$222)/SUMIF('قاعدة المؤشرات'!$B$2:$B$222,"إدارة المشاريع",'قاعدة المؤشرات'!$K$2:$K$222),"—")</f>
        <v/>
      </c>
      <c r="D14" s="9" t="inlineStr">
        <is>
          <t>مالي</t>
        </is>
      </c>
      <c r="E14" s="10">
        <f>IFERROR(AVERAGEIFS('قاعدة المؤشرات'!$G$2:$G$222,'قاعدة المؤشرات'!$F$2:$F$222,"مالي"),"—")</f>
        <v/>
      </c>
      <c r="H14" s="15">
        <f>IFERROR(SUMIF('قاعدة المؤشرات'!$B$2:$B$222,"إدارة المشاريع",'قاعدة المؤشرات'!$J$2:$J$222)/SUMIF('قاعدة المؤشرات'!$B$2:$B$222,"إدارة المشاريع",'قاعدة المؤشرات'!$K$2:$K$222),0)</f>
        <v/>
      </c>
      <c r="I14" s="15" t="n">
        <v>0.08</v>
      </c>
      <c r="J14" s="15">
        <f>IF(SUMIF('قاعدة المؤشرات'!$B$2:$B$222,"إدارة المشاريع",'قاعدة المؤشرات'!$K$2:$K$222)=0,0,1)</f>
        <v/>
      </c>
    </row>
    <row r="15">
      <c r="B15" s="9" t="inlineStr">
        <is>
          <t>سلاسل الإمداد</t>
        </is>
      </c>
      <c r="C15" s="10">
        <f>IFERROR(SUMIF('قاعدة المؤشرات'!$B$2:$B$222,"سلاسل الإمداد",'قاعدة المؤشرات'!$J$2:$J$222)/SUMIF('قاعدة المؤشرات'!$B$2:$B$222,"سلاسل الإمداد",'قاعدة المؤشرات'!$K$2:$K$222),"—")</f>
        <v/>
      </c>
      <c r="D15" s="9" t="inlineStr">
        <is>
          <t>العملاء</t>
        </is>
      </c>
      <c r="E15" s="10">
        <f>IFERROR(AVERAGEIFS('قاعدة المؤشرات'!$G$2:$G$222,'قاعدة المؤشرات'!$F$2:$F$222,"العملاء"),"—")</f>
        <v/>
      </c>
      <c r="H15" s="15">
        <f>IFERROR(SUMIF('قاعدة المؤشرات'!$B$2:$B$222,"سلاسل الإمداد",'قاعدة المؤشرات'!$J$2:$J$222)/SUMIF('قاعدة المؤشرات'!$B$2:$B$222,"سلاسل الإمداد",'قاعدة المؤشرات'!$K$2:$K$222),0)</f>
        <v/>
      </c>
      <c r="I15" s="15" t="n">
        <v>0.1</v>
      </c>
      <c r="J15" s="15">
        <f>IF(SUMIF('قاعدة المؤشرات'!$B$2:$B$222,"سلاسل الإمداد",'قاعدة المؤشرات'!$K$2:$K$222)=0,0,1)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المؤشرات'!$B$2:$B$222,"الصيانة والأتمتة",'قاعدة المؤشرات'!$J$2:$J$222)/SUMIF('قاعدة المؤشرات'!$B$2:$B$222,"الصيانة والأتمتة",'قاعدة المؤشرات'!$K$2:$K$222),"—")</f>
        <v/>
      </c>
      <c r="D16" s="9" t="inlineStr">
        <is>
          <t>العمليات الداخلية</t>
        </is>
      </c>
      <c r="E16" s="10">
        <f>IFERROR(AVERAGEIFS('قاعدة المؤشرات'!$G$2:$G$222,'قاعدة المؤشرات'!$F$2:$F$222,"العمليات الداخلية"),"—")</f>
        <v/>
      </c>
      <c r="H16" s="15">
        <f>IFERROR(SUMIF('قاعدة المؤشرات'!$B$2:$B$222,"الصيانة والأتمتة",'قاعدة المؤشرات'!$J$2:$J$222)/SUMIF('قاعدة المؤشرات'!$B$2:$B$222,"الصيانة والأتمتة",'قاعدة المؤشرات'!$K$2:$K$222),0)</f>
        <v/>
      </c>
      <c r="I16" s="15" t="n">
        <v>0.07000000000000001</v>
      </c>
      <c r="J16" s="15">
        <f>IF(SUMIF('قاعدة المؤشرات'!$B$2:$B$222,"الصيانة والأتمتة",'قاعدة المؤشرات'!$K$2:$K$222)=0,0,1)</f>
        <v/>
      </c>
    </row>
    <row r="17">
      <c r="B17" s="9" t="inlineStr">
        <is>
          <t>التقنية الرقمية</t>
        </is>
      </c>
      <c r="C17" s="10">
        <f>IFERROR(SUMIF('قاعدة المؤشرات'!$B$2:$B$222,"التقنية الرقمية",'قاعدة المؤشرات'!$J$2:$J$222)/SUMIF('قاعدة المؤشرات'!$B$2:$B$222,"التقنية الرقمية",'قاعدة المؤشرات'!$K$2:$K$222),"—")</f>
        <v/>
      </c>
      <c r="D17" s="9" t="inlineStr">
        <is>
          <t>التعلّم والنمو</t>
        </is>
      </c>
      <c r="E17" s="10">
        <f>IFERROR(AVERAGEIFS('قاعدة المؤشرات'!$G$2:$G$222,'قاعدة المؤشرات'!$F$2:$F$222,"التعلّم والنمو"),"—")</f>
        <v/>
      </c>
      <c r="H17" s="15">
        <f>IFERROR(SUMIF('قاعدة المؤشرات'!$B$2:$B$222,"التقنية الرقمية",'قاعدة المؤشرات'!$J$2:$J$222)/SUMIF('قاعدة المؤشرات'!$B$2:$B$222,"التقنية الرقمية",'قاعدة المؤشرات'!$K$2:$K$222),0)</f>
        <v/>
      </c>
      <c r="I17" s="15" t="n">
        <v>0.04</v>
      </c>
      <c r="J17" s="15">
        <f>IF(SUMIF('قاعدة المؤشرات'!$B$2:$B$222,"التقنية الرقمية",'قاعدة المؤشرات'!$K$2:$K$222)=0,0,1)</f>
        <v/>
      </c>
    </row>
    <row r="18">
      <c r="B18" s="9" t="inlineStr">
        <is>
          <t>الموارد البشرية</t>
        </is>
      </c>
      <c r="C18" s="10">
        <f>IFERROR(SUMIF('قاعدة المؤشرات'!$B$2:$B$222,"الموارد البشرية",'قاعدة المؤشرات'!$J$2:$J$222)/SUMIF('قاعدة المؤشرات'!$B$2:$B$222,"الموارد البشرية",'قاعدة المؤشرات'!$K$2:$K$222),"—")</f>
        <v/>
      </c>
      <c r="H18" s="15">
        <f>IFERROR(SUMIF('قاعدة المؤشرات'!$B$2:$B$222,"الموارد البشرية",'قاعدة المؤشرات'!$J$2:$J$222)/SUMIF('قاعدة المؤشرات'!$B$2:$B$222,"الموارد البشرية",'قاعدة المؤشرات'!$K$2:$K$222),0)</f>
        <v/>
      </c>
      <c r="I18" s="15" t="n">
        <v>0.04</v>
      </c>
      <c r="J18" s="15">
        <f>IF(SUMIF('قاعدة المؤشرات'!$B$2:$B$222,"الموارد البشرية",'قاعدة المؤشرات'!$K$2:$K$222)=0,0,1)</f>
        <v/>
      </c>
    </row>
    <row r="19">
      <c r="B19" s="9" t="inlineStr">
        <is>
          <t>التسويق</t>
        </is>
      </c>
      <c r="C19" s="10">
        <f>IFERROR(SUMIF('قاعدة المؤشرات'!$B$2:$B$222,"التسويق",'قاعدة المؤشرات'!$J$2:$J$222)/SUMIF('قاعدة المؤشرات'!$B$2:$B$222,"التسويق",'قاعدة المؤشرات'!$K$2:$K$222),"—")</f>
        <v/>
      </c>
      <c r="H19" s="15">
        <f>IFERROR(SUMIF('قاعدة المؤشرات'!$B$2:$B$222,"التسويق",'قاعدة المؤشرات'!$J$2:$J$222)/SUMIF('قاعدة المؤشرات'!$B$2:$B$222,"التسويق",'قاعدة المؤشرات'!$K$2:$K$222),0)</f>
        <v/>
      </c>
      <c r="I19" s="15" t="n">
        <v>0.05</v>
      </c>
      <c r="J19" s="15">
        <f>IF(SUMIF('قاعدة المؤشرات'!$B$2:$B$222,"التسويق",'قاعدة المؤشرات'!$K$2:$K$222)=0,0,1)</f>
        <v/>
      </c>
    </row>
    <row r="20">
      <c r="B20" s="9" t="inlineStr">
        <is>
          <t>الجودة</t>
        </is>
      </c>
      <c r="C20" s="10">
        <f>IFERROR(SUMIF('قاعدة المؤشرات'!$B$2:$B$222,"الجودة",'قاعدة المؤشرات'!$J$2:$J$222)/SUMIF('قاعدة المؤشرات'!$B$2:$B$222,"الجودة",'قاعدة المؤشرات'!$K$2:$K$222),"—")</f>
        <v/>
      </c>
      <c r="H20" s="15">
        <f>IFERROR(SUMIF('قاعدة المؤشرات'!$B$2:$B$222,"الجودة",'قاعدة المؤشرات'!$J$2:$J$222)/SUMIF('قاعدة المؤشرات'!$B$2:$B$222,"الجودة",'قاعدة المؤشرات'!$K$2:$K$222),0)</f>
        <v/>
      </c>
      <c r="I20" s="15" t="n">
        <v>0.05</v>
      </c>
      <c r="J20" s="15">
        <f>IF(SUMIF('قاعدة المؤشرات'!$B$2:$B$222,"الجودة",'قاعدة المؤشرات'!$K$2:$K$222)=0,0,1)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المؤشرات'!$B$2:$B$222,"الإدارة القانونية",'قاعدة المؤشرات'!$J$2:$J$222)/SUMIF('قاعدة المؤشرات'!$B$2:$B$222,"الإدارة القانونية",'قاعدة المؤشرات'!$K$2:$K$222),"—")</f>
        <v/>
      </c>
      <c r="H21" s="15">
        <f>IFERROR(SUMIF('قاعدة المؤشرات'!$B$2:$B$222,"الإدارة القانونية",'قاعدة المؤشرات'!$J$2:$J$222)/SUMIF('قاعدة المؤشرات'!$B$2:$B$222,"الإدارة القانونية",'قاعدة المؤشرات'!$K$2:$K$222),0)</f>
        <v/>
      </c>
      <c r="I21" s="15" t="n">
        <v>0.03</v>
      </c>
      <c r="J21" s="15">
        <f>IF(SUMIF('قاعدة المؤشرات'!$B$2:$B$222,"الإدارة القانونية",'قاعدة المؤشرات'!$K$2:$K$222)=0,0,1)</f>
        <v/>
      </c>
    </row>
    <row r="22">
      <c r="B22" s="9" t="inlineStr">
        <is>
          <t>الإدارة المالية</t>
        </is>
      </c>
      <c r="C22" s="10">
        <f>IFERROR(SUMIF('قاعدة المؤشرات'!$B$2:$B$222,"الإدارة المالية",'قاعدة المؤشرات'!$J$2:$J$222)/SUMIF('قاعدة المؤشرات'!$B$2:$B$222,"الإدارة المالية",'قاعدة المؤشرات'!$K$2:$K$222),"—")</f>
        <v/>
      </c>
      <c r="H22" s="15">
        <f>IFERROR(SUMIF('قاعدة المؤشرات'!$B$2:$B$222,"الإدارة المالية",'قاعدة المؤشرات'!$J$2:$J$222)/SUMIF('قاعدة المؤشرات'!$B$2:$B$222,"الإدارة المالية",'قاعدة المؤشرات'!$K$2:$K$222),0)</f>
        <v/>
      </c>
      <c r="I22" s="15" t="n">
        <v>0.08</v>
      </c>
      <c r="J22" s="15">
        <f>IF(SUMIF('قاعدة المؤشرات'!$B$2:$B$222,"الإدارة المالية",'قاعدة المؤشرات'!$K$2:$K$222)=0,0,1)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نسبة التشغيل السليم لأنظمة الأتمتة (Uptime)</t>
        </is>
      </c>
      <c r="D19" s="46" t="n">
        <v>0.715</v>
      </c>
      <c r="E19" s="46" t="n">
        <v>0.99</v>
      </c>
      <c r="F19" s="47" t="n">
        <v>0.7222222222222222</v>
      </c>
      <c r="G19" s="12" t="n">
        <v>0.2777777777777778</v>
      </c>
      <c r="H19" s="46" t="n">
        <v>0.715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الإدارة القانونية</t>
        </is>
      </c>
      <c r="C21" s="24" t="inlineStr">
        <is>
          <t>نسبة تنفيذ التوصيات الصادرة عن التحقيقات</t>
        </is>
      </c>
      <c r="D21" s="46" t="n">
        <v>0.651</v>
      </c>
      <c r="E21" s="46" t="n">
        <v>0.9</v>
      </c>
      <c r="F21" s="47" t="n">
        <v>0.7233333333333334</v>
      </c>
      <c r="G21" s="12" t="n">
        <v>0.2766666666666666</v>
      </c>
      <c r="H21" s="46" t="n">
        <v>0.651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48" t="n"/>
    </row>
    <row r="22">
      <c r="A22" s="15" t="n">
        <v>20</v>
      </c>
      <c r="B22" s="13" t="inlineStr">
        <is>
          <t>الاستثمار</t>
        </is>
      </c>
      <c r="C22" s="24" t="inlineStr">
        <is>
          <t>عقود تشغيل المحطة الجديدة</t>
        </is>
      </c>
      <c r="D22" s="46" t="n">
        <v>49.4</v>
      </c>
      <c r="E22" s="46" t="n">
        <v>68</v>
      </c>
      <c r="F22" s="47" t="n">
        <v>0.7264705882352941</v>
      </c>
      <c r="G22" s="12" t="n">
        <v>0.2735294117647059</v>
      </c>
      <c r="H22" s="46" t="n">
        <v>98.8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الاستثمار</t>
        </is>
      </c>
      <c r="M22" s="48" t="n"/>
    </row>
    <row r="23">
      <c r="A23" s="15" t="n">
        <v>21</v>
      </c>
      <c r="B23" s="13" t="inlineStr">
        <is>
          <t>الصيانة والأتمتة</t>
        </is>
      </c>
      <c r="C23" s="24" t="inlineStr">
        <is>
          <t>كفاءة تكاليف الصيانة (الالتزام بالميزانية)</t>
        </is>
      </c>
      <c r="D23" s="46" t="n">
        <v>0.6919999999999999</v>
      </c>
      <c r="E23" s="46" t="n">
        <v>0.95</v>
      </c>
      <c r="F23" s="47" t="n">
        <v>0.728421052631579</v>
      </c>
      <c r="G23" s="12" t="n">
        <v>0.271578947368421</v>
      </c>
      <c r="H23" s="46" t="n">
        <v>0.6919999999999999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الصيانة والأتمتة</t>
        </is>
      </c>
      <c r="M23" s="48" t="n"/>
    </row>
    <row r="24">
      <c r="A24" s="15" t="n">
        <v>22</v>
      </c>
      <c r="B24" s="13" t="inlineStr">
        <is>
          <t>الإدارة القانونية</t>
        </is>
      </c>
      <c r="C24" s="24" t="inlineStr">
        <is>
          <t>نسبة الاستشارات المُنجزة ضمن المدة المستهدفة (SLA)</t>
        </is>
      </c>
      <c r="D24" s="46" t="n">
        <v>0.659</v>
      </c>
      <c r="E24" s="46" t="n">
        <v>0.9</v>
      </c>
      <c r="F24" s="47" t="n">
        <v>0.7322222222222222</v>
      </c>
      <c r="G24" s="12" t="n">
        <v>0.2677777777777778</v>
      </c>
      <c r="H24" s="46" t="n">
        <v>0.659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القانوني</t>
        </is>
      </c>
      <c r="M24" s="48" t="n"/>
    </row>
    <row r="25">
      <c r="A25" s="15" t="n">
        <v>23</v>
      </c>
      <c r="B25" s="13" t="inlineStr">
        <is>
          <t>الامتياز التجاري</t>
        </is>
      </c>
      <c r="C25" s="24" t="inlineStr">
        <is>
          <t>عدد محطات الامتياز المشغّلة (تراكمي)</t>
        </is>
      </c>
      <c r="D25" s="46" t="n">
        <v>110</v>
      </c>
      <c r="E25" s="46" t="n">
        <v>150</v>
      </c>
      <c r="F25" s="47" t="n">
        <v>0.7333333333333333</v>
      </c>
      <c r="G25" s="12" t="n">
        <v>0.2666666666666667</v>
      </c>
      <c r="H25" s="46" t="n">
        <v>110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48" t="n"/>
    </row>
    <row r="26">
      <c r="A26" s="15" t="n">
        <v>24</v>
      </c>
      <c r="B26" s="13" t="inlineStr">
        <is>
          <t>الإدارة المالية</t>
        </is>
      </c>
      <c r="C26" s="24" t="inlineStr">
        <is>
          <t>نسبة التحصيل العام (الشركة)</t>
        </is>
      </c>
      <c r="D26" s="46" t="n">
        <v>0.699</v>
      </c>
      <c r="E26" s="46" t="n">
        <v>0.95</v>
      </c>
      <c r="F26" s="47" t="n">
        <v>0.7357894736842105</v>
      </c>
      <c r="G26" s="12" t="n">
        <v>0.2642105263157895</v>
      </c>
      <c r="H26" s="46" t="n">
        <v>0.699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48" t="n"/>
    </row>
    <row r="27">
      <c r="A27" s="15" t="n">
        <v>25</v>
      </c>
      <c r="B27" s="13" t="inlineStr">
        <is>
          <t>الاستثمار</t>
        </is>
      </c>
      <c r="C27" s="24" t="inlineStr">
        <is>
          <t>عقود تأجير الأرض الجديدة</t>
        </is>
      </c>
      <c r="D27" s="46" t="n">
        <v>8.1</v>
      </c>
      <c r="E27" s="46" t="n">
        <v>11</v>
      </c>
      <c r="F27" s="47" t="n">
        <v>0.7363636363636363</v>
      </c>
      <c r="G27" s="12" t="n">
        <v>0.2636363636363637</v>
      </c>
      <c r="H27" s="46" t="n">
        <v>16.2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48" t="n"/>
    </row>
    <row r="28">
      <c r="A28" s="15" t="n">
        <v>26</v>
      </c>
      <c r="B28" s="13" t="inlineStr">
        <is>
          <t>الاستثمار</t>
        </is>
      </c>
      <c r="C28" s="24" t="inlineStr">
        <is>
          <t>نسبة تخفيض إيجار المواقع عالية التكاليف</t>
        </is>
      </c>
      <c r="D28" s="46" t="n">
        <v>0.221</v>
      </c>
      <c r="E28" s="46" t="n">
        <v>0.3</v>
      </c>
      <c r="F28" s="47" t="n">
        <v>0.7366666666666667</v>
      </c>
      <c r="G28" s="12" t="n">
        <v>0.2633333333333333</v>
      </c>
      <c r="H28" s="46" t="n">
        <v>0.221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متوسط تقييم المحطات على خرائط قوقل</t>
        </is>
      </c>
      <c r="D29" s="46" t="n">
        <v>3.474</v>
      </c>
      <c r="E29" s="46" t="n">
        <v>4.7</v>
      </c>
      <c r="F29" s="47" t="n">
        <v>0.7391489361702128</v>
      </c>
      <c r="G29" s="12" t="n">
        <v>0.2608510638297872</v>
      </c>
      <c r="H29" s="46" t="n">
        <v>3.474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المالية</t>
        </is>
      </c>
      <c r="C30" s="24" t="inlineStr">
        <is>
          <t>العائد على حقوق الملكية (ROE)</t>
        </is>
      </c>
      <c r="D30" s="46" t="n">
        <v>0.074</v>
      </c>
      <c r="E30" s="46" t="n">
        <v>0.1</v>
      </c>
      <c r="F30" s="47" t="n">
        <v>0.7399999999999999</v>
      </c>
      <c r="G30" s="12" t="n">
        <v>0.2600000000000001</v>
      </c>
      <c r="H30" s="46" t="n">
        <v>0.074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المالي</t>
        </is>
      </c>
      <c r="M30" s="48" t="n"/>
    </row>
    <row r="31">
      <c r="A31" s="15" t="n">
        <v>29</v>
      </c>
      <c r="B31" s="13" t="inlineStr">
        <is>
          <t>التقنية الرقمية</t>
        </is>
      </c>
      <c r="C31" s="24" t="inlineStr">
        <is>
          <t>نسبة الالتزام بنطاق العمل</t>
        </is>
      </c>
      <c r="D31" s="46" t="n">
        <v>0.703</v>
      </c>
      <c r="E31" s="46" t="n">
        <v>0.95</v>
      </c>
      <c r="F31" s="47" t="n">
        <v>0.74</v>
      </c>
      <c r="G31" s="12" t="n">
        <v>0.26</v>
      </c>
      <c r="H31" s="46" t="n">
        <v>0.703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التقنية</t>
        </is>
      </c>
      <c r="M31" s="48" t="n"/>
    </row>
    <row r="32">
      <c r="A32" s="15" t="n">
        <v>30</v>
      </c>
      <c r="B32" s="13" t="inlineStr">
        <is>
          <t>التشغيل والمحطات</t>
        </is>
      </c>
      <c r="C32" s="24" t="inlineStr">
        <is>
          <t>التشجير داخل المحطة (معيار الوزارة)</t>
        </is>
      </c>
      <c r="D32" s="46" t="n">
        <v>0.747</v>
      </c>
      <c r="E32" s="46" t="n">
        <v>1</v>
      </c>
      <c r="F32" s="47" t="n">
        <v>0.747</v>
      </c>
      <c r="G32" s="12" t="n">
        <v>0.253</v>
      </c>
      <c r="H32" s="46" t="n">
        <v>0.747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التشغيل</t>
        </is>
      </c>
      <c r="M32" s="48" t="n"/>
    </row>
    <row r="33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46" t="n">
        <v>0.674</v>
      </c>
      <c r="E33" s="46" t="n">
        <v>0.9</v>
      </c>
      <c r="F33" s="47" t="n">
        <v>0.7488888888888889</v>
      </c>
      <c r="G33" s="12" t="n">
        <v>0.2511111111111111</v>
      </c>
      <c r="H33" s="46" t="n">
        <v>0.674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الامتياز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الالتزام بمعايير وزارة الطاقة (تغطية 13 منطقة)</t>
        </is>
      </c>
      <c r="D34" s="46" t="n">
        <v>0.749</v>
      </c>
      <c r="E34" s="46" t="n">
        <v>1</v>
      </c>
      <c r="F34" s="47" t="n">
        <v>0.749</v>
      </c>
      <c r="G34" s="12" t="n">
        <v>0.251</v>
      </c>
      <c r="H34" s="46" t="n">
        <v>0.749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الإدارة التنفيذية</t>
        </is>
      </c>
      <c r="C35" s="24" t="inlineStr">
        <is>
          <t>مؤشر رضا الموظفين العام (eNPS)</t>
        </is>
      </c>
      <c r="D35" s="46" t="n">
        <v>22.5</v>
      </c>
      <c r="E35" s="46" t="n">
        <v>30</v>
      </c>
      <c r="F35" s="47" t="n">
        <v>0.75</v>
      </c>
      <c r="G35" s="12" t="n">
        <v>0.25</v>
      </c>
      <c r="H35" s="46" t="n">
        <v>22.5</v>
      </c>
      <c r="I35" s="15" t="inlineStr">
        <is>
          <t>🟡 قريب</t>
        </is>
      </c>
      <c r="J35" s="11" t="inlineStr">
        <is>
          <t>فجوة محدودة — متابعة.</t>
        </is>
      </c>
      <c r="K35" s="11" t="inlineStr">
        <is>
          <t>متابعة أسبوعية لإغلاق الفجوة.</t>
        </is>
      </c>
      <c r="L35" s="15" t="inlineStr">
        <is>
          <t>الرئيس التنفيذي</t>
        </is>
      </c>
      <c r="M35" s="48" t="n"/>
    </row>
    <row r="36">
      <c r="A36" s="15" t="n">
        <v>34</v>
      </c>
      <c r="B36" s="13" t="inlineStr">
        <is>
          <t>الاستثمار</t>
        </is>
      </c>
      <c r="C36" s="24" t="inlineStr">
        <is>
          <t>نسبة اكتمال المستندات النظامية قبل التوقيع</t>
        </is>
      </c>
      <c r="D36" s="46" t="n">
        <v>0.751</v>
      </c>
      <c r="E36" s="46" t="n">
        <v>1</v>
      </c>
      <c r="F36" s="47" t="n">
        <v>0.751</v>
      </c>
      <c r="G36" s="12" t="n">
        <v>0.249</v>
      </c>
      <c r="H36" s="46" t="n">
        <v>0.751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الاستثمار</t>
        </is>
      </c>
      <c r="M36" s="48" t="n"/>
    </row>
    <row r="37">
      <c r="A37" s="15" t="n">
        <v>35</v>
      </c>
      <c r="B37" s="13" t="inlineStr">
        <is>
          <t>الإدارة القانونية</t>
        </is>
      </c>
      <c r="C37" s="24" t="inlineStr">
        <is>
          <t>نسبة التحقيقات المُغلقة من إجمالي المُحالة</t>
        </is>
      </c>
      <c r="D37" s="46" t="n">
        <v>0.719</v>
      </c>
      <c r="E37" s="46" t="n">
        <v>0.95</v>
      </c>
      <c r="F37" s="47" t="n">
        <v>0.7568421052631579</v>
      </c>
      <c r="G37" s="12" t="n">
        <v>0.2431578947368421</v>
      </c>
      <c r="H37" s="46" t="n">
        <v>0.719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48" t="n"/>
    </row>
    <row r="38">
      <c r="A38" s="15" t="n">
        <v>36</v>
      </c>
      <c r="B38" s="13" t="inlineStr">
        <is>
          <t>الإدارة القانونية</t>
        </is>
      </c>
      <c r="C38" s="24" t="inlineStr">
        <is>
          <t>نسبة التزام التحقيقات بالإجراءات النظامية والعدالة الإجرائية</t>
        </is>
      </c>
      <c r="D38" s="46" t="n">
        <v>0.76</v>
      </c>
      <c r="E38" s="46" t="n">
        <v>1</v>
      </c>
      <c r="F38" s="47" t="n">
        <v>0.76</v>
      </c>
      <c r="G38" s="12" t="n">
        <v>0.24</v>
      </c>
      <c r="H38" s="46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القانوني</t>
        </is>
      </c>
      <c r="M38" s="48" t="n"/>
    </row>
    <row r="39">
      <c r="A39" s="15" t="n">
        <v>37</v>
      </c>
      <c r="B39" s="13" t="inlineStr">
        <is>
          <t>الإدارة المالية</t>
        </is>
      </c>
      <c r="C39" s="24" t="inlineStr">
        <is>
          <t>دقة تسوية أرامكو</t>
        </is>
      </c>
      <c r="D39" s="46" t="n">
        <v>0.76</v>
      </c>
      <c r="E39" s="46" t="n">
        <v>1</v>
      </c>
      <c r="F39" s="47" t="n">
        <v>0.76</v>
      </c>
      <c r="G39" s="12" t="n">
        <v>0.24</v>
      </c>
      <c r="H39" s="46" t="n">
        <v>0.76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المدير المالي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فعالية الإجراءات التصحيحية</t>
        </is>
      </c>
      <c r="D40" s="46" t="n">
        <v>0.648</v>
      </c>
      <c r="E40" s="46" t="n">
        <v>0.85</v>
      </c>
      <c r="F40" s="47" t="n">
        <v>0.7623529411764707</v>
      </c>
      <c r="G40" s="12" t="n">
        <v>0.2376470588235293</v>
      </c>
      <c r="H40" s="46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الجودة</t>
        </is>
      </c>
      <c r="C41" s="24" t="inlineStr">
        <is>
          <t>نسبة إغلاق الملاحظات في الوقت المحدد</t>
        </is>
      </c>
      <c r="D41" s="46" t="n">
        <v>0.6870000000000001</v>
      </c>
      <c r="E41" s="46" t="n">
        <v>0.9</v>
      </c>
      <c r="F41" s="47" t="n">
        <v>0.7633333333333334</v>
      </c>
      <c r="G41" s="12" t="n">
        <v>0.2366666666666666</v>
      </c>
      <c r="H41" s="46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48" t="n"/>
    </row>
    <row r="42">
      <c r="A42" s="15" t="n">
        <v>40</v>
      </c>
      <c r="B42" s="13" t="inlineStr">
        <is>
          <t>الجودة</t>
        </is>
      </c>
      <c r="C42" s="24" t="inlineStr">
        <is>
          <t>نسبة تنفيذ خطة التفتيش والتدقيق</t>
        </is>
      </c>
      <c r="D42" s="46" t="n">
        <v>0.728</v>
      </c>
      <c r="E42" s="46" t="n">
        <v>0.95</v>
      </c>
      <c r="F42" s="47" t="n">
        <v>0.7663157894736842</v>
      </c>
      <c r="G42" s="12" t="n">
        <v>0.2336842105263158</v>
      </c>
      <c r="H42" s="46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سداد الموردين في الموعد</t>
        </is>
      </c>
      <c r="D43" s="46" t="n">
        <v>0.754</v>
      </c>
      <c r="E43" s="46" t="n">
        <v>0.98</v>
      </c>
      <c r="F43" s="47" t="n">
        <v>0.7693877551020408</v>
      </c>
      <c r="G43" s="12" t="n">
        <v>0.2306122448979592</v>
      </c>
      <c r="H43" s="46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الموارد البشرية</t>
        </is>
      </c>
      <c r="C44" s="24" t="inlineStr">
        <is>
          <t>نسبة الالتزام بنظام حماية الأجور (WPS)</t>
        </is>
      </c>
      <c r="D44" s="46" t="n">
        <v>0.77</v>
      </c>
      <c r="E44" s="46" t="n">
        <v>1</v>
      </c>
      <c r="F44" s="47" t="n">
        <v>0.77</v>
      </c>
      <c r="G44" s="12" t="n">
        <v>0.23</v>
      </c>
      <c r="H44" s="46" t="n">
        <v>0.77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الموارد البشرية</t>
        </is>
      </c>
      <c r="M44" s="48" t="n"/>
    </row>
    <row r="45">
      <c r="A45" s="15" t="n">
        <v>43</v>
      </c>
      <c r="B45" s="13" t="inlineStr">
        <is>
          <t>إدارة المشاريع</t>
        </is>
      </c>
      <c r="C45" s="24" t="inlineStr">
        <is>
          <t>نسبة المشاريع الخالية من مخالفات الجودة</t>
        </is>
      </c>
      <c r="D45" s="46" t="n">
        <v>0.697</v>
      </c>
      <c r="E45" s="46" t="n">
        <v>0.9</v>
      </c>
      <c r="F45" s="47" t="n">
        <v>0.7744444444444444</v>
      </c>
      <c r="G45" s="12" t="n">
        <v>0.2255555555555556</v>
      </c>
      <c r="H45" s="46" t="n">
        <v>0.697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إدارة المشاريع</t>
        </is>
      </c>
      <c r="M45" s="48" t="n"/>
    </row>
    <row r="46">
      <c r="A46" s="15" t="n">
        <v>44</v>
      </c>
      <c r="B46" s="13" t="inlineStr">
        <is>
          <t>الاستثمار</t>
        </is>
      </c>
      <c r="C46" s="24" t="inlineStr">
        <is>
          <t>نسبة العقود المؤرشفة إلكترونياً خلال 48 ساعة</t>
        </is>
      </c>
      <c r="D46" s="46" t="n">
        <v>0.736</v>
      </c>
      <c r="E46" s="46" t="n">
        <v>0.95</v>
      </c>
      <c r="F46" s="47" t="n">
        <v>0.7747368421052632</v>
      </c>
      <c r="G46" s="12" t="n">
        <v>0.2252631578947368</v>
      </c>
      <c r="H46" s="46" t="n">
        <v>0.736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الاستثمار</t>
        </is>
      </c>
      <c r="M46" s="48" t="n"/>
    </row>
    <row r="47">
      <c r="A47" s="15" t="n">
        <v>45</v>
      </c>
      <c r="B47" s="13" t="inlineStr">
        <is>
          <t>الإدارة المالية</t>
        </is>
      </c>
      <c r="C47" s="24" t="inlineStr">
        <is>
          <t>هامش EBITDA</t>
        </is>
      </c>
      <c r="D47" s="46" t="n">
        <v>0.062</v>
      </c>
      <c r="E47" s="46" t="n">
        <v>0.08</v>
      </c>
      <c r="F47" s="47" t="n">
        <v>0.775</v>
      </c>
      <c r="G47" s="12" t="n">
        <v>0.225</v>
      </c>
      <c r="H47" s="46" t="n">
        <v>0.062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48" t="n"/>
    </row>
    <row r="48">
      <c r="A48" s="15" t="n">
        <v>46</v>
      </c>
      <c r="B48" s="13" t="inlineStr">
        <is>
          <t>العقار</t>
        </is>
      </c>
      <c r="C48" s="24" t="inlineStr">
        <is>
          <t>نسبة إغلاق الطلبات خلال 3 أسابيع</t>
        </is>
      </c>
      <c r="D48" s="46" t="n">
        <v>0.698</v>
      </c>
      <c r="E48" s="46" t="n">
        <v>0.9</v>
      </c>
      <c r="F48" s="47" t="n">
        <v>0.7755555555555554</v>
      </c>
      <c r="G48" s="12" t="n">
        <v>0.2244444444444446</v>
      </c>
      <c r="H48" s="46" t="n">
        <v>0.698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دقة مطابقة المخزون</t>
        </is>
      </c>
      <c r="D49" s="46" t="n">
        <v>0.776</v>
      </c>
      <c r="E49" s="46" t="n">
        <v>0.995</v>
      </c>
      <c r="F49" s="47" t="n">
        <v>0.7798994974874373</v>
      </c>
      <c r="G49" s="12" t="n">
        <v>0.2201005025125627</v>
      </c>
      <c r="H49" s="46" t="n">
        <v>0.776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الإدارة المالية</t>
        </is>
      </c>
      <c r="C50" s="24" t="inlineStr">
        <is>
          <t>معدل تجديد عقود الإيجار</t>
        </is>
      </c>
      <c r="D50" s="46" t="n">
        <v>0.702</v>
      </c>
      <c r="E50" s="46" t="n">
        <v>0.9</v>
      </c>
      <c r="F50" s="47" t="n">
        <v>0.7799999999999999</v>
      </c>
      <c r="G50" s="12" t="n">
        <v>0.2200000000000001</v>
      </c>
      <c r="H50" s="46" t="n">
        <v>0.702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المدير المالي</t>
        </is>
      </c>
      <c r="M50" s="48" t="n"/>
    </row>
    <row r="51">
      <c r="A51" s="15" t="n">
        <v>49</v>
      </c>
      <c r="B51" s="13" t="inlineStr">
        <is>
          <t>العقار</t>
        </is>
      </c>
      <c r="C51" s="24" t="inlineStr">
        <is>
          <t>العملاء المحتملون (LEADS)</t>
        </is>
      </c>
      <c r="D51" s="46" t="n">
        <v>531.8</v>
      </c>
      <c r="E51" s="46" t="n">
        <v>680</v>
      </c>
      <c r="F51" s="47" t="n">
        <v>0.7820588235294117</v>
      </c>
      <c r="G51" s="12" t="n">
        <v>0.2179411764705883</v>
      </c>
      <c r="H51" s="46" t="n">
        <v>531.8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العقار</t>
        </is>
      </c>
      <c r="M51" s="48" t="n"/>
    </row>
    <row r="52">
      <c r="A52" s="15" t="n">
        <v>50</v>
      </c>
      <c r="B52" s="13" t="inlineStr">
        <is>
          <t>الصيانة والأتمتة</t>
        </is>
      </c>
      <c r="C52" s="24" t="inlineStr">
        <is>
          <t>نسبة إغلاق بلاغات الصيانة ضمن اتفاقية الخدمة (SLA)</t>
        </is>
      </c>
      <c r="D52" s="46" t="n">
        <v>0.744</v>
      </c>
      <c r="E52" s="46" t="n">
        <v>0.95</v>
      </c>
      <c r="F52" s="47" t="n">
        <v>0.7831578947368422</v>
      </c>
      <c r="G52" s="12" t="n">
        <v>0.2168421052631578</v>
      </c>
      <c r="H52" s="46" t="n">
        <v>0.744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الصيانة والأتمتة</t>
        </is>
      </c>
      <c r="M52" s="48" t="n"/>
    </row>
    <row r="53">
      <c r="A53" s="15" t="n">
        <v>51</v>
      </c>
      <c r="B53" s="13" t="inlineStr">
        <is>
          <t>الامتياز التجاري</t>
        </is>
      </c>
      <c r="C53" s="24" t="inlineStr">
        <is>
          <t>نسبة الشركاء الملتزمين بمواعيد السداد</t>
        </is>
      </c>
      <c r="D53" s="46" t="n">
        <v>0.705</v>
      </c>
      <c r="E53" s="46" t="n">
        <v>0.9</v>
      </c>
      <c r="F53" s="47" t="n">
        <v>0.7833333333333332</v>
      </c>
      <c r="G53" s="12" t="n">
        <v>0.2166666666666668</v>
      </c>
      <c r="H53" s="46" t="n">
        <v>0.705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الامتياز</t>
        </is>
      </c>
      <c r="M53" s="48" t="n"/>
    </row>
    <row r="54">
      <c r="A54" s="15" t="n">
        <v>52</v>
      </c>
      <c r="B54" s="13" t="inlineStr">
        <is>
          <t>سلاسل الإمداد</t>
        </is>
      </c>
      <c r="C54" s="24" t="inlineStr">
        <is>
          <t>نسبة إصدار أوامر الشراء خلال ≤ 5 أيام عمل</t>
        </is>
      </c>
      <c r="D54" s="46" t="n">
        <v>0.745</v>
      </c>
      <c r="E54" s="46" t="n">
        <v>0.95</v>
      </c>
      <c r="F54" s="47" t="n">
        <v>0.7842105263157895</v>
      </c>
      <c r="G54" s="12" t="n">
        <v>0.2157894736842105</v>
      </c>
      <c r="H54" s="46" t="n">
        <v>0.745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48" t="n"/>
    </row>
    <row r="55">
      <c r="A55" s="15" t="n">
        <v>53</v>
      </c>
      <c r="B55" s="13" t="inlineStr">
        <is>
          <t>الصيانة والأتمتة</t>
        </is>
      </c>
      <c r="C55" s="24" t="inlineStr">
        <is>
          <t>نسبة تنفيذ الصيانة الوقائية في موعدها (PM)</t>
        </is>
      </c>
      <c r="D55" s="46" t="n">
        <v>0.751</v>
      </c>
      <c r="E55" s="46" t="n">
        <v>0.95</v>
      </c>
      <c r="F55" s="47" t="n">
        <v>0.7905263157894737</v>
      </c>
      <c r="G55" s="12" t="n">
        <v>0.2094736842105263</v>
      </c>
      <c r="H55" s="46" t="n">
        <v>0.751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الصيانة والأتمتة</t>
        </is>
      </c>
      <c r="M55" s="48" t="n"/>
    </row>
    <row r="56">
      <c r="A56" s="15" t="n">
        <v>54</v>
      </c>
      <c r="B56" s="13" t="inlineStr">
        <is>
          <t>العقار</t>
        </is>
      </c>
      <c r="C56" s="24" t="inlineStr">
        <is>
          <t>نسبة تجديد العقود</t>
        </is>
      </c>
      <c r="D56" s="46" t="n">
        <v>0.792</v>
      </c>
      <c r="E56" s="46" t="n">
        <v>1</v>
      </c>
      <c r="F56" s="47" t="n">
        <v>0.792</v>
      </c>
      <c r="G56" s="12" t="n">
        <v>0.208</v>
      </c>
      <c r="H56" s="46" t="n">
        <v>0.792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العقار</t>
        </is>
      </c>
      <c r="M56" s="48" t="n"/>
    </row>
    <row r="57">
      <c r="A57" s="15" t="n">
        <v>55</v>
      </c>
      <c r="B57" s="13" t="inlineStr">
        <is>
          <t>التقنية الرقمية</t>
        </is>
      </c>
      <c r="C57" s="24" t="inlineStr">
        <is>
          <t>نسبة الالتزام بميزانية المشاريع</t>
        </is>
      </c>
      <c r="D57" s="46" t="n">
        <v>0.753</v>
      </c>
      <c r="E57" s="46" t="n">
        <v>0.95</v>
      </c>
      <c r="F57" s="47" t="n">
        <v>0.7926315789473685</v>
      </c>
      <c r="G57" s="12" t="n">
        <v>0.2073684210526315</v>
      </c>
      <c r="H57" s="46" t="n">
        <v>0.753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48" t="n"/>
    </row>
    <row r="58">
      <c r="A58" s="15" t="n">
        <v>56</v>
      </c>
      <c r="B58" s="13" t="inlineStr">
        <is>
          <t>الإدارة القانونية</t>
        </is>
      </c>
      <c r="C58" s="24" t="inlineStr">
        <is>
          <t>مستوى رضا الإدارات عن الدعم القانوني</t>
        </is>
      </c>
      <c r="D58" s="46" t="n">
        <v>0.674</v>
      </c>
      <c r="E58" s="46" t="n">
        <v>0.85</v>
      </c>
      <c r="F58" s="47" t="n">
        <v>0.7929411764705883</v>
      </c>
      <c r="G58" s="12" t="n">
        <v>0.2070588235294117</v>
      </c>
      <c r="H58" s="46" t="n">
        <v>0.674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المدير القانوني</t>
        </is>
      </c>
      <c r="M58" s="48" t="n"/>
    </row>
    <row r="59">
      <c r="A59" s="15" t="n">
        <v>57</v>
      </c>
      <c r="B59" s="13" t="inlineStr">
        <is>
          <t>الإدارة القانونية</t>
        </is>
      </c>
      <c r="C59" s="24" t="inlineStr">
        <is>
          <t>نسبة تقديم المذكرات والردود في المواعيد النظامية</t>
        </is>
      </c>
      <c r="D59" s="46" t="n">
        <v>0.797</v>
      </c>
      <c r="E59" s="46" t="n">
        <v>1</v>
      </c>
      <c r="F59" s="47" t="n">
        <v>0.797</v>
      </c>
      <c r="G59" s="12" t="n">
        <v>0.203</v>
      </c>
      <c r="H59" s="46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48" t="n"/>
    </row>
    <row r="60">
      <c r="A60" s="15" t="n">
        <v>58</v>
      </c>
      <c r="B60" s="13" t="inlineStr">
        <is>
          <t>التشغيل والمحطات</t>
        </is>
      </c>
      <c r="C60" s="24" t="inlineStr">
        <is>
          <t>نسبة الصيانة الوقائية المنفذة في موعدها</t>
        </is>
      </c>
      <c r="D60" s="46" t="n">
        <v>0.758</v>
      </c>
      <c r="E60" s="46" t="n">
        <v>0.95</v>
      </c>
      <c r="F60" s="47" t="n">
        <v>0.7978947368421053</v>
      </c>
      <c r="G60" s="12" t="n">
        <v>0.2021052631578947</v>
      </c>
      <c r="H60" s="46" t="n">
        <v>0.758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التشغيل</t>
        </is>
      </c>
      <c r="M60" s="48" t="n"/>
    </row>
    <row r="61">
      <c r="A61" s="15" t="n">
        <v>59</v>
      </c>
      <c r="B61" s="13" t="inlineStr">
        <is>
          <t>إدارة المشاريع</t>
        </is>
      </c>
      <c r="C61" s="24" t="inlineStr">
        <is>
          <t>نسبة الالتزام بالجدول الزمني العام</t>
        </is>
      </c>
      <c r="D61" s="46" t="n">
        <v>0.798</v>
      </c>
      <c r="E61" s="46" t="n">
        <v>1</v>
      </c>
      <c r="F61" s="47" t="n">
        <v>0.798</v>
      </c>
      <c r="G61" s="12" t="n">
        <v>0.202</v>
      </c>
      <c r="H61" s="46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48" t="n"/>
    </row>
    <row r="62">
      <c r="A62" s="15" t="n">
        <v>60</v>
      </c>
      <c r="B62" s="13" t="inlineStr">
        <is>
          <t>الامتياز التجاري</t>
        </is>
      </c>
      <c r="C62" s="24" t="inlineStr">
        <is>
          <t>نسبة التزام المحطات بالهوية المؤسسية</t>
        </is>
      </c>
      <c r="D62" s="46" t="n">
        <v>0.44</v>
      </c>
      <c r="E62" s="46" t="n">
        <v>0.55</v>
      </c>
      <c r="F62" s="47" t="n">
        <v>0.7999999999999999</v>
      </c>
      <c r="G62" s="12" t="n">
        <v>0.2000000000000001</v>
      </c>
      <c r="H62" s="46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48" t="n"/>
    </row>
    <row r="63">
      <c r="A63" s="15" t="n">
        <v>61</v>
      </c>
      <c r="B63" s="13" t="inlineStr">
        <is>
          <t>الإدارة المالية</t>
        </is>
      </c>
      <c r="C63" s="24" t="inlineStr">
        <is>
          <t>هامش صافي الربح</t>
        </is>
      </c>
      <c r="D63" s="46" t="n">
        <v>0.008</v>
      </c>
      <c r="E63" s="46" t="n">
        <v>0.01</v>
      </c>
      <c r="F63" s="47" t="n">
        <v>0.8</v>
      </c>
      <c r="G63" s="12" t="n">
        <v>0.2</v>
      </c>
      <c r="H63" s="46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48" t="n"/>
    </row>
    <row r="64">
      <c r="A64" s="15" t="n">
        <v>62</v>
      </c>
      <c r="B64" s="13" t="inlineStr">
        <is>
          <t>الامتياز التجاري</t>
        </is>
      </c>
      <c r="C64" s="24" t="inlineStr">
        <is>
          <t>إجمالي مبيعات وقود محطات الامتياز</t>
        </is>
      </c>
      <c r="D64" s="46" t="n">
        <v>576630340</v>
      </c>
      <c r="E64" s="46" t="n">
        <v>718838077</v>
      </c>
      <c r="F64" s="47" t="n">
        <v>0.8021699996840874</v>
      </c>
      <c r="G64" s="12" t="n">
        <v>0.1978300003159126</v>
      </c>
      <c r="H64" s="46" t="n">
        <v>1153260680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48" t="n"/>
    </row>
    <row r="65">
      <c r="A65" s="15" t="n">
        <v>63</v>
      </c>
      <c r="B65" s="13" t="inlineStr">
        <is>
          <t>الموارد البشرية</t>
        </is>
      </c>
      <c r="C65" s="24" t="inlineStr">
        <is>
          <t>نسبة الموظفين المشمولين بخطة تطوير</t>
        </is>
      </c>
      <c r="D65" s="46" t="n">
        <v>0.644</v>
      </c>
      <c r="E65" s="46" t="n">
        <v>0.8</v>
      </c>
      <c r="F65" s="47" t="n">
        <v>0.8049999999999999</v>
      </c>
      <c r="G65" s="12" t="n">
        <v>0.1950000000000001</v>
      </c>
      <c r="H65" s="46" t="n">
        <v>0.644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الموارد البشرية</t>
        </is>
      </c>
      <c r="M65" s="48" t="n"/>
    </row>
    <row r="66">
      <c r="A66" s="15" t="n">
        <v>64</v>
      </c>
      <c r="B66" s="13" t="inlineStr">
        <is>
          <t>العقار</t>
        </is>
      </c>
      <c r="C66" s="24" t="inlineStr">
        <is>
          <t>الوحدات المؤجَّرة شهرياً</t>
        </is>
      </c>
      <c r="D66" s="46" t="n">
        <v>54.8</v>
      </c>
      <c r="E66" s="46" t="n">
        <v>68</v>
      </c>
      <c r="F66" s="47" t="n">
        <v>0.8058823529411764</v>
      </c>
      <c r="G66" s="12" t="n">
        <v>0.1941176470588236</v>
      </c>
      <c r="H66" s="46" t="n">
        <v>54.8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العقار</t>
        </is>
      </c>
      <c r="M66" s="48" t="n"/>
    </row>
    <row r="67">
      <c r="A67" s="15" t="n">
        <v>65</v>
      </c>
      <c r="B67" s="13" t="inlineStr">
        <is>
          <t>الموارد البشرية</t>
        </is>
      </c>
      <c r="C67" s="24" t="inlineStr">
        <is>
          <t>نسبة إنجاز تقييمات الأداء في موعدها</t>
        </is>
      </c>
      <c r="D67" s="46" t="n">
        <v>0.8080000000000001</v>
      </c>
      <c r="E67" s="46" t="n">
        <v>1</v>
      </c>
      <c r="F67" s="47" t="n">
        <v>0.8080000000000001</v>
      </c>
      <c r="G67" s="12" t="n">
        <v>0.1919999999999999</v>
      </c>
      <c r="H67" s="46" t="n">
        <v>0.8080000000000001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الموارد البشرية</t>
        </is>
      </c>
      <c r="M67" s="48" t="n"/>
    </row>
    <row r="68">
      <c r="A68" s="15" t="n">
        <v>66</v>
      </c>
      <c r="B68" s="13" t="inlineStr">
        <is>
          <t>الجودة</t>
        </is>
      </c>
      <c r="C68" s="24" t="inlineStr">
        <is>
          <t>نسبة مطابقة جودة الوقود</t>
        </is>
      </c>
      <c r="D68" s="46" t="n">
        <v>0.804</v>
      </c>
      <c r="E68" s="46" t="n">
        <v>0.995</v>
      </c>
      <c r="F68" s="47" t="n">
        <v>0.8080402010050252</v>
      </c>
      <c r="G68" s="12" t="n">
        <v>0.1919597989949748</v>
      </c>
      <c r="H68" s="46" t="n">
        <v>0.804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48" t="n"/>
    </row>
    <row r="69">
      <c r="A69" s="15" t="n">
        <v>67</v>
      </c>
      <c r="B69" s="13" t="inlineStr">
        <is>
          <t>الامتياز التجاري</t>
        </is>
      </c>
      <c r="C69" s="24" t="inlineStr">
        <is>
          <t>نسبة زيادة عدد أصحاب الامتياز</t>
        </is>
      </c>
      <c r="D69" s="46" t="n">
        <v>0.8100000000000001</v>
      </c>
      <c r="E69" s="46" t="n">
        <v>1</v>
      </c>
      <c r="F69" s="47" t="n">
        <v>0.8100000000000001</v>
      </c>
      <c r="G69" s="12" t="n">
        <v>0.1899999999999999</v>
      </c>
      <c r="H69" s="46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48" t="n"/>
    </row>
    <row r="70">
      <c r="A70" s="15" t="n">
        <v>68</v>
      </c>
      <c r="B70" s="13" t="inlineStr">
        <is>
          <t>الاستثمار</t>
        </is>
      </c>
      <c r="C70" s="24" t="inlineStr">
        <is>
          <t>نسبة المواقع المعتمدة ذات العائد المجدي</t>
        </is>
      </c>
      <c r="D70" s="46" t="n">
        <v>0.649</v>
      </c>
      <c r="E70" s="46" t="n">
        <v>0.8</v>
      </c>
      <c r="F70" s="47" t="n">
        <v>0.81125</v>
      </c>
      <c r="G70" s="12" t="n">
        <v>0.18875</v>
      </c>
      <c r="H70" s="46" t="n">
        <v>0.649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الاستثمار</t>
        </is>
      </c>
      <c r="M70" s="48" t="n"/>
    </row>
    <row r="71">
      <c r="A71" s="15" t="n">
        <v>69</v>
      </c>
      <c r="B71" s="13" t="inlineStr">
        <is>
          <t>الموارد البشرية</t>
        </is>
      </c>
      <c r="C71" s="24" t="inlineStr">
        <is>
          <t>نسبة توثيق وتحديث أنظمة وسياسات العمل</t>
        </is>
      </c>
      <c r="D71" s="46" t="n">
        <v>0.694</v>
      </c>
      <c r="E71" s="46" t="n">
        <v>0.85</v>
      </c>
      <c r="F71" s="47" t="n">
        <v>0.8164705882352941</v>
      </c>
      <c r="G71" s="12" t="n">
        <v>0.1835294117647059</v>
      </c>
      <c r="H71" s="46" t="n">
        <v>0.694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48" t="n"/>
    </row>
    <row r="72">
      <c r="A72" s="15" t="n">
        <v>70</v>
      </c>
      <c r="B72" s="13" t="inlineStr">
        <is>
          <t>الاستثمار</t>
        </is>
      </c>
      <c r="C72" s="24" t="inlineStr">
        <is>
          <t>عقود الاستحواذ الجديدة</t>
        </is>
      </c>
      <c r="D72" s="46" t="n">
        <v>82.2</v>
      </c>
      <c r="E72" s="46" t="n">
        <v>100</v>
      </c>
      <c r="F72" s="47" t="n">
        <v>0.8220000000000001</v>
      </c>
      <c r="G72" s="12" t="n">
        <v>0.1779999999999999</v>
      </c>
      <c r="H72" s="46" t="n">
        <v>164.4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الاستثمار</t>
        </is>
      </c>
      <c r="M72" s="48" t="n"/>
    </row>
    <row r="73">
      <c r="A73" s="15" t="n">
        <v>71</v>
      </c>
      <c r="B73" s="13" t="inlineStr">
        <is>
          <t>العقار</t>
        </is>
      </c>
      <c r="C73" s="24" t="inlineStr">
        <is>
          <t>زيادة عدد العلامات التجارية</t>
        </is>
      </c>
      <c r="D73" s="46" t="n">
        <v>202.6</v>
      </c>
      <c r="E73" s="46" t="n">
        <v>246</v>
      </c>
      <c r="F73" s="47" t="n">
        <v>0.8235772357723578</v>
      </c>
      <c r="G73" s="12" t="n">
        <v>0.1764227642276422</v>
      </c>
      <c r="H73" s="46" t="n">
        <v>202.6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48" t="n"/>
    </row>
    <row r="74">
      <c r="A74" s="15" t="n">
        <v>72</v>
      </c>
      <c r="B74" s="13" t="inlineStr">
        <is>
          <t>الإدارة القانونية</t>
        </is>
      </c>
      <c r="C74" s="24" t="inlineStr">
        <is>
          <t>نسبة القضايا المُغلقة لصالح الشركة</t>
        </is>
      </c>
      <c r="D74" s="46" t="n">
        <v>0.664</v>
      </c>
      <c r="E74" s="46" t="n">
        <v>0.8</v>
      </c>
      <c r="F74" s="47" t="n">
        <v>0.83</v>
      </c>
      <c r="G74" s="12" t="n">
        <v>0.17</v>
      </c>
      <c r="H74" s="46" t="n">
        <v>0.664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المدير القانوني</t>
        </is>
      </c>
      <c r="M74" s="48" t="n"/>
    </row>
    <row r="75">
      <c r="A75" s="15" t="n">
        <v>73</v>
      </c>
      <c r="B75" s="13" t="inlineStr">
        <is>
          <t>الموارد البشرية</t>
        </is>
      </c>
      <c r="C75" s="24" t="inlineStr">
        <is>
          <t>نسبة السعودة / التوطين</t>
        </is>
      </c>
      <c r="D75" s="46" t="n">
        <v>0.249</v>
      </c>
      <c r="E75" s="46" t="n">
        <v>0.3</v>
      </c>
      <c r="F75" s="47" t="n">
        <v>0.8300000000000001</v>
      </c>
      <c r="G75" s="12" t="n">
        <v>0.1699999999999999</v>
      </c>
      <c r="H75" s="46" t="n">
        <v>0.249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الموارد البشرية</t>
        </is>
      </c>
      <c r="M75" s="48" t="n"/>
    </row>
    <row r="76">
      <c r="A76" s="15" t="n">
        <v>74</v>
      </c>
      <c r="B76" s="13" t="inlineStr">
        <is>
          <t>الإدارة القانونية</t>
        </is>
      </c>
      <c r="C76" s="24" t="inlineStr">
        <is>
          <t>نسبة إنجاز التحقيقات ضمن المدة المحددة</t>
        </is>
      </c>
      <c r="D76" s="46" t="n">
        <v>0.753</v>
      </c>
      <c r="E76" s="46" t="n">
        <v>0.9</v>
      </c>
      <c r="F76" s="47" t="n">
        <v>0.8366666666666667</v>
      </c>
      <c r="G76" s="12" t="n">
        <v>0.1633333333333333</v>
      </c>
      <c r="H76" s="46" t="n">
        <v>0.753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48" t="n"/>
    </row>
    <row r="77">
      <c r="A77" s="15" t="n">
        <v>75</v>
      </c>
      <c r="B77" s="13" t="inlineStr">
        <is>
          <t>التشغيل والمحطات</t>
        </is>
      </c>
      <c r="C77" s="24" t="inlineStr">
        <is>
          <t>الالتزام بمعايير السلامة داخل المحطة</t>
        </is>
      </c>
      <c r="D77" s="46" t="n">
        <v>0.837</v>
      </c>
      <c r="E77" s="46" t="n">
        <v>1</v>
      </c>
      <c r="F77" s="47" t="n">
        <v>0.837</v>
      </c>
      <c r="G77" s="12" t="n">
        <v>0.163</v>
      </c>
      <c r="H77" s="46" t="n">
        <v>0.837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التشغيل</t>
        </is>
      </c>
      <c r="M77" s="48" t="n"/>
    </row>
    <row r="78">
      <c r="A78" s="15" t="n">
        <v>76</v>
      </c>
      <c r="B78" s="13" t="inlineStr">
        <is>
          <t>الجودة</t>
        </is>
      </c>
      <c r="C78" s="24" t="inlineStr">
        <is>
          <t>نسبة جاهزية نظام إدارة الجودة QMS</t>
        </is>
      </c>
      <c r="D78" s="46" t="n">
        <v>0.754</v>
      </c>
      <c r="E78" s="46" t="n">
        <v>0.9</v>
      </c>
      <c r="F78" s="47" t="n">
        <v>0.8377777777777777</v>
      </c>
      <c r="G78" s="12" t="n">
        <v>0.1622222222222223</v>
      </c>
      <c r="H78" s="46" t="n">
        <v>0.754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الجودة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نسبة تأجير ساحة درب</t>
        </is>
      </c>
      <c r="D79" s="46" t="n">
        <v>0.671</v>
      </c>
      <c r="E79" s="46" t="n">
        <v>0.8</v>
      </c>
      <c r="F79" s="47" t="n">
        <v>0.83875</v>
      </c>
      <c r="G79" s="12" t="n">
        <v>0.16125</v>
      </c>
      <c r="H79" s="46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التشغيل والمحطات</t>
        </is>
      </c>
      <c r="C80" s="24" t="inlineStr">
        <is>
          <t>نسبة جاهزية المحطة الشاملة (Uptime)</t>
        </is>
      </c>
      <c r="D80" s="46" t="n">
        <v>0.831</v>
      </c>
      <c r="E80" s="46" t="n">
        <v>0.99</v>
      </c>
      <c r="F80" s="47" t="n">
        <v>0.8393939393939394</v>
      </c>
      <c r="G80" s="12" t="n">
        <v>0.1606060606060606</v>
      </c>
      <c r="H80" s="46" t="n">
        <v>0.831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48" t="n"/>
    </row>
    <row r="81">
      <c r="A81" s="15" t="n">
        <v>79</v>
      </c>
      <c r="B81" s="13" t="inlineStr">
        <is>
          <t>التشغيل والمحطات</t>
        </is>
      </c>
      <c r="C81" s="24" t="inlineStr">
        <is>
          <t>دقة التعبئة بدون أخطاء</t>
        </is>
      </c>
      <c r="D81" s="46" t="n">
        <v>0.831</v>
      </c>
      <c r="E81" s="46" t="n">
        <v>0.99</v>
      </c>
      <c r="F81" s="47" t="n">
        <v>0.8393939393939394</v>
      </c>
      <c r="G81" s="12" t="n">
        <v>0.1606060606060606</v>
      </c>
      <c r="H81" s="46" t="n">
        <v>0.831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التشغيل</t>
        </is>
      </c>
      <c r="M81" s="48" t="n"/>
    </row>
    <row r="82">
      <c r="A82" s="15" t="n">
        <v>80</v>
      </c>
      <c r="B82" s="13" t="inlineStr">
        <is>
          <t>الموارد البشرية</t>
        </is>
      </c>
      <c r="C82" s="24" t="inlineStr">
        <is>
          <t>نسبة أتمتة عمليات الموارد البشرية</t>
        </is>
      </c>
      <c r="D82" s="46" t="n">
        <v>0.756</v>
      </c>
      <c r="E82" s="46" t="n">
        <v>0.9</v>
      </c>
      <c r="F82" s="47" t="n">
        <v>0.84</v>
      </c>
      <c r="G82" s="12" t="n">
        <v>0.16</v>
      </c>
      <c r="H82" s="46" t="n">
        <v>0.756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الموارد البشرية</t>
        </is>
      </c>
      <c r="M82" s="48" t="n"/>
    </row>
    <row r="83">
      <c r="A83" s="15" t="n">
        <v>81</v>
      </c>
      <c r="B83" s="13" t="inlineStr">
        <is>
          <t>الموارد البشرية</t>
        </is>
      </c>
      <c r="C83" s="24" t="inlineStr">
        <is>
          <t>متوسط ساعات التدريب لكل موظف</t>
        </is>
      </c>
      <c r="D83" s="46" t="n">
        <v>33.6</v>
      </c>
      <c r="E83" s="46" t="n">
        <v>40</v>
      </c>
      <c r="F83" s="47" t="n">
        <v>0.8400000000000001</v>
      </c>
      <c r="G83" s="12" t="n">
        <v>0.1599999999999999</v>
      </c>
      <c r="H83" s="46" t="n">
        <v>67.2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الموارد البشرية</t>
        </is>
      </c>
      <c r="M83" s="48" t="n"/>
    </row>
    <row r="84">
      <c r="A84" s="15" t="n">
        <v>82</v>
      </c>
      <c r="B84" s="13" t="inlineStr">
        <is>
          <t>الجودة</t>
        </is>
      </c>
      <c r="C84" s="24" t="inlineStr">
        <is>
          <t>نسبة انخفاض الشكاوى المتكررة ذات العلاقة بالجودة</t>
        </is>
      </c>
      <c r="D84" s="46" t="n">
        <v>0.126</v>
      </c>
      <c r="E84" s="46" t="n">
        <v>0.15</v>
      </c>
      <c r="F84" s="47" t="n">
        <v>0.8400000000000001</v>
      </c>
      <c r="G84" s="12" t="n">
        <v>0.1599999999999999</v>
      </c>
      <c r="H84" s="46" t="n">
        <v>0.126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الجودة</t>
        </is>
      </c>
      <c r="M84" s="48" t="n"/>
    </row>
    <row r="85">
      <c r="A85" s="15" t="n">
        <v>83</v>
      </c>
      <c r="B85" s="13" t="inlineStr">
        <is>
          <t>الإدارة المالية</t>
        </is>
      </c>
      <c r="C85" s="24" t="inlineStr">
        <is>
          <t>نمو الإيرادات السنوي</t>
        </is>
      </c>
      <c r="D85" s="46" t="n">
        <v>0.169</v>
      </c>
      <c r="E85" s="46" t="n">
        <v>0.2</v>
      </c>
      <c r="F85" s="47" t="n">
        <v>0.845</v>
      </c>
      <c r="G85" s="12" t="n">
        <v>0.155</v>
      </c>
      <c r="H85" s="46" t="n">
        <v>0.169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المالي</t>
        </is>
      </c>
      <c r="M85" s="48" t="n"/>
    </row>
    <row r="86">
      <c r="A86" s="15" t="n">
        <v>84</v>
      </c>
      <c r="B86" s="13" t="inlineStr">
        <is>
          <t>العقار</t>
        </is>
      </c>
      <c r="C86" s="24" t="inlineStr">
        <is>
          <t>نسبة تحصيل الإيجارات</t>
        </is>
      </c>
      <c r="D86" s="46" t="n">
        <v>0.805</v>
      </c>
      <c r="E86" s="46" t="n">
        <v>0.95</v>
      </c>
      <c r="F86" s="47" t="n">
        <v>0.8473684210526317</v>
      </c>
      <c r="G86" s="12" t="n">
        <v>0.1526315789473683</v>
      </c>
      <c r="H86" s="46" t="n">
        <v>0.805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العقار</t>
        </is>
      </c>
      <c r="M86" s="48" t="n"/>
    </row>
    <row r="87">
      <c r="A87" s="15" t="n">
        <v>85</v>
      </c>
      <c r="B87" s="13" t="inlineStr">
        <is>
          <t>الاستثمار</t>
        </is>
      </c>
      <c r="C87" s="24" t="inlineStr">
        <is>
          <t>عقود الاستثمار العادي الجديدة</t>
        </is>
      </c>
      <c r="D87" s="46" t="n">
        <v>76.3</v>
      </c>
      <c r="E87" s="46" t="n">
        <v>90</v>
      </c>
      <c r="F87" s="47" t="n">
        <v>0.8477777777777777</v>
      </c>
      <c r="G87" s="12" t="n">
        <v>0.1522222222222223</v>
      </c>
      <c r="H87" s="46" t="n">
        <v>152.6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الاستثمار</t>
        </is>
      </c>
      <c r="M87" s="48" t="n"/>
    </row>
    <row r="88">
      <c r="A88" s="15" t="n">
        <v>86</v>
      </c>
      <c r="B88" s="13" t="inlineStr">
        <is>
          <t>الإدارة التنفيذية</t>
        </is>
      </c>
      <c r="C88" s="24" t="inlineStr">
        <is>
          <t>نسبة تحقيق المستهدفات الاستراتيجية العامة</t>
        </is>
      </c>
      <c r="D88" s="46" t="n">
        <v>0.85</v>
      </c>
      <c r="E88" s="46" t="n">
        <v>1</v>
      </c>
      <c r="F88" s="47" t="n">
        <v>0.85</v>
      </c>
      <c r="G88" s="12" t="n">
        <v>0.15</v>
      </c>
      <c r="H88" s="46" t="n">
        <v>0.85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الرئيس التنفيذي</t>
        </is>
      </c>
      <c r="M88" s="48" t="n"/>
    </row>
    <row r="89">
      <c r="A89" s="15" t="n">
        <v>87</v>
      </c>
      <c r="B89" s="13" t="inlineStr">
        <is>
          <t>العقار</t>
        </is>
      </c>
      <c r="C89" s="24" t="inlineStr">
        <is>
          <t>نمو الإيرادات الإيجارية</t>
        </is>
      </c>
      <c r="D89" s="46" t="n">
        <v>0.068</v>
      </c>
      <c r="E89" s="46" t="n">
        <v>0.08</v>
      </c>
      <c r="F89" s="47" t="n">
        <v>0.8500000000000001</v>
      </c>
      <c r="G89" s="12" t="n">
        <v>0.1499999999999999</v>
      </c>
      <c r="H89" s="46" t="n">
        <v>0.068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العقار</t>
        </is>
      </c>
      <c r="M89" s="48" t="n"/>
    </row>
    <row r="90">
      <c r="A90" s="15" t="n">
        <v>88</v>
      </c>
      <c r="B90" s="13" t="inlineStr">
        <is>
          <t>التسويق</t>
        </is>
      </c>
      <c r="C90" s="24" t="inlineStr">
        <is>
          <t>تقييم خرائط قوقل</t>
        </is>
      </c>
      <c r="D90" s="46" t="n">
        <v>4</v>
      </c>
      <c r="E90" s="46" t="n">
        <v>4.7</v>
      </c>
      <c r="F90" s="47" t="n">
        <v>0.851063829787234</v>
      </c>
      <c r="G90" s="12" t="n">
        <v>0.148936170212766</v>
      </c>
      <c r="H90" s="46" t="n">
        <v>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التسويق</t>
        </is>
      </c>
      <c r="M90" s="48" t="n"/>
    </row>
    <row r="91">
      <c r="A91" s="15" t="n">
        <v>89</v>
      </c>
      <c r="B91" s="13" t="inlineStr">
        <is>
          <t>الإدارة المالية</t>
        </is>
      </c>
      <c r="C91" s="24" t="inlineStr">
        <is>
          <t>أيام الإقفال الشهري</t>
        </is>
      </c>
      <c r="D91" s="46" t="n">
        <v>7.044</v>
      </c>
      <c r="E91" s="46" t="n">
        <v>6</v>
      </c>
      <c r="F91" s="47" t="n">
        <v>0.8517887563884157</v>
      </c>
      <c r="G91" s="12" t="n">
        <v>0.1482112436115843</v>
      </c>
      <c r="H91" s="46" t="n">
        <v>7.044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المدير المالي</t>
        </is>
      </c>
      <c r="M91" s="48" t="n"/>
    </row>
    <row r="92">
      <c r="A92" s="15" t="n">
        <v>90</v>
      </c>
      <c r="B92" s="13" t="inlineStr">
        <is>
          <t>الإدارة المالية</t>
        </is>
      </c>
      <c r="C92" s="24" t="inlineStr">
        <is>
          <t>النسبة الجارية (Current Ratio)</t>
        </is>
      </c>
      <c r="D92" s="46" t="n">
        <v>0.852</v>
      </c>
      <c r="E92" s="46" t="n">
        <v>1</v>
      </c>
      <c r="F92" s="47" t="n">
        <v>0.852</v>
      </c>
      <c r="G92" s="12" t="n">
        <v>0.148</v>
      </c>
      <c r="H92" s="46" t="n">
        <v>0.852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المدير المالي</t>
        </is>
      </c>
      <c r="M92" s="48" t="n"/>
    </row>
    <row r="93">
      <c r="A93" s="15" t="n">
        <v>91</v>
      </c>
      <c r="B93" s="13" t="inlineStr">
        <is>
          <t>الجودة</t>
        </is>
      </c>
      <c r="C93" s="24" t="inlineStr">
        <is>
          <t>عدد مبادرات التحسين المؤثرة</t>
        </is>
      </c>
      <c r="D93" s="46" t="n">
        <v>6.827</v>
      </c>
      <c r="E93" s="46" t="n">
        <v>8</v>
      </c>
      <c r="F93" s="47" t="n">
        <v>0.853375</v>
      </c>
      <c r="G93" s="12" t="n">
        <v>0.146625</v>
      </c>
      <c r="H93" s="46" t="n">
        <v>13.654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الجودة</t>
        </is>
      </c>
      <c r="M93" s="48" t="n"/>
    </row>
    <row r="94">
      <c r="A94" s="15" t="n">
        <v>92</v>
      </c>
      <c r="B94" s="13" t="inlineStr">
        <is>
          <t>الامتياز التجاري</t>
        </is>
      </c>
      <c r="C94" s="24" t="inlineStr">
        <is>
          <t>نسبة التحصيل المالي من شركاء الامتياز</t>
        </is>
      </c>
      <c r="D94" s="46" t="n">
        <v>0.8120000000000001</v>
      </c>
      <c r="E94" s="46" t="n">
        <v>0.95</v>
      </c>
      <c r="F94" s="47" t="n">
        <v>0.8547368421052632</v>
      </c>
      <c r="G94" s="12" t="n">
        <v>0.1452631578947368</v>
      </c>
      <c r="H94" s="46" t="n">
        <v>0.8120000000000001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48" t="n"/>
    </row>
    <row r="95">
      <c r="A95" s="15" t="n">
        <v>93</v>
      </c>
      <c r="B95" s="13" t="inlineStr">
        <is>
          <t>الاستثمار</t>
        </is>
      </c>
      <c r="C95" s="24" t="inlineStr">
        <is>
          <t>نسبة العقود خارج المدن الرئيسية</t>
        </is>
      </c>
      <c r="D95" s="46" t="n">
        <v>0.516</v>
      </c>
      <c r="E95" s="46" t="n">
        <v>0.6</v>
      </c>
      <c r="F95" s="47" t="n">
        <v>0.8600000000000001</v>
      </c>
      <c r="G95" s="12" t="n">
        <v>0.1399999999999999</v>
      </c>
      <c r="H95" s="46" t="n">
        <v>0.516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الاستثمار</t>
        </is>
      </c>
      <c r="M95" s="48" t="n"/>
    </row>
    <row r="96">
      <c r="A96" s="15" t="n">
        <v>94</v>
      </c>
      <c r="B96" s="13" t="inlineStr">
        <is>
          <t>إدارة المشاريع</t>
        </is>
      </c>
      <c r="C96" s="24" t="inlineStr">
        <is>
          <t>نسبة إغلاق ملاحظات الجودة على المطوّرين</t>
        </is>
      </c>
      <c r="D96" s="46" t="n">
        <v>0.777</v>
      </c>
      <c r="E96" s="46" t="n">
        <v>0.9</v>
      </c>
      <c r="F96" s="47" t="n">
        <v>0.8633333333333333</v>
      </c>
      <c r="G96" s="12" t="n">
        <v>0.1366666666666667</v>
      </c>
      <c r="H96" s="46" t="n">
        <v>0.777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48" t="n"/>
    </row>
    <row r="97">
      <c r="A97" s="15" t="n">
        <v>95</v>
      </c>
      <c r="B97" s="13" t="inlineStr">
        <is>
          <t>الصيانة والأتمتة</t>
        </is>
      </c>
      <c r="C97" s="24" t="inlineStr">
        <is>
          <t>متوسط زمن الاستجابة للبلاغات الطارئة</t>
        </is>
      </c>
      <c r="D97" s="46" t="n">
        <v>34.7</v>
      </c>
      <c r="E97" s="46" t="n">
        <v>30</v>
      </c>
      <c r="F97" s="47" t="n">
        <v>0.8645533141210374</v>
      </c>
      <c r="G97" s="12" t="n">
        <v>0.1354466858789626</v>
      </c>
      <c r="H97" s="46" t="n">
        <v>34.7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الصيانة والأتمتة</t>
        </is>
      </c>
      <c r="M97" s="48" t="n"/>
    </row>
    <row r="98">
      <c r="A98" s="15" t="n">
        <v>96</v>
      </c>
      <c r="B98" s="13" t="inlineStr">
        <is>
          <t>سلاسل الإمداد</t>
        </is>
      </c>
      <c r="C98" s="24" t="inlineStr">
        <is>
          <t>نسبة التزام جدول النقل (On-Time)</t>
        </is>
      </c>
      <c r="D98" s="46" t="n">
        <v>0.822</v>
      </c>
      <c r="E98" s="46" t="n">
        <v>0.95</v>
      </c>
      <c r="F98" s="47" t="n">
        <v>0.8652631578947368</v>
      </c>
      <c r="G98" s="12" t="n">
        <v>0.1347368421052632</v>
      </c>
      <c r="H98" s="46" t="n">
        <v>0.822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سلاسل الإمداد</t>
        </is>
      </c>
      <c r="M98" s="48" t="n"/>
    </row>
    <row r="99">
      <c r="A99" s="15" t="n">
        <v>97</v>
      </c>
      <c r="B99" s="13" t="inlineStr">
        <is>
          <t>الصيانة والأتمتة</t>
        </is>
      </c>
      <c r="C99" s="24" t="inlineStr">
        <is>
          <t>نسبة الجاهزية الفنية للأصول والمعدات (Availability)</t>
        </is>
      </c>
      <c r="D99" s="46" t="n">
        <v>0.848</v>
      </c>
      <c r="E99" s="46" t="n">
        <v>0.98</v>
      </c>
      <c r="F99" s="47" t="n">
        <v>0.8653061224489795</v>
      </c>
      <c r="G99" s="12" t="n">
        <v>0.1346938775510205</v>
      </c>
      <c r="H99" s="46" t="n">
        <v>0.848</v>
      </c>
      <c r="I99" s="15" t="inlineStr">
        <is>
          <t>🔴 تحت الهدف</t>
        </is>
      </c>
      <c r="J99" s="11" t="inlineStr">
        <is>
          <t>انحراف جوهري — أولوية عاجلة.</t>
        </is>
      </c>
      <c r="K99" s="11" t="inlineStr">
        <is>
          <t>إجراء تصحيحي خلال 30 يوماً.</t>
        </is>
      </c>
      <c r="L99" s="15" t="inlineStr">
        <is>
          <t>مدير الصيانة والأتمتة</t>
        </is>
      </c>
      <c r="M99" s="48" t="n"/>
    </row>
    <row r="100">
      <c r="A100" s="15" t="n">
        <v>98</v>
      </c>
      <c r="B100" s="13" t="inlineStr">
        <is>
          <t>إدارة المشاريع</t>
        </is>
      </c>
      <c r="C100" s="24" t="inlineStr">
        <is>
          <t>عدد محطات الامتياز المُسلَّمة بالهوية</t>
        </is>
      </c>
      <c r="D100" s="46" t="n">
        <v>34.7</v>
      </c>
      <c r="E100" s="46" t="n">
        <v>40</v>
      </c>
      <c r="F100" s="47" t="n">
        <v>0.8675</v>
      </c>
      <c r="G100" s="12" t="n">
        <v>0.1325</v>
      </c>
      <c r="H100" s="46" t="n">
        <v>69.40000000000001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إدارة المشاريع</t>
        </is>
      </c>
      <c r="M100" s="48" t="n"/>
    </row>
    <row r="101">
      <c r="A101" s="15" t="n">
        <v>99</v>
      </c>
      <c r="B101" s="13" t="inlineStr">
        <is>
          <t>العقار</t>
        </is>
      </c>
      <c r="C101" s="24" t="inlineStr">
        <is>
          <t>استدامة المستأجرين (لم يُنهَ مبكراً)</t>
        </is>
      </c>
      <c r="D101" s="46" t="n">
        <v>0.695</v>
      </c>
      <c r="E101" s="46" t="n">
        <v>0.8</v>
      </c>
      <c r="F101" s="47" t="n">
        <v>0.8687499999999999</v>
      </c>
      <c r="G101" s="12" t="n">
        <v>0.1312500000000001</v>
      </c>
      <c r="H101" s="46" t="n">
        <v>0.695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48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رفع هامش الربحية للامتياز</t>
        </is>
      </c>
      <c r="D102" s="46" t="n">
        <v>1.564</v>
      </c>
      <c r="E102" s="46" t="n">
        <v>1.8</v>
      </c>
      <c r="F102" s="47" t="n">
        <v>0.8688888888888889</v>
      </c>
      <c r="G102" s="12" t="n">
        <v>0.1311111111111111</v>
      </c>
      <c r="H102" s="46" t="n">
        <v>1.564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48" t="n"/>
    </row>
    <row r="103">
      <c r="A103" s="15" t="n">
        <v>101</v>
      </c>
      <c r="B103" s="13" t="inlineStr">
        <is>
          <t>إدارة المشاريع</t>
        </is>
      </c>
      <c r="C103" s="24" t="inlineStr">
        <is>
          <t>نسبة التزام المطوّرين بالجدول الزمني</t>
        </is>
      </c>
      <c r="D103" s="46" t="n">
        <v>0.652</v>
      </c>
      <c r="E103" s="46" t="n">
        <v>0.75</v>
      </c>
      <c r="F103" s="47" t="n">
        <v>0.8693333333333334</v>
      </c>
      <c r="G103" s="12" t="n">
        <v>0.1306666666666666</v>
      </c>
      <c r="H103" s="46" t="n">
        <v>0.652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إدارة المشاريع</t>
        </is>
      </c>
      <c r="M103" s="48" t="n"/>
    </row>
    <row r="104">
      <c r="A104" s="15" t="n">
        <v>102</v>
      </c>
      <c r="B104" s="13" t="inlineStr">
        <is>
          <t>سلاسل الإمداد</t>
        </is>
      </c>
      <c r="C104" s="24" t="inlineStr">
        <is>
          <t>نسبة المواد التالفة من المخزون</t>
        </is>
      </c>
      <c r="D104" s="46" t="n">
        <v>0.023</v>
      </c>
      <c r="E104" s="46" t="n">
        <v>0.02</v>
      </c>
      <c r="F104" s="47" t="n">
        <v>0.8695652173913044</v>
      </c>
      <c r="G104" s="12" t="n">
        <v>0.1304347826086956</v>
      </c>
      <c r="H104" s="46" t="n">
        <v>0.023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سلاسل الإمداد</t>
        </is>
      </c>
      <c r="M104" s="48" t="n"/>
    </row>
    <row r="105">
      <c r="A105" s="15" t="n">
        <v>103</v>
      </c>
      <c r="B105" s="13" t="inlineStr">
        <is>
          <t>الاستثمار</t>
        </is>
      </c>
      <c r="C105" s="24" t="inlineStr">
        <is>
          <t>إجمالي عقود الاستثمار الجديدة (جميع النماذج)</t>
        </is>
      </c>
      <c r="D105" s="46" t="n">
        <v>165.7</v>
      </c>
      <c r="E105" s="46" t="n">
        <v>190</v>
      </c>
      <c r="F105" s="47" t="n">
        <v>0.8721052631578947</v>
      </c>
      <c r="G105" s="12" t="n">
        <v>0.1278947368421053</v>
      </c>
      <c r="H105" s="46" t="n">
        <v>331.4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48" t="n"/>
    </row>
    <row r="106">
      <c r="A106" s="15" t="n">
        <v>104</v>
      </c>
      <c r="B106" s="13" t="inlineStr">
        <is>
          <t>الامتياز التجاري</t>
        </is>
      </c>
      <c r="C106" s="24" t="inlineStr">
        <is>
          <t>نسبة المحطات التي حققت مستهدف المبيعات</t>
        </is>
      </c>
      <c r="D106" s="46" t="n">
        <v>0.788</v>
      </c>
      <c r="E106" s="46" t="n">
        <v>0.9</v>
      </c>
      <c r="F106" s="47" t="n">
        <v>0.8755555555555555</v>
      </c>
      <c r="G106" s="12" t="n">
        <v>0.1244444444444445</v>
      </c>
      <c r="H106" s="46" t="n">
        <v>0.788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48" t="n"/>
    </row>
    <row r="107">
      <c r="A107" s="15" t="n">
        <v>105</v>
      </c>
      <c r="B107" s="13" t="inlineStr">
        <is>
          <t>العقار</t>
        </is>
      </c>
      <c r="C107" s="24" t="inlineStr">
        <is>
          <t>متوسط زمن تسليم الوحدة</t>
        </is>
      </c>
      <c r="D107" s="46" t="n">
        <v>7.983</v>
      </c>
      <c r="E107" s="46" t="n">
        <v>7</v>
      </c>
      <c r="F107" s="47" t="n">
        <v>0.8768633345859953</v>
      </c>
      <c r="G107" s="12" t="n">
        <v>0.1231366654140047</v>
      </c>
      <c r="H107" s="46" t="n">
        <v>7.983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العقار</t>
        </is>
      </c>
      <c r="M107" s="48" t="n"/>
    </row>
    <row r="108">
      <c r="A108" s="15" t="n">
        <v>106</v>
      </c>
      <c r="B108" s="13" t="inlineStr">
        <is>
          <t>الإدارة التنفيذية</t>
        </is>
      </c>
      <c r="C108" s="24" t="inlineStr">
        <is>
          <t>إجمالي المحطات المشغّلة — الشركة (تراكمي)</t>
        </is>
      </c>
      <c r="D108" s="46" t="n">
        <v>206.1</v>
      </c>
      <c r="E108" s="46" t="n">
        <v>235</v>
      </c>
      <c r="F108" s="47" t="n">
        <v>0.8770212765957447</v>
      </c>
      <c r="G108" s="12" t="n">
        <v>0.1229787234042553</v>
      </c>
      <c r="H108" s="46" t="n">
        <v>206.1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الرئيس التنفيذي</t>
        </is>
      </c>
      <c r="M108" s="48" t="n"/>
    </row>
    <row r="109">
      <c r="A109" s="15" t="n">
        <v>107</v>
      </c>
      <c r="B109" s="13" t="inlineStr">
        <is>
          <t>الجودة</t>
        </is>
      </c>
      <c r="C109" s="24" t="inlineStr">
        <is>
          <t>نسبة تكرار الملاحظات</t>
        </is>
      </c>
      <c r="D109" s="46" t="n">
        <v>0.114</v>
      </c>
      <c r="E109" s="46" t="n">
        <v>0.1</v>
      </c>
      <c r="F109" s="47" t="n">
        <v>0.8771929824561404</v>
      </c>
      <c r="G109" s="12" t="n">
        <v>0.1228070175438596</v>
      </c>
      <c r="H109" s="46" t="n">
        <v>0.114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الجودة</t>
        </is>
      </c>
      <c r="M109" s="48" t="n"/>
    </row>
    <row r="110">
      <c r="A110" s="15" t="n">
        <v>108</v>
      </c>
      <c r="B110" s="13" t="inlineStr">
        <is>
          <t>الموارد البشرية</t>
        </is>
      </c>
      <c r="C110" s="24" t="inlineStr">
        <is>
          <t>معدل استبقاء الموظفين (Retention)</t>
        </is>
      </c>
      <c r="D110" s="46" t="n">
        <v>0.795</v>
      </c>
      <c r="E110" s="46" t="n">
        <v>0.9</v>
      </c>
      <c r="F110" s="47" t="n">
        <v>0.8833333333333333</v>
      </c>
      <c r="G110" s="12" t="n">
        <v>0.1166666666666667</v>
      </c>
      <c r="H110" s="46" t="n">
        <v>0.795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48" t="n"/>
    </row>
    <row r="111">
      <c r="A111" s="15" t="n">
        <v>109</v>
      </c>
      <c r="B111" s="13" t="inlineStr">
        <is>
          <t>التشغيل والمحطات</t>
        </is>
      </c>
      <c r="C111" s="24" t="inlineStr">
        <is>
          <t>سرعة تعبئة الوقود</t>
        </is>
      </c>
      <c r="D111" s="46" t="n">
        <v>3.352</v>
      </c>
      <c r="E111" s="46" t="n">
        <v>3</v>
      </c>
      <c r="F111" s="47" t="n">
        <v>0.8949880668257757</v>
      </c>
      <c r="G111" s="12" t="n">
        <v>0.1050119331742243</v>
      </c>
      <c r="H111" s="46" t="n">
        <v>3.352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48" t="n"/>
    </row>
    <row r="112">
      <c r="A112" s="15" t="n">
        <v>110</v>
      </c>
      <c r="B112" s="13" t="inlineStr">
        <is>
          <t>إدارة المشاريع</t>
        </is>
      </c>
      <c r="C112" s="24" t="inlineStr">
        <is>
          <t>نسبة التزام المقاولين بمعايير السلامة</t>
        </is>
      </c>
      <c r="D112" s="46" t="n">
        <v>0.852</v>
      </c>
      <c r="E112" s="46" t="n">
        <v>0.95</v>
      </c>
      <c r="F112" s="47" t="n">
        <v>0.8968421052631579</v>
      </c>
      <c r="G112" s="12" t="n">
        <v>0.1031578947368421</v>
      </c>
      <c r="H112" s="46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48" t="n"/>
    </row>
    <row r="113">
      <c r="A113" s="15" t="n">
        <v>111</v>
      </c>
      <c r="B113" s="13" t="inlineStr">
        <is>
          <t>التشغيل والمحطات</t>
        </is>
      </c>
      <c r="C113" s="24" t="inlineStr">
        <is>
          <t>تقييم Google Maps للمحطات</t>
        </is>
      </c>
      <c r="D113" s="46" t="n">
        <v>4.048</v>
      </c>
      <c r="E113" s="46" t="n">
        <v>4.5</v>
      </c>
      <c r="F113" s="47" t="n">
        <v>0.8995555555555556</v>
      </c>
      <c r="G113" s="12" t="n">
        <v>0.1004444444444444</v>
      </c>
      <c r="H113" s="46" t="n">
        <v>4.048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48" t="n"/>
    </row>
    <row r="114">
      <c r="A114" s="15" t="n">
        <v>112</v>
      </c>
      <c r="B114" s="13" t="inlineStr">
        <is>
          <t>الموارد البشرية</t>
        </is>
      </c>
      <c r="C114" s="24" t="inlineStr">
        <is>
          <t>معدل دوران الموظفين (Turnover)</t>
        </is>
      </c>
      <c r="D114" s="46" t="n">
        <v>0.111</v>
      </c>
      <c r="E114" s="46" t="n">
        <v>0.1</v>
      </c>
      <c r="F114" s="47" t="n">
        <v>0.9009009009009009</v>
      </c>
      <c r="G114" s="12" t="n">
        <v>0.09909909909909909</v>
      </c>
      <c r="H114" s="46" t="n">
        <v>0.111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الموارد البشرية</t>
        </is>
      </c>
      <c r="M114" s="48" t="n"/>
    </row>
    <row r="115">
      <c r="A115" s="15" t="n">
        <v>113</v>
      </c>
      <c r="B115" s="13" t="inlineStr">
        <is>
          <t>الإدارة المالية</t>
        </is>
      </c>
      <c r="C115" s="24" t="inlineStr">
        <is>
          <t>نسبة التدفق النقدي التشغيلي</t>
        </is>
      </c>
      <c r="D115" s="46" t="n">
        <v>0.902</v>
      </c>
      <c r="E115" s="46" t="n">
        <v>1</v>
      </c>
      <c r="F115" s="47" t="n">
        <v>0.902</v>
      </c>
      <c r="G115" s="12" t="n">
        <v>0.09799999999999998</v>
      </c>
      <c r="H115" s="46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48" t="n"/>
    </row>
    <row r="116">
      <c r="A116" s="15" t="n">
        <v>114</v>
      </c>
      <c r="B116" s="13" t="inlineStr">
        <is>
          <t>الإدارة التنفيذية</t>
        </is>
      </c>
      <c r="C116" s="24" t="inlineStr">
        <is>
          <t>نسبة إنجاز مشاريع الخارطة التنفيذية</t>
        </is>
      </c>
      <c r="D116" s="46" t="n">
        <v>0.906</v>
      </c>
      <c r="E116" s="46" t="n">
        <v>1</v>
      </c>
      <c r="F116" s="47" t="n">
        <v>0.906</v>
      </c>
      <c r="G116" s="12" t="n">
        <v>0.09399999999999997</v>
      </c>
      <c r="H116" s="46" t="n">
        <v>0.906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الرئيس التنفيذي</t>
        </is>
      </c>
      <c r="M116" s="48" t="n"/>
    </row>
    <row r="117">
      <c r="A117" s="15" t="n">
        <v>115</v>
      </c>
      <c r="B117" s="13" t="inlineStr">
        <is>
          <t>التقنية الرقمية</t>
        </is>
      </c>
      <c r="C117" s="24" t="inlineStr">
        <is>
          <t>متوسط جاهزية أنظمة المركز الرئيسي (Uptime)</t>
        </is>
      </c>
      <c r="D117" s="46" t="n">
        <v>0.9</v>
      </c>
      <c r="E117" s="46" t="n">
        <v>0.99</v>
      </c>
      <c r="F117" s="47" t="n">
        <v>0.9090909090909092</v>
      </c>
      <c r="G117" s="12" t="n">
        <v>0.09090909090909083</v>
      </c>
      <c r="H117" s="46" t="n">
        <v>0.9</v>
      </c>
      <c r="I117" s="15" t="inlineStr">
        <is>
          <t>🔴 تحت الهدف</t>
        </is>
      </c>
      <c r="J117" s="11" t="inlineStr">
        <is>
          <t>انحراف جوهري — أولوية عاجلة.</t>
        </is>
      </c>
      <c r="K117" s="11" t="inlineStr">
        <is>
          <t>إجراء تصحيحي خلال 30 يوماً.</t>
        </is>
      </c>
      <c r="L117" s="15" t="inlineStr">
        <is>
          <t>مدير التقنية</t>
        </is>
      </c>
      <c r="M117" s="48" t="n"/>
    </row>
    <row r="118">
      <c r="A118" s="15" t="n">
        <v>116</v>
      </c>
      <c r="B118" s="13" t="inlineStr">
        <is>
          <t>إدارة المشاريع</t>
        </is>
      </c>
      <c r="C118" s="24" t="inlineStr">
        <is>
          <t>نسبة المشاريع المنفّذة ضمن الميزانية</t>
        </is>
      </c>
      <c r="D118" s="46" t="n">
        <v>0.774</v>
      </c>
      <c r="E118" s="46" t="n">
        <v>0.85</v>
      </c>
      <c r="F118" s="47" t="n">
        <v>0.9105882352941177</v>
      </c>
      <c r="G118" s="12" t="n">
        <v>0.0894117647058823</v>
      </c>
      <c r="H118" s="46" t="n">
        <v>0.774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إدارة المشاريع</t>
        </is>
      </c>
      <c r="M118" s="48" t="n"/>
    </row>
    <row r="119">
      <c r="A119" s="15" t="n">
        <v>117</v>
      </c>
      <c r="B119" s="13" t="inlineStr">
        <is>
          <t>الامتياز التجاري</t>
        </is>
      </c>
      <c r="C119" s="24" t="inlineStr">
        <is>
          <t>نسبة المحطات المستوفية لمعايير السلامة</t>
        </is>
      </c>
      <c r="D119" s="46" t="n">
        <v>0.911</v>
      </c>
      <c r="E119" s="46" t="n">
        <v>1</v>
      </c>
      <c r="F119" s="47" t="n">
        <v>0.911</v>
      </c>
      <c r="G119" s="12" t="n">
        <v>0.08899999999999997</v>
      </c>
      <c r="H119" s="46" t="n">
        <v>0.911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الامتياز</t>
        </is>
      </c>
      <c r="M119" s="48" t="n"/>
    </row>
    <row r="120">
      <c r="A120" s="15" t="n">
        <v>118</v>
      </c>
      <c r="B120" s="13" t="inlineStr">
        <is>
          <t>الامتياز التجاري</t>
        </is>
      </c>
      <c r="C120" s="24" t="inlineStr">
        <is>
          <t>متوسط وقت معالجة البلاغات التشغيلية</t>
        </is>
      </c>
      <c r="D120" s="46" t="n">
        <v>26.2</v>
      </c>
      <c r="E120" s="46" t="n">
        <v>24</v>
      </c>
      <c r="F120" s="47" t="n">
        <v>0.916030534351145</v>
      </c>
      <c r="G120" s="12" t="n">
        <v>0.08396946564885499</v>
      </c>
      <c r="H120" s="46" t="n">
        <v>26.2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48" t="n"/>
    </row>
    <row r="121">
      <c r="A121" s="15" t="n">
        <v>119</v>
      </c>
      <c r="B121" s="13" t="inlineStr">
        <is>
          <t>العقار</t>
        </is>
      </c>
      <c r="C121" s="24" t="inlineStr">
        <is>
          <t>الشراكات الاستراتيجية</t>
        </is>
      </c>
      <c r="D121" s="46" t="n">
        <v>4.59</v>
      </c>
      <c r="E121" s="46" t="n">
        <v>5</v>
      </c>
      <c r="F121" s="47" t="n">
        <v>0.9179999999999999</v>
      </c>
      <c r="G121" s="12" t="n">
        <v>0.08200000000000007</v>
      </c>
      <c r="H121" s="46" t="n">
        <v>9.18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48" t="n"/>
    </row>
    <row r="122">
      <c r="A122" s="15" t="n">
        <v>120</v>
      </c>
      <c r="B122" s="13" t="inlineStr">
        <is>
          <t>التقنية الرقمية</t>
        </is>
      </c>
      <c r="C122" s="24" t="inlineStr">
        <is>
          <t>معدل تسليم المشاريع في الموعد المحدد</t>
        </is>
      </c>
      <c r="D122" s="46" t="n">
        <v>0.83</v>
      </c>
      <c r="E122" s="46" t="n">
        <v>0.9</v>
      </c>
      <c r="F122" s="47" t="n">
        <v>0.9222222222222222</v>
      </c>
      <c r="G122" s="12" t="n">
        <v>0.07777777777777783</v>
      </c>
      <c r="H122" s="46" t="n">
        <v>0.83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التقنية</t>
        </is>
      </c>
      <c r="M122" s="48" t="n"/>
    </row>
    <row r="123">
      <c r="A123" s="15" t="n">
        <v>121</v>
      </c>
      <c r="B123" s="13" t="inlineStr">
        <is>
          <t>التشغيل والمحطات</t>
        </is>
      </c>
      <c r="C123" s="24" t="inlineStr">
        <is>
          <t>عدد المحطات المشغّلة (تراكمي)</t>
        </is>
      </c>
      <c r="D123" s="46" t="n">
        <v>78.5</v>
      </c>
      <c r="E123" s="46" t="n">
        <v>85</v>
      </c>
      <c r="F123" s="47" t="n">
        <v>0.9235294117647059</v>
      </c>
      <c r="G123" s="12" t="n">
        <v>0.07647058823529407</v>
      </c>
      <c r="H123" s="46" t="n">
        <v>78.5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التشغيل</t>
        </is>
      </c>
      <c r="M123" s="48" t="n"/>
    </row>
    <row r="124">
      <c r="A124" s="15" t="n">
        <v>122</v>
      </c>
      <c r="B124" s="13" t="inlineStr">
        <is>
          <t>الامتياز التجاري</t>
        </is>
      </c>
      <c r="C124" s="24" t="inlineStr">
        <is>
          <t>نسبة إغلاق ملاحظات الجودة الميدانية</t>
        </is>
      </c>
      <c r="D124" s="46" t="n">
        <v>0.879</v>
      </c>
      <c r="E124" s="46" t="n">
        <v>0.95</v>
      </c>
      <c r="F124" s="47" t="n">
        <v>0.9252631578947369</v>
      </c>
      <c r="G124" s="12" t="n">
        <v>0.0747368421052631</v>
      </c>
      <c r="H124" s="46" t="n">
        <v>0.879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48" t="n"/>
    </row>
    <row r="125">
      <c r="A125" s="15" t="n">
        <v>123</v>
      </c>
      <c r="B125" s="13" t="inlineStr">
        <is>
          <t>إدارة المشاريع</t>
        </is>
      </c>
      <c r="C125" s="24" t="inlineStr">
        <is>
          <t>متوسط مدة إغلاق قائمة الملاحظات النهائية</t>
        </is>
      </c>
      <c r="D125" s="46" t="n">
        <v>32.4</v>
      </c>
      <c r="E125" s="46" t="n">
        <v>30</v>
      </c>
      <c r="F125" s="47" t="n">
        <v>0.9259259259259259</v>
      </c>
      <c r="G125" s="12" t="n">
        <v>0.07407407407407407</v>
      </c>
      <c r="H125" s="46" t="n">
        <v>32.4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48" t="n"/>
    </row>
    <row r="126">
      <c r="A126" s="15" t="n">
        <v>124</v>
      </c>
      <c r="B126" s="13" t="inlineStr">
        <is>
          <t>الجودة</t>
        </is>
      </c>
      <c r="C126" s="24" t="inlineStr">
        <is>
          <t>نسبة المحطات الحرجة</t>
        </is>
      </c>
      <c r="D126" s="46" t="n">
        <v>0.054</v>
      </c>
      <c r="E126" s="46" t="n">
        <v>0.05</v>
      </c>
      <c r="F126" s="47" t="n">
        <v>0.925925925925926</v>
      </c>
      <c r="G126" s="12" t="n">
        <v>0.07407407407407396</v>
      </c>
      <c r="H126" s="46" t="n">
        <v>0.054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الجودة</t>
        </is>
      </c>
      <c r="M126" s="48" t="n"/>
    </row>
    <row r="127">
      <c r="A127" s="15" t="n">
        <v>125</v>
      </c>
      <c r="B127" s="13" t="inlineStr">
        <is>
          <t>الامتياز التجاري</t>
        </is>
      </c>
      <c r="C127" s="24" t="inlineStr">
        <is>
          <t>متوسط درجة تقييم جودة المحطة (قائمة التحقق)</t>
        </is>
      </c>
      <c r="D127" s="46" t="n">
        <v>78.8</v>
      </c>
      <c r="E127" s="46" t="n">
        <v>85</v>
      </c>
      <c r="F127" s="47" t="n">
        <v>0.9270588235294117</v>
      </c>
      <c r="G127" s="12" t="n">
        <v>0.07294117647058829</v>
      </c>
      <c r="H127" s="46" t="n">
        <v>78.8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48" t="n"/>
    </row>
    <row r="128">
      <c r="A128" s="15" t="n">
        <v>126</v>
      </c>
      <c r="B128" s="13" t="inlineStr">
        <is>
          <t>الإدارة المالية</t>
        </is>
      </c>
      <c r="C128" s="24" t="inlineStr">
        <is>
          <t>نسبة تحصيل الامتياز</t>
        </is>
      </c>
      <c r="D128" s="46" t="n">
        <v>0.91</v>
      </c>
      <c r="E128" s="46" t="n">
        <v>0.98</v>
      </c>
      <c r="F128" s="47" t="n">
        <v>0.9285714285714286</v>
      </c>
      <c r="G128" s="12" t="n">
        <v>0.0714285714285714</v>
      </c>
      <c r="H128" s="46" t="n">
        <v>0.91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المدير المالي</t>
        </is>
      </c>
      <c r="M128" s="48" t="n"/>
    </row>
    <row r="129">
      <c r="A129" s="15" t="n">
        <v>127</v>
      </c>
      <c r="B129" s="13" t="inlineStr">
        <is>
          <t>إدارة المشاريع</t>
        </is>
      </c>
      <c r="C129" s="24" t="inlineStr">
        <is>
          <t>عدد محطات الشركة المُسلَّمة</t>
        </is>
      </c>
      <c r="D129" s="46" t="n">
        <v>18.8</v>
      </c>
      <c r="E129" s="46" t="n">
        <v>20</v>
      </c>
      <c r="F129" s="47" t="n">
        <v>0.9400000000000001</v>
      </c>
      <c r="G129" s="12" t="n">
        <v>0.05999999999999994</v>
      </c>
      <c r="H129" s="46" t="n">
        <v>37.6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48" t="n"/>
    </row>
    <row r="130">
      <c r="A130" s="15" t="n">
        <v>128</v>
      </c>
      <c r="B130" s="13" t="inlineStr">
        <is>
          <t>الإدارة القانونية</t>
        </is>
      </c>
      <c r="C130" s="24" t="inlineStr">
        <is>
          <t>متوسط زمن إغلاق قضية التحقيق</t>
        </is>
      </c>
      <c r="D130" s="46" t="n">
        <v>31.9</v>
      </c>
      <c r="E130" s="46" t="n">
        <v>30</v>
      </c>
      <c r="F130" s="47" t="n">
        <v>0.9404388714733543</v>
      </c>
      <c r="G130" s="12" t="n">
        <v>0.05956112852664575</v>
      </c>
      <c r="H130" s="46" t="n">
        <v>31.9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المدير القانوني</t>
        </is>
      </c>
      <c r="M130" s="48" t="n"/>
    </row>
    <row r="131">
      <c r="A131" s="15" t="n">
        <v>129</v>
      </c>
      <c r="B131" s="13" t="inlineStr">
        <is>
          <t>الصيانة والأتمتة</t>
        </is>
      </c>
      <c r="C131" s="24" t="inlineStr">
        <is>
          <t>نسبة استمرارية تشغيل المحطات دون توقف فني</t>
        </is>
      </c>
      <c r="D131" s="46" t="n">
        <v>0.9320000000000001</v>
      </c>
      <c r="E131" s="46" t="n">
        <v>0.99</v>
      </c>
      <c r="F131" s="47" t="n">
        <v>0.9414141414141415</v>
      </c>
      <c r="G131" s="12" t="n">
        <v>0.05858585858585852</v>
      </c>
      <c r="H131" s="46" t="n">
        <v>0.9320000000000001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الصيانة والأتمتة</t>
        </is>
      </c>
      <c r="M131" s="48" t="n"/>
    </row>
    <row r="132">
      <c r="A132" s="15" t="n">
        <v>130</v>
      </c>
      <c r="B132" s="13" t="inlineStr">
        <is>
          <t>الاستثمار</t>
        </is>
      </c>
      <c r="C132" s="24" t="inlineStr">
        <is>
          <t>سرعة إنجاز إجراءات التعاقد</t>
        </is>
      </c>
      <c r="D132" s="46" t="n">
        <v>1.061</v>
      </c>
      <c r="E132" s="46" t="n">
        <v>1</v>
      </c>
      <c r="F132" s="47" t="n">
        <v>0.942507068803016</v>
      </c>
      <c r="G132" s="12" t="n">
        <v>0.05749293119698395</v>
      </c>
      <c r="H132" s="46" t="n">
        <v>1.061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الاستثمار</t>
        </is>
      </c>
      <c r="M132" s="48" t="n"/>
    </row>
    <row r="133">
      <c r="A133" s="15" t="n">
        <v>131</v>
      </c>
      <c r="B133" s="13" t="inlineStr">
        <is>
          <t>الاستثمار</t>
        </is>
      </c>
      <c r="C133" s="24" t="inlineStr">
        <is>
          <t>نسبة العقود على الطرق الإقليمية</t>
        </is>
      </c>
      <c r="D133" s="46" t="n">
        <v>0.236</v>
      </c>
      <c r="E133" s="46" t="n">
        <v>0.25</v>
      </c>
      <c r="F133" s="47" t="n">
        <v>0.944</v>
      </c>
      <c r="G133" s="12" t="n">
        <v>0.05600000000000005</v>
      </c>
      <c r="H133" s="46" t="n">
        <v>0.236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الاستثمار</t>
        </is>
      </c>
      <c r="M133" s="48" t="n"/>
    </row>
    <row r="134">
      <c r="A134" s="15" t="n">
        <v>132</v>
      </c>
      <c r="B134" s="13" t="inlineStr">
        <is>
          <t>التسويق</t>
        </is>
      </c>
      <c r="C134" s="24" t="inlineStr">
        <is>
          <t>وصول محتوى تطبيق تانكي</t>
        </is>
      </c>
      <c r="D134" s="46" t="n">
        <v>946380</v>
      </c>
      <c r="E134" s="46" t="n">
        <v>1000000</v>
      </c>
      <c r="F134" s="47" t="n">
        <v>0.94638</v>
      </c>
      <c r="G134" s="12" t="n">
        <v>0.05362</v>
      </c>
      <c r="H134" s="46" t="n">
        <v>946380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التسويق</t>
        </is>
      </c>
      <c r="M134" s="48" t="n"/>
    </row>
    <row r="135">
      <c r="A135" s="15" t="n">
        <v>133</v>
      </c>
      <c r="B135" s="13" t="inlineStr">
        <is>
          <t>الامتياز التجاري</t>
        </is>
      </c>
      <c r="C135" s="24" t="inlineStr">
        <is>
          <t>نسبة استدامة أصحاب الامتياز (Retention)</t>
        </is>
      </c>
      <c r="D135" s="46" t="n">
        <v>0.853</v>
      </c>
      <c r="E135" s="46" t="n">
        <v>0.9</v>
      </c>
      <c r="F135" s="47" t="n">
        <v>0.9477777777777777</v>
      </c>
      <c r="G135" s="12" t="n">
        <v>0.05222222222222228</v>
      </c>
      <c r="H135" s="46" t="n">
        <v>0.853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48" t="n"/>
    </row>
    <row r="136">
      <c r="A136" s="15" t="n">
        <v>134</v>
      </c>
      <c r="B136" s="13" t="inlineStr">
        <is>
          <t>الموارد البشرية</t>
        </is>
      </c>
      <c r="C136" s="24" t="inlineStr">
        <is>
          <t>جودة التوظيف — نسبة اجتياز الموظفين الجدد فترة التجربة</t>
        </is>
      </c>
      <c r="D136" s="46" t="n">
        <v>0.854</v>
      </c>
      <c r="E136" s="46" t="n">
        <v>0.9</v>
      </c>
      <c r="F136" s="47" t="n">
        <v>0.9488888888888889</v>
      </c>
      <c r="G136" s="12" t="n">
        <v>0.05111111111111111</v>
      </c>
      <c r="H136" s="46" t="n">
        <v>0.854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الموارد البشرية</t>
        </is>
      </c>
      <c r="M136" s="48" t="n"/>
    </row>
    <row r="137">
      <c r="A137" s="15" t="n">
        <v>135</v>
      </c>
      <c r="B137" s="13" t="inlineStr">
        <is>
          <t>الإدارة المالية</t>
        </is>
      </c>
      <c r="C137" s="24" t="inlineStr">
        <is>
          <t>أيام تحصيل رسوم الامتياز</t>
        </is>
      </c>
      <c r="D137" s="46" t="n">
        <v>15.8</v>
      </c>
      <c r="E137" s="46" t="n">
        <v>15</v>
      </c>
      <c r="F137" s="47" t="n">
        <v>0.9493670886075949</v>
      </c>
      <c r="G137" s="12" t="n">
        <v>0.05063291139240511</v>
      </c>
      <c r="H137" s="46" t="n">
        <v>15.8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المدير المالي</t>
        </is>
      </c>
      <c r="M137" s="48" t="n"/>
    </row>
    <row r="138">
      <c r="A138" s="15" t="n">
        <v>136</v>
      </c>
      <c r="B138" s="13" t="inlineStr">
        <is>
          <t>الامتياز التجاري</t>
        </is>
      </c>
      <c r="C138" s="24" t="inlineStr">
        <is>
          <t>عدد عقود الامتياز الجديدة الموقّعة</t>
        </is>
      </c>
      <c r="D138" s="46" t="n">
        <v>159.2</v>
      </c>
      <c r="E138" s="46" t="n">
        <v>167</v>
      </c>
      <c r="F138" s="47" t="n">
        <v>0.9532934131736527</v>
      </c>
      <c r="G138" s="12" t="n">
        <v>0.04670658682634732</v>
      </c>
      <c r="H138" s="46" t="n">
        <v>318.4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الامتياز</t>
        </is>
      </c>
      <c r="M138" s="48" t="n"/>
    </row>
    <row r="139">
      <c r="A139" s="15" t="n">
        <v>137</v>
      </c>
      <c r="B139" s="13" t="inlineStr">
        <is>
          <t>إدارة المشاريع</t>
        </is>
      </c>
      <c r="C139" s="24" t="inlineStr">
        <is>
          <t>نسبة الالتزام بالميزانية المعتمدة</t>
        </is>
      </c>
      <c r="D139" s="46" t="n">
        <v>0.96</v>
      </c>
      <c r="E139" s="46" t="n">
        <v>1</v>
      </c>
      <c r="F139" s="47" t="n">
        <v>0.96</v>
      </c>
      <c r="G139" s="12" t="n">
        <v>0.04000000000000004</v>
      </c>
      <c r="H139" s="46" t="n">
        <v>0.96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إدارة المشاريع</t>
        </is>
      </c>
      <c r="M139" s="48" t="n"/>
    </row>
    <row r="140">
      <c r="A140" s="15" t="n">
        <v>138</v>
      </c>
      <c r="B140" s="13" t="inlineStr">
        <is>
          <t>الاستثمار</t>
        </is>
      </c>
      <c r="C140" s="24" t="inlineStr">
        <is>
          <t>نسبة إنجاز التقارير الدورية في موعدها</t>
        </is>
      </c>
      <c r="D140" s="46" t="n">
        <v>0.961</v>
      </c>
      <c r="E140" s="46" t="n">
        <v>1</v>
      </c>
      <c r="F140" s="47" t="n">
        <v>0.961</v>
      </c>
      <c r="G140" s="12" t="n">
        <v>0.03900000000000003</v>
      </c>
      <c r="H140" s="46" t="n">
        <v>0.961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الاستثمار</t>
        </is>
      </c>
      <c r="M140" s="48" t="n"/>
    </row>
    <row r="141">
      <c r="A141" s="15" t="n">
        <v>139</v>
      </c>
      <c r="B141" s="13" t="inlineStr">
        <is>
          <t>العقار</t>
        </is>
      </c>
      <c r="C141" s="24" t="inlineStr">
        <is>
          <t>علامات تجارية جديدة (ساحة درب)</t>
        </is>
      </c>
      <c r="D141" s="46" t="n">
        <v>5.769</v>
      </c>
      <c r="E141" s="46" t="n">
        <v>6</v>
      </c>
      <c r="F141" s="47" t="n">
        <v>0.9615</v>
      </c>
      <c r="G141" s="12" t="n">
        <v>0.03849999999999998</v>
      </c>
      <c r="H141" s="46" t="n">
        <v>11.538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العقار</t>
        </is>
      </c>
      <c r="M141" s="48" t="n"/>
    </row>
    <row r="142">
      <c r="A142" s="15" t="n">
        <v>140</v>
      </c>
      <c r="B142" s="13" t="inlineStr">
        <is>
          <t>إدارة المشاريع</t>
        </is>
      </c>
      <c r="C142" s="24" t="inlineStr">
        <is>
          <t>عدد مخالفات المقاولين (سنوي)</t>
        </is>
      </c>
      <c r="D142" s="46" t="n">
        <v>10.4</v>
      </c>
      <c r="E142" s="46" t="n">
        <v>10</v>
      </c>
      <c r="F142" s="47" t="n">
        <v>0.9615384615384615</v>
      </c>
      <c r="G142" s="12" t="n">
        <v>0.03846153846153855</v>
      </c>
      <c r="H142" s="46" t="n">
        <v>20.8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48" t="n"/>
    </row>
    <row r="143">
      <c r="A143" s="15" t="n">
        <v>141</v>
      </c>
      <c r="B143" s="13" t="inlineStr">
        <is>
          <t>الاستثمار</t>
        </is>
      </c>
      <c r="C143" s="24" t="inlineStr">
        <is>
          <t>نسبة العقود في الـ12 مدينة الرئيسية</t>
        </is>
      </c>
      <c r="D143" s="46" t="n">
        <v>0.415</v>
      </c>
      <c r="E143" s="46" t="n">
        <v>0.4</v>
      </c>
      <c r="F143" s="47" t="n">
        <v>0.9638554216867471</v>
      </c>
      <c r="G143" s="12" t="n">
        <v>0.03614457831325291</v>
      </c>
      <c r="H143" s="46" t="n">
        <v>0.415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الاستثمار</t>
        </is>
      </c>
      <c r="M143" s="48" t="n"/>
    </row>
    <row r="144">
      <c r="A144" s="15" t="n">
        <v>142</v>
      </c>
      <c r="B144" s="13" t="inlineStr">
        <is>
          <t>إدارة المشاريع</t>
        </is>
      </c>
      <c r="C144" s="24" t="inlineStr">
        <is>
          <t>نسبة إنجاز محفظة مشاريع التوسع</t>
        </is>
      </c>
      <c r="D144" s="46" t="n">
        <v>0.676</v>
      </c>
      <c r="E144" s="46" t="n">
        <v>0.7</v>
      </c>
      <c r="F144" s="47" t="n">
        <v>0.9657142857142859</v>
      </c>
      <c r="G144" s="12" t="n">
        <v>0.03428571428571414</v>
      </c>
      <c r="H144" s="46" t="n">
        <v>0.676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48" t="n"/>
    </row>
    <row r="145">
      <c r="A145" s="15" t="n">
        <v>143</v>
      </c>
      <c r="B145" s="13" t="inlineStr">
        <is>
          <t>الموارد البشرية</t>
        </is>
      </c>
      <c r="C145" s="24" t="inlineStr">
        <is>
          <t>نسبة شغل الشواغر خلال 30 يوماً</t>
        </is>
      </c>
      <c r="D145" s="46" t="n">
        <v>0.823</v>
      </c>
      <c r="E145" s="46" t="n">
        <v>0.85</v>
      </c>
      <c r="F145" s="47" t="n">
        <v>0.9682352941176471</v>
      </c>
      <c r="G145" s="12" t="n">
        <v>0.03176470588235292</v>
      </c>
      <c r="H145" s="46" t="n">
        <v>0.823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48" t="n"/>
    </row>
    <row r="146">
      <c r="A146" s="15" t="n">
        <v>144</v>
      </c>
      <c r="B146" s="13" t="inlineStr">
        <is>
          <t>الامتياز التجاري</t>
        </is>
      </c>
      <c r="C146" s="24" t="inlineStr">
        <is>
          <t>نسبة حل الشكاوى خلال المدة المحددة</t>
        </is>
      </c>
      <c r="D146" s="46" t="n">
        <v>0.922</v>
      </c>
      <c r="E146" s="46" t="n">
        <v>0.95</v>
      </c>
      <c r="F146" s="47" t="n">
        <v>0.9705263157894738</v>
      </c>
      <c r="G146" s="12" t="n">
        <v>0.02947368421052621</v>
      </c>
      <c r="H146" s="46" t="n">
        <v>0.922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الامتياز</t>
        </is>
      </c>
      <c r="M146" s="48" t="n"/>
    </row>
    <row r="147">
      <c r="A147" s="15" t="n">
        <v>145</v>
      </c>
      <c r="B147" s="13" t="inlineStr">
        <is>
          <t>الإدارة التنفيذية</t>
        </is>
      </c>
      <c r="C147" s="24" t="inlineStr">
        <is>
          <t>إجمالي العقود الجديدة — الشركة</t>
        </is>
      </c>
      <c r="D147" s="46" t="n">
        <v>346.6</v>
      </c>
      <c r="E147" s="46" t="n">
        <v>357</v>
      </c>
      <c r="F147" s="47" t="n">
        <v>0.9708683473389357</v>
      </c>
      <c r="G147" s="12" t="n">
        <v>0.02913165266106432</v>
      </c>
      <c r="H147" s="46" t="n">
        <v>693.2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الرئيس التنفيذي</t>
        </is>
      </c>
      <c r="M147" s="48" t="n"/>
    </row>
    <row r="148">
      <c r="A148" s="15" t="n">
        <v>146</v>
      </c>
      <c r="B148" s="13" t="inlineStr">
        <is>
          <t>الاستثمار</t>
        </is>
      </c>
      <c r="C148" s="24" t="inlineStr">
        <is>
          <t>نسبة اكتمال أرشفة ملفات العملاء</t>
        </is>
      </c>
      <c r="D148" s="46" t="n">
        <v>0.972</v>
      </c>
      <c r="E148" s="46" t="n">
        <v>1</v>
      </c>
      <c r="F148" s="47" t="n">
        <v>0.972</v>
      </c>
      <c r="G148" s="12" t="n">
        <v>0.02800000000000002</v>
      </c>
      <c r="H148" s="46" t="n">
        <v>0.972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الاستثمار</t>
        </is>
      </c>
      <c r="M148" s="48" t="n"/>
    </row>
    <row r="149">
      <c r="A149" s="15" t="n">
        <v>147</v>
      </c>
      <c r="B149" s="13" t="inlineStr">
        <is>
          <t>الإدارة القانونية</t>
        </is>
      </c>
      <c r="C149" s="24" t="inlineStr">
        <is>
          <t>نسبة العقود الخالية من الملاحظات والمخاطر القانونية</t>
        </is>
      </c>
      <c r="D149" s="46" t="n">
        <v>0.924</v>
      </c>
      <c r="E149" s="46" t="n">
        <v>0.95</v>
      </c>
      <c r="F149" s="47" t="n">
        <v>0.9726315789473685</v>
      </c>
      <c r="G149" s="12" t="n">
        <v>0.02736842105263149</v>
      </c>
      <c r="H149" s="46" t="n">
        <v>0.924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القانوني</t>
        </is>
      </c>
      <c r="M149" s="48" t="n"/>
    </row>
    <row r="150">
      <c r="A150" s="15" t="n">
        <v>148</v>
      </c>
      <c r="B150" s="13" t="inlineStr">
        <is>
          <t>الإدارة المالية</t>
        </is>
      </c>
      <c r="C150" s="24" t="inlineStr">
        <is>
          <t>اكتمال مطابقة حسابات الموردين</t>
        </is>
      </c>
      <c r="D150" s="46" t="n">
        <v>0.926</v>
      </c>
      <c r="E150" s="46" t="n">
        <v>0.95</v>
      </c>
      <c r="F150" s="47" t="n">
        <v>0.9747368421052632</v>
      </c>
      <c r="G150" s="12" t="n">
        <v>0.02526315789473677</v>
      </c>
      <c r="H150" s="46" t="n">
        <v>0.926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المالي</t>
        </is>
      </c>
      <c r="M150" s="48" t="n"/>
    </row>
    <row r="151">
      <c r="A151" s="15" t="n">
        <v>149</v>
      </c>
      <c r="B151" s="13" t="inlineStr">
        <is>
          <t>التشغيل والمحطات</t>
        </is>
      </c>
      <c r="C151" s="24" t="inlineStr">
        <is>
          <t>نسبة المضخات العاملة</t>
        </is>
      </c>
      <c r="D151" s="46" t="n">
        <v>0.953</v>
      </c>
      <c r="E151" s="46" t="n">
        <v>0.97</v>
      </c>
      <c r="F151" s="47" t="n">
        <v>0.9824742268041237</v>
      </c>
      <c r="G151" s="12" t="n">
        <v>0.01752577319587634</v>
      </c>
      <c r="H151" s="46" t="n">
        <v>0.953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التشغيل</t>
        </is>
      </c>
      <c r="M151" s="48" t="n"/>
    </row>
    <row r="152">
      <c r="A152" s="15" t="n">
        <v>150</v>
      </c>
      <c r="B152" s="13" t="inlineStr">
        <is>
          <t>سلاسل الإمداد</t>
        </is>
      </c>
      <c r="C152" s="24" t="inlineStr">
        <is>
          <t>نسبة توفّر المواد المخزنية (تسليم ≤ 3 أيام)</t>
        </is>
      </c>
      <c r="D152" s="46" t="n">
        <v>0.983</v>
      </c>
      <c r="E152" s="46" t="n">
        <v>1</v>
      </c>
      <c r="F152" s="47" t="n">
        <v>0.983</v>
      </c>
      <c r="G152" s="12" t="n">
        <v>0.01700000000000002</v>
      </c>
      <c r="H152" s="46" t="n">
        <v>0.983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48" t="n"/>
    </row>
    <row r="153">
      <c r="A153" s="15" t="n">
        <v>151</v>
      </c>
      <c r="B153" s="13" t="inlineStr">
        <is>
          <t>التشغيل والمحطات</t>
        </is>
      </c>
      <c r="C153" s="24" t="inlineStr">
        <is>
          <t>تطبيق المعيار الشامل في المحطات</t>
        </is>
      </c>
      <c r="D153" s="46" t="n">
        <v>0.787</v>
      </c>
      <c r="E153" s="46" t="n">
        <v>0.8</v>
      </c>
      <c r="F153" s="47" t="n">
        <v>0.98375</v>
      </c>
      <c r="G153" s="12" t="n">
        <v>0.01624999999999999</v>
      </c>
      <c r="H153" s="46" t="n">
        <v>0.787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التشغيل</t>
        </is>
      </c>
      <c r="M153" s="48" t="n"/>
    </row>
    <row r="154">
      <c r="A154" s="15" t="n">
        <v>152</v>
      </c>
      <c r="B154" s="13" t="inlineStr">
        <is>
          <t>سلاسل الإمداد</t>
        </is>
      </c>
      <c r="C154" s="24" t="inlineStr">
        <is>
          <t>نسبة استيفاء طلبات المحطات (Fill Rate)</t>
        </is>
      </c>
      <c r="D154" s="46" t="n">
        <v>0.967</v>
      </c>
      <c r="E154" s="46" t="n">
        <v>0.98</v>
      </c>
      <c r="F154" s="47" t="n">
        <v>0.986734693877551</v>
      </c>
      <c r="G154" s="12" t="n">
        <v>0.01326530612244903</v>
      </c>
      <c r="H154" s="46" t="n">
        <v>0.967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سلاسل الإمداد</t>
        </is>
      </c>
      <c r="M154" s="48" t="n"/>
    </row>
    <row r="155">
      <c r="A155" s="15" t="n">
        <v>153</v>
      </c>
      <c r="B155" s="13" t="inlineStr">
        <is>
          <t>الإدارة المالية</t>
        </is>
      </c>
      <c r="C155" s="24" t="inlineStr">
        <is>
          <t>انحراف الموازنة</t>
        </is>
      </c>
      <c r="D155" s="46" t="n">
        <v>0.101</v>
      </c>
      <c r="E155" s="46" t="n">
        <v>0.1</v>
      </c>
      <c r="F155" s="47" t="n">
        <v>0.9900990099009901</v>
      </c>
      <c r="G155" s="12" t="n">
        <v>0.00990099009900991</v>
      </c>
      <c r="H155" s="46" t="n">
        <v>0.101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المدير المالي</t>
        </is>
      </c>
      <c r="M155" s="48" t="n"/>
    </row>
    <row r="156">
      <c r="A156" s="15" t="n">
        <v>154</v>
      </c>
      <c r="B156" s="13" t="inlineStr">
        <is>
          <t>الصيانة والأتمتة</t>
        </is>
      </c>
      <c r="C156" s="24" t="inlineStr">
        <is>
          <t>نسبة استعادة أنظمة الأتمتة ضمن الزمن المحدد</t>
        </is>
      </c>
      <c r="D156" s="46" t="n">
        <v>0.9419999999999999</v>
      </c>
      <c r="E156" s="46" t="n">
        <v>0.95</v>
      </c>
      <c r="F156" s="47" t="n">
        <v>0.991578947368421</v>
      </c>
      <c r="G156" s="12" t="n">
        <v>0.008421052631578996</v>
      </c>
      <c r="H156" s="46" t="n">
        <v>0.9419999999999999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الصيانة والأتمتة</t>
        </is>
      </c>
      <c r="M156" s="48" t="n"/>
    </row>
    <row r="157">
      <c r="A157" s="15" t="n">
        <v>155</v>
      </c>
      <c r="B157" s="13" t="inlineStr">
        <is>
          <t>الجودة</t>
        </is>
      </c>
      <c r="C157" s="24" t="inlineStr">
        <is>
          <t>نسبة اكتمال وتحديث الإجراءات المعتمدة</t>
        </is>
      </c>
      <c r="D157" s="46" t="n">
        <v>0.944</v>
      </c>
      <c r="E157" s="46" t="n">
        <v>0.95</v>
      </c>
      <c r="F157" s="47" t="n">
        <v>0.9936842105263158</v>
      </c>
      <c r="G157" s="12" t="n">
        <v>0.006315789473684164</v>
      </c>
      <c r="H157" s="46" t="n">
        <v>0.944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الجودة</t>
        </is>
      </c>
      <c r="M157" s="48" t="n"/>
    </row>
    <row r="158">
      <c r="A158" s="15" t="n">
        <v>156</v>
      </c>
      <c r="B158" s="13" t="inlineStr">
        <is>
          <t>الامتياز التجاري</t>
        </is>
      </c>
      <c r="C158" s="24" t="inlineStr">
        <is>
          <t>نسبة تطبيق المعيار الشامل داخل المحطات</t>
        </is>
      </c>
      <c r="D158" s="46" t="n">
        <v>0.299</v>
      </c>
      <c r="E158" s="46" t="n">
        <v>0.3</v>
      </c>
      <c r="F158" s="47" t="n">
        <v>0.9966666666666667</v>
      </c>
      <c r="G158" s="12" t="n">
        <v>0.003333333333333299</v>
      </c>
      <c r="H158" s="46" t="n">
        <v>0.299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الامتياز</t>
        </is>
      </c>
      <c r="M158" s="48" t="n"/>
    </row>
  </sheetData>
  <autoFilter ref="A2:M158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الصيانة والأتمتة</t>
        </is>
      </c>
      <c r="C124" s="11" t="inlineStr">
        <is>
          <t>نسبة الجاهزية الفنية للأصول والمعدات (Availability)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0.98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محقق",IF($U124&gt;=0.97,"🟡 قريب","🔴 تحت الهدف")))</f>
        <v/>
      </c>
      <c r="W124" s="60">
        <f>IF($G124="","",$G124)</f>
        <v/>
      </c>
      <c r="X124" s="51">
        <f>IF($U124="","—",IF($U124&gt;=0.97,"🟢 على المسار","🟠 متأخّر"))</f>
        <v/>
      </c>
    </row>
    <row r="125" ht="22" customHeight="1">
      <c r="A125" s="51" t="n">
        <v>122</v>
      </c>
      <c r="B125" s="13" t="inlineStr">
        <is>
          <t>الصيانة والأتمتة</t>
        </is>
      </c>
      <c r="C125" s="11" t="inlineStr">
        <is>
          <t>نسبة تنفيذ الصيانة الوقائية في موعدها (PM)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0.95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الصيانة والأتمتة</t>
        </is>
      </c>
      <c r="C126" s="11" t="inlineStr">
        <is>
          <t>نسبة إغلاق بلاغات الصيانة ضمن اتفاقية الخدمة (SLA)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متوسط زمن الاستجابة للبلاغات الطارئة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↓</t>
        </is>
      </c>
      <c r="G127" s="62" t="n">
        <v>30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متوسط زمن إصلاح الأعطال (MTTR)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↓</t>
        </is>
      </c>
      <c r="G128" s="62" t="n">
        <v>4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معدل تكرار الأعطال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↓</t>
        </is>
      </c>
      <c r="G129" s="61" t="n">
        <v>0.05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نسبة استمرارية تشغيل المحطات دون توقف فني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نسبة التشغيل السليم لأنظمة الأتمتة (Uptime)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0.99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محقق",IF($U131&gt;=0.97,"🟡 قريب","🔴 تحت الهدف")))</f>
        <v/>
      </c>
      <c r="W131" s="60">
        <f>IF($G131="","",$G131)</f>
        <v/>
      </c>
      <c r="X131" s="51">
        <f>IF($U131="","—",IF($U131&gt;=0.97,"🟢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نسبة استعادة أنظمة الأتمتة ضمن الزمن المحدد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كفاءة تكاليف الصيانة (الالتزام بالميزانية)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0.95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نسبة إنجاز محفظة مشاريع التحول الرقمي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معدل تسليم المشاريع في الموعد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نسبة الالتزام بميزانية المشاريع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الالتزام بنطاق العمل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0.95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تفعيل الأنظمة الأساسية بالمحطات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61" t="n">
        <v>1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متوسط جاهزية أنظمة المركز الرئيسي (Uptime)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محقق",IF($U139&gt;=0.97,"🟡 قريب","🔴 تحت الهدف")))</f>
        <v/>
      </c>
      <c r="W139" s="60">
        <f>IF($G139="","",$G139)</f>
        <v/>
      </c>
      <c r="X139" s="51">
        <f>IF($U139="","—",IF($U139&gt;=0.97,"🟢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الامتثال للأمن السيبراني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1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محقق",IF($U140&gt;=0.97,"🟡 قريب","🔴 تحت الهدف")))</f>
        <v/>
      </c>
      <c r="W140" s="60">
        <f>IF($G140="","",$G140)</f>
        <v/>
      </c>
      <c r="X140" s="51">
        <f>IF($U140="","—",IF($U140&gt;=0.97,"🟢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متوسط زمن استجابة الدعم الفني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التكامل الرقمي (ERP/واثق/الولاء)</t>
        </is>
      </c>
      <c r="D142" s="15" t="inlineStr">
        <is>
          <t>شهري</t>
        </is>
      </c>
      <c r="E142" s="15" t="inlineStr">
        <is>
          <t>لقطة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IFERROR(LOOKUP(2,1/($H142:$S142&lt;&gt;""),$H142:$S142),"")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نسبة السعودة / التوطين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61" t="n">
        <v>0.3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نسبة شغل الشواغر خلال 30 يوماً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61" t="n">
        <v>0.85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جودة التوظيف — نسبة اجتياز الموظفين الجدد فترة التجربة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0.9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معدل استبقاء الموظفين (Retention)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0.9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معدل دوران الموظفين (Turnover)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↓</t>
        </is>
      </c>
      <c r="G147" s="61" t="n">
        <v>0.1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معدل الغياب (Absenteeism)</t>
        </is>
      </c>
      <c r="D148" s="15" t="inlineStr">
        <is>
          <t>شهري</t>
        </is>
      </c>
      <c r="E148" s="15" t="inlineStr">
        <is>
          <t>معدل</t>
        </is>
      </c>
      <c r="F148" s="46" t="inlineStr">
        <is>
          <t>↓</t>
        </is>
      </c>
      <c r="G148" s="61" t="n">
        <v>0.03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IF(COUNT($H148:$S148)=0,"",SUM($H148:$S148)/COUNT($H148:$S148))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60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متوسط ساعات التدريب لكل موظف</t>
        </is>
      </c>
      <c r="D149" s="15" t="inlineStr">
        <is>
          <t>شهري</t>
        </is>
      </c>
      <c r="E149" s="15" t="inlineStr">
        <is>
          <t>تراكمي</t>
        </is>
      </c>
      <c r="F149" s="46" t="inlineStr">
        <is>
          <t>↑</t>
        </is>
      </c>
      <c r="G149" s="62" t="n">
        <v>40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5">
        <f>IF($G149="","",$G149*COUNT($H149:$S149)/12)</f>
        <v/>
      </c>
      <c r="X149" s="51">
        <f>IF($U149="","—",IF($U149&gt;=COUNT($H149:$S149)/12,"🟢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الموظفين المشمولين بخطة تطوير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فاعلية التدريب — نسبة تطبيق أثر التدريب في العمل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61" t="n">
        <v>0.8</v>
      </c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60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نسبة الترقيات الداخلية لشغل الشواغر القيادية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61" t="n">
        <v>0.6</v>
      </c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60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مؤشر رضا الموظفين (eNPS)</t>
        </is>
      </c>
      <c r="D153" s="15" t="inlineStr">
        <is>
          <t>ربعي</t>
        </is>
      </c>
      <c r="E153" s="15" t="inlineStr">
        <is>
          <t>معدل</t>
        </is>
      </c>
      <c r="F153" s="46" t="inlineStr">
        <is>
          <t>↑</t>
        </is>
      </c>
      <c r="G153" s="62" t="n">
        <v>30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هدف",IF($U153&gt;=0.9,"✅ محقق",IF($U153&gt;=0.75,"🟡 قريب","🔴 تحت الهدف")))</f>
        <v/>
      </c>
      <c r="W153" s="65">
        <f>IF($G153="","",$G153)</f>
        <v/>
      </c>
      <c r="X153" s="51">
        <f>IF($U153="","—",IF($U153&gt;=0.75,"🟢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دقة الرواتب — نسبة الرواتب المصروفة صحيحةً وفي موعدها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↑</t>
        </is>
      </c>
      <c r="G154" s="61" t="n">
        <v>0.995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الالتزام بنظام حماية الأجور (WPS)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61" t="n">
        <v>1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نسبة إنجاز تقييمات الأداء في موعدها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61" t="n">
        <v>1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نسبة أتمتة عمليات الموارد البشرية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0.9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نسبة توثيق وتحديث أنظمة وسياسات العمل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↑</t>
        </is>
      </c>
      <c r="G158" s="61" t="n">
        <v>0.85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التسويق</t>
        </is>
      </c>
      <c r="C159" s="11" t="inlineStr">
        <is>
          <t>الوصول الكلي (Total Reach)</t>
        </is>
      </c>
      <c r="D159" s="15" t="inlineStr">
        <is>
          <t>شهري</t>
        </is>
      </c>
      <c r="E159" s="15" t="inlineStr">
        <is>
          <t>لقطة</t>
        </is>
      </c>
      <c r="F159" s="46" t="inlineStr">
        <is>
          <t>↑</t>
        </is>
      </c>
      <c r="G159" s="52" t="n">
        <v>50000000</v>
      </c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4">
        <f>IFERROR(LOOKUP(2,1/($H159:$S159&lt;&gt;""),$H159:$S159),"")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هدف",IF($U159&gt;=0.9,"✅ محقق",IF($U159&gt;=0.75,"🟡 قريب","🔴 تحت الهدف")))</f>
        <v/>
      </c>
      <c r="W159" s="55">
        <f>IF($G159="","",$G159)</f>
        <v/>
      </c>
      <c r="X159" s="51">
        <f>IF($U159="","—",IF($U159&gt;=0.75,"🟢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عملاء تجاريون جدد</t>
        </is>
      </c>
      <c r="D160" s="15" t="inlineStr">
        <is>
          <t>شهري</t>
        </is>
      </c>
      <c r="E160" s="15" t="inlineStr">
        <is>
          <t>تراكمي</t>
        </is>
      </c>
      <c r="F160" s="46" t="inlineStr">
        <is>
          <t>↑</t>
        </is>
      </c>
      <c r="G160" s="52" t="n">
        <v>200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IF(COUNT($H160:$S160)=0,"",SUM($H160:$S160))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55">
        <f>IF($G160="","",$G160*COUNT($H160:$S160)/12)</f>
        <v/>
      </c>
      <c r="X160" s="51">
        <f>IF($U160="","—",IF($U160&gt;=COUNT($H160:$S160)/12,"🟢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إجمالي المتابعين (كل المنصات)</t>
        </is>
      </c>
      <c r="D161" s="15" t="inlineStr">
        <is>
          <t>شهري</t>
        </is>
      </c>
      <c r="E161" s="15" t="inlineStr">
        <is>
          <t>لقطة</t>
        </is>
      </c>
      <c r="F161" s="46" t="inlineStr">
        <is>
          <t>↑</t>
        </is>
      </c>
      <c r="G161" s="52" t="n">
        <v>380000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IFERROR(LOOKUP(2,1/($H161:$S161&lt;&gt;""),$H161:$S161),"")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هدف",IF($U161&gt;=0.9,"✅ محقق",IF($U161&gt;=0.75,"🟡 قريب","🔴 تحت الهدف")))</f>
        <v/>
      </c>
      <c r="W161" s="55">
        <f>IF($G161="","",$G161)</f>
        <v/>
      </c>
      <c r="X161" s="51">
        <f>IF($U161="","—",IF($U161&gt;=0.75,"🟢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معدل التفاعل (Engagement)</t>
        </is>
      </c>
      <c r="D162" s="15" t="inlineStr">
        <is>
          <t>شهري</t>
        </is>
      </c>
      <c r="E162" s="15" t="inlineStr">
        <is>
          <t>معدل</t>
        </is>
      </c>
      <c r="F162" s="46" t="inlineStr">
        <is>
          <t>↑</t>
        </is>
      </c>
      <c r="G162" s="61" t="n">
        <v>0.5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IF(COUNT($H162:$S162)=0,"",SUM($H162:$S162)/COUNT($H162:$S162))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هدف",IF($U162&gt;=0.9,"✅ محقق",IF($U162&gt;=0.75,"🟡 قريب","🔴 تحت الهدف")))</f>
        <v/>
      </c>
      <c r="W162" s="60">
        <f>IF($G162="","",$G162)</f>
        <v/>
      </c>
      <c r="X162" s="51">
        <f>IF($U162="","—",IF($U162&gt;=0.75,"🟢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حملات تسويقية منجزة</t>
        </is>
      </c>
      <c r="D163" s="15" t="inlineStr">
        <is>
          <t>شهري</t>
        </is>
      </c>
      <c r="E163" s="15" t="inlineStr">
        <is>
          <t>تراكمي</t>
        </is>
      </c>
      <c r="F163" s="46" t="inlineStr">
        <is>
          <t>↑</t>
        </is>
      </c>
      <c r="G163" s="52" t="n">
        <v>48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IF(COUNT($H163:$S163)=0,"",SUM($H163:$S163))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55">
        <f>IF($G163="","",$G163*COUNT($H163:$S163)/12)</f>
        <v/>
      </c>
      <c r="X163" s="51">
        <f>IF($U163="","—",IF($U163&gt;=COUNT($H163:$S163)/12,"🟢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تحويل الفرص إلى عقود</t>
        </is>
      </c>
      <c r="D164" s="15" t="inlineStr">
        <is>
          <t>شهري</t>
        </is>
      </c>
      <c r="E164" s="15" t="inlineStr">
        <is>
          <t>معدل</t>
        </is>
      </c>
      <c r="F164" s="46" t="inlineStr">
        <is>
          <t>↑</t>
        </is>
      </c>
      <c r="G164" s="61" t="n">
        <v>0.25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47">
        <f>IF(COUNT($H164:$S164)=0,"",SUM($H164:$S164)/COUNT($H164:$S164))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60">
        <f>IF($G164="","",$G164)</f>
        <v/>
      </c>
      <c r="X164" s="51">
        <f>IF($U164="","—",IF($U164&gt;=0.85,"🟢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نسبة المبيعات لكل حملة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↑</t>
        </is>
      </c>
      <c r="G165" s="61" t="n">
        <v>1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نسبة التزام الهوية البصرية</t>
        </is>
      </c>
      <c r="D166" s="15" t="inlineStr">
        <is>
          <t>شهري</t>
        </is>
      </c>
      <c r="E166" s="15" t="inlineStr">
        <is>
          <t>لقطة</t>
        </is>
      </c>
      <c r="F166" s="46" t="inlineStr">
        <is>
          <t>↑</t>
        </is>
      </c>
      <c r="G166" s="61" t="n">
        <v>1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IFERROR(LOOKUP(2,1/($H166:$S166&lt;&gt;""),$H166:$S166),"")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وصول العلاقات العامة (PR)</t>
        </is>
      </c>
      <c r="D167" s="15" t="inlineStr">
        <is>
          <t>شهري</t>
        </is>
      </c>
      <c r="E167" s="15" t="inlineStr">
        <is>
          <t>لقطة</t>
        </is>
      </c>
      <c r="F167" s="46" t="inlineStr">
        <is>
          <t>↑</t>
        </is>
      </c>
      <c r="G167" s="52" t="n">
        <v>7000000</v>
      </c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4">
        <f>IFERROR(LOOKUP(2,1/($H167:$S167&lt;&gt;""),$H167:$S167),"")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55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عدد المعارض بالسنة</t>
        </is>
      </c>
      <c r="D168" s="15" t="inlineStr">
        <is>
          <t>شهري</t>
        </is>
      </c>
      <c r="E168" s="15" t="inlineStr">
        <is>
          <t>تراكمي</t>
        </is>
      </c>
      <c r="F168" s="46" t="inlineStr">
        <is>
          <t>↑</t>
        </is>
      </c>
      <c r="G168" s="52" t="n">
        <v>3</v>
      </c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4">
        <f>IF(COUNT($H168:$S168)=0,"",SUM($H168:$S168))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5">
        <f>IF($G168="","",$G168*COUNT($H168:$S168)/12)</f>
        <v/>
      </c>
      <c r="X168" s="51">
        <f>IF($U168="","—",IF($U168&gt;=COUNT($H168:$S168)/12,"🟢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اتفاقيات استراتيجية</t>
        </is>
      </c>
      <c r="D169" s="15" t="inlineStr">
        <is>
          <t>شهري</t>
        </is>
      </c>
      <c r="E169" s="15" t="inlineStr">
        <is>
          <t>تراكمي</t>
        </is>
      </c>
      <c r="F169" s="46" t="inlineStr">
        <is>
          <t>↑</t>
        </is>
      </c>
      <c r="G169" s="52" t="n">
        <v>3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IF(COUNT($H169:$S169)=0,"",SUM($H169:$S169))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IF($G169="","",$G169*COUNT($H169:$S169)/12)</f>
        <v/>
      </c>
      <c r="X169" s="51">
        <f>IF($U169="","—",IF($U169&gt;=COUNT($H169:$S169)/12,"🟢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تقييم خرائط قوقل</t>
        </is>
      </c>
      <c r="D170" s="15" t="inlineStr">
        <is>
          <t>شهري</t>
        </is>
      </c>
      <c r="E170" s="15" t="inlineStr">
        <is>
          <t>معدل</t>
        </is>
      </c>
      <c r="F170" s="46" t="inlineStr">
        <is>
          <t>↑</t>
        </is>
      </c>
      <c r="G170" s="62" t="n">
        <v>4.7</v>
      </c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4">
        <f>IF(COUNT($H170:$S170)=0,"",SUM($H170:$S170)/COUNT($H170:$S170))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65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معدل خفض الشكاوى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1" t="n">
        <v>0.3</v>
      </c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47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60">
        <f>IF($G171="","",$G171)</f>
        <v/>
      </c>
      <c r="X171" s="51">
        <f>IF($U171="","—",IF($U171&gt;=0.85,"🟢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وصول محتوى تطبيق تانكي</t>
        </is>
      </c>
      <c r="D172" s="15" t="inlineStr">
        <is>
          <t>شهري</t>
        </is>
      </c>
      <c r="E172" s="15" t="inlineStr">
        <is>
          <t>لقطة</t>
        </is>
      </c>
      <c r="F172" s="46" t="inlineStr">
        <is>
          <t>↑</t>
        </is>
      </c>
      <c r="G172" s="52" t="n">
        <v>1000000</v>
      </c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4">
        <f>IFERROR(LOOKUP(2,1/($H172:$S172&lt;&gt;""),$H172:$S172),"")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55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مشاركات تطبيق تانكي</t>
        </is>
      </c>
      <c r="D173" s="15" t="inlineStr">
        <is>
          <t>شهري</t>
        </is>
      </c>
      <c r="E173" s="15" t="inlineStr">
        <is>
          <t>تراكمي</t>
        </is>
      </c>
      <c r="F173" s="46" t="inlineStr">
        <is>
          <t>↑</t>
        </is>
      </c>
      <c r="G173" s="52" t="n">
        <v>250</v>
      </c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4">
        <f>IF(COUNT($H173:$S173)=0,"",SUM($H173:$S173))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5">
        <f>IF($G173="","",$G173*COUNT($H173:$S173)/12)</f>
        <v/>
      </c>
      <c r="X173" s="51">
        <f>IF($U173="","—",IF($U173&gt;=COUNT($H173:$S173)/12,"🟢 على المسار","🟠 متأخّر"))</f>
        <v/>
      </c>
    </row>
    <row r="174" ht="22" customHeight="1">
      <c r="A174" s="51" t="n">
        <v>171</v>
      </c>
      <c r="B174" s="13" t="inlineStr">
        <is>
          <t>الجودة</t>
        </is>
      </c>
      <c r="C174" s="11" t="inlineStr">
        <is>
          <t>نسبة المحطات الحرجة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↓</t>
        </is>
      </c>
      <c r="G174" s="61" t="n">
        <v>0.05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مطابقة جودة الوقود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0.995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محقق",IF($U175&gt;=0.97,"🟡 قريب","🔴 تحت الهدف")))</f>
        <v/>
      </c>
      <c r="W175" s="60">
        <f>IF($G175="","",$G175)</f>
        <v/>
      </c>
      <c r="X175" s="51">
        <f>IF($U175="","—",IF($U175&gt;=0.97,"🟢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إغلاق الملاحظات في الوقت المحدد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فعالية الإجراءات التصحيحية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0.85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تكرار الملاحظات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↓</t>
        </is>
      </c>
      <c r="G178" s="61" t="n">
        <v>0.1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تنفيذ خطة التفتيش والتدقيق</t>
        </is>
      </c>
      <c r="D179" s="15" t="inlineStr">
        <is>
          <t>ربعي</t>
        </is>
      </c>
      <c r="E179" s="15" t="inlineStr">
        <is>
          <t>معدل</t>
        </is>
      </c>
      <c r="F179" s="46" t="inlineStr">
        <is>
          <t>↑</t>
        </is>
      </c>
      <c r="G179" s="61" t="n">
        <v>0.95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جاهزية نظام إدارة الجودة QMS</t>
        </is>
      </c>
      <c r="D180" s="15" t="inlineStr">
        <is>
          <t>شهري</t>
        </is>
      </c>
      <c r="E180" s="15" t="inlineStr">
        <is>
          <t>لقطة</t>
        </is>
      </c>
      <c r="F180" s="46" t="inlineStr">
        <is>
          <t>↑</t>
        </is>
      </c>
      <c r="G180" s="61" t="n">
        <v>0.9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IFERROR(LOOKUP(2,1/($H180:$S180&lt;&gt;""),$H180:$S180),"")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محقق",IF($U180&gt;=0.97,"🟡 قريب","🔴 تحت الهدف")))</f>
        <v/>
      </c>
      <c r="W180" s="60">
        <f>IF($G180="","",$G180)</f>
        <v/>
      </c>
      <c r="X180" s="51">
        <f>IF($U180="","—",IF($U180&gt;=0.97,"🟢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عدد مخاطر الجودة الحرجة المفتوحة</t>
        </is>
      </c>
      <c r="D181" s="15" t="inlineStr">
        <is>
          <t>شهري</t>
        </is>
      </c>
      <c r="E181" s="15" t="inlineStr">
        <is>
          <t>لقطة</t>
        </is>
      </c>
      <c r="F181" s="46" t="inlineStr">
        <is>
          <t>↓</t>
        </is>
      </c>
      <c r="G181" s="52" t="n">
        <v>0</v>
      </c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4">
        <f>IFERROR(LOOKUP(2,1/($H181:$S181&lt;&gt;""),$H181:$S181),"")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55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إغلاق مخاطر الجودة في الوقت المحدد</t>
        </is>
      </c>
      <c r="D182" s="15" t="inlineStr">
        <is>
          <t>شهري</t>
        </is>
      </c>
      <c r="E182" s="15" t="inlineStr">
        <is>
          <t>معدل</t>
        </is>
      </c>
      <c r="F182" s="46" t="inlineStr">
        <is>
          <t>↑</t>
        </is>
      </c>
      <c r="G182" s="61" t="n">
        <v>0.9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IF(COUNT($H182:$S182)=0,"",SUM($H182:$S182)/COUNT($H182:$S182))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نسبة انخفاض الشكاوى المتكررة ذات العلاقة بالجودة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0.15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اكتمال وتحديث الإجراءات المعتمدة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0.95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اكتمال سجلات الجودة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0.95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رقمنة عمليات الجودة</t>
        </is>
      </c>
      <c r="D186" s="15" t="inlineStr">
        <is>
          <t>شهري</t>
        </is>
      </c>
      <c r="E186" s="15" t="inlineStr">
        <is>
          <t>لقطة</t>
        </is>
      </c>
      <c r="F186" s="46" t="inlineStr">
        <is>
          <t>↑</t>
        </is>
      </c>
      <c r="G186" s="61" t="n">
        <v>0.8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IFERROR(LOOKUP(2,1/($H186:$S186&lt;&gt;""),$H186:$S186),"")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عدد مبادرات التحسين المؤثرة</t>
        </is>
      </c>
      <c r="D187" s="15" t="inlineStr">
        <is>
          <t>ربعي</t>
        </is>
      </c>
      <c r="E187" s="15" t="inlineStr">
        <is>
          <t>تراكمي</t>
        </is>
      </c>
      <c r="F187" s="46" t="inlineStr">
        <is>
          <t>↑</t>
        </is>
      </c>
      <c r="G187" s="52" t="n">
        <v>8</v>
      </c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4">
        <f>IF(COUNT($H187:$S187)=0,"",SUM($H187:$S187))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55">
        <f>IF($G187="","",$G187*COUNT($H187:$S187)/12)</f>
        <v/>
      </c>
      <c r="X187" s="51">
        <f>IF($U187="","—",IF($U187&gt;=COUNT($H187:$S187)/12,"🟢 على المسار","🟠 متأخّر"))</f>
        <v/>
      </c>
    </row>
    <row r="188" ht="22" customHeight="1">
      <c r="A188" s="51" t="n">
        <v>185</v>
      </c>
      <c r="B188" s="13" t="inlineStr">
        <is>
          <t>الإدارة القانونية</t>
        </is>
      </c>
      <c r="C188" s="11" t="inlineStr">
        <is>
          <t>نسبة العقود المُراجَعة قانونياً قبل التوقيع</t>
        </is>
      </c>
      <c r="D188" s="15" t="inlineStr">
        <is>
          <t>شهري</t>
        </is>
      </c>
      <c r="E188" s="15" t="inlineStr">
        <is>
          <t>معدل</t>
        </is>
      </c>
      <c r="F188" s="46" t="inlineStr">
        <is>
          <t>↑</t>
        </is>
      </c>
      <c r="G188" s="61" t="n">
        <v>1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IF(COUNT($H188:$S188)=0,"",SUM($H188:$S188)/COUNT($H188:$S188))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متوسط زمن صياغة ومراجعة العقد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↓</t>
        </is>
      </c>
      <c r="G189" s="62" t="n">
        <v>3</v>
      </c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4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5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العقود الخالية من الملاحظات والمخاطر القانونية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61" t="n">
        <v>0.95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نسبة القضايا المُغلقة لصالح الشركة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1" t="n">
        <v>0.8</v>
      </c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47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0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تقديم المذكرات والردود في المواعيد النظامية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1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متوسط زمن إعداد المذكرة القانونية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↓</t>
        </is>
      </c>
      <c r="G193" s="62" t="n">
        <v>5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4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5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نسبة الاستشارات المُنجزة ضمن المدة المستهدفة (SLA)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61" t="n">
        <v>0.9</v>
      </c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0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مستوى رضا الإدارات عن الدعم القانوني</t>
        </is>
      </c>
      <c r="D195" s="15" t="inlineStr">
        <is>
          <t>ربعي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0.85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هدف",IF($U195&gt;=0.9,"✅ محقق",IF($U195&gt;=0.75,"🟡 قريب","🔴 تحت الهدف")))</f>
        <v/>
      </c>
      <c r="W195" s="60">
        <f>IF($G195="","",$G195)</f>
        <v/>
      </c>
      <c r="X195" s="51">
        <f>IF($U195="","—",IF($U195&gt;=0.75,"🟢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نسبة إنجاز التحقيقات ضمن المدة المحددة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↑</t>
        </is>
      </c>
      <c r="G196" s="61" t="n">
        <v>0.9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0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القانونية</t>
        </is>
      </c>
      <c r="C197" s="11" t="inlineStr">
        <is>
          <t>نسبة التحقيقات المُغلقة من إجمالي المُحالة</t>
        </is>
      </c>
      <c r="D197" s="15" t="inlineStr">
        <is>
          <t>شهري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0.95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القانونية</t>
        </is>
      </c>
      <c r="C198" s="11" t="inlineStr">
        <is>
          <t>متوسط زمن إغلاق قضية التحقيق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↓</t>
        </is>
      </c>
      <c r="G198" s="62" t="n">
        <v>30</v>
      </c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4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5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القانونية</t>
        </is>
      </c>
      <c r="C199" s="11" t="inlineStr">
        <is>
          <t>نسبة تنفيذ التوصيات الصادرة عن التحقيقات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0.9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0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القانونية</t>
        </is>
      </c>
      <c r="C200" s="11" t="inlineStr">
        <is>
          <t>نسبة التزام التحقيقات بالإجراءات النظامية والعدالة الإجرائية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1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نمو الإيرادات السنوي</t>
        </is>
      </c>
      <c r="D201" s="15" t="inlineStr">
        <is>
          <t>ربعي</t>
        </is>
      </c>
      <c r="E201" s="15" t="inlineStr">
        <is>
          <t>معدل</t>
        </is>
      </c>
      <c r="F201" s="46" t="inlineStr">
        <is>
          <t>↑</t>
        </is>
      </c>
      <c r="G201" s="61" t="n">
        <v>0.2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هامش EBITDA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61" t="n">
        <v>0.08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0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هامش صافي الربح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1" t="n">
        <v>0.01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0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العائد على حقوق الملكية (ROE)</t>
        </is>
      </c>
      <c r="D204" s="15" t="inlineStr">
        <is>
          <t>ربعي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0.1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0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نسبة التدفق النقدي التشغيلي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62" t="n">
        <v>1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4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5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النسبة الجارية (Current Ratio)</t>
        </is>
      </c>
      <c r="D206" s="15" t="inlineStr">
        <is>
          <t>شهري</t>
        </is>
      </c>
      <c r="E206" s="15" t="inlineStr">
        <is>
          <t>لقطة</t>
        </is>
      </c>
      <c r="F206" s="46" t="inlineStr">
        <is>
          <t>↑</t>
        </is>
      </c>
      <c r="G206" s="62" t="n">
        <v>1</v>
      </c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4">
        <f>IFERROR(LOOKUP(2,1/($H206:$S206&lt;&gt;""),$H206:$S206),"")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5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دورة التحويل النقدي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↓</t>
        </is>
      </c>
      <c r="G207" s="62" t="n">
        <v>20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متوسط أيام التحصيل العام (DSO)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↓</t>
        </is>
      </c>
      <c r="G208" s="62" t="n">
        <v>30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نسبة التحصيل العام (الشركة)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↑</t>
        </is>
      </c>
      <c r="G209" s="61" t="n">
        <v>0.95</v>
      </c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47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0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نسبة الذمم المتأخرة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↓</t>
        </is>
      </c>
      <c r="G210" s="61" t="n">
        <v>0.1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الديون المعدومة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↓</t>
        </is>
      </c>
      <c r="G211" s="61" t="n">
        <v>0.01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سداد الموردين في الموعد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↑</t>
        </is>
      </c>
      <c r="G212" s="61" t="n">
        <v>0.98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60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اكتمال مطابقة حسابات الموردين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↑</t>
        </is>
      </c>
      <c r="G213" s="61" t="n">
        <v>0.95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محقق",IF($U213&gt;=0.97,"🟡 قريب","🔴 تحت الهدف")))</f>
        <v/>
      </c>
      <c r="W213" s="60">
        <f>IF($G213="","",$G213)</f>
        <v/>
      </c>
      <c r="X213" s="51">
        <f>IF($U213="","—",IF($U213&gt;=0.97,"🟢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دقة التنبؤ النقدي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60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تباين مخزون الوقود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↓</t>
        </is>
      </c>
      <c r="G215" s="61" t="n">
        <v>0.001</v>
      </c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محقق",IF($U215&gt;=0.85,"🟡 قريب","🔴 تحت الهدف")))</f>
        <v/>
      </c>
      <c r="W215" s="60">
        <f>IF($G215="","",$G215)</f>
        <v/>
      </c>
      <c r="X215" s="51">
        <f>IF($U215="","—",IF($U215&gt;=0.85,"🟢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دقة مطابقة المخزون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61" t="n">
        <v>0.995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محقق",IF($U216&gt;=0.97,"🟡 قريب","🔴 تحت الهدف")))</f>
        <v/>
      </c>
      <c r="W216" s="60">
        <f>IF($G216="","",$G216)</f>
        <v/>
      </c>
      <c r="X216" s="51">
        <f>IF($U216="","—",IF($U216&gt;=0.97,"🟢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دقة تسوية أرامكو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↑</t>
        </is>
      </c>
      <c r="G217" s="61" t="n">
        <v>1</v>
      </c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محقق",IF($U217&gt;=0.97,"🟡 قريب","🔴 تحت الهدف")))</f>
        <v/>
      </c>
      <c r="W217" s="60">
        <f>IF($G217="","",$G217)</f>
        <v/>
      </c>
      <c r="X217" s="51">
        <f>IF($U217="","—",IF($U217&gt;=0.97,"🟢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نسبة تحصيل الامتياز</t>
        </is>
      </c>
      <c r="D218" s="15" t="inlineStr">
        <is>
          <t>شهري</t>
        </is>
      </c>
      <c r="E218" s="15" t="inlineStr">
        <is>
          <t>معدل</t>
        </is>
      </c>
      <c r="F218" s="46" t="inlineStr">
        <is>
          <t>↑</t>
        </is>
      </c>
      <c r="G218" s="61" t="n">
        <v>0.98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محقق",IF($U218&gt;=0.85,"🟡 قريب","🔴 تحت الهدف")))</f>
        <v/>
      </c>
      <c r="W218" s="60">
        <f>IF($G218="","",$G218)</f>
        <v/>
      </c>
      <c r="X218" s="51">
        <f>IF($U218="","—",IF($U218&gt;=0.85,"🟢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أيام تحصيل رسوم الامتياز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↓</t>
        </is>
      </c>
      <c r="G219" s="62" t="n">
        <v>15</v>
      </c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4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محقق",IF($U219&gt;=0.85,"🟡 قريب","🔴 تحت الهدف")))</f>
        <v/>
      </c>
      <c r="W219" s="65">
        <f>IF($G219="","",$G219)</f>
        <v/>
      </c>
      <c r="X219" s="51">
        <f>IF($U219="","—",IF($U219&gt;=0.85,"🟢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تحصيل الإيجار</t>
        </is>
      </c>
      <c r="D220" s="15" t="inlineStr">
        <is>
          <t>شهري</t>
        </is>
      </c>
      <c r="E220" s="15" t="inlineStr">
        <is>
          <t>معدل</t>
        </is>
      </c>
      <c r="F220" s="46" t="inlineStr">
        <is>
          <t>↑</t>
        </is>
      </c>
      <c r="G220" s="61" t="n">
        <v>0.98</v>
      </c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0">
        <f>IF($G220="","",$G220)</f>
        <v/>
      </c>
      <c r="X220" s="51">
        <f>IF($U220="","—",IF($U220&gt;=0.85,"🟢 على المسار","🟠 متأخّر"))</f>
        <v/>
      </c>
    </row>
    <row r="221" ht="22" customHeight="1">
      <c r="A221" s="51" t="n">
        <v>218</v>
      </c>
      <c r="B221" s="13" t="inlineStr">
        <is>
          <t>الإدارة المالية</t>
        </is>
      </c>
      <c r="C221" s="11" t="inlineStr">
        <is>
          <t>معدل تجديد عقود الإيجار</t>
        </is>
      </c>
      <c r="D221" s="15" t="inlineStr">
        <is>
          <t>شهري</t>
        </is>
      </c>
      <c r="E221" s="15" t="inlineStr">
        <is>
          <t>معدل</t>
        </is>
      </c>
      <c r="F221" s="46" t="inlineStr">
        <is>
          <t>↑</t>
        </is>
      </c>
      <c r="G221" s="61" t="n">
        <v>0.9</v>
      </c>
      <c r="H221" s="59" t="n"/>
      <c r="I221" s="59" t="n"/>
      <c r="J221" s="59" t="n"/>
      <c r="K221" s="59" t="n"/>
      <c r="L221" s="59" t="n"/>
      <c r="M221" s="59" t="n"/>
      <c r="N221" s="59" t="n"/>
      <c r="O221" s="59" t="n"/>
      <c r="P221" s="59" t="n"/>
      <c r="Q221" s="59" t="n"/>
      <c r="R221" s="59" t="n"/>
      <c r="S221" s="59" t="n"/>
      <c r="T221" s="47">
        <f>IF(COUNT($H221:$S221)=0,"",SUM($H221:$S221)/COUNT($H221:$S221))</f>
        <v/>
      </c>
      <c r="U221" s="47">
        <f>IF($G221="","",IF($T221="","",MIN(1,IF($G221=0,IF($T221&lt;=0,1,0),IF($F221="↓",IFERROR($G221/$T221,0),IFERROR($T221/$G221,0))))))</f>
        <v/>
      </c>
      <c r="V221" s="51">
        <f>IF($U221="","⏳ بانتظار هدف",IF($U221&gt;=1.0,"✅ محقق",IF($U221&gt;=0.85,"🟡 قريب","🔴 تحت الهدف")))</f>
        <v/>
      </c>
      <c r="W221" s="60">
        <f>IF($G221="","",$G221)</f>
        <v/>
      </c>
      <c r="X221" s="51">
        <f>IF($U221="","—",IF($U221&gt;=0.85,"🟢 على المسار","🟠 متأخّر"))</f>
        <v/>
      </c>
    </row>
    <row r="222" ht="22" customHeight="1">
      <c r="A222" s="51" t="n">
        <v>219</v>
      </c>
      <c r="B222" s="13" t="inlineStr">
        <is>
          <t>الإدارة المالية</t>
        </is>
      </c>
      <c r="C222" s="11" t="inlineStr">
        <is>
          <t>انحراف الموازنة</t>
        </is>
      </c>
      <c r="D222" s="15" t="inlineStr">
        <is>
          <t>ربعي</t>
        </is>
      </c>
      <c r="E222" s="15" t="inlineStr">
        <is>
          <t>معدل</t>
        </is>
      </c>
      <c r="F222" s="46" t="inlineStr">
        <is>
          <t>↓</t>
        </is>
      </c>
      <c r="G222" s="61" t="n">
        <v>0.1</v>
      </c>
      <c r="H222" s="59" t="n"/>
      <c r="I222" s="59" t="n"/>
      <c r="J222" s="59" t="n"/>
      <c r="K222" s="59" t="n"/>
      <c r="L222" s="59" t="n"/>
      <c r="M222" s="59" t="n"/>
      <c r="N222" s="59" t="n"/>
      <c r="O222" s="59" t="n"/>
      <c r="P222" s="59" t="n"/>
      <c r="Q222" s="59" t="n"/>
      <c r="R222" s="59" t="n"/>
      <c r="S222" s="59" t="n"/>
      <c r="T222" s="47">
        <f>IF(COUNT($H222:$S222)=0,"",SUM($H222:$S222)/COUNT($H222:$S222))</f>
        <v/>
      </c>
      <c r="U222" s="47">
        <f>IF($G222="","",IF($T222="","",MIN(1,IF($G222=0,IF($T222&lt;=0,1,0),IF($F222="↓",IFERROR($G222/$T222,0),IFERROR($T222/$G222,0))))))</f>
        <v/>
      </c>
      <c r="V222" s="51">
        <f>IF($U222="","⏳ بانتظار هدف",IF($U222&gt;=1.0,"✅ محقق",IF($U222&gt;=0.85,"🟡 قريب","🔴 تحت الهدف")))</f>
        <v/>
      </c>
      <c r="W222" s="60">
        <f>IF($G222="","",$G222)</f>
        <v/>
      </c>
      <c r="X222" s="51">
        <f>IF($U222="","—",IF($U222&gt;=0.85,"🟢 على المسار","🟠 متأخّر"))</f>
        <v/>
      </c>
    </row>
    <row r="223" ht="22" customHeight="1">
      <c r="A223" s="51" t="n">
        <v>220</v>
      </c>
      <c r="B223" s="13" t="inlineStr">
        <is>
          <t>الإدارة المالية</t>
        </is>
      </c>
      <c r="C223" s="11" t="inlineStr">
        <is>
          <t>أيام الإقفال الشهري</t>
        </is>
      </c>
      <c r="D223" s="15" t="inlineStr">
        <is>
          <t>شهري</t>
        </is>
      </c>
      <c r="E223" s="15" t="inlineStr">
        <is>
          <t>معدل</t>
        </is>
      </c>
      <c r="F223" s="46" t="inlineStr">
        <is>
          <t>↓</t>
        </is>
      </c>
      <c r="G223" s="62" t="n">
        <v>6</v>
      </c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4">
        <f>IF(COUNT($H223:$S223)=0,"",SUM($H223:$S223)/COUNT($H223:$S223))</f>
        <v/>
      </c>
      <c r="U223" s="47">
        <f>IF($G223="","",IF($T223="","",MIN(1,IF($G223=0,IF($T223&lt;=0,1,0),IF($F223="↓",IFERROR($G223/$T223,0),IFERROR($T223/$G223,0))))))</f>
        <v/>
      </c>
      <c r="V223" s="51">
        <f>IF($U223="","⏳ بانتظار هدف",IF($U223&gt;=1.0,"✅ محقق",IF($U223&gt;=0.85,"🟡 قريب","🔴 تحت الهدف")))</f>
        <v/>
      </c>
      <c r="W223" s="65">
        <f>IF($G223="","",$G223)</f>
        <v/>
      </c>
      <c r="X223" s="51">
        <f>IF($U223="","—",IF($U223&gt;=0.85,"🟢 على المسار","🟠 متأخّر"))</f>
        <v/>
      </c>
    </row>
    <row r="224" ht="22" customHeight="1">
      <c r="A224" s="51" t="n">
        <v>221</v>
      </c>
      <c r="B224" s="13" t="inlineStr">
        <is>
          <t>الإدارة المالية</t>
        </is>
      </c>
      <c r="C224" s="11" t="inlineStr">
        <is>
          <t>نسبة تسويات التدقيق</t>
        </is>
      </c>
      <c r="D224" s="15" t="inlineStr">
        <is>
          <t>ربعي</t>
        </is>
      </c>
      <c r="E224" s="15" t="inlineStr">
        <is>
          <t>معدل</t>
        </is>
      </c>
      <c r="F224" s="46" t="inlineStr">
        <is>
          <t>↓</t>
        </is>
      </c>
      <c r="G224" s="61" t="n">
        <v>0.02</v>
      </c>
      <c r="H224" s="59" t="n"/>
      <c r="I224" s="59" t="n"/>
      <c r="J224" s="59" t="n"/>
      <c r="K224" s="59" t="n"/>
      <c r="L224" s="59" t="n"/>
      <c r="M224" s="59" t="n"/>
      <c r="N224" s="59" t="n"/>
      <c r="O224" s="59" t="n"/>
      <c r="P224" s="59" t="n"/>
      <c r="Q224" s="59" t="n"/>
      <c r="R224" s="59" t="n"/>
      <c r="S224" s="59" t="n"/>
      <c r="T224" s="47">
        <f>IF(COUNT($H224:$S224)=0,"",SUM($H224:$S224)/COUNT($H224:$S224))</f>
        <v/>
      </c>
      <c r="U224" s="47">
        <f>IF($G224="","",IF($T224="","",MIN(1,IF($G224=0,IF($T224&lt;=0,1,0),IF($F224="↓",IFERROR($G224/$T224,0),IFERROR($T224/$G224,0))))))</f>
        <v/>
      </c>
      <c r="V224" s="51">
        <f>IF($U224="","⏳ بانتظار هدف",IF($U224&gt;=1.0,"✅ محقق",IF($U224&gt;=0.85,"🟡 قريب","🔴 تحت الهدف")))</f>
        <v/>
      </c>
      <c r="W224" s="60">
        <f>IF($G224="","",$G224)</f>
        <v/>
      </c>
      <c r="X224" s="51">
        <f>IF($U224="","—",IF($U224&gt;=0.85,"🟢 على المسار","🟠 متأخّر"))</f>
        <v/>
      </c>
    </row>
  </sheetData>
  <autoFilter ref="A3:X224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9</v>
      </c>
      <c r="D13" s="67" t="n">
        <v>1</v>
      </c>
      <c r="E13" s="15" t="n">
        <v>5</v>
      </c>
      <c r="F13" s="15" t="n">
        <v>0</v>
      </c>
      <c r="G13" s="15" t="n">
        <v>4</v>
      </c>
    </row>
    <row r="14">
      <c r="A14" s="15" t="n">
        <v>10</v>
      </c>
      <c r="B14" s="13" t="inlineStr">
        <is>
          <t>الموارد البشرية</t>
        </is>
      </c>
      <c r="C14" s="15" t="n">
        <v>16</v>
      </c>
      <c r="D14" s="67" t="n">
        <v>1</v>
      </c>
      <c r="E14" s="15" t="n">
        <v>6</v>
      </c>
      <c r="F14" s="15" t="n">
        <v>2</v>
      </c>
      <c r="G14" s="15" t="n">
        <v>8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67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68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22</v>
      </c>
      <c r="D23" s="68" t="n">
        <v>0.1</v>
      </c>
    </row>
    <row r="24">
      <c r="A24" s="15" t="n">
        <v>3</v>
      </c>
      <c r="B24" s="13" t="inlineStr">
        <is>
          <t>العمليات الداخلية</t>
        </is>
      </c>
      <c r="C24" s="15" t="n">
        <v>137</v>
      </c>
      <c r="D24" s="68" t="n">
        <v>0.62</v>
      </c>
    </row>
    <row r="25">
      <c r="A25" s="15" t="n">
        <v>4</v>
      </c>
      <c r="B25" s="13" t="inlineStr">
        <is>
          <t>التعلّم والنمو</t>
        </is>
      </c>
      <c r="C25" s="15" t="n">
        <v>29</v>
      </c>
      <c r="D25" s="68" t="n">
        <v>0.131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12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99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15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الصيانة والأتمتة</t>
        </is>
      </c>
      <c r="C123" s="24" t="inlineStr">
        <is>
          <t>نسبة الجاهزية الفنية للأصول والمعدات (Availability)</t>
        </is>
      </c>
      <c r="D123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0.15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48" t="n"/>
    </row>
    <row r="124" ht="30" customHeight="1">
      <c r="A124" s="15" t="n">
        <v>122</v>
      </c>
      <c r="B124" s="13" t="inlineStr">
        <is>
          <t>الصيانة والأتمتة</t>
        </is>
      </c>
      <c r="C124" s="24" t="inlineStr">
        <is>
          <t>نسبة تنفيذ الصيانة الوقائية في موعدها (PM)</t>
        </is>
      </c>
      <c r="D124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0.12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48" t="n"/>
    </row>
    <row r="125" ht="30" customHeight="1">
      <c r="A125" s="15" t="n">
        <v>123</v>
      </c>
      <c r="B125" s="13" t="inlineStr">
        <is>
          <t>الصيانة والأتمتة</t>
        </is>
      </c>
      <c r="C125" s="24" t="inlineStr">
        <is>
          <t>نسبة إغلاق بلاغات الصيانة ضمن اتفاقية الخدمة (SLA)</t>
        </is>
      </c>
      <c r="D125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متوسط زمن الاستجابة للبلاغات الطارئة</t>
        </is>
      </c>
      <c r="D126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6" s="11" t="inlineStr">
        <is>
          <t>متوسط دقيقة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متوسط زمن إصلاح الأعطال (MTTR)</t>
        </is>
      </c>
      <c r="D127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7" s="11" t="inlineStr">
        <is>
          <t>متوسط ساعة خلال الفترة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0.08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معدل تكرار الأعطال</t>
        </is>
      </c>
      <c r="D128" s="69" t="inlineStr">
        <is>
          <t>يقيس معدل تكرار الأعطال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0.15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نسبة التشغيل السليم لأنظمة الأتمتة (Uptime)</t>
        </is>
      </c>
      <c r="D130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1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نسبة استعادة أنظمة الأتمتة ضمن الزمن المحدد</t>
        </is>
      </c>
      <c r="D131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1" t="n">
        <v>0.08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كفاءة تكاليف الصيانة (الالتزام بالميزانية)</t>
        </is>
      </c>
      <c r="D132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0.04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نسبة إنجاز محفظة مشاريع التحول الرقمي</t>
        </is>
      </c>
      <c r="D13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سجلات الإدارة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معدل تسليم المشاريع في الموعد المحدد</t>
        </is>
      </c>
      <c r="D13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1" t="n">
        <v>0.1</v>
      </c>
      <c r="J134" s="15" t="inlineStr">
        <is>
          <t>مدير التقنية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نسبة الالتزام بميزانية المشاريع</t>
        </is>
      </c>
      <c r="D13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1" t="n">
        <v>0.1</v>
      </c>
      <c r="J135" s="15" t="inlineStr">
        <is>
          <t>مدير التقنية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الالتزام بنطاق العمل</t>
        </is>
      </c>
      <c r="D136" s="69" t="inlineStr">
        <is>
          <t>يقيس نسبة الالتزام بنطاق العمل ضمن محور «أداء المشاريع»،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1" t="n">
        <v>0.1</v>
      </c>
      <c r="J136" s="15" t="inlineStr">
        <is>
          <t>مدير التقنية</t>
        </is>
      </c>
      <c r="K136" s="11" t="inlineStr">
        <is>
          <t>سجلات الإدارة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تفعيل الأنظمة الأساسية بالمحطات</t>
        </is>
      </c>
      <c r="D13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التعلّم والنمو</t>
        </is>
      </c>
      <c r="I137" s="61" t="n">
        <v>0.14</v>
      </c>
      <c r="J137" s="15" t="inlineStr">
        <is>
          <t>مدير التقنية</t>
        </is>
      </c>
      <c r="K137" s="11" t="inlineStr">
        <is>
          <t>مكتب إدارة المشاريع (PMO)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متوسط جاهزية أنظمة المركز الرئيسي (Uptime)</t>
        </is>
      </c>
      <c r="D13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التعلّم والنمو</t>
        </is>
      </c>
      <c r="I138" s="61" t="n">
        <v>0.14</v>
      </c>
      <c r="J138" s="15" t="inlineStr">
        <is>
          <t>مدير التقنية</t>
        </is>
      </c>
      <c r="K138" s="11" t="inlineStr">
        <is>
          <t>مكتب إدارة المشاريع (PMO)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الامتثال للأمن السيبراني</t>
        </is>
      </c>
      <c r="D13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مكتب إدارة المشاريع (PMO)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متوسط زمن استجابة الدعم الفني</t>
        </is>
      </c>
      <c r="D14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40" s="11" t="inlineStr">
        <is>
          <t>متوسط ساعة خلال الفترة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التكامل الرقمي (ERP/واثق/الولاء)</t>
        </is>
      </c>
      <c r="D14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التعلّم والنمو</t>
        </is>
      </c>
      <c r="I141" s="61" t="n">
        <v>0.09</v>
      </c>
      <c r="J141" s="15" t="inlineStr">
        <is>
          <t>مدير التقنية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نسبة السعودة / التوطين</t>
        </is>
      </c>
      <c r="D142" s="69" t="inlineStr">
        <is>
          <t>يقيس نسبة السعودة / التوطين ضمن محور «التوظيف والتوطين»،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1" t="n">
        <v>0.06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نسبة شغل الشواغر خلال 30 يوماً</t>
        </is>
      </c>
      <c r="D143" s="69" t="inlineStr">
        <is>
          <t>يقيس نسبة شغل الشواغر خلال 30 يوماً ضمن محور «التوظيف والتوطين»،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1" t="n">
        <v>0.06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جودة التوظيف — نسبة اجتياز الموظفين الجدد فترة التجربة</t>
        </is>
      </c>
      <c r="D144" s="69" t="inlineStr">
        <is>
          <t>يقيس جودة التوظيف — نسبة اجتياز الموظفين الجدد فترة التجربة ضمن محور «التوظيف والتوطين»،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1" t="n">
        <v>0.06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معدل استبقاء الموظفين (Retention)</t>
        </is>
      </c>
      <c r="D145" s="69" t="inlineStr">
        <is>
          <t>يقيس معدل استبقاء الموظفين (Retention) ضمن محور «الاستبقاء والاستقرار»،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0.08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معدل دوران الموظفين (Turnover)</t>
        </is>
      </c>
      <c r="D146" s="69" t="inlineStr">
        <is>
          <t>يقيس معدل دوران الموظفين (Turnover) ضمن محور «الاستبقاء والاستقرار»،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1" t="n">
        <v>0.06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معدل الغياب (Absenteeism)</t>
        </is>
      </c>
      <c r="D147" s="69" t="inlineStr">
        <is>
          <t>يقيس معدل الغياب (Absenteeism) ضمن محور «الاستبقاء والاستقرار»،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0.06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متوسط ساعات التدريب لكل موظف</t>
        </is>
      </c>
      <c r="D14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8" s="11" t="inlineStr">
        <is>
          <t>متوسط ساعة خلال الفترة</t>
        </is>
      </c>
      <c r="F148" s="15" t="inlineStr">
        <is>
          <t>⚙️ نشاط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1" t="n">
        <v>0.06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الموظفين المشمولين بخطة تطوير</t>
        </is>
      </c>
      <c r="D14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1" t="n">
        <v>0.06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فاعلية التدريب — نسبة تطبيق أثر التدريب في العمل</t>
        </is>
      </c>
      <c r="D150" s="69" t="inlineStr">
        <is>
          <t>يقيس فاعلية التدريب — نسبة تطبيق أثر التدريب في العمل ضمن محور «التدريب والتطوير»،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⚙️ نشاط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0.06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نسبة الترقيات الداخلية لشغل الشواغر القيادية</t>
        </is>
      </c>
      <c r="D151" s="69" t="inlineStr">
        <is>
          <t>يقيس نسبة الترقيات الداخلية لشغل الشواغر القيادية ضمن محور «التدريب والتطوير»،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1" t="n">
        <v>0.06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مؤشر رضا الموظفين (eNPS)</t>
        </is>
      </c>
      <c r="D152" s="69" t="inlineStr">
        <is>
          <t>يقيس مؤشر رضا الموظفين (eNPS) ضمن محور «الرضا والثقافة»، ويعكس مساهمة الإدارة في ركيزة الاستدامة.</t>
        </is>
      </c>
      <c r="E152" s="11" t="inlineStr">
        <is>
          <t>٪ المروّجين − ٪ المنتقدين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التعلّم والنمو</t>
        </is>
      </c>
      <c r="I152" s="61" t="n">
        <v>0.08</v>
      </c>
      <c r="J152" s="15" t="inlineStr">
        <is>
          <t>مدير الموارد البشرية</t>
        </is>
      </c>
      <c r="K152" s="11" t="inlineStr">
        <is>
          <t>استبيان دوري</t>
        </is>
      </c>
      <c r="L152" s="15" t="inlineStr">
        <is>
          <t>ربعي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دقة الرواتب — نسبة الرواتب المصروفة صحيحةً وفي موعدها</t>
        </is>
      </c>
      <c r="D153" s="69" t="inlineStr">
        <is>
          <t>يقيس دقة الرواتب — نسبة الرواتب المصروفة صحيحةً وفي موعدها ضمن محور «الرواتب والتعويضات»،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61" t="n">
        <v>0.08</v>
      </c>
      <c r="J153" s="15" t="inlineStr">
        <is>
          <t>مدير الموارد البشرية</t>
        </is>
      </c>
      <c r="K153" s="11" t="inlineStr">
        <is>
          <t>نظام الرواتب (Payroll) / حماية الأجور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الالتزام بنظام حماية الأجور (WPS)</t>
        </is>
      </c>
      <c r="D154" s="69" t="inlineStr">
        <is>
          <t>يقيس نسبة الالتزام بنظام حماية الأجور (WPS) ضمن محور «الرواتب والتعويضات»،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🎯 نتيجة</t>
        </is>
      </c>
      <c r="G154" s="11" t="inlineStr">
        <is>
          <t>الاستدامة · الاستثمار في الموظفين</t>
        </is>
      </c>
      <c r="H154" s="15" t="inlineStr">
        <is>
          <t>العمليات الداخلية</t>
        </is>
      </c>
      <c r="I154" s="61" t="n">
        <v>0.08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نسبة إنجاز تقييمات الأداء في موعدها</t>
        </is>
      </c>
      <c r="D155" s="69" t="inlineStr">
        <is>
          <t>يقيس نسبة إنجاز تقييمات الأداء في موعدها ضمن محور «التمكين والأداء»،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العمليات الداخلية</t>
        </is>
      </c>
      <c r="I155" s="61" t="n">
        <v>0.06</v>
      </c>
      <c r="J155" s="15" t="inlineStr">
        <is>
          <t>مدير الموارد البشرية</t>
        </is>
      </c>
      <c r="K155" s="11" t="inlineStr">
        <is>
          <t>نظام الموارد البشرية (HRMS)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نسبة أتمتة عمليات الموارد البشرية</t>
        </is>
      </c>
      <c r="D156" s="69" t="inlineStr">
        <is>
          <t>يقيس نسبة أتمتة عمليات الموارد البشرية ضمن محور «التمكين والأداء»، ويعكس مساهمة الإدارة في ركيزة الابتكار.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الابتكار · التحول التقني</t>
        </is>
      </c>
      <c r="H156" s="15" t="inlineStr">
        <is>
          <t>التعلّم والنمو</t>
        </is>
      </c>
      <c r="I156" s="61" t="n">
        <v>0.05</v>
      </c>
      <c r="J156" s="15" t="inlineStr">
        <is>
          <t>مدير الموارد البشرية</t>
        </is>
      </c>
      <c r="K156" s="11" t="inlineStr">
        <is>
          <t>مكتب إدارة المشاريع (PMO)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نسبة توثيق وتحديث أنظمة وسياسات العمل</t>
        </is>
      </c>
      <c r="D157" s="69" t="inlineStr">
        <is>
          <t>يقيس نسبة توثيق وتحديث أنظمة وسياسات العمل ضمن محور «التمكين والأداء»،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التعلّم والنمو</t>
        </is>
      </c>
      <c r="I157" s="61" t="n">
        <v>0.03</v>
      </c>
      <c r="J157" s="15" t="inlineStr">
        <is>
          <t>مدير الموارد البشرية</t>
        </is>
      </c>
      <c r="K157" s="11" t="inlineStr">
        <is>
          <t>مكتب إدارة المشاريع (PMO)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التسويق</t>
        </is>
      </c>
      <c r="C158" s="24" t="inlineStr">
        <is>
          <t>الوصول الكلي (Total Reach)</t>
        </is>
      </c>
      <c r="D158" s="69" t="inlineStr">
        <is>
          <t>يقيس الوصول الكلي (Total Reach) ضمن محور «الإدارة العامة»، ويعكس مساهمة الإدارة في ركيزة النمو.</t>
        </is>
      </c>
      <c r="E158" s="11" t="inlineStr">
        <is>
          <t>إجمالي العدد خلال الفترة</t>
        </is>
      </c>
      <c r="F158" s="15" t="inlineStr">
        <is>
          <t>🎯 نتيجة</t>
        </is>
      </c>
      <c r="G158" s="11" t="inlineStr">
        <is>
          <t>النمو · زيادة وصول العملاء</t>
        </is>
      </c>
      <c r="H158" s="15" t="inlineStr">
        <is>
          <t>العملاء</t>
        </is>
      </c>
      <c r="I158" s="61" t="n">
        <v>0.08</v>
      </c>
      <c r="J158" s="15" t="inlineStr">
        <is>
          <t>مدير التسويق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التسويق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عملاء تجاريون جدد</t>
        </is>
      </c>
      <c r="D159" s="69" t="inlineStr">
        <is>
          <t>يقيس عملاء تجاريون جدد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🔧 تشغيلي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1" t="n">
        <v>0.06</v>
      </c>
      <c r="J159" s="15" t="inlineStr">
        <is>
          <t>مدير التسويق</t>
        </is>
      </c>
      <c r="K159" s="11" t="inlineStr">
        <is>
          <t>سجلات الإدارة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إجمالي المتابعين (كل المنصات)</t>
        </is>
      </c>
      <c r="D160" s="69" t="inlineStr">
        <is>
          <t>يقيس إجمالي المتابعين (كل المنصات) ضمن محور «الفريق الإبداعي»،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1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معدل التفاعل (Engagement)</t>
        </is>
      </c>
      <c r="D161" s="69" t="inlineStr">
        <is>
          <t>يقيس معدل التفاعل (Engagement) ضمن محور «الفريق الإبداعي»، ويعكس مساهمة الإدارة في ركيزة النمو.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1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حملات تسويقية منجزة</t>
        </is>
      </c>
      <c r="D162" s="69" t="inlineStr">
        <is>
          <t>يقيس حملات تسويقية منجزة ضمن محور «الحملات التسويقية»،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⚙️ نشاط</t>
        </is>
      </c>
      <c r="G162" s="11" t="inlineStr">
        <is>
          <t>النمو · زيادة وصول العملاء</t>
        </is>
      </c>
      <c r="H162" s="15" t="inlineStr">
        <is>
          <t>العمليات الداخلية</t>
        </is>
      </c>
      <c r="I162" s="61" t="n">
        <v>0.06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تحويل الفرص إلى عقود</t>
        </is>
      </c>
      <c r="D163" s="69" t="inlineStr">
        <is>
          <t>يقيس تحويل الفرص إلى عقود ضمن محور «الحملات التسويقية»،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🔧 تشغيلي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1" t="n">
        <v>0.08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نسبة المبيعات لكل حملة</t>
        </is>
      </c>
      <c r="D164" s="69" t="inlineStr">
        <is>
          <t>يقيس نسبة المبيعات لكل حملة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النمو · زيادة وصول العملاء</t>
        </is>
      </c>
      <c r="H164" s="15" t="inlineStr">
        <is>
          <t>مالي</t>
        </is>
      </c>
      <c r="I164" s="61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نسبة التزام الهوية البصرية</t>
        </is>
      </c>
      <c r="D165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الابتكار · تطوير التصاميم والهوية</t>
        </is>
      </c>
      <c r="H165" s="15" t="inlineStr">
        <is>
          <t>التعلّم والنمو</t>
        </is>
      </c>
      <c r="I165" s="61" t="n">
        <v>0.08</v>
      </c>
      <c r="J165" s="15" t="inlineStr">
        <is>
          <t>مدير التسويق</t>
        </is>
      </c>
      <c r="K165" s="11" t="inlineStr">
        <is>
          <t>سجلات الإدارة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وصول العلاقات العامة (PR)</t>
        </is>
      </c>
      <c r="D166" s="69" t="inlineStr">
        <is>
          <t>يقيس وصول العلاقات العامة (PR) ضمن محور «العلاقات والشراكات»، ويعكس مساهمة الإدارة في ركيزة النمو.</t>
        </is>
      </c>
      <c r="E166" s="11" t="inlineStr">
        <is>
          <t>إجمالي العدد خلال الفترة</t>
        </is>
      </c>
      <c r="F166" s="15" t="inlineStr">
        <is>
          <t>🔧 تشغيلي</t>
        </is>
      </c>
      <c r="G166" s="11" t="inlineStr">
        <is>
          <t>النمو · زيادة وصول العملاء</t>
        </is>
      </c>
      <c r="H166" s="15" t="inlineStr">
        <is>
          <t>العملاء</t>
        </is>
      </c>
      <c r="I166" s="61" t="n">
        <v>0.06</v>
      </c>
      <c r="J166" s="15" t="inlineStr">
        <is>
          <t>مدير التسويق</t>
        </is>
      </c>
      <c r="K166" s="11" t="inlineStr">
        <is>
          <t>أنظمة التسويق الرقمي / تانكي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عدد المعارض بالسنة</t>
        </is>
      </c>
      <c r="D167" s="69" t="inlineStr">
        <is>
          <t>يقيس عدد المعارض بالسنة ضمن محور «العلاقات والشراكات»، ويعكس مساهمة الإدارة في ركيزة الابتكار.</t>
        </is>
      </c>
      <c r="E167" s="11" t="inlineStr">
        <is>
          <t>إجمالي العدد خلال الفترة</t>
        </is>
      </c>
      <c r="F167" s="15" t="inlineStr">
        <is>
          <t>⚙️ نشاط</t>
        </is>
      </c>
      <c r="G167" s="11" t="inlineStr">
        <is>
          <t>الابتكار · إطلاق مشاريع جديدة</t>
        </is>
      </c>
      <c r="H167" s="15" t="inlineStr">
        <is>
          <t>العمليات الداخلية</t>
        </is>
      </c>
      <c r="I167" s="61" t="n">
        <v>0.06</v>
      </c>
      <c r="J167" s="15" t="inlineStr">
        <is>
          <t>مدير التسويق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اتفاقيات استراتيجية</t>
        </is>
      </c>
      <c r="D168" s="69" t="inlineStr">
        <is>
          <t>يقيس اتفاقيات استراتيجية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1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تقييم خرائط قوقل</t>
        </is>
      </c>
      <c r="D169" s="69" t="inlineStr">
        <is>
          <t>يقيس تقييم خرائط قوقل ضمن محور «خدمة العملاء والدعم»، ويعكس مساهمة الإدارة في ركيزة الاستدامة.</t>
        </is>
      </c>
      <c r="E169" s="11" t="inlineStr">
        <is>
          <t>متوسط التقييم (من 5)</t>
        </is>
      </c>
      <c r="F169" s="15" t="inlineStr">
        <is>
          <t>🎯 نتيجة</t>
        </is>
      </c>
      <c r="G169" s="11" t="inlineStr">
        <is>
          <t>الاستدامة · تعزيز تجربة العملاء</t>
        </is>
      </c>
      <c r="H169" s="15" t="inlineStr">
        <is>
          <t>العملاء</t>
        </is>
      </c>
      <c r="I169" s="61" t="n">
        <v>0.06</v>
      </c>
      <c r="J169" s="15" t="inlineStr">
        <is>
          <t>مدير التسويق</t>
        </is>
      </c>
      <c r="K169" s="11" t="inlineStr">
        <is>
          <t>تقييمات خرائط قوقل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معدل خفض الشكاوى</t>
        </is>
      </c>
      <c r="D170" s="69" t="inlineStr">
        <is>
          <t>يقيس معدل خفض الشكاوى ضمن محور «خدمة العملاء والدعم»،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1" t="n">
        <v>0.06</v>
      </c>
      <c r="J170" s="15" t="inlineStr">
        <is>
          <t>مدير التسويق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وصول محتوى تطبيق تانكي</t>
        </is>
      </c>
      <c r="D171" s="69" t="inlineStr">
        <is>
          <t>يقيس وصول محتوى تطبيق تانكي ضمن محور «تطبيق تانكي»، ويعكس مساهمة الإدارة في ركيزة الابتكار.</t>
        </is>
      </c>
      <c r="E171" s="11" t="inlineStr">
        <is>
          <t>إجمالي العدد خلال الفترة</t>
        </is>
      </c>
      <c r="F171" s="15" t="inlineStr">
        <is>
          <t>🔧 تشغيلي</t>
        </is>
      </c>
      <c r="G171" s="11" t="inlineStr">
        <is>
          <t>الابتكار · تطبيق «تانكي»</t>
        </is>
      </c>
      <c r="H171" s="15" t="inlineStr">
        <is>
          <t>العملاء</t>
        </is>
      </c>
      <c r="I171" s="61" t="n">
        <v>0.05</v>
      </c>
      <c r="J171" s="15" t="inlineStr">
        <is>
          <t>مدير التسويق</t>
        </is>
      </c>
      <c r="K171" s="11" t="inlineStr">
        <is>
          <t>أنظمة التسويق الرقمي / تانكي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مشاركات تطبيق تانكي</t>
        </is>
      </c>
      <c r="D172" s="69" t="inlineStr">
        <is>
          <t>يقيس مشاركات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العمليات الداخلية</t>
        </is>
      </c>
      <c r="I172" s="61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الجودة</t>
        </is>
      </c>
      <c r="C173" s="24" t="inlineStr">
        <is>
          <t>نسبة المحطات الحرجة</t>
        </is>
      </c>
      <c r="D173" s="69" t="inlineStr">
        <is>
          <t>يقيس نسبة المحطات الحرجة ضمن محور «مخاطر الجودة»،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1" t="n">
        <v>0.1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مطابقة جودة الوقود</t>
        </is>
      </c>
      <c r="D174" s="69" t="inlineStr">
        <is>
          <t>يقيس نسبة مطابقة جودة الوقود ضمن محور «جودة الوقود»،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0.07000000000000001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إغلاق الملاحظات في الوقت المحدد</t>
        </is>
      </c>
      <c r="D175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فعالية الإجراءات التصحيحية</t>
        </is>
      </c>
      <c r="D176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تكرار الملاحظات</t>
        </is>
      </c>
      <c r="D177" s="69" t="inlineStr">
        <is>
          <t>يقيس نسبة تكرار الملاحظات ضمن محور «منع التكرار»،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🔧 تشغيلي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تنفيذ خطة التفتيش والتدقيق</t>
        </is>
      </c>
      <c r="D178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المحاسبة / ERP (D365)</t>
        </is>
      </c>
      <c r="L178" s="15" t="inlineStr">
        <is>
          <t>ربعي</t>
        </is>
      </c>
      <c r="M178" s="15" t="inlineStr">
        <is>
          <t>الإدارة المالية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جاهزية نظام إدارة الجودة QMS</t>
        </is>
      </c>
      <c r="D179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0.1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عدد مخاطر الجودة الحرجة المفتوحة</t>
        </is>
      </c>
      <c r="D180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0.07000000000000001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إغلاق مخاطر الجودة في الوقت المحدد</t>
        </is>
      </c>
      <c r="D181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نسبة انخفاض الشكاوى المتكررة ذات العلاقة بالجودة</t>
        </is>
      </c>
      <c r="D182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تعزيز تجربة العملاء</t>
        </is>
      </c>
      <c r="H182" s="15" t="inlineStr">
        <is>
          <t>العملاء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اكتمال وتحديث الإجراءات المعتمدة</t>
        </is>
      </c>
      <c r="D183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0.03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اكتمال سجلات الجودة</t>
        </is>
      </c>
      <c r="D184" s="69" t="inlineStr">
        <is>
          <t>يقيس نسبة اكتمال سجلات الجودة ضمن محور «توثيق وحوكمة»،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0.07000000000000001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رقمنة عمليات الجودة</t>
        </is>
      </c>
      <c r="D185" s="69" t="inlineStr">
        <is>
          <t>يقيس نسبة رقمنة عمليات الجودة ضمن محور «الابتكار والرقمنة»، ويعكس مساهمة الإدارة في ركيزة الابتكار.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الابتكار · التحول التقني</t>
        </is>
      </c>
      <c r="H185" s="15" t="inlineStr">
        <is>
          <t>التعلّم والنمو</t>
        </is>
      </c>
      <c r="I185" s="61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عدد مبادرات التحسين المؤثرة</t>
        </is>
      </c>
      <c r="D186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6" s="11" t="inlineStr">
        <is>
          <t>إجمالي العدد خلال الفترة</t>
        </is>
      </c>
      <c r="F186" s="15" t="inlineStr">
        <is>
          <t>⚙️ نشاط</t>
        </is>
      </c>
      <c r="G186" s="11" t="inlineStr">
        <is>
          <t>الاستدامة · جودة التشغيل</t>
        </is>
      </c>
      <c r="H186" s="15" t="inlineStr">
        <is>
          <t>التعلّم والنمو</t>
        </is>
      </c>
      <c r="I186" s="61" t="n">
        <v>0.07000000000000001</v>
      </c>
      <c r="J186" s="15" t="inlineStr">
        <is>
          <t>مدير الجودة</t>
        </is>
      </c>
      <c r="K186" s="11" t="inlineStr">
        <is>
          <t>سجلات الإدارة</t>
        </is>
      </c>
      <c r="L186" s="15" t="inlineStr">
        <is>
          <t>ربعي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الإدارة القانونية</t>
        </is>
      </c>
      <c r="C187" s="24" t="inlineStr">
        <is>
          <t>نسبة العقود المُراجَعة قانونياً قبل التوقيع</t>
        </is>
      </c>
      <c r="D187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1" t="n">
        <v>0.1</v>
      </c>
      <c r="J187" s="15" t="inlineStr">
        <is>
          <t>المدير القانوني</t>
        </is>
      </c>
      <c r="K187" s="11" t="inlineStr">
        <is>
          <t>نظام إدارة العقود (CRM)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متوسط زمن صياغة ومراجعة العقد</t>
        </is>
      </c>
      <c r="D188" s="69" t="inlineStr">
        <is>
          <t>يقيس متوسط زمن صياغة ومراجعة العقد ضمن محور «أعمال العقود»،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العقود الخالية من الملاحظات والمخاطر القانونية</t>
        </is>
      </c>
      <c r="D189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</v>
      </c>
      <c r="J189" s="15" t="inlineStr">
        <is>
          <t>المدير القانوني</t>
        </is>
      </c>
      <c r="K189" s="11" t="inlineStr">
        <is>
          <t>نظام إدارة الجودة (QMS)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نسبة القضايا المُغلقة لصالح الشركة</t>
        </is>
      </c>
      <c r="D190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تقديم المذكرات والردود في المواعيد النظامية</t>
        </is>
      </c>
      <c r="D191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متوسط زمن إعداد المذكرة القانونية</t>
        </is>
      </c>
      <c r="D192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⚙️ نشاط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نسبة الاستشارات المُنجزة ضمن المدة المستهدفة (SLA)</t>
        </is>
      </c>
      <c r="D193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مستوى رضا الإدارات عن الدعم القانوني</t>
        </is>
      </c>
      <c r="D194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العملاء</t>
        </is>
      </c>
      <c r="I194" s="61" t="n">
        <v>0.1</v>
      </c>
      <c r="J194" s="15" t="inlineStr">
        <is>
          <t>المدير القانوني</t>
        </is>
      </c>
      <c r="K194" s="11" t="inlineStr">
        <is>
          <t>استبيان دوري</t>
        </is>
      </c>
      <c r="L194" s="15" t="inlineStr">
        <is>
          <t>ربعي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نسبة إنجاز التحقيقات ضمن المدة المحددة</t>
        </is>
      </c>
      <c r="D195" s="69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0.07000000000000001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القانونية</t>
        </is>
      </c>
      <c r="C196" s="24" t="inlineStr">
        <is>
          <t>نسبة التحقيقات المُغلقة من إجمالي المُحالة</t>
        </is>
      </c>
      <c r="D196" s="69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48" t="n"/>
    </row>
    <row r="197" ht="30" customHeight="1">
      <c r="A197" s="15" t="n">
        <v>195</v>
      </c>
      <c r="B197" s="13" t="inlineStr">
        <is>
          <t>الإدارة القانونية</t>
        </is>
      </c>
      <c r="C197" s="24" t="inlineStr">
        <is>
          <t>متوسط زمن إغلاق قضية التحقيق</t>
        </is>
      </c>
      <c r="D197" s="69" t="inlineStr">
        <is>
          <t>يقيس متوسط زمن إغلاق قضية التحقيق ضمن محور «التحقيق»، ويعكس مساهمة الإدارة في ركيزة الاستدامة.</t>
        </is>
      </c>
      <c r="E197" s="11" t="inlineStr">
        <is>
          <t>متوسط يوم خلال الفترة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1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48" t="n"/>
    </row>
    <row r="198" ht="30" customHeight="1">
      <c r="A198" s="15" t="n">
        <v>196</v>
      </c>
      <c r="B198" s="13" t="inlineStr">
        <is>
          <t>الإدارة القانونية</t>
        </is>
      </c>
      <c r="C198" s="24" t="inlineStr">
        <is>
          <t>نسبة تنفيذ التوصيات الصادرة عن التحقيقات</t>
        </is>
      </c>
      <c r="D198" s="69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⚙️ نشاط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1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48" t="n"/>
    </row>
    <row r="199" ht="30" customHeight="1">
      <c r="A199" s="15" t="n">
        <v>197</v>
      </c>
      <c r="B199" s="13" t="inlineStr">
        <is>
          <t>الإدارة القانونية</t>
        </is>
      </c>
      <c r="C199" s="24" t="inlineStr">
        <is>
          <t>نسبة التزام التحقيقات بالإجراءات النظامية والعدالة الإجرائية</t>
        </is>
      </c>
      <c r="D199" s="69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1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نمو الإيرادات السنوي</t>
        </is>
      </c>
      <c r="D200" s="69" t="inlineStr">
        <is>
          <t>يقيس نمو الإيرادات السنوي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1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ربعي</t>
        </is>
      </c>
      <c r="M200" s="15" t="inlineStr">
        <is>
          <t>الإدارة المالية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هامش EBITDA</t>
        </is>
      </c>
      <c r="D201" s="69" t="inlineStr">
        <is>
          <t>يقيس هامش EBITDA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1" t="n">
        <v>0.04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هامش صافي الربح</t>
        </is>
      </c>
      <c r="D202" s="69" t="inlineStr">
        <is>
          <t>يقيس هامش صافي الربح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1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العائد على حقوق الملكية (ROE)</t>
        </is>
      </c>
      <c r="D203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1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ربعي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نسبة التدفق النقدي التشغيلي</t>
        </is>
      </c>
      <c r="D204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1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النسبة الجارية (Current Ratio)</t>
        </is>
      </c>
      <c r="D205" s="69" t="inlineStr">
        <is>
          <t>يقيس النسبة الجارية (Current Ratio) ضمن محور «السيولة ورأس المال»،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1" t="n">
        <v>0.04</v>
      </c>
      <c r="J205" s="15" t="inlineStr">
        <is>
          <t>المدير المالي</t>
        </is>
      </c>
      <c r="K205" s="11" t="inlineStr">
        <is>
          <t>سجلات الإدارة</t>
        </is>
      </c>
      <c r="L205" s="15" t="inlineStr">
        <is>
          <t>شهري</t>
        </is>
      </c>
      <c r="M205" s="15" t="inlineStr">
        <is>
          <t>المدير المالي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دورة التحويل النقدي</t>
        </is>
      </c>
      <c r="D206" s="69" t="inlineStr">
        <is>
          <t>يقيس دورة التحويل النقدي ضمن محور «السيولة ورأس المال»، ويعكس مساهمة الإدارة في ركيزة الاستدامة.</t>
        </is>
      </c>
      <c r="E206" s="11" t="inlineStr">
        <is>
          <t>متوسط يوم خلال الفترة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متوسط أيام التحصيل العام (DSO)</t>
        </is>
      </c>
      <c r="D207" s="69" t="inlineStr">
        <is>
          <t>يقيس متوسط أيام التحصيل العام (DSO) ضمن محور «الذمم المدينة»،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مالي</t>
        </is>
      </c>
      <c r="I207" s="61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نسبة التحصيل العام (الشركة)</t>
        </is>
      </c>
      <c r="D208" s="69" t="inlineStr">
        <is>
          <t>يقيس نسبة التحصيل العام (الشركة) ضمن محور «الذمم المدينة»،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1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نسبة الذمم المتأخرة</t>
        </is>
      </c>
      <c r="D209" s="69" t="inlineStr">
        <is>
          <t>يقيس نسبة الذمم المتأخرة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1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الديون المعدومة</t>
        </is>
      </c>
      <c r="D210" s="69" t="inlineStr">
        <is>
          <t>يقيس نسبة الديون المعدومة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1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سداد الموردين في الموعد</t>
        </is>
      </c>
      <c r="D211" s="69" t="inlineStr">
        <is>
          <t>يقيس سداد الموردين في الموعد ضمن محور «الذمم الدائنة»،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مالي</t>
        </is>
      </c>
      <c r="I211" s="61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اكتمال مطابقة حسابات الموردين</t>
        </is>
      </c>
      <c r="D212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دقة التنبؤ النقدي</t>
        </is>
      </c>
      <c r="D213" s="69" t="inlineStr">
        <is>
          <t>يقيس دقة التنبؤ النقدي ضمن محور «الخزينة»،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1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تباين مخزون الوقود</t>
        </is>
      </c>
      <c r="D214" s="69" t="inlineStr">
        <is>
          <t>يقيس تباين مخزون الوقود ضمن محور «صناعة الوقود»،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1" t="n">
        <v>0.04</v>
      </c>
      <c r="J214" s="15" t="inlineStr">
        <is>
          <t>المدير المالي</t>
        </is>
      </c>
      <c r="K214" s="11" t="inlineStr">
        <is>
          <t>نظام تشغيل المحطات</t>
        </is>
      </c>
      <c r="L214" s="15" t="inlineStr">
        <is>
          <t>شهري</t>
        </is>
      </c>
      <c r="M214" s="15" t="inlineStr">
        <is>
          <t>المدير المالي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دقة مطابقة المخزون</t>
        </is>
      </c>
      <c r="D215" s="69" t="inlineStr">
        <is>
          <t>يقيس دقة مطابقة المخزون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1" t="n">
        <v>0.03</v>
      </c>
      <c r="J215" s="15" t="inlineStr">
        <is>
          <t>المدير المالي</t>
        </is>
      </c>
      <c r="K215" s="11" t="inlineStr">
        <is>
          <t>نظام إدارة الجودة (QMS)</t>
        </is>
      </c>
      <c r="L215" s="15" t="inlineStr">
        <is>
          <t>شهري</t>
        </is>
      </c>
      <c r="M215" s="15" t="inlineStr">
        <is>
          <t>المدير المالي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دقة تسوية أرامكو</t>
        </is>
      </c>
      <c r="D216" s="69" t="inlineStr">
        <is>
          <t>يقيس دقة تسوية أرامكو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1" t="n">
        <v>0.03</v>
      </c>
      <c r="J216" s="15" t="inlineStr">
        <is>
          <t>المدير المالي</t>
        </is>
      </c>
      <c r="K216" s="11" t="inlineStr">
        <is>
          <t>نظام تشغيل المحطات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نسبة تحصيل الامتياز</t>
        </is>
      </c>
      <c r="D217" s="69" t="inlineStr">
        <is>
          <t>يقيس نسبة تحصيل الامتياز ضمن محور «تمويل الامتياز»، ويعكس مساهمة الإدارة في ركيزة النمو.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النمو · الامتياز التجاري</t>
        </is>
      </c>
      <c r="H217" s="15" t="inlineStr">
        <is>
          <t>مالي</t>
        </is>
      </c>
      <c r="I217" s="61" t="n">
        <v>0.05</v>
      </c>
      <c r="J217" s="15" t="inlineStr">
        <is>
          <t>المدير المالي</t>
        </is>
      </c>
      <c r="K217" s="11" t="inlineStr">
        <is>
          <t>نظام المحاسبة / ERP (D365)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أيام تحصيل رسوم الامتياز</t>
        </is>
      </c>
      <c r="D218" s="69" t="inlineStr">
        <is>
          <t>يقيس أيام تحصيل رسوم الامتياز ضمن محور «تمويل الامتياز»، ويعكس مساهمة الإدارة في ركيزة النمو.</t>
        </is>
      </c>
      <c r="E218" s="11" t="inlineStr">
        <is>
          <t>متوسط يوم خلال الفترة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1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تحصيل الإيجار</t>
        </is>
      </c>
      <c r="D219" s="69" t="inlineStr">
        <is>
          <t>يقيس نسبة تحصيل الإيجار ضمن محور «العقار والإيجار»،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الاستدامة · منظومة التأجير</t>
        </is>
      </c>
      <c r="H219" s="15" t="inlineStr">
        <is>
          <t>مالي</t>
        </is>
      </c>
      <c r="I219" s="61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48" t="n"/>
    </row>
    <row r="220" ht="30" customHeight="1">
      <c r="A220" s="15" t="n">
        <v>218</v>
      </c>
      <c r="B220" s="13" t="inlineStr">
        <is>
          <t>الإدارة المالية</t>
        </is>
      </c>
      <c r="C220" s="24" t="inlineStr">
        <is>
          <t>معدل تجديد عقود الإيجار</t>
        </is>
      </c>
      <c r="D220" s="69" t="inlineStr">
        <is>
          <t>يقيس معدل تجديد عقود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العمليات الداخلية</t>
        </is>
      </c>
      <c r="I220" s="61" t="n">
        <v>0.05</v>
      </c>
      <c r="J220" s="15" t="inlineStr">
        <is>
          <t>المدير المالي</t>
        </is>
      </c>
      <c r="K220" s="11" t="inlineStr">
        <is>
          <t>نظام إدارة العقود (CRM)</t>
        </is>
      </c>
      <c r="L220" s="15" t="inlineStr">
        <is>
          <t>شهري</t>
        </is>
      </c>
      <c r="M220" s="15" t="inlineStr">
        <is>
          <t>المدير المالي</t>
        </is>
      </c>
      <c r="N220" s="48" t="n"/>
    </row>
    <row r="221" ht="30" customHeight="1">
      <c r="A221" s="15" t="n">
        <v>219</v>
      </c>
      <c r="B221" s="13" t="inlineStr">
        <is>
          <t>الإدارة المالية</t>
        </is>
      </c>
      <c r="C221" s="24" t="inlineStr">
        <is>
          <t>انحراف الموازنة</t>
        </is>
      </c>
      <c r="D221" s="69" t="inlineStr">
        <is>
          <t>يقيس انحراف الموازنة ضمن محور «الموازنة والتقارير»،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🔧 تشغيلي</t>
        </is>
      </c>
      <c r="G221" s="11" t="inlineStr">
        <is>
          <t>الاستدامة · جودة التشغيل</t>
        </is>
      </c>
      <c r="H221" s="15" t="inlineStr">
        <is>
          <t>العمليات الداخلية</t>
        </is>
      </c>
      <c r="I221" s="61" t="n">
        <v>0.03</v>
      </c>
      <c r="J221" s="15" t="inlineStr">
        <is>
          <t>المدير المالي</t>
        </is>
      </c>
      <c r="K221" s="11" t="inlineStr">
        <is>
          <t>نظام المحاسبة / ERP (D365)</t>
        </is>
      </c>
      <c r="L221" s="15" t="inlineStr">
        <is>
          <t>ربعي</t>
        </is>
      </c>
      <c r="M221" s="15" t="inlineStr">
        <is>
          <t>الإدارة المالية</t>
        </is>
      </c>
      <c r="N221" s="48" t="n"/>
    </row>
    <row r="222" ht="30" customHeight="1">
      <c r="A222" s="15" t="n">
        <v>220</v>
      </c>
      <c r="B222" s="13" t="inlineStr">
        <is>
          <t>الإدارة المالية</t>
        </is>
      </c>
      <c r="C222" s="24" t="inlineStr">
        <is>
          <t>أيام الإقفال الشهري</t>
        </is>
      </c>
      <c r="D222" s="69" t="inlineStr">
        <is>
          <t>يقيس أيام الإقفال الشهري ضمن محور «الموازنة والتقارير»، ويعكس مساهمة الإدارة في ركيزة الاستدامة.</t>
        </is>
      </c>
      <c r="E222" s="11" t="inlineStr">
        <is>
          <t>متوسط يوم خلال الفترة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1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شهري</t>
        </is>
      </c>
      <c r="M222" s="15" t="inlineStr">
        <is>
          <t>الإدارة المالية</t>
        </is>
      </c>
      <c r="N222" s="48" t="n"/>
    </row>
    <row r="223" ht="30" customHeight="1">
      <c r="A223" s="15" t="n">
        <v>221</v>
      </c>
      <c r="B223" s="13" t="inlineStr">
        <is>
          <t>الإدارة المالية</t>
        </is>
      </c>
      <c r="C223" s="24" t="inlineStr">
        <is>
          <t>نسبة تسويات التدقيق</t>
        </is>
      </c>
      <c r="D223" s="69" t="inlineStr">
        <is>
          <t>يقيس نسبة تسويات التدقيق ضمن محور «الموازنة والتقارير»،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1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ربعي</t>
        </is>
      </c>
      <c r="M223" s="15" t="inlineStr">
        <is>
          <t>الإدارة المالية</t>
        </is>
      </c>
      <c r="N223" s="48" t="n"/>
    </row>
  </sheetData>
  <autoFilter ref="A2:N223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22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نظام إدارة القضايا والتحقيقات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الصيانة والأتمتة</t>
        </is>
      </c>
      <c r="B122" s="9" t="inlineStr">
        <is>
          <t>جاهزية الأصول</t>
        </is>
      </c>
      <c r="C122" s="9" t="inlineStr">
        <is>
          <t>نسبة الجاهزية الفنية للأصول والمعدات (Availability)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0.15</v>
      </c>
      <c r="I122" s="46" t="n">
        <v>0.98</v>
      </c>
      <c r="J122" s="46" t="n">
        <v>0.848</v>
      </c>
      <c r="K122" s="61" t="n">
        <v>0.8653061224489795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الصيانة والأتمتة</t>
        </is>
      </c>
      <c r="Q122" s="13" t="inlineStr">
        <is>
          <t>نظام إدارة الصيانة (CMMS) وأنظمة الأتمتة (SCADA)</t>
        </is>
      </c>
      <c r="R122" s="15" t="inlineStr">
        <is>
          <t>شهري</t>
        </is>
      </c>
      <c r="S122" s="46" t="n">
        <v>0.735</v>
      </c>
      <c r="T122" s="46" t="n">
        <v>0.791</v>
      </c>
      <c r="U122" s="46" t="n">
        <v>0.848</v>
      </c>
      <c r="V122" s="61" t="n">
        <v>0.1537</v>
      </c>
      <c r="W122" s="61" t="n">
        <v>1</v>
      </c>
      <c r="X122" s="61" t="n">
        <v>0.97</v>
      </c>
      <c r="Y122" s="75" t="inlineStr">
        <is>
          <t>دون المستهدف — فجوة 13٪، يتطلب إجراءً تصحيحياً عاجلاً.</t>
        </is>
      </c>
      <c r="Z122" s="69" t="inlineStr">
        <is>
          <t>إطلاق إجراء تصحيحي خلال 30 يوماً بإشراف مدير الصيانة والأتمتة.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الصيانة والأتمتة</t>
        </is>
      </c>
      <c r="B123" s="9" t="inlineStr">
        <is>
          <t>جاهزية الأصول</t>
        </is>
      </c>
      <c r="C123" s="9" t="inlineStr">
        <is>
          <t>نسبة تنفيذ الصيانة الوقائية في موعدها (PM)</t>
        </is>
      </c>
      <c r="D123" s="15" t="inlineStr">
        <is>
          <t>⚙️ نشاط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0.12</v>
      </c>
      <c r="I123" s="46" t="n">
        <v>0.95</v>
      </c>
      <c r="J123" s="46" t="n">
        <v>0.751</v>
      </c>
      <c r="K123" s="61" t="n">
        <v>0.7905263157894737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الصيانة والأتمتة</t>
        </is>
      </c>
      <c r="Q123" s="13" t="inlineStr">
        <is>
          <t>نظام إدارة الصيانة (CMMS) وأنظمة الأتمتة (SCADA)</t>
        </is>
      </c>
      <c r="R123" s="15" t="inlineStr">
        <is>
          <t>شهري</t>
        </is>
      </c>
      <c r="S123" s="46" t="n">
        <v>0.636</v>
      </c>
      <c r="T123" s="46" t="n">
        <v>0.694</v>
      </c>
      <c r="U123" s="46" t="n">
        <v>0.751</v>
      </c>
      <c r="V123" s="61" t="n">
        <v>0.1808</v>
      </c>
      <c r="W123" s="61" t="n">
        <v>1</v>
      </c>
      <c r="X123" s="61" t="n">
        <v>0.85</v>
      </c>
      <c r="Y123" s="75" t="inlineStr">
        <is>
          <t>دون المستهدف — فجوة 21٪، يتطلب إجراءً تصحيحياً عاجلاً.</t>
        </is>
      </c>
      <c r="Z123" s="69" t="inlineStr">
        <is>
          <t>إطلاق إجراء تصحيحي خلال 30 يوماً بإشراف مدير الصيانة والأتمتة.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الصيانة والأتمتة</t>
        </is>
      </c>
      <c r="B124" s="9" t="inlineStr">
        <is>
          <t>الاستجابة والإصلاح</t>
        </is>
      </c>
      <c r="C124" s="9" t="inlineStr">
        <is>
          <t>نسبة إغلاق بلاغات الصيانة ضمن اتفاقية الخدمة (SLA)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0.744</v>
      </c>
      <c r="K124" s="61" t="n">
        <v>0.7831578947368422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الصيانة والأتمتة</t>
        </is>
      </c>
      <c r="Q124" s="13" t="inlineStr">
        <is>
          <t>نظام إدارة الصيانة (CMMS) وأنظمة الأتمتة (SCADA)</t>
        </is>
      </c>
      <c r="R124" s="15" t="inlineStr">
        <is>
          <t>شهري</t>
        </is>
      </c>
      <c r="S124" s="46" t="n">
        <v>0.667</v>
      </c>
      <c r="T124" s="46" t="n">
        <v>0.706</v>
      </c>
      <c r="U124" s="46" t="n">
        <v>0.744</v>
      </c>
      <c r="V124" s="61" t="n">
        <v>0.1154</v>
      </c>
      <c r="W124" s="61" t="n">
        <v>1</v>
      </c>
      <c r="X124" s="61" t="n">
        <v>0.85</v>
      </c>
      <c r="Y124" s="75" t="inlineStr">
        <is>
          <t>دون المستهدف — فجوة 22٪، يتطلب إجراءً تصحيحياً عاجلاً.</t>
        </is>
      </c>
      <c r="Z124" s="69" t="inlineStr">
        <is>
          <t>إطلاق إجراء تصحيحي خلال 30 يوماً بإشراف مدير الصيانة والأتمتة.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الصيانة والأتمتة</t>
        </is>
      </c>
      <c r="B125" s="9" t="inlineStr">
        <is>
          <t>الاستجابة والإصلاح</t>
        </is>
      </c>
      <c r="C125" s="9" t="inlineStr">
        <is>
          <t>متوسط زمن الاستجابة للبلاغات الطارئة</t>
        </is>
      </c>
      <c r="D125" s="15" t="inlineStr">
        <is>
          <t>🔧 تشغيلي</t>
        </is>
      </c>
      <c r="E125" s="46" t="inlineStr">
        <is>
          <t>دقيقة</t>
        </is>
      </c>
      <c r="F125" s="46" t="inlineStr">
        <is>
          <t>↓</t>
        </is>
      </c>
      <c r="G125" s="15" t="inlineStr">
        <is>
          <t>🟠 مهم</t>
        </is>
      </c>
      <c r="H125" s="61" t="n">
        <v>0.08</v>
      </c>
      <c r="I125" s="46" t="n">
        <v>30</v>
      </c>
      <c r="J125" s="46" t="n">
        <v>34.7</v>
      </c>
      <c r="K125" s="61" t="n">
        <v>0.8645533141210374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41.548</v>
      </c>
      <c r="T125" s="46" t="n">
        <v>38.124</v>
      </c>
      <c r="U125" s="46" t="n">
        <v>34.7</v>
      </c>
      <c r="V125" s="61" t="n">
        <v>-0.1648</v>
      </c>
      <c r="W125" s="61" t="n">
        <v>1</v>
      </c>
      <c r="X125" s="61" t="n">
        <v>0.85</v>
      </c>
      <c r="Y125" s="71" t="inlineStr">
        <is>
          <t>قريب من المستهدف — فجوة 14٪،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الصيانة والأتمتة</t>
        </is>
      </c>
      <c r="B126" s="9" t="inlineStr">
        <is>
          <t>الاستجابة والإصلاح</t>
        </is>
      </c>
      <c r="C126" s="9" t="inlineStr">
        <is>
          <t>متوسط زمن إصلاح الأعطال (MTTR)</t>
        </is>
      </c>
      <c r="D126" s="15" t="inlineStr">
        <is>
          <t>🔧 تشغيلي</t>
        </is>
      </c>
      <c r="E126" s="46" t="inlineStr">
        <is>
          <t>ساعة</t>
        </is>
      </c>
      <c r="F126" s="46" t="inlineStr">
        <is>
          <t>↓</t>
        </is>
      </c>
      <c r="G126" s="15" t="inlineStr">
        <is>
          <t>🟠 مهم</t>
        </is>
      </c>
      <c r="H126" s="61" t="n">
        <v>0.08</v>
      </c>
      <c r="I126" s="46" t="n">
        <v>4</v>
      </c>
      <c r="J126" s="46" t="n">
        <v>3.603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4.101</v>
      </c>
      <c r="T126" s="46" t="n">
        <v>3.852</v>
      </c>
      <c r="U126" s="46" t="n">
        <v>3.603</v>
      </c>
      <c r="V126" s="61" t="n">
        <v>-0.1214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معدل تكرار الأعطال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↓</t>
        </is>
      </c>
      <c r="G127" s="15" t="inlineStr">
        <is>
          <t>🟠 مهم</t>
        </is>
      </c>
      <c r="H127" s="61" t="n">
        <v>0.1</v>
      </c>
      <c r="I127" s="46" t="n">
        <v>0.05</v>
      </c>
      <c r="J127" s="46" t="n">
        <v>0.045</v>
      </c>
      <c r="K127" s="61" t="n">
        <v>1</v>
      </c>
      <c r="L127" s="27" t="inlineStr">
        <is>
          <t>✅ محقق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0.054</v>
      </c>
      <c r="T127" s="46" t="n">
        <v>0.05</v>
      </c>
      <c r="U127" s="46" t="n">
        <v>0.045</v>
      </c>
      <c r="V127" s="61" t="n">
        <v>-0.1667</v>
      </c>
      <c r="W127" s="61" t="n">
        <v>1</v>
      </c>
      <c r="X127" s="61" t="n">
        <v>0.85</v>
      </c>
      <c r="Y127" s="71" t="inlineStr"/>
      <c r="Z127" s="69" t="inlineStr"/>
      <c r="AA127" s="27" t="inlineStr">
        <is>
          <t>محقق</t>
        </is>
      </c>
      <c r="AB127" s="27" t="n">
        <v>1</v>
      </c>
      <c r="AC127" s="74" t="inlineStr">
        <is>
          <t>#2EAD6B</t>
        </is>
      </c>
    </row>
    <row r="128">
      <c r="A128" s="9" t="inlineStr">
        <is>
          <t>الصيانة والأتمتة</t>
        </is>
      </c>
      <c r="B128" s="9" t="inlineStr">
        <is>
          <t>استمرارية التشغيل</t>
        </is>
      </c>
      <c r="C128" s="9" t="inlineStr">
        <is>
          <t>نسبة استمرارية تشغيل المحطات دون توقف فني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🔴 رئيسي</t>
        </is>
      </c>
      <c r="H128" s="61" t="n">
        <v>0.15</v>
      </c>
      <c r="I128" s="46" t="n">
        <v>0.99</v>
      </c>
      <c r="J128" s="46" t="n">
        <v>0.9320000000000001</v>
      </c>
      <c r="K128" s="61" t="n">
        <v>0.9414141414141415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0.822</v>
      </c>
      <c r="T128" s="46" t="n">
        <v>0.877</v>
      </c>
      <c r="U128" s="46" t="n">
        <v>0.9320000000000001</v>
      </c>
      <c r="V128" s="61" t="n">
        <v>0.1338</v>
      </c>
      <c r="W128" s="61" t="n">
        <v>1</v>
      </c>
      <c r="X128" s="61" t="n">
        <v>0.85</v>
      </c>
      <c r="Y128" s="71" t="inlineStr">
        <is>
          <t>قريب من المستهدف — فجوة 6٪،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موثوقية الأتمتة</t>
        </is>
      </c>
      <c r="C129" s="9" t="inlineStr">
        <is>
          <t>نسبة التشغيل السليم لأنظمة الأتمتة (Uptime)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0.99</v>
      </c>
      <c r="J129" s="46" t="n">
        <v>0.715</v>
      </c>
      <c r="K129" s="61" t="n">
        <v>0.7222222222222222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التعلّم والنمو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0.613</v>
      </c>
      <c r="T129" s="46" t="n">
        <v>0.664</v>
      </c>
      <c r="U129" s="46" t="n">
        <v>0.715</v>
      </c>
      <c r="V129" s="61" t="n">
        <v>0.1664</v>
      </c>
      <c r="W129" s="61" t="n">
        <v>1</v>
      </c>
      <c r="X129" s="61" t="n">
        <v>0.97</v>
      </c>
      <c r="Y129" s="75" t="inlineStr">
        <is>
          <t>دون المستهدف — فجوة 28٪، يتطلب إجراءً تصحيحياً عاجلاً.</t>
        </is>
      </c>
      <c r="Z129" s="69" t="inlineStr">
        <is>
          <t>إطلاق إجراء تصحيحي خلال 30 يوماً بإشراف مدير الصيانة والأتمتة.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الصيانة والأتمتة</t>
        </is>
      </c>
      <c r="B130" s="9" t="inlineStr">
        <is>
          <t>موثوقية الأتمتة</t>
        </is>
      </c>
      <c r="C130" s="9" t="inlineStr">
        <is>
          <t>نسبة استعادة أنظمة الأتمتة ضمن الزمن المحدد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0.08</v>
      </c>
      <c r="I130" s="46" t="n">
        <v>0.95</v>
      </c>
      <c r="J130" s="46" t="n">
        <v>0.9419999999999999</v>
      </c>
      <c r="K130" s="61" t="n">
        <v>0.991578947368421</v>
      </c>
      <c r="L130" s="27" t="inlineStr">
        <is>
          <t>🟡 قريب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التعلّم والنمو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0.792</v>
      </c>
      <c r="T130" s="46" t="n">
        <v>0.867</v>
      </c>
      <c r="U130" s="46" t="n">
        <v>0.9419999999999999</v>
      </c>
      <c r="V130" s="61" t="n">
        <v>0.1894</v>
      </c>
      <c r="W130" s="61" t="n">
        <v>1</v>
      </c>
      <c r="X130" s="61" t="n">
        <v>0.85</v>
      </c>
      <c r="Y130" s="71" t="inlineStr">
        <is>
          <t>قريب من المستهدف — فجوة 1٪، متابعة لإغلاقها.</t>
        </is>
      </c>
      <c r="Z130" s="69" t="inlineStr">
        <is>
          <t>متابعة أسبوعية حتى بلوغ المستهدف.</t>
        </is>
      </c>
      <c r="AA130" s="27" t="inlineStr">
        <is>
          <t>قريب</t>
        </is>
      </c>
      <c r="AB130" s="27" t="n">
        <v>2</v>
      </c>
      <c r="AC130" s="72" t="inlineStr">
        <is>
          <t>#F2C94C</t>
        </is>
      </c>
    </row>
    <row r="131">
      <c r="A131" s="9" t="inlineStr">
        <is>
          <t>الصيانة والأتمتة</t>
        </is>
      </c>
      <c r="B131" s="9" t="inlineStr">
        <is>
          <t>كفاءة التكاليف</t>
        </is>
      </c>
      <c r="C131" s="9" t="inlineStr">
        <is>
          <t>كفاءة تكاليف الصيانة (الالتزام بالميزانية)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0.04</v>
      </c>
      <c r="I131" s="46" t="n">
        <v>0.95</v>
      </c>
      <c r="J131" s="46" t="n">
        <v>0.6919999999999999</v>
      </c>
      <c r="K131" s="61" t="n">
        <v>0.728421052631579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0.581</v>
      </c>
      <c r="T131" s="46" t="n">
        <v>0.636</v>
      </c>
      <c r="U131" s="46" t="n">
        <v>0.6919999999999999</v>
      </c>
      <c r="V131" s="61" t="n">
        <v>0.191</v>
      </c>
      <c r="W131" s="61" t="n">
        <v>1</v>
      </c>
      <c r="X131" s="61" t="n">
        <v>0.85</v>
      </c>
      <c r="Y131" s="75" t="inlineStr">
        <is>
          <t>دون المستهدف — فجوة 27٪، يتطلب إجراءً تصحيحياً عاجلاً.</t>
        </is>
      </c>
      <c r="Z131" s="69" t="inlineStr">
        <is>
          <t>إطلاق إجراء تصحيحي خلال 30 يوماً بإشراف مدير الصيانة والأتمتة.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أداء المشاريع</t>
        </is>
      </c>
      <c r="C132" s="9" t="inlineStr">
        <is>
          <t>نسبة إنجاز محفظة مشاريع التحول الرقمي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1</v>
      </c>
      <c r="J132" s="46" t="n">
        <v>0.06</v>
      </c>
      <c r="K132" s="61" t="n">
        <v>0.06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سجلات الإدارة</t>
        </is>
      </c>
      <c r="R132" s="15" t="inlineStr">
        <is>
          <t>شهري</t>
        </is>
      </c>
      <c r="S132" s="46" t="n">
        <v>0.055</v>
      </c>
      <c r="T132" s="46" t="n">
        <v>0.057</v>
      </c>
      <c r="U132" s="46" t="n">
        <v>0.06</v>
      </c>
      <c r="V132" s="61" t="n">
        <v>0.09089999999999999</v>
      </c>
      <c r="W132" s="61" t="n">
        <v>1</v>
      </c>
      <c r="X132" s="61" t="n">
        <v>0.85</v>
      </c>
      <c r="Y132" s="75" t="inlineStr">
        <is>
          <t>دون المستهدف — فجوة 94٪،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أداء المشاريع</t>
        </is>
      </c>
      <c r="C133" s="9" t="inlineStr">
        <is>
          <t>معدل تسليم المشاريع في الموعد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0.9</v>
      </c>
      <c r="J133" s="46" t="n">
        <v>0.83</v>
      </c>
      <c r="K133" s="61" t="n">
        <v>0.9222222222222222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العمليات الداخلية</t>
        </is>
      </c>
      <c r="P133" s="15" t="inlineStr">
        <is>
          <t>مدير التقنية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0.712</v>
      </c>
      <c r="T133" s="46" t="n">
        <v>0.771</v>
      </c>
      <c r="U133" s="46" t="n">
        <v>0.83</v>
      </c>
      <c r="V133" s="61" t="n">
        <v>0.1657</v>
      </c>
      <c r="W133" s="61" t="n">
        <v>1</v>
      </c>
      <c r="X133" s="61" t="n">
        <v>0.85</v>
      </c>
      <c r="Y133" s="71" t="inlineStr">
        <is>
          <t>قريب من المستهدف — فجوة 8٪،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التقنية الرقمية</t>
        </is>
      </c>
      <c r="B134" s="9" t="inlineStr">
        <is>
          <t>أداء المشاريع</t>
        </is>
      </c>
      <c r="C134" s="9" t="inlineStr">
        <is>
          <t>نسبة الالتزام بميزانية المشاريع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0.1</v>
      </c>
      <c r="I134" s="46" t="n">
        <v>0.95</v>
      </c>
      <c r="J134" s="46" t="n">
        <v>0.753</v>
      </c>
      <c r="K134" s="61" t="n">
        <v>0.7926315789473685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التحول التقني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نظام المحاسبة / ERP (D365)</t>
        </is>
      </c>
      <c r="R134" s="15" t="inlineStr">
        <is>
          <t>شهري</t>
        </is>
      </c>
      <c r="S134" s="46" t="n">
        <v>0.647</v>
      </c>
      <c r="T134" s="46" t="n">
        <v>0.7</v>
      </c>
      <c r="U134" s="46" t="n">
        <v>0.753</v>
      </c>
      <c r="V134" s="61" t="n">
        <v>0.1638</v>
      </c>
      <c r="W134" s="61" t="n">
        <v>1</v>
      </c>
      <c r="X134" s="61" t="n">
        <v>0.85</v>
      </c>
      <c r="Y134" s="75" t="inlineStr">
        <is>
          <t>دون المستهدف — فجوة 21٪، يتطلب إجراءً تصحيحياً عاجلاً.</t>
        </is>
      </c>
      <c r="Z134" s="69" t="inlineStr">
        <is>
          <t>إطلاق إجراء تصحيحي خلال 30 يوماً بإشراف مدير التقنية.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أداء المشاريع</t>
        </is>
      </c>
      <c r="C135" s="9" t="inlineStr">
        <is>
          <t>نسبة الالتزام بنطاق العمل</t>
        </is>
      </c>
      <c r="D135" s="15" t="inlineStr">
        <is>
          <t>🎯 نتيجة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</v>
      </c>
      <c r="I135" s="46" t="n">
        <v>0.95</v>
      </c>
      <c r="J135" s="46" t="n">
        <v>0.703</v>
      </c>
      <c r="K135" s="61" t="n">
        <v>0.74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العمليات الداخلية</t>
        </is>
      </c>
      <c r="P135" s="15" t="inlineStr">
        <is>
          <t>مدير التقنية</t>
        </is>
      </c>
      <c r="Q135" s="13" t="inlineStr">
        <is>
          <t>سجلات الإدارة</t>
        </is>
      </c>
      <c r="R135" s="15" t="inlineStr">
        <is>
          <t>شهري</t>
        </is>
      </c>
      <c r="S135" s="46" t="n">
        <v>0.575</v>
      </c>
      <c r="T135" s="46" t="n">
        <v>0.639</v>
      </c>
      <c r="U135" s="46" t="n">
        <v>0.703</v>
      </c>
      <c r="V135" s="61" t="n">
        <v>0.2226</v>
      </c>
      <c r="W135" s="61" t="n">
        <v>1</v>
      </c>
      <c r="X135" s="61" t="n">
        <v>0.85</v>
      </c>
      <c r="Y135" s="75" t="inlineStr">
        <is>
          <t>دون المستهدف — فجوة 26٪،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الكفاءة التشغيلية</t>
        </is>
      </c>
      <c r="C136" s="9" t="inlineStr">
        <is>
          <t>نسبة تفعيل الأنظمة الأساسية بالمحطات</t>
        </is>
      </c>
      <c r="D136" s="15" t="inlineStr">
        <is>
          <t>🔧 تشغيلي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🏁 معلم</t>
        </is>
      </c>
      <c r="H136" s="61" t="n">
        <v>0.14</v>
      </c>
      <c r="I136" s="46" t="n">
        <v>1</v>
      </c>
      <c r="J136" s="46" t="n">
        <v>0.33</v>
      </c>
      <c r="K136" s="61" t="n">
        <v>0.33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جودة التشغيل</t>
        </is>
      </c>
      <c r="O136" s="15" t="inlineStr">
        <is>
          <t>التعلّم والنمو</t>
        </is>
      </c>
      <c r="P136" s="15" t="inlineStr">
        <is>
          <t>مدير التقنية</t>
        </is>
      </c>
      <c r="Q136" s="13" t="inlineStr">
        <is>
          <t>مكتب إدارة المشاريع (PMO)</t>
        </is>
      </c>
      <c r="R136" s="15" t="inlineStr">
        <is>
          <t>شهري</t>
        </is>
      </c>
      <c r="S136" s="46" t="n">
        <v>0.296</v>
      </c>
      <c r="T136" s="46" t="n">
        <v>0.313</v>
      </c>
      <c r="U136" s="46" t="n">
        <v>0.33</v>
      </c>
      <c r="V136" s="61" t="n">
        <v>0.1149</v>
      </c>
      <c r="W136" s="61" t="n">
        <v>1</v>
      </c>
      <c r="X136" s="61" t="n">
        <v>0.85</v>
      </c>
      <c r="Y136" s="75" t="inlineStr">
        <is>
          <t>دون المستهدف — فجوة 67٪،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الكفاءة التشغيلية</t>
        </is>
      </c>
      <c r="C137" s="9" t="inlineStr">
        <is>
          <t>متوسط جاهزية أنظمة المركز الرئيسي (Uptime)</t>
        </is>
      </c>
      <c r="D137" s="15" t="inlineStr">
        <is>
          <t>🎯 نتيجة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0.14</v>
      </c>
      <c r="I137" s="46" t="n">
        <v>0.99</v>
      </c>
      <c r="J137" s="46" t="n">
        <v>0.9</v>
      </c>
      <c r="K137" s="61" t="n">
        <v>0.9090909090909092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جودة التشغيل</t>
        </is>
      </c>
      <c r="O137" s="15" t="inlineStr">
        <is>
          <t>التعلّم والنمو</t>
        </is>
      </c>
      <c r="P137" s="15" t="inlineStr">
        <is>
          <t>مدير التقنية</t>
        </is>
      </c>
      <c r="Q137" s="13" t="inlineStr">
        <is>
          <t>مكتب إدارة المشاريع (PMO)</t>
        </is>
      </c>
      <c r="R137" s="15" t="inlineStr">
        <is>
          <t>شهري</t>
        </is>
      </c>
      <c r="S137" s="46" t="n">
        <v>0.828</v>
      </c>
      <c r="T137" s="46" t="n">
        <v>0.864</v>
      </c>
      <c r="U137" s="46" t="n">
        <v>0.9</v>
      </c>
      <c r="V137" s="61" t="n">
        <v>0.08699999999999999</v>
      </c>
      <c r="W137" s="61" t="n">
        <v>1</v>
      </c>
      <c r="X137" s="61" t="n">
        <v>0.97</v>
      </c>
      <c r="Y137" s="75" t="inlineStr">
        <is>
          <t>دون المستهدف — فجوة 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الكفاءة التشغيلية</t>
        </is>
      </c>
      <c r="C138" s="9" t="inlineStr">
        <is>
          <t>نسبة الامتثال للأمن السيبراني</t>
        </is>
      </c>
      <c r="D138" s="15" t="inlineStr">
        <is>
          <t>🎯 نتيجة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1</v>
      </c>
      <c r="J138" s="46" t="n">
        <v>0.3</v>
      </c>
      <c r="K138" s="61" t="n">
        <v>0.3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جودة التشغيل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مكتب إدارة المشاريع (PMO)</t>
        </is>
      </c>
      <c r="R138" s="15" t="inlineStr">
        <is>
          <t>شهري</t>
        </is>
      </c>
      <c r="S138" s="46" t="n">
        <v>0.261</v>
      </c>
      <c r="T138" s="46" t="n">
        <v>0.28</v>
      </c>
      <c r="U138" s="46" t="n">
        <v>0.3</v>
      </c>
      <c r="V138" s="61" t="n">
        <v>0.1494</v>
      </c>
      <c r="W138" s="61" t="n">
        <v>1</v>
      </c>
      <c r="X138" s="61" t="n">
        <v>0.97</v>
      </c>
      <c r="Y138" s="75" t="inlineStr">
        <is>
          <t>دون المستهدف — فجوة 70٪، يتطلب إجراءً تصحيحياً عاجلاً.</t>
        </is>
      </c>
      <c r="Z138" s="69" t="inlineStr">
        <is>
          <t>إطلاق إجراء تصحيحي خلال 30 يوماً بإشراف مدير التقنية.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التقنية الرقمية</t>
        </is>
      </c>
      <c r="B139" s="9" t="inlineStr">
        <is>
          <t>الكفاءة التشغيلية</t>
        </is>
      </c>
      <c r="C139" s="9" t="inlineStr">
        <is>
          <t>متوسط زمن استجابة الدعم الفني</t>
        </is>
      </c>
      <c r="D139" s="15" t="inlineStr">
        <is>
          <t>🔧 تشغيلي</t>
        </is>
      </c>
      <c r="E139" s="46" t="inlineStr">
        <is>
          <t>ساعة</t>
        </is>
      </c>
      <c r="F139" s="46" t="inlineStr">
        <is>
          <t>↓</t>
        </is>
      </c>
      <c r="G139" s="15" t="inlineStr">
        <is>
          <t>🟠 مهم</t>
        </is>
      </c>
      <c r="H139" s="61" t="n">
        <v>0.09</v>
      </c>
      <c r="I139" s="46" t="n">
        <v>1</v>
      </c>
      <c r="J139" s="46" t="n">
        <v>0.8</v>
      </c>
      <c r="K139" s="61" t="n">
        <v>1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سجلات الإدارة</t>
        </is>
      </c>
      <c r="R139" s="15" t="inlineStr">
        <is>
          <t>شهري</t>
        </is>
      </c>
      <c r="S139" s="46" t="n">
        <v>0.948</v>
      </c>
      <c r="T139" s="46" t="n">
        <v>0.874</v>
      </c>
      <c r="U139" s="46" t="n">
        <v>0.8</v>
      </c>
      <c r="V139" s="61" t="n">
        <v>-0.1561</v>
      </c>
      <c r="W139" s="61" t="n">
        <v>1</v>
      </c>
      <c r="X139" s="61" t="n">
        <v>0.85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التقنية الرقمية</t>
        </is>
      </c>
      <c r="B140" s="9" t="inlineStr">
        <is>
          <t>الكفاءة التشغيلية</t>
        </is>
      </c>
      <c r="C140" s="9" t="inlineStr">
        <is>
          <t>نسبة التكامل الرقمي (ERP/واثق/الولاء)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0.09</v>
      </c>
      <c r="I140" s="46" t="n">
        <v>1</v>
      </c>
      <c r="J140" s="46" t="n">
        <v>0.2</v>
      </c>
      <c r="K140" s="61" t="n">
        <v>0.2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التسويق الرقمي / تانكي</t>
        </is>
      </c>
      <c r="R140" s="15" t="inlineStr">
        <is>
          <t>شهري</t>
        </is>
      </c>
      <c r="S140" s="46" t="n">
        <v>0.173</v>
      </c>
      <c r="T140" s="46" t="n">
        <v>0.186</v>
      </c>
      <c r="U140" s="46" t="n">
        <v>0.2</v>
      </c>
      <c r="V140" s="61" t="n">
        <v>0.1561</v>
      </c>
      <c r="W140" s="61" t="n">
        <v>1</v>
      </c>
      <c r="X140" s="61" t="n">
        <v>0.85</v>
      </c>
      <c r="Y140" s="75" t="inlineStr">
        <is>
          <t>دون المستهدف — فجوة 80٪،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الموارد البشرية</t>
        </is>
      </c>
      <c r="B141" s="9" t="inlineStr">
        <is>
          <t>التوظيف والتوطين</t>
        </is>
      </c>
      <c r="C141" s="9" t="inlineStr">
        <is>
          <t>نسبة السعودة / التوطين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0.06</v>
      </c>
      <c r="I141" s="46" t="n">
        <v>0.3</v>
      </c>
      <c r="J141" s="46" t="n">
        <v>0.249</v>
      </c>
      <c r="K141" s="61" t="n">
        <v>0.8300000000000001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التعلّم والنمو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>
        <v>0.205</v>
      </c>
      <c r="T141" s="46" t="n">
        <v>0.227</v>
      </c>
      <c r="U141" s="46" t="n">
        <v>0.249</v>
      </c>
      <c r="V141" s="61" t="n">
        <v>0.2146</v>
      </c>
      <c r="W141" s="61" t="n">
        <v>1</v>
      </c>
      <c r="X141" s="61" t="n">
        <v>0.85</v>
      </c>
      <c r="Y141" s="75" t="inlineStr">
        <is>
          <t>دون المستهدف — فجوة 17٪، يتطلب إجراءً تصحيحياً عاجلاً.</t>
        </is>
      </c>
      <c r="Z141" s="69" t="inlineStr">
        <is>
          <t>إطلاق إجراء تصحيحي خلال 30 يوماً بإشراف مدير الموارد البشرية.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الموارد البشرية</t>
        </is>
      </c>
      <c r="B142" s="9" t="inlineStr">
        <is>
          <t>التوظيف والتوطين</t>
        </is>
      </c>
      <c r="C142" s="9" t="inlineStr">
        <is>
          <t>نسبة شغل الشواغر خلال 30 يوماً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0.06</v>
      </c>
      <c r="I142" s="46" t="n">
        <v>0.85</v>
      </c>
      <c r="J142" s="46" t="n">
        <v>0.823</v>
      </c>
      <c r="K142" s="61" t="n">
        <v>0.9682352941176471</v>
      </c>
      <c r="L142" s="27" t="inlineStr">
        <is>
          <t>🟡 قريب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العمليات الداخلية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0.73</v>
      </c>
      <c r="T142" s="46" t="n">
        <v>0.776</v>
      </c>
      <c r="U142" s="46" t="n">
        <v>0.823</v>
      </c>
      <c r="V142" s="61" t="n">
        <v>0.1274</v>
      </c>
      <c r="W142" s="61" t="n">
        <v>1</v>
      </c>
      <c r="X142" s="61" t="n">
        <v>0.85</v>
      </c>
      <c r="Y142" s="71" t="inlineStr">
        <is>
          <t>قريب من المستهدف — فجوة 3٪، متابعة لإغلاقها.</t>
        </is>
      </c>
      <c r="Z142" s="69" t="inlineStr">
        <is>
          <t>متابعة أسبوعية حتى بلوغ المستهدف.</t>
        </is>
      </c>
      <c r="AA142" s="27" t="inlineStr">
        <is>
          <t>قريب</t>
        </is>
      </c>
      <c r="AB142" s="27" t="n">
        <v>2</v>
      </c>
      <c r="AC142" s="72" t="inlineStr">
        <is>
          <t>#F2C94C</t>
        </is>
      </c>
    </row>
    <row r="143">
      <c r="A143" s="9" t="inlineStr">
        <is>
          <t>الموارد البشرية</t>
        </is>
      </c>
      <c r="B143" s="9" t="inlineStr">
        <is>
          <t>التوظيف والتوطين</t>
        </is>
      </c>
      <c r="C143" s="9" t="inlineStr">
        <is>
          <t>جودة التوظيف — نسبة اجتياز الموظفين الجدد فترة التجربة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0.06</v>
      </c>
      <c r="I143" s="46" t="n">
        <v>0.9</v>
      </c>
      <c r="J143" s="46" t="n">
        <v>0.854</v>
      </c>
      <c r="K143" s="61" t="n">
        <v>0.9488888888888889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التعلّم والنمو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0.78</v>
      </c>
      <c r="T143" s="46" t="n">
        <v>0.8169999999999999</v>
      </c>
      <c r="U143" s="46" t="n">
        <v>0.854</v>
      </c>
      <c r="V143" s="61" t="n">
        <v>0.0949</v>
      </c>
      <c r="W143" s="61" t="n">
        <v>1</v>
      </c>
      <c r="X143" s="61" t="n">
        <v>0.85</v>
      </c>
      <c r="Y143" s="71" t="inlineStr">
        <is>
          <t>قريب من المستهدف — فجوة 5٪،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الاستبقاء والاستقرار</t>
        </is>
      </c>
      <c r="C144" s="9" t="inlineStr">
        <is>
          <t>معدل استبقاء الموظفين (Retention)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0.08</v>
      </c>
      <c r="I144" s="46" t="n">
        <v>0.9</v>
      </c>
      <c r="J144" s="46" t="n">
        <v>0.795</v>
      </c>
      <c r="K144" s="61" t="n">
        <v>0.8833333333333333</v>
      </c>
      <c r="L144" s="27" t="inlineStr">
        <is>
          <t>🟡 قريب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نظام الموارد البشرية (HRMS)</t>
        </is>
      </c>
      <c r="R144" s="15" t="inlineStr">
        <is>
          <t>شهري</t>
        </is>
      </c>
      <c r="S144" s="46" t="n">
        <v>0.658</v>
      </c>
      <c r="T144" s="46" t="n">
        <v>0.727</v>
      </c>
      <c r="U144" s="46" t="n">
        <v>0.795</v>
      </c>
      <c r="V144" s="61" t="n">
        <v>0.2082</v>
      </c>
      <c r="W144" s="61" t="n">
        <v>1</v>
      </c>
      <c r="X144" s="61" t="n">
        <v>0.85</v>
      </c>
      <c r="Y144" s="71" t="inlineStr">
        <is>
          <t>قريب من المستهدف — فجوة 12٪، متابعة لإغلاقها.</t>
        </is>
      </c>
      <c r="Z144" s="69" t="inlineStr">
        <is>
          <t>متابعة أسبوعية حتى بلوغ المستهدف.</t>
        </is>
      </c>
      <c r="AA144" s="27" t="inlineStr">
        <is>
          <t>قريب</t>
        </is>
      </c>
      <c r="AB144" s="27" t="n">
        <v>2</v>
      </c>
      <c r="AC144" s="72" t="inlineStr">
        <is>
          <t>#F2C94C</t>
        </is>
      </c>
    </row>
    <row r="145">
      <c r="A145" s="9" t="inlineStr">
        <is>
          <t>الموارد البشرية</t>
        </is>
      </c>
      <c r="B145" s="9" t="inlineStr">
        <is>
          <t>الاستبقاء والاستقرار</t>
        </is>
      </c>
      <c r="C145" s="9" t="inlineStr">
        <is>
          <t>معدل دوران الموظفين (Turnover)</t>
        </is>
      </c>
      <c r="D145" s="15" t="inlineStr">
        <is>
          <t>🔧 تشغيلي</t>
        </is>
      </c>
      <c r="E145" s="46" t="inlineStr">
        <is>
          <t>%</t>
        </is>
      </c>
      <c r="F145" s="46" t="inlineStr">
        <is>
          <t>↓</t>
        </is>
      </c>
      <c r="G145" s="15" t="inlineStr">
        <is>
          <t>🟠 مهم</t>
        </is>
      </c>
      <c r="H145" s="61" t="n">
        <v>0.06</v>
      </c>
      <c r="I145" s="46" t="n">
        <v>0.1</v>
      </c>
      <c r="J145" s="46" t="n">
        <v>0.111</v>
      </c>
      <c r="K145" s="61" t="n">
        <v>0.9009009009009009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التعلّم والنمو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0.128</v>
      </c>
      <c r="T145" s="46" t="n">
        <v>0.119</v>
      </c>
      <c r="U145" s="46" t="n">
        <v>0.111</v>
      </c>
      <c r="V145" s="61" t="n">
        <v>-0.1328</v>
      </c>
      <c r="W145" s="61" t="n">
        <v>1</v>
      </c>
      <c r="X145" s="61" t="n">
        <v>0.85</v>
      </c>
      <c r="Y145" s="71" t="inlineStr">
        <is>
          <t>قريب من المستهدف — فجوة 10٪،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الاستبقاء والاستقرار</t>
        </is>
      </c>
      <c r="C146" s="9" t="inlineStr">
        <is>
          <t>معدل الغياب (Absenteeism)</t>
        </is>
      </c>
      <c r="D146" s="15" t="inlineStr">
        <is>
          <t>🔧 تشغيلي</t>
        </is>
      </c>
      <c r="E146" s="46" t="inlineStr">
        <is>
          <t>%</t>
        </is>
      </c>
      <c r="F146" s="46" t="inlineStr">
        <is>
          <t>↓</t>
        </is>
      </c>
      <c r="G146" s="15" t="inlineStr">
        <is>
          <t>🟠 مهم</t>
        </is>
      </c>
      <c r="H146" s="61" t="n">
        <v>0.06</v>
      </c>
      <c r="I146" s="46" t="n">
        <v>0.03</v>
      </c>
      <c r="J146" s="46" t="n">
        <v>0.028</v>
      </c>
      <c r="K146" s="61" t="n">
        <v>1</v>
      </c>
      <c r="L146" s="27" t="inlineStr">
        <is>
          <t>✅ محقق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0.033</v>
      </c>
      <c r="T146" s="46" t="n">
        <v>0.03</v>
      </c>
      <c r="U146" s="46" t="n">
        <v>0.028</v>
      </c>
      <c r="V146" s="61" t="n">
        <v>-0.1515</v>
      </c>
      <c r="W146" s="61" t="n">
        <v>1</v>
      </c>
      <c r="X146" s="61" t="n">
        <v>0.85</v>
      </c>
      <c r="Y146" s="71" t="inlineStr"/>
      <c r="Z146" s="69" t="inlineStr"/>
      <c r="AA146" s="27" t="inlineStr">
        <is>
          <t>محقق</t>
        </is>
      </c>
      <c r="AB146" s="27" t="n">
        <v>1</v>
      </c>
      <c r="AC146" s="74" t="inlineStr">
        <is>
          <t>#2EAD6B</t>
        </is>
      </c>
    </row>
    <row r="147">
      <c r="A147" s="9" t="inlineStr">
        <is>
          <t>الموارد البشرية</t>
        </is>
      </c>
      <c r="B147" s="9" t="inlineStr">
        <is>
          <t>التدريب والتطوير</t>
        </is>
      </c>
      <c r="C147" s="9" t="inlineStr">
        <is>
          <t>متوسط ساعات التدريب لكل موظف</t>
        </is>
      </c>
      <c r="D147" s="15" t="inlineStr">
        <is>
          <t>⚙️ نشاط</t>
        </is>
      </c>
      <c r="E147" s="46" t="inlineStr">
        <is>
          <t>ساعة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0.06</v>
      </c>
      <c r="I147" s="46" t="n">
        <v>40</v>
      </c>
      <c r="J147" s="46" t="n">
        <v>33.6</v>
      </c>
      <c r="K147" s="61" t="n">
        <v>0.8400000000000001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27.864</v>
      </c>
      <c r="T147" s="46" t="n">
        <v>30.732</v>
      </c>
      <c r="U147" s="46" t="n">
        <v>67.2</v>
      </c>
      <c r="V147" s="61" t="n">
        <v>0.2059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التدريب والتطوير</t>
        </is>
      </c>
      <c r="C148" s="9" t="inlineStr">
        <is>
          <t>نسبة الموظفين المشمولين بخطة تطوير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0.06</v>
      </c>
      <c r="I148" s="46" t="n">
        <v>0.8</v>
      </c>
      <c r="J148" s="46" t="n">
        <v>0.644</v>
      </c>
      <c r="K148" s="61" t="n">
        <v>0.8049999999999999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0.573</v>
      </c>
      <c r="T148" s="46" t="n">
        <v>0.609</v>
      </c>
      <c r="U148" s="46" t="n">
        <v>0.644</v>
      </c>
      <c r="V148" s="61" t="n">
        <v>0.1239</v>
      </c>
      <c r="W148" s="61" t="n">
        <v>1</v>
      </c>
      <c r="X148" s="61" t="n">
        <v>0.85</v>
      </c>
      <c r="Y148" s="75" t="inlineStr">
        <is>
          <t>دون المستهدف — فجوة 20٪، يتطلب إجراءً تصحيحياً عاجلاً.</t>
        </is>
      </c>
      <c r="Z148" s="69" t="inlineStr">
        <is>
          <t>إطلاق إجراء تصحيحي خلال 30 يوماً بإشراف مدير الموارد البشرية.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الموارد البشرية</t>
        </is>
      </c>
      <c r="B149" s="9" t="inlineStr">
        <is>
          <t>التدريب والتطوير</t>
        </is>
      </c>
      <c r="C149" s="9" t="inlineStr">
        <is>
          <t>فاعلية التدريب — نسبة تطبيق أثر التدريب في العمل</t>
        </is>
      </c>
      <c r="D149" s="15" t="inlineStr">
        <is>
          <t>⚙️ نشاط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0.06</v>
      </c>
      <c r="I149" s="46" t="n">
        <v>0.8</v>
      </c>
      <c r="J149" s="46" t="n">
        <v>0.8159999999999999</v>
      </c>
      <c r="K149" s="61" t="n">
        <v>1</v>
      </c>
      <c r="L149" s="27" t="inlineStr">
        <is>
          <t>✅ محقق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نظام الموارد البشرية (HRMS)</t>
        </is>
      </c>
      <c r="R149" s="15" t="inlineStr">
        <is>
          <t>شهري</t>
        </is>
      </c>
      <c r="S149" s="46" t="n">
        <v>0.662</v>
      </c>
      <c r="T149" s="46" t="n">
        <v>0.739</v>
      </c>
      <c r="U149" s="46" t="n">
        <v>0.8159999999999999</v>
      </c>
      <c r="V149" s="61" t="n">
        <v>0.2326</v>
      </c>
      <c r="W149" s="61" t="n">
        <v>1</v>
      </c>
      <c r="X149" s="61" t="n">
        <v>0.85</v>
      </c>
      <c r="Y149" s="71" t="inlineStr"/>
      <c r="Z149" s="69" t="inlineStr"/>
      <c r="AA149" s="27" t="inlineStr">
        <is>
          <t>محقق</t>
        </is>
      </c>
      <c r="AB149" s="27" t="n">
        <v>1</v>
      </c>
      <c r="AC149" s="74" t="inlineStr">
        <is>
          <t>#2EAD6B</t>
        </is>
      </c>
    </row>
    <row r="150">
      <c r="A150" s="9" t="inlineStr">
        <is>
          <t>الموارد البشرية</t>
        </is>
      </c>
      <c r="B150" s="9" t="inlineStr">
        <is>
          <t>التدريب والتطوير</t>
        </is>
      </c>
      <c r="C150" s="9" t="inlineStr">
        <is>
          <t>نسبة الترقيات الداخلية لشغل الشواغر القيادية</t>
        </is>
      </c>
      <c r="D150" s="15" t="inlineStr">
        <is>
          <t>🔧 تشغيلي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61" t="n">
        <v>0.06</v>
      </c>
      <c r="I150" s="46" t="n">
        <v>0.6</v>
      </c>
      <c r="J150" s="46" t="n">
        <v>0.6</v>
      </c>
      <c r="K150" s="61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العمليات الداخلية</t>
        </is>
      </c>
      <c r="P150" s="15" t="inlineStr">
        <is>
          <t>مدير الموارد البشرية</t>
        </is>
      </c>
      <c r="Q150" s="13" t="inlineStr">
        <is>
          <t>نظام الموارد البشرية (HRMS)</t>
        </is>
      </c>
      <c r="R150" s="15" t="inlineStr">
        <is>
          <t>شهري</t>
        </is>
      </c>
      <c r="S150" s="46" t="n">
        <v>0.521</v>
      </c>
      <c r="T150" s="46" t="n">
        <v>0.5600000000000001</v>
      </c>
      <c r="U150" s="46" t="n">
        <v>0.6</v>
      </c>
      <c r="V150" s="61" t="n">
        <v>0.1516</v>
      </c>
      <c r="W150" s="61" t="n">
        <v>1</v>
      </c>
      <c r="X150" s="61" t="n">
        <v>0.85</v>
      </c>
      <c r="Y150" s="71" t="inlineStr"/>
      <c r="Z150" s="69" t="inlineStr"/>
      <c r="AA150" s="27" t="inlineStr">
        <is>
          <t>محقق</t>
        </is>
      </c>
      <c r="AB150" s="27" t="n">
        <v>1</v>
      </c>
      <c r="AC150" s="74" t="inlineStr">
        <is>
          <t>#2EAD6B</t>
        </is>
      </c>
    </row>
    <row r="151">
      <c r="A151" s="9" t="inlineStr">
        <is>
          <t>الموارد البشرية</t>
        </is>
      </c>
      <c r="B151" s="9" t="inlineStr">
        <is>
          <t>الرضا والثقافة</t>
        </is>
      </c>
      <c r="C151" s="9" t="inlineStr">
        <is>
          <t>مؤشر رضا الموظفين (eNPS)</t>
        </is>
      </c>
      <c r="D151" s="15" t="inlineStr">
        <is>
          <t>🎯 نتيجة</t>
        </is>
      </c>
      <c r="E151" s="46" t="inlineStr">
        <is>
          <t>نقطة</t>
        </is>
      </c>
      <c r="F151" s="46" t="inlineStr">
        <is>
          <t>↑</t>
        </is>
      </c>
      <c r="G151" s="15" t="inlineStr">
        <is>
          <t>🔴 رئيسي</t>
        </is>
      </c>
      <c r="H151" s="61" t="n">
        <v>0.08</v>
      </c>
      <c r="I151" s="46" t="n">
        <v>30</v>
      </c>
      <c r="J151" s="46" t="n">
        <v>27.5</v>
      </c>
      <c r="K151" s="61" t="n">
        <v>0.9166666666666666</v>
      </c>
      <c r="L151" s="27" t="inlineStr">
        <is>
          <t>✅ محقق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التعلّم والنمو</t>
        </is>
      </c>
      <c r="P151" s="15" t="inlineStr">
        <is>
          <t>مدير الموارد البشرية</t>
        </is>
      </c>
      <c r="Q151" s="13" t="inlineStr">
        <is>
          <t>استبيان دوري</t>
        </is>
      </c>
      <c r="R151" s="15" t="inlineStr">
        <is>
          <t>ربعي</t>
        </is>
      </c>
      <c r="S151" s="46" t="n">
        <v>23.627</v>
      </c>
      <c r="T151" s="46" t="n">
        <v>25.563</v>
      </c>
      <c r="U151" s="46" t="n">
        <v>27.5</v>
      </c>
      <c r="V151" s="61" t="n">
        <v>0.1639</v>
      </c>
      <c r="W151" s="61" t="n">
        <v>0.9</v>
      </c>
      <c r="X151" s="61" t="n">
        <v>0.75</v>
      </c>
      <c r="Y151" s="71" t="inlineStr"/>
      <c r="Z151" s="69" t="inlineStr"/>
      <c r="AA151" s="27" t="inlineStr">
        <is>
          <t>محقق</t>
        </is>
      </c>
      <c r="AB151" s="27" t="n">
        <v>1</v>
      </c>
      <c r="AC151" s="74" t="inlineStr">
        <is>
          <t>#2EAD6B</t>
        </is>
      </c>
    </row>
    <row r="152">
      <c r="A152" s="9" t="inlineStr">
        <is>
          <t>الموارد البشرية</t>
        </is>
      </c>
      <c r="B152" s="9" t="inlineStr">
        <is>
          <t>الرواتب والتعويضات</t>
        </is>
      </c>
      <c r="C152" s="9" t="inlineStr">
        <is>
          <t>دقة الرواتب — نسبة الرواتب المصروفة صحيحةً وفي موعدها</t>
        </is>
      </c>
      <c r="D152" s="15" t="inlineStr">
        <is>
          <t>🎯 نتيجة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🔴 رئيسي</t>
        </is>
      </c>
      <c r="H152" s="61" t="n">
        <v>0.08</v>
      </c>
      <c r="I152" s="46" t="n">
        <v>0.995</v>
      </c>
      <c r="J152" s="46" t="n">
        <v>1.041</v>
      </c>
      <c r="K152" s="61" t="n">
        <v>1</v>
      </c>
      <c r="L152" s="27" t="inlineStr">
        <is>
          <t>✅ محقق</t>
        </is>
      </c>
      <c r="M152" s="27" t="inlineStr">
        <is>
          <t>الاستدامة</t>
        </is>
      </c>
      <c r="N152" s="13" t="inlineStr">
        <is>
          <t>الاستثمار في الموظفين</t>
        </is>
      </c>
      <c r="O152" s="15" t="inlineStr">
        <is>
          <t>العمليات الداخلية</t>
        </is>
      </c>
      <c r="P152" s="15" t="inlineStr">
        <is>
          <t>مدير الموارد البشرية</t>
        </is>
      </c>
      <c r="Q152" s="13" t="inlineStr">
        <is>
          <t>نظام الرواتب (Payroll) / حماية الأجور</t>
        </is>
      </c>
      <c r="R152" s="15" t="inlineStr">
        <is>
          <t>شهري</t>
        </is>
      </c>
      <c r="S152" s="46" t="n">
        <v>0.883</v>
      </c>
      <c r="T152" s="46" t="n">
        <v>0.962</v>
      </c>
      <c r="U152" s="46" t="n">
        <v>1.041</v>
      </c>
      <c r="V152" s="61" t="n">
        <v>0.1789</v>
      </c>
      <c r="W152" s="61" t="n">
        <v>1</v>
      </c>
      <c r="X152" s="61" t="n">
        <v>0.85</v>
      </c>
      <c r="Y152" s="71" t="inlineStr"/>
      <c r="Z152" s="69" t="inlineStr"/>
      <c r="AA152" s="27" t="inlineStr">
        <is>
          <t>محقق</t>
        </is>
      </c>
      <c r="AB152" s="27" t="n">
        <v>1</v>
      </c>
      <c r="AC152" s="74" t="inlineStr">
        <is>
          <t>#2EAD6B</t>
        </is>
      </c>
    </row>
    <row r="153">
      <c r="A153" s="9" t="inlineStr">
        <is>
          <t>الموارد البشرية</t>
        </is>
      </c>
      <c r="B153" s="9" t="inlineStr">
        <is>
          <t>الرواتب والتعويضات</t>
        </is>
      </c>
      <c r="C153" s="9" t="inlineStr">
        <is>
          <t>نسبة الالتزام بنظام حماية الأجور (WPS)</t>
        </is>
      </c>
      <c r="D153" s="15" t="inlineStr">
        <is>
          <t>🎯 نتيجة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61" t="n">
        <v>0.08</v>
      </c>
      <c r="I153" s="46" t="n">
        <v>1</v>
      </c>
      <c r="J153" s="46" t="n">
        <v>0.77</v>
      </c>
      <c r="K153" s="61" t="n">
        <v>0.77</v>
      </c>
      <c r="L153" s="27" t="inlineStr">
        <is>
          <t>🔴 تحت الهدف</t>
        </is>
      </c>
      <c r="M153" s="27" t="inlineStr">
        <is>
          <t>الاستدامة</t>
        </is>
      </c>
      <c r="N153" s="13" t="inlineStr">
        <is>
          <t>الاستثمار في الموظفين</t>
        </is>
      </c>
      <c r="O153" s="15" t="inlineStr">
        <is>
          <t>العمليات الداخلية</t>
        </is>
      </c>
      <c r="P153" s="15" t="inlineStr">
        <is>
          <t>مدير الموارد البشرية</t>
        </is>
      </c>
      <c r="Q153" s="13" t="inlineStr">
        <is>
          <t>نظام الرواتب (Payroll) / حماية الأجور</t>
        </is>
      </c>
      <c r="R153" s="15" t="inlineStr">
        <is>
          <t>شهري</t>
        </is>
      </c>
      <c r="S153" s="46" t="n">
        <v>0.644</v>
      </c>
      <c r="T153" s="46" t="n">
        <v>0.707</v>
      </c>
      <c r="U153" s="46" t="n">
        <v>0.77</v>
      </c>
      <c r="V153" s="61" t="n">
        <v>0.1957</v>
      </c>
      <c r="W153" s="61" t="n">
        <v>1</v>
      </c>
      <c r="X153" s="61" t="n">
        <v>0.85</v>
      </c>
      <c r="Y153" s="75" t="inlineStr">
        <is>
          <t>دون المستهدف — فجوة 23٪، يتطلب إجراءً تصحيحياً عاجلاً.</t>
        </is>
      </c>
      <c r="Z153" s="69" t="inlineStr">
        <is>
          <t>إطلاق إجراء تصحيحي خلال 30 يوماً بإشراف مدير الموارد البشرية.</t>
        </is>
      </c>
      <c r="AA153" s="27" t="inlineStr">
        <is>
          <t>تحت الهدف</t>
        </is>
      </c>
      <c r="AB153" s="27" t="n">
        <v>3</v>
      </c>
      <c r="AC153" s="76" t="inlineStr">
        <is>
          <t>#EB5757</t>
        </is>
      </c>
    </row>
    <row r="154">
      <c r="A154" s="9" t="inlineStr">
        <is>
          <t>الموارد البشرية</t>
        </is>
      </c>
      <c r="B154" s="9" t="inlineStr">
        <is>
          <t>التمكين والأداء</t>
        </is>
      </c>
      <c r="C154" s="9" t="inlineStr">
        <is>
          <t>نسبة إنجاز تقييمات الأداء في موعدها</t>
        </is>
      </c>
      <c r="D154" s="15" t="inlineStr">
        <is>
          <t>🎯 نتيجة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0.06</v>
      </c>
      <c r="I154" s="46" t="n">
        <v>1</v>
      </c>
      <c r="J154" s="46" t="n">
        <v>0.8080000000000001</v>
      </c>
      <c r="K154" s="61" t="n">
        <v>0.8080000000000001</v>
      </c>
      <c r="L154" s="27" t="inlineStr">
        <is>
          <t>🔴 تحت الهدف</t>
        </is>
      </c>
      <c r="M154" s="27" t="inlineStr">
        <is>
          <t>الاستدامة</t>
        </is>
      </c>
      <c r="N154" s="13" t="inlineStr">
        <is>
          <t>الاستثمار في الموظفين</t>
        </is>
      </c>
      <c r="O154" s="15" t="inlineStr">
        <is>
          <t>العمليات الداخلية</t>
        </is>
      </c>
      <c r="P154" s="15" t="inlineStr">
        <is>
          <t>مدير الموارد البشرية</t>
        </is>
      </c>
      <c r="Q154" s="13" t="inlineStr">
        <is>
          <t>نظام الموارد البشرية (HRMS)</t>
        </is>
      </c>
      <c r="R154" s="15" t="inlineStr">
        <is>
          <t>شهري</t>
        </is>
      </c>
      <c r="S154" s="46" t="n">
        <v>0.651</v>
      </c>
      <c r="T154" s="46" t="n">
        <v>0.73</v>
      </c>
      <c r="U154" s="46" t="n">
        <v>0.8080000000000001</v>
      </c>
      <c r="V154" s="61" t="n">
        <v>0.2412</v>
      </c>
      <c r="W154" s="61" t="n">
        <v>1</v>
      </c>
      <c r="X154" s="61" t="n">
        <v>0.85</v>
      </c>
      <c r="Y154" s="75" t="inlineStr">
        <is>
          <t>دون المستهدف — فجوة 19٪، يتطلب إجراءً تصحيحياً عاجلاً.</t>
        </is>
      </c>
      <c r="Z154" s="69" t="inlineStr">
        <is>
          <t>إطلاق إجراء تصحيحي خلال 30 يوماً بإشراف مدير الموارد البشرية.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الموارد البشرية</t>
        </is>
      </c>
      <c r="B155" s="9" t="inlineStr">
        <is>
          <t>التمكين والأداء</t>
        </is>
      </c>
      <c r="C155" s="9" t="inlineStr">
        <is>
          <t>نسبة أتمتة عمليات الموارد البشرية</t>
        </is>
      </c>
      <c r="D155" s="15" t="inlineStr">
        <is>
          <t>🔧 تشغيلي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🏁 معلم</t>
        </is>
      </c>
      <c r="H155" s="61" t="n">
        <v>0.05</v>
      </c>
      <c r="I155" s="46" t="n">
        <v>0.9</v>
      </c>
      <c r="J155" s="46" t="n">
        <v>0.756</v>
      </c>
      <c r="K155" s="61" t="n">
        <v>0.84</v>
      </c>
      <c r="L155" s="27" t="inlineStr">
        <is>
          <t>🔴 تحت الهدف</t>
        </is>
      </c>
      <c r="M155" s="27" t="inlineStr">
        <is>
          <t>الابتكار</t>
        </is>
      </c>
      <c r="N155" s="13" t="inlineStr">
        <is>
          <t>التحول التقني</t>
        </is>
      </c>
      <c r="O155" s="15" t="inlineStr">
        <is>
          <t>التعلّم والنمو</t>
        </is>
      </c>
      <c r="P155" s="15" t="inlineStr">
        <is>
          <t>مدير الموارد البشرية</t>
        </is>
      </c>
      <c r="Q155" s="13" t="inlineStr">
        <is>
          <t>مكتب إدارة المشاريع (PMO)</t>
        </is>
      </c>
      <c r="R155" s="15" t="inlineStr">
        <is>
          <t>شهري</t>
        </is>
      </c>
      <c r="S155" s="46" t="n">
        <v>0.653</v>
      </c>
      <c r="T155" s="46" t="n">
        <v>0.705</v>
      </c>
      <c r="U155" s="46" t="n">
        <v>0.756</v>
      </c>
      <c r="V155" s="61" t="n">
        <v>0.1577</v>
      </c>
      <c r="W155" s="61" t="n">
        <v>1</v>
      </c>
      <c r="X155" s="61" t="n">
        <v>0.85</v>
      </c>
      <c r="Y155" s="75" t="inlineStr">
        <is>
          <t>دون المستهدف — فجوة 16٪، يتطلب إجراءً تصحيحياً عاجلاً.</t>
        </is>
      </c>
      <c r="Z155" s="69" t="inlineStr">
        <is>
          <t>إطلاق إجراء تصحيحي خلال 30 يوماً بإشراف مدير الموارد البشرية.</t>
        </is>
      </c>
      <c r="AA155" s="27" t="inlineStr">
        <is>
          <t>تحت الهدف</t>
        </is>
      </c>
      <c r="AB155" s="27" t="n">
        <v>3</v>
      </c>
      <c r="AC155" s="76" t="inlineStr">
        <is>
          <t>#EB5757</t>
        </is>
      </c>
    </row>
    <row r="156">
      <c r="A156" s="9" t="inlineStr">
        <is>
          <t>الموارد البشرية</t>
        </is>
      </c>
      <c r="B156" s="9" t="inlineStr">
        <is>
          <t>التمكين والأداء</t>
        </is>
      </c>
      <c r="C156" s="9" t="inlineStr">
        <is>
          <t>نسبة توثيق وتحديث أنظمة وسياسات العمل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🟡 متابعة</t>
        </is>
      </c>
      <c r="H156" s="61" t="n">
        <v>0.03</v>
      </c>
      <c r="I156" s="46" t="n">
        <v>0.85</v>
      </c>
      <c r="J156" s="46" t="n">
        <v>0.694</v>
      </c>
      <c r="K156" s="61" t="n">
        <v>0.8164705882352941</v>
      </c>
      <c r="L156" s="27" t="inlineStr">
        <is>
          <t>🔴 تحت الهدف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التعلّم والنمو</t>
        </is>
      </c>
      <c r="P156" s="15" t="inlineStr">
        <is>
          <t>مدير الموارد البشرية</t>
        </is>
      </c>
      <c r="Q156" s="13" t="inlineStr">
        <is>
          <t>مكتب إدارة المشاريع (PMO)</t>
        </is>
      </c>
      <c r="R156" s="15" t="inlineStr">
        <is>
          <t>شهري</t>
        </is>
      </c>
      <c r="S156" s="46" t="n">
        <v>0.5610000000000001</v>
      </c>
      <c r="T156" s="46" t="n">
        <v>0.627</v>
      </c>
      <c r="U156" s="46" t="n">
        <v>0.694</v>
      </c>
      <c r="V156" s="61" t="n">
        <v>0.2371</v>
      </c>
      <c r="W156" s="61" t="n">
        <v>1</v>
      </c>
      <c r="X156" s="61" t="n">
        <v>0.85</v>
      </c>
      <c r="Y156" s="75" t="inlineStr">
        <is>
          <t>دون المستهدف — فجوة 18٪، يتطلب إجراءً تصحيحياً عاجلاً.</t>
        </is>
      </c>
      <c r="Z156" s="69" t="inlineStr">
        <is>
          <t>إطلاق إجراء تصحيحي خلال 30 يوماً بإشراف مدير الموارد البشرية.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التسويق</t>
        </is>
      </c>
      <c r="B157" s="9" t="inlineStr">
        <is>
          <t>الإدارة العامة</t>
        </is>
      </c>
      <c r="C157" s="9" t="inlineStr">
        <is>
          <t>الوصول الكلي (Total Reach)</t>
        </is>
      </c>
      <c r="D157" s="15" t="inlineStr">
        <is>
          <t>🎯 نتيجة</t>
        </is>
      </c>
      <c r="E157" s="46" t="inlineStr">
        <is>
          <t>وصول</t>
        </is>
      </c>
      <c r="F157" s="46" t="inlineStr">
        <is>
          <t>↑</t>
        </is>
      </c>
      <c r="G157" s="15" t="inlineStr">
        <is>
          <t>🔴 رئيسي</t>
        </is>
      </c>
      <c r="H157" s="61" t="n">
        <v>0.08</v>
      </c>
      <c r="I157" s="46" t="n">
        <v>50000000</v>
      </c>
      <c r="J157" s="46" t="n">
        <v>5000000</v>
      </c>
      <c r="K157" s="61" t="n">
        <v>0.1</v>
      </c>
      <c r="L157" s="27" t="inlineStr">
        <is>
          <t>🔴 تحت الهدف</t>
        </is>
      </c>
      <c r="M157" s="27" t="inlineStr">
        <is>
          <t>النمو</t>
        </is>
      </c>
      <c r="N157" s="13" t="inlineStr">
        <is>
          <t>زيادة وصول العملاء</t>
        </is>
      </c>
      <c r="O157" s="15" t="inlineStr">
        <is>
          <t>العملاء</t>
        </is>
      </c>
      <c r="P157" s="15" t="inlineStr">
        <is>
          <t>مدير التسويق</t>
        </is>
      </c>
      <c r="Q157" s="13" t="inlineStr">
        <is>
          <t>أنظمة التسويق الرقمي / تانكي</t>
        </is>
      </c>
      <c r="R157" s="15" t="inlineStr">
        <is>
          <t>شهري</t>
        </is>
      </c>
      <c r="S157" s="46" t="n">
        <v>4561000</v>
      </c>
      <c r="T157" s="46" t="n">
        <v>4780500</v>
      </c>
      <c r="U157" s="46" t="n">
        <v>5000000</v>
      </c>
      <c r="V157" s="61" t="n">
        <v>0.0963</v>
      </c>
      <c r="W157" s="61" t="n">
        <v>0.9</v>
      </c>
      <c r="X157" s="61" t="n">
        <v>0.75</v>
      </c>
      <c r="Y157" s="75" t="inlineStr">
        <is>
          <t>دون المستهدف — فجوة 90٪، يتطلب إجراءً تصحيحياً عاجلاً.</t>
        </is>
      </c>
      <c r="Z157" s="69" t="inlineStr">
        <is>
          <t>إطلاق إجراء تصحيحي خلال 30 يوماً بإشراف مدير التسويق.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الإدارة العامة</t>
        </is>
      </c>
      <c r="C158" s="9" t="inlineStr">
        <is>
          <t>عملاء تجاريون جدد</t>
        </is>
      </c>
      <c r="D158" s="15" t="inlineStr">
        <is>
          <t>🔧 تشغيلي</t>
        </is>
      </c>
      <c r="E158" s="46" t="inlineStr">
        <is>
          <t>عميل</t>
        </is>
      </c>
      <c r="F158" s="46" t="inlineStr">
        <is>
          <t>↑</t>
        </is>
      </c>
      <c r="G158" s="15" t="inlineStr">
        <is>
          <t>🟠 مهم</t>
        </is>
      </c>
      <c r="H158" s="61" t="n">
        <v>0.06</v>
      </c>
      <c r="I158" s="46" t="n">
        <v>200</v>
      </c>
      <c r="J158" s="46" t="n">
        <v>1</v>
      </c>
      <c r="K158" s="61" t="n">
        <v>0.005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العملاء</t>
        </is>
      </c>
      <c r="P158" s="15" t="inlineStr">
        <is>
          <t>مدير التسويق</t>
        </is>
      </c>
      <c r="Q158" s="13" t="inlineStr">
        <is>
          <t>سجلات الإدارة</t>
        </is>
      </c>
      <c r="R158" s="15" t="inlineStr">
        <is>
          <t>شهري</t>
        </is>
      </c>
      <c r="S158" s="46" t="n">
        <v>0.821</v>
      </c>
      <c r="T158" s="46" t="n">
        <v>0.91</v>
      </c>
      <c r="U158" s="46" t="n">
        <v>2</v>
      </c>
      <c r="V158" s="61" t="n">
        <v>0.218</v>
      </c>
      <c r="W158" s="61" t="n">
        <v>1</v>
      </c>
      <c r="X158" s="61" t="n">
        <v>0.85</v>
      </c>
      <c r="Y158" s="75" t="inlineStr">
        <is>
          <t>دون المستهدف — فجوة 100٪،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الفريق الإبداعي</t>
        </is>
      </c>
      <c r="C159" s="9" t="inlineStr">
        <is>
          <t>إجمالي المتابعين (كل المنصات)</t>
        </is>
      </c>
      <c r="D159" s="15" t="inlineStr">
        <is>
          <t>🔧 تشغيلي</t>
        </is>
      </c>
      <c r="E159" s="46" t="inlineStr">
        <is>
          <t>متابع</t>
        </is>
      </c>
      <c r="F159" s="46" t="inlineStr">
        <is>
          <t>↑</t>
        </is>
      </c>
      <c r="G159" s="15" t="inlineStr">
        <is>
          <t>🔴 رئيسي</t>
        </is>
      </c>
      <c r="H159" s="61" t="n">
        <v>0.08</v>
      </c>
      <c r="I159" s="46" t="n">
        <v>380000</v>
      </c>
      <c r="J159" s="46" t="n">
        <v>253000</v>
      </c>
      <c r="K159" s="61" t="n">
        <v>0.6657894736842105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أنظمة التسويق الرقمي / تانكي</t>
        </is>
      </c>
      <c r="R159" s="15" t="inlineStr">
        <is>
          <t>شهري</t>
        </is>
      </c>
      <c r="S159" s="46" t="n">
        <v>229450.76</v>
      </c>
      <c r="T159" s="46" t="n">
        <v>241225.38</v>
      </c>
      <c r="U159" s="46" t="n">
        <v>253000</v>
      </c>
      <c r="V159" s="61" t="n">
        <v>0.1026</v>
      </c>
      <c r="W159" s="61" t="n">
        <v>0.9</v>
      </c>
      <c r="X159" s="61" t="n">
        <v>0.75</v>
      </c>
      <c r="Y159" s="75" t="inlineStr">
        <is>
          <t>دون المستهدف — فجوة 33٪،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الفريق الإبداعي</t>
        </is>
      </c>
      <c r="C160" s="9" t="inlineStr">
        <is>
          <t>معدل التفاعل (Engagement)</t>
        </is>
      </c>
      <c r="D160" s="15" t="inlineStr">
        <is>
          <t>🔧 تشغيلي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0.5</v>
      </c>
      <c r="J160" s="46" t="n">
        <v>0</v>
      </c>
      <c r="K160" s="61" t="n">
        <v>0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أنظمة التسويق الرقمي / تانكي</t>
        </is>
      </c>
      <c r="R160" s="15" t="inlineStr">
        <is>
          <t>شهري</t>
        </is>
      </c>
      <c r="S160" s="46" t="n">
        <v>0</v>
      </c>
      <c r="T160" s="46" t="n">
        <v>0</v>
      </c>
      <c r="U160" s="46" t="n">
        <v>0</v>
      </c>
      <c r="V160" s="61" t="n"/>
      <c r="W160" s="61" t="n">
        <v>0.9</v>
      </c>
      <c r="X160" s="61" t="n">
        <v>0.75</v>
      </c>
      <c r="Y160" s="75" t="inlineStr">
        <is>
          <t>دون المستهدف — فجوة 100٪،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الحملات التسويقية</t>
        </is>
      </c>
      <c r="C161" s="9" t="inlineStr">
        <is>
          <t>حملات تسويقية منجزة</t>
        </is>
      </c>
      <c r="D161" s="15" t="inlineStr">
        <is>
          <t>⚙️ نشاط</t>
        </is>
      </c>
      <c r="E161" s="46" t="inlineStr">
        <is>
          <t>حملة</t>
        </is>
      </c>
      <c r="F161" s="46" t="inlineStr">
        <is>
          <t>↑</t>
        </is>
      </c>
      <c r="G161" s="15" t="inlineStr">
        <is>
          <t>🟠 مهم</t>
        </is>
      </c>
      <c r="H161" s="61" t="n">
        <v>0.06</v>
      </c>
      <c r="I161" s="46" t="n">
        <v>48</v>
      </c>
      <c r="J161" s="46" t="n">
        <v>11</v>
      </c>
      <c r="K161" s="61" t="n">
        <v>0.2291666666666667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العمليات الداخلية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9.802</v>
      </c>
      <c r="T161" s="46" t="n">
        <v>10.401</v>
      </c>
      <c r="U161" s="46" t="n">
        <v>22</v>
      </c>
      <c r="V161" s="61" t="n">
        <v>0.1222</v>
      </c>
      <c r="W161" s="61" t="n">
        <v>1</v>
      </c>
      <c r="X161" s="61" t="n">
        <v>0.85</v>
      </c>
      <c r="Y161" s="75" t="inlineStr">
        <is>
          <t>دون المستهدف — فجوة 77٪،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الحملات التسويقية</t>
        </is>
      </c>
      <c r="C162" s="9" t="inlineStr">
        <is>
          <t>تحويل الفرص إلى عقود</t>
        </is>
      </c>
      <c r="D162" s="15" t="inlineStr">
        <is>
          <t>🔧 تشغيلي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🔴 رئيسي</t>
        </is>
      </c>
      <c r="H162" s="61" t="n">
        <v>0.08</v>
      </c>
      <c r="I162" s="46" t="n">
        <v>0.25</v>
      </c>
      <c r="J162" s="46" t="n">
        <v>0.17</v>
      </c>
      <c r="K162" s="61" t="n">
        <v>0.68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0.156</v>
      </c>
      <c r="T162" s="46" t="n">
        <v>0.163</v>
      </c>
      <c r="U162" s="46" t="n">
        <v>0.17</v>
      </c>
      <c r="V162" s="61" t="n">
        <v>0.0897</v>
      </c>
      <c r="W162" s="61" t="n">
        <v>1</v>
      </c>
      <c r="X162" s="61" t="n">
        <v>0.85</v>
      </c>
      <c r="Y162" s="75" t="inlineStr">
        <is>
          <t>دون المستهدف — فجوة 32٪،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الحملات التسويقية</t>
        </is>
      </c>
      <c r="C163" s="9" t="inlineStr">
        <is>
          <t>نسبة المبيعات لكل حملة</t>
        </is>
      </c>
      <c r="D163" s="15" t="inlineStr">
        <is>
          <t>⚙️ نشاط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🔴 رئيسي</t>
        </is>
      </c>
      <c r="H163" s="61" t="n">
        <v>0.08</v>
      </c>
      <c r="I163" s="46" t="n">
        <v>1</v>
      </c>
      <c r="J163" s="46" t="n">
        <v>0.16</v>
      </c>
      <c r="K163" s="61" t="n">
        <v>0.16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مالي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0.141</v>
      </c>
      <c r="T163" s="46" t="n">
        <v>0.15</v>
      </c>
      <c r="U163" s="46" t="n">
        <v>0.16</v>
      </c>
      <c r="V163" s="61" t="n">
        <v>0.1348</v>
      </c>
      <c r="W163" s="61" t="n">
        <v>1</v>
      </c>
      <c r="X163" s="61" t="n">
        <v>0.85</v>
      </c>
      <c r="Y163" s="75" t="inlineStr">
        <is>
          <t>دون المستهدف — فجوة 84٪،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الدعاية والإعلان</t>
        </is>
      </c>
      <c r="C164" s="9" t="inlineStr">
        <is>
          <t>نسبة التزام الهوية البصرية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0.08</v>
      </c>
      <c r="I164" s="46" t="n">
        <v>1</v>
      </c>
      <c r="J164" s="46" t="n">
        <v>0.1</v>
      </c>
      <c r="K164" s="61" t="n">
        <v>0.1</v>
      </c>
      <c r="L164" s="27" t="inlineStr">
        <is>
          <t>🔴 تحت الهدف</t>
        </is>
      </c>
      <c r="M164" s="27" t="inlineStr">
        <is>
          <t>الابتكار</t>
        </is>
      </c>
      <c r="N164" s="13" t="inlineStr">
        <is>
          <t>تطوير التصاميم والهوية</t>
        </is>
      </c>
      <c r="O164" s="15" t="inlineStr">
        <is>
          <t>التعلّم والنمو</t>
        </is>
      </c>
      <c r="P164" s="15" t="inlineStr">
        <is>
          <t>مدير التسويق</t>
        </is>
      </c>
      <c r="Q164" s="13" t="inlineStr">
        <is>
          <t>سجلات الإدارة</t>
        </is>
      </c>
      <c r="R164" s="15" t="inlineStr">
        <is>
          <t>شهري</t>
        </is>
      </c>
      <c r="S164" s="46" t="n">
        <v>0.08599999999999999</v>
      </c>
      <c r="T164" s="46" t="n">
        <v>0.093</v>
      </c>
      <c r="U164" s="46" t="n">
        <v>0.1</v>
      </c>
      <c r="V164" s="61" t="n">
        <v>0.1628</v>
      </c>
      <c r="W164" s="61" t="n">
        <v>1</v>
      </c>
      <c r="X164" s="61" t="n">
        <v>0.85</v>
      </c>
      <c r="Y164" s="75" t="inlineStr">
        <is>
          <t>دون المستهدف — فجوة 90٪،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العلاقات والشراكات</t>
        </is>
      </c>
      <c r="C165" s="9" t="inlineStr">
        <is>
          <t>وصول العلاقات العامة (PR)</t>
        </is>
      </c>
      <c r="D165" s="15" t="inlineStr">
        <is>
          <t>🔧 تشغيلي</t>
        </is>
      </c>
      <c r="E165" s="46" t="inlineStr">
        <is>
          <t>وصول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0.06</v>
      </c>
      <c r="I165" s="46" t="n">
        <v>7000000</v>
      </c>
      <c r="J165" s="46" t="n">
        <v>1500000</v>
      </c>
      <c r="K165" s="61" t="n">
        <v>0.2142857142857143</v>
      </c>
      <c r="L165" s="27" t="inlineStr">
        <is>
          <t>🔴 تحت الهدف</t>
        </is>
      </c>
      <c r="M165" s="27" t="inlineStr">
        <is>
          <t>النمو</t>
        </is>
      </c>
      <c r="N165" s="13" t="inlineStr">
        <is>
          <t>زيادة وصول العملاء</t>
        </is>
      </c>
      <c r="O165" s="15" t="inlineStr">
        <is>
          <t>العملاء</t>
        </is>
      </c>
      <c r="P165" s="15" t="inlineStr">
        <is>
          <t>مدير التسويق</t>
        </is>
      </c>
      <c r="Q165" s="13" t="inlineStr">
        <is>
          <t>أنظمة التسويق الرقمي / تانكي</t>
        </is>
      </c>
      <c r="R165" s="15" t="inlineStr">
        <is>
          <t>شهري</t>
        </is>
      </c>
      <c r="S165" s="46" t="n">
        <v>1309440</v>
      </c>
      <c r="T165" s="46" t="n">
        <v>1404720</v>
      </c>
      <c r="U165" s="46" t="n">
        <v>1500000</v>
      </c>
      <c r="V165" s="61" t="n">
        <v>0.1455</v>
      </c>
      <c r="W165" s="61" t="n">
        <v>1</v>
      </c>
      <c r="X165" s="61" t="n">
        <v>0.85</v>
      </c>
      <c r="Y165" s="75" t="inlineStr">
        <is>
          <t>دون المستهدف — فجوة 79٪،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العلاقات والشراكات</t>
        </is>
      </c>
      <c r="C166" s="9" t="inlineStr">
        <is>
          <t>عدد المعارض بالسنة</t>
        </is>
      </c>
      <c r="D166" s="15" t="inlineStr">
        <is>
          <t>⚙️ نشاط</t>
        </is>
      </c>
      <c r="E166" s="46" t="inlineStr">
        <is>
          <t>معرض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0.06</v>
      </c>
      <c r="I166" s="46" t="n">
        <v>3</v>
      </c>
      <c r="J166" s="46" t="n">
        <v>0</v>
      </c>
      <c r="K166" s="61" t="n">
        <v>0</v>
      </c>
      <c r="L166" s="27" t="inlineStr">
        <is>
          <t>🔴 تحت الهدف</t>
        </is>
      </c>
      <c r="M166" s="27" t="inlineStr">
        <is>
          <t>الابتكار</t>
        </is>
      </c>
      <c r="N166" s="13" t="inlineStr">
        <is>
          <t>إطلاق مشاريع جديدة</t>
        </is>
      </c>
      <c r="O166" s="15" t="inlineStr">
        <is>
          <t>العمليات الداخلية</t>
        </is>
      </c>
      <c r="P166" s="15" t="inlineStr">
        <is>
          <t>مدير التسويق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</v>
      </c>
      <c r="T166" s="46" t="n">
        <v>0</v>
      </c>
      <c r="U166" s="46" t="n">
        <v>0</v>
      </c>
      <c r="V166" s="61" t="n"/>
      <c r="W166" s="61" t="n">
        <v>1</v>
      </c>
      <c r="X166" s="61" t="n">
        <v>0.85</v>
      </c>
      <c r="Y166" s="75" t="inlineStr">
        <is>
          <t>دون المستهدف — فجوة 100٪، يتطلب إجراءً تصحيحياً عاجلاً.</t>
        </is>
      </c>
      <c r="Z166" s="69" t="inlineStr">
        <is>
          <t>إطلاق إجراء تصحيحي خلال 30 يوماً بإشراف مدير التسويق.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التسويق</t>
        </is>
      </c>
      <c r="B167" s="9" t="inlineStr">
        <is>
          <t>العلاقات والشراكات</t>
        </is>
      </c>
      <c r="C167" s="9" t="inlineStr">
        <is>
          <t>اتفاقيات استراتيجية</t>
        </is>
      </c>
      <c r="D167" s="15" t="inlineStr">
        <is>
          <t>🔧 تشغيلي</t>
        </is>
      </c>
      <c r="E167" s="46" t="inlineStr">
        <is>
          <t>اتفاقية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3</v>
      </c>
      <c r="J167" s="46" t="n">
        <v>0</v>
      </c>
      <c r="K167" s="61" t="n">
        <v>0</v>
      </c>
      <c r="L167" s="27" t="inlineStr">
        <is>
          <t>🔴 تحت الهدف</t>
        </is>
      </c>
      <c r="M167" s="27" t="inlineStr">
        <is>
          <t>الابتكار</t>
        </is>
      </c>
      <c r="N167" s="13" t="inlineStr">
        <is>
          <t>إطلاق مشاريع جديدة</t>
        </is>
      </c>
      <c r="O167" s="15" t="inlineStr">
        <is>
          <t>العمليات الداخلية</t>
        </is>
      </c>
      <c r="P167" s="15" t="inlineStr">
        <is>
          <t>مدير التسويق</t>
        </is>
      </c>
      <c r="Q167" s="13" t="inlineStr">
        <is>
          <t>سجلات الإدارة</t>
        </is>
      </c>
      <c r="R167" s="15" t="inlineStr">
        <is>
          <t>شهري</t>
        </is>
      </c>
      <c r="S167" s="46" t="n">
        <v>0</v>
      </c>
      <c r="T167" s="46" t="n">
        <v>0</v>
      </c>
      <c r="U167" s="46" t="n">
        <v>0</v>
      </c>
      <c r="V167" s="61" t="n"/>
      <c r="W167" s="61" t="n">
        <v>1</v>
      </c>
      <c r="X167" s="61" t="n">
        <v>0.85</v>
      </c>
      <c r="Y167" s="75" t="inlineStr">
        <is>
          <t>دون المستهدف — فجوة 100٪،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خدمة العملاء والدعم</t>
        </is>
      </c>
      <c r="C168" s="9" t="inlineStr">
        <is>
          <t>تقييم خرائط قوقل</t>
        </is>
      </c>
      <c r="D168" s="15" t="inlineStr">
        <is>
          <t>🎯 نتيجة</t>
        </is>
      </c>
      <c r="E168" s="46" t="inlineStr">
        <is>
          <t>نجمة/5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0.06</v>
      </c>
      <c r="I168" s="46" t="n">
        <v>4.7</v>
      </c>
      <c r="J168" s="46" t="n">
        <v>4</v>
      </c>
      <c r="K168" s="61" t="n">
        <v>0.851063829787234</v>
      </c>
      <c r="L168" s="27" t="inlineStr">
        <is>
          <t>🟡 قريب</t>
        </is>
      </c>
      <c r="M168" s="27" t="inlineStr">
        <is>
          <t>الاستدامة</t>
        </is>
      </c>
      <c r="N168" s="13" t="inlineStr">
        <is>
          <t>تعزيز تجربة العملاء</t>
        </is>
      </c>
      <c r="O168" s="15" t="inlineStr">
        <is>
          <t>العملاء</t>
        </is>
      </c>
      <c r="P168" s="15" t="inlineStr">
        <is>
          <t>مدير التسويق</t>
        </is>
      </c>
      <c r="Q168" s="13" t="inlineStr">
        <is>
          <t>تقييمات خرائط قوقل</t>
        </is>
      </c>
      <c r="R168" s="15" t="inlineStr">
        <is>
          <t>شهري</t>
        </is>
      </c>
      <c r="S168" s="46" t="n">
        <v>3.547</v>
      </c>
      <c r="T168" s="46" t="n">
        <v>3.774</v>
      </c>
      <c r="U168" s="46" t="n">
        <v>4</v>
      </c>
      <c r="V168" s="61" t="n">
        <v>0.1277</v>
      </c>
      <c r="W168" s="61" t="n">
        <v>1</v>
      </c>
      <c r="X168" s="61" t="n">
        <v>0.85</v>
      </c>
      <c r="Y168" s="71" t="inlineStr">
        <is>
          <t>قريب من المستهدف — فجوة 15٪، متابعة لإغلاقها.</t>
        </is>
      </c>
      <c r="Z168" s="69" t="inlineStr">
        <is>
          <t>متابعة أسبوعية حتى بلوغ المستهدف.</t>
        </is>
      </c>
      <c r="AA168" s="27" t="inlineStr">
        <is>
          <t>قريب</t>
        </is>
      </c>
      <c r="AB168" s="27" t="n">
        <v>2</v>
      </c>
      <c r="AC168" s="72" t="inlineStr">
        <is>
          <t>#F2C94C</t>
        </is>
      </c>
    </row>
    <row r="169">
      <c r="A169" s="9" t="inlineStr">
        <is>
          <t>التسويق</t>
        </is>
      </c>
      <c r="B169" s="9" t="inlineStr">
        <is>
          <t>خدمة العملاء والدعم</t>
        </is>
      </c>
      <c r="C169" s="9" t="inlineStr">
        <is>
          <t>معدل خفض الشكاوى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0.06</v>
      </c>
      <c r="I169" s="46" t="n">
        <v>0.3</v>
      </c>
      <c r="J169" s="46" t="n">
        <v>0.21</v>
      </c>
      <c r="K169" s="61" t="n">
        <v>0.7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تعزيز تجربة العملاء</t>
        </is>
      </c>
      <c r="O169" s="15" t="inlineStr">
        <is>
          <t>العملاء</t>
        </is>
      </c>
      <c r="P169" s="15" t="inlineStr">
        <is>
          <t>مدير التسويق</t>
        </is>
      </c>
      <c r="Q169" s="13" t="inlineStr">
        <is>
          <t>سجلات الإدارة</t>
        </is>
      </c>
      <c r="R169" s="15" t="inlineStr">
        <is>
          <t>شهري</t>
        </is>
      </c>
      <c r="S169" s="46" t="n">
        <v>0.171</v>
      </c>
      <c r="T169" s="46" t="n">
        <v>0.191</v>
      </c>
      <c r="U169" s="46" t="n">
        <v>0.21</v>
      </c>
      <c r="V169" s="61" t="n">
        <v>0.2281</v>
      </c>
      <c r="W169" s="61" t="n">
        <v>1</v>
      </c>
      <c r="X169" s="61" t="n">
        <v>0.85</v>
      </c>
      <c r="Y169" s="75" t="inlineStr">
        <is>
          <t>دون المستهدف — فجوة 30٪، يتطلب إجراءً تصحيحياً عاجلاً.</t>
        </is>
      </c>
      <c r="Z169" s="69" t="inlineStr">
        <is>
          <t>إطلاق إجراء تصحيحي خلال 30 يوماً بإشراف مدير التسويق.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التسويق</t>
        </is>
      </c>
      <c r="B170" s="9" t="inlineStr">
        <is>
          <t>تطبيق تانكي</t>
        </is>
      </c>
      <c r="C170" s="9" t="inlineStr">
        <is>
          <t>وصول محتوى تطبيق تانكي</t>
        </is>
      </c>
      <c r="D170" s="15" t="inlineStr">
        <is>
          <t>🔧 تشغيلي</t>
        </is>
      </c>
      <c r="E170" s="46" t="inlineStr">
        <is>
          <t>وصول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0.05</v>
      </c>
      <c r="I170" s="46" t="n">
        <v>1000000</v>
      </c>
      <c r="J170" s="46" t="n">
        <v>946380</v>
      </c>
      <c r="K170" s="61" t="n">
        <v>0.94638</v>
      </c>
      <c r="L170" s="27" t="inlineStr">
        <is>
          <t>🟡 قريب</t>
        </is>
      </c>
      <c r="M170" s="27" t="inlineStr">
        <is>
          <t>الابتكار</t>
        </is>
      </c>
      <c r="N170" s="13" t="inlineStr">
        <is>
          <t>تطبيق «تانكي»</t>
        </is>
      </c>
      <c r="O170" s="15" t="inlineStr">
        <is>
          <t>العملاء</t>
        </is>
      </c>
      <c r="P170" s="15" t="inlineStr">
        <is>
          <t>مدير التسويق</t>
        </is>
      </c>
      <c r="Q170" s="13" t="inlineStr">
        <is>
          <t>أنظمة التسويق الرقمي / تانكي</t>
        </is>
      </c>
      <c r="R170" s="15" t="inlineStr">
        <is>
          <t>شهري</t>
        </is>
      </c>
      <c r="S170" s="46" t="n">
        <v>788220.974</v>
      </c>
      <c r="T170" s="46" t="n">
        <v>867300.487</v>
      </c>
      <c r="U170" s="46" t="n">
        <v>946380</v>
      </c>
      <c r="V170" s="61" t="n">
        <v>0.2007</v>
      </c>
      <c r="W170" s="61" t="n">
        <v>1</v>
      </c>
      <c r="X170" s="61" t="n">
        <v>0.85</v>
      </c>
      <c r="Y170" s="71" t="inlineStr">
        <is>
          <t>قريب من المستهدف — فجوة 5٪، متابعة لإغلاقها.</t>
        </is>
      </c>
      <c r="Z170" s="69" t="inlineStr">
        <is>
          <t>متابعة أسبوعية حتى بلوغ المستهدف.</t>
        </is>
      </c>
      <c r="AA170" s="27" t="inlineStr">
        <is>
          <t>قريب</t>
        </is>
      </c>
      <c r="AB170" s="27" t="n">
        <v>2</v>
      </c>
      <c r="AC170" s="72" t="inlineStr">
        <is>
          <t>#F2C94C</t>
        </is>
      </c>
    </row>
    <row r="171">
      <c r="A171" s="9" t="inlineStr">
        <is>
          <t>التسويق</t>
        </is>
      </c>
      <c r="B171" s="9" t="inlineStr">
        <is>
          <t>تطبيق تانكي</t>
        </is>
      </c>
      <c r="C171" s="9" t="inlineStr">
        <is>
          <t>مشاركات تطبيق تانكي</t>
        </is>
      </c>
      <c r="D171" s="15" t="inlineStr">
        <is>
          <t>🔧 تشغيلي</t>
        </is>
      </c>
      <c r="E171" s="46" t="inlineStr">
        <is>
          <t>مشاركة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0.05</v>
      </c>
      <c r="I171" s="46" t="n">
        <v>250</v>
      </c>
      <c r="J171" s="46" t="n">
        <v>180.7</v>
      </c>
      <c r="K171" s="61" t="n">
        <v>0.7228</v>
      </c>
      <c r="L171" s="27" t="inlineStr">
        <is>
          <t>🔴 تحت الهدف</t>
        </is>
      </c>
      <c r="M171" s="27" t="inlineStr">
        <is>
          <t>الابتكار</t>
        </is>
      </c>
      <c r="N171" s="13" t="inlineStr">
        <is>
          <t>تطبيق «تانكي»</t>
        </is>
      </c>
      <c r="O171" s="15" t="inlineStr">
        <is>
          <t>العمليات الداخلية</t>
        </is>
      </c>
      <c r="P171" s="15" t="inlineStr">
        <is>
          <t>مدير التسويق</t>
        </is>
      </c>
      <c r="Q171" s="13" t="inlineStr">
        <is>
          <t>أنظمة التسويق الرقمي / تانكي</t>
        </is>
      </c>
      <c r="R171" s="15" t="inlineStr">
        <is>
          <t>شهري</t>
        </is>
      </c>
      <c r="S171" s="46" t="n">
        <v>152.626</v>
      </c>
      <c r="T171" s="46" t="n">
        <v>166.663</v>
      </c>
      <c r="U171" s="46" t="n">
        <v>361.4</v>
      </c>
      <c r="V171" s="61" t="n">
        <v>0.1839</v>
      </c>
      <c r="W171" s="61" t="n">
        <v>1</v>
      </c>
      <c r="X171" s="61" t="n">
        <v>0.85</v>
      </c>
      <c r="Y171" s="75" t="inlineStr">
        <is>
          <t>دون المستهدف — فجوة 28٪، يتطلب إجراءً تصحيحياً عاجلاً.</t>
        </is>
      </c>
      <c r="Z171" s="69" t="inlineStr">
        <is>
          <t>إطلاق إجراء تصحيحي خلال 30 يوماً بإشراف مدير التسويق.</t>
        </is>
      </c>
      <c r="AA171" s="27" t="inlineStr">
        <is>
          <t>تحت الهدف</t>
        </is>
      </c>
      <c r="AB171" s="27" t="n">
        <v>3</v>
      </c>
      <c r="AC171" s="76" t="inlineStr">
        <is>
          <t>#EB5757</t>
        </is>
      </c>
    </row>
    <row r="172">
      <c r="A172" s="9" t="inlineStr">
        <is>
          <t>الجودة</t>
        </is>
      </c>
      <c r="B172" s="9" t="inlineStr">
        <is>
          <t>مخاطر الجودة</t>
        </is>
      </c>
      <c r="C172" s="9" t="inlineStr">
        <is>
          <t>نسبة المحطات الحرجة</t>
        </is>
      </c>
      <c r="D172" s="15" t="inlineStr">
        <is>
          <t>🔧 تشغيلي</t>
        </is>
      </c>
      <c r="E172" s="46" t="inlineStr">
        <is>
          <t>%</t>
        </is>
      </c>
      <c r="F172" s="46" t="inlineStr">
        <is>
          <t>↓</t>
        </is>
      </c>
      <c r="G172" s="15" t="inlineStr">
        <is>
          <t>🔴 رئيسي</t>
        </is>
      </c>
      <c r="H172" s="61" t="n">
        <v>0.1</v>
      </c>
      <c r="I172" s="46" t="n">
        <v>0.05</v>
      </c>
      <c r="J172" s="46" t="n">
        <v>0.054</v>
      </c>
      <c r="K172" s="61" t="n">
        <v>0.925925925925926</v>
      </c>
      <c r="L172" s="27" t="inlineStr">
        <is>
          <t>🟡 قريب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العمليات الداخلية</t>
        </is>
      </c>
      <c r="P172" s="15" t="inlineStr">
        <is>
          <t>مدير الجودة</t>
        </is>
      </c>
      <c r="Q172" s="13" t="inlineStr">
        <is>
          <t>نظام إدارة الجودة (QMS)</t>
        </is>
      </c>
      <c r="R172" s="15" t="inlineStr">
        <is>
          <t>شهري</t>
        </is>
      </c>
      <c r="S172" s="46" t="n">
        <v>0.06</v>
      </c>
      <c r="T172" s="46" t="n">
        <v>0.057</v>
      </c>
      <c r="U172" s="46" t="n">
        <v>0.054</v>
      </c>
      <c r="V172" s="61" t="n">
        <v>-0.1</v>
      </c>
      <c r="W172" s="61" t="n">
        <v>1</v>
      </c>
      <c r="X172" s="61" t="n">
        <v>0.85</v>
      </c>
      <c r="Y172" s="71" t="inlineStr">
        <is>
          <t>قريب من المستهدف — فجوة 7٪، متابعة لإغلاقها.</t>
        </is>
      </c>
      <c r="Z172" s="69" t="inlineStr">
        <is>
          <t>متابعة أسبوعية حتى بلوغ المستهدف.</t>
        </is>
      </c>
      <c r="AA172" s="27" t="inlineStr">
        <is>
          <t>قريب</t>
        </is>
      </c>
      <c r="AB172" s="27" t="n">
        <v>2</v>
      </c>
      <c r="AC172" s="72" t="inlineStr">
        <is>
          <t>#F2C94C</t>
        </is>
      </c>
    </row>
    <row r="173">
      <c r="A173" s="9" t="inlineStr">
        <is>
          <t>الجودة</t>
        </is>
      </c>
      <c r="B173" s="9" t="inlineStr">
        <is>
          <t>جودة الوقود</t>
        </is>
      </c>
      <c r="C173" s="9" t="inlineStr">
        <is>
          <t>نسبة مطابقة جودة الوقود</t>
        </is>
      </c>
      <c r="D173" s="15" t="inlineStr">
        <is>
          <t>🎯 نتيجة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61" t="n">
        <v>0.07000000000000001</v>
      </c>
      <c r="I173" s="46" t="n">
        <v>0.995</v>
      </c>
      <c r="J173" s="46" t="n">
        <v>0.804</v>
      </c>
      <c r="K173" s="61" t="n">
        <v>0.8080402010050252</v>
      </c>
      <c r="L173" s="27" t="inlineStr">
        <is>
          <t>🔴 تحت الهدف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0.709</v>
      </c>
      <c r="T173" s="46" t="n">
        <v>0.756</v>
      </c>
      <c r="U173" s="46" t="n">
        <v>0.804</v>
      </c>
      <c r="V173" s="61" t="n">
        <v>0.134</v>
      </c>
      <c r="W173" s="61" t="n">
        <v>1</v>
      </c>
      <c r="X173" s="61" t="n">
        <v>0.97</v>
      </c>
      <c r="Y173" s="75" t="inlineStr">
        <is>
          <t>دون المستهدف — فجوة 19٪، يتطلب إجراءً تصحيحياً عاجلاً.</t>
        </is>
      </c>
      <c r="Z173" s="69" t="inlineStr">
        <is>
          <t>إطلاق إجراء تصحيحي خلال 30 يوماً بإشراف مدير الجودة.</t>
        </is>
      </c>
      <c r="AA173" s="27" t="inlineStr">
        <is>
          <t>تحت الهدف</t>
        </is>
      </c>
      <c r="AB173" s="27" t="n">
        <v>3</v>
      </c>
      <c r="AC173" s="76" t="inlineStr">
        <is>
          <t>#EB5757</t>
        </is>
      </c>
    </row>
    <row r="174">
      <c r="A174" s="9" t="inlineStr">
        <is>
          <t>الجودة</t>
        </is>
      </c>
      <c r="B174" s="9" t="inlineStr">
        <is>
          <t>معالجة وتصحيح</t>
        </is>
      </c>
      <c r="C174" s="9" t="inlineStr">
        <is>
          <t>نسبة إغلاق الملاحظات في الوقت المحدد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</v>
      </c>
      <c r="J174" s="46" t="n">
        <v>0.6870000000000001</v>
      </c>
      <c r="K174" s="61" t="n">
        <v>0.7633333333333334</v>
      </c>
      <c r="L174" s="27" t="inlineStr">
        <is>
          <t>🔴 تحت الهدف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0.596</v>
      </c>
      <c r="T174" s="46" t="n">
        <v>0.641</v>
      </c>
      <c r="U174" s="46" t="n">
        <v>0.6870000000000001</v>
      </c>
      <c r="V174" s="61" t="n">
        <v>0.1527</v>
      </c>
      <c r="W174" s="61" t="n">
        <v>1</v>
      </c>
      <c r="X174" s="61" t="n">
        <v>0.85</v>
      </c>
      <c r="Y174" s="75" t="inlineStr">
        <is>
          <t>دون المستهدف — فجوة 24٪، يتطلب إجراءً تصحيحياً عاجلاً.</t>
        </is>
      </c>
      <c r="Z174" s="69" t="inlineStr">
        <is>
          <t>إطلاق إجراء تصحيحي خلال 30 يوماً بإشراف مدير الجودة.</t>
        </is>
      </c>
      <c r="AA174" s="27" t="inlineStr">
        <is>
          <t>تحت الهدف</t>
        </is>
      </c>
      <c r="AB174" s="27" t="n">
        <v>3</v>
      </c>
      <c r="AC174" s="76" t="inlineStr">
        <is>
          <t>#EB5757</t>
        </is>
      </c>
    </row>
    <row r="175">
      <c r="A175" s="9" t="inlineStr">
        <is>
          <t>الجودة</t>
        </is>
      </c>
      <c r="B175" s="9" t="inlineStr">
        <is>
          <t>تحسين ووقاية</t>
        </is>
      </c>
      <c r="C175" s="9" t="inlineStr">
        <is>
          <t>نسبة فعالية الإجراءات التصحيحية</t>
        </is>
      </c>
      <c r="D175" s="15" t="inlineStr">
        <is>
          <t>🎯 نتيجة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0.85</v>
      </c>
      <c r="J175" s="46" t="n">
        <v>0.648</v>
      </c>
      <c r="K175" s="61" t="n">
        <v>0.7623529411764707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سجلات الإدارة</t>
        </is>
      </c>
      <c r="R175" s="15" t="inlineStr">
        <is>
          <t>شهري</t>
        </is>
      </c>
      <c r="S175" s="46" t="n">
        <v>0.552</v>
      </c>
      <c r="T175" s="46" t="n">
        <v>0.6</v>
      </c>
      <c r="U175" s="46" t="n">
        <v>0.648</v>
      </c>
      <c r="V175" s="61" t="n">
        <v>0.1739</v>
      </c>
      <c r="W175" s="61" t="n">
        <v>1</v>
      </c>
      <c r="X175" s="61" t="n">
        <v>0.85</v>
      </c>
      <c r="Y175" s="75" t="inlineStr">
        <is>
          <t>دون المستهدف — فجوة 24٪،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منع التكرار</t>
        </is>
      </c>
      <c r="C176" s="9" t="inlineStr">
        <is>
          <t>نسبة تكرار الملاحظات</t>
        </is>
      </c>
      <c r="D176" s="15" t="inlineStr">
        <is>
          <t>🔧 تشغيلي</t>
        </is>
      </c>
      <c r="E176" s="46" t="inlineStr">
        <is>
          <t>%</t>
        </is>
      </c>
      <c r="F176" s="46" t="inlineStr">
        <is>
          <t>↓</t>
        </is>
      </c>
      <c r="G176" s="15" t="inlineStr">
        <is>
          <t>🟠 مهم</t>
        </is>
      </c>
      <c r="H176" s="61" t="n">
        <v>0.07000000000000001</v>
      </c>
      <c r="I176" s="46" t="n">
        <v>0.1</v>
      </c>
      <c r="J176" s="46" t="n">
        <v>0.114</v>
      </c>
      <c r="K176" s="61" t="n">
        <v>0.8771929824561404</v>
      </c>
      <c r="L176" s="27" t="inlineStr">
        <is>
          <t>🟡 قريب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0.131</v>
      </c>
      <c r="T176" s="46" t="n">
        <v>0.122</v>
      </c>
      <c r="U176" s="46" t="n">
        <v>0.114</v>
      </c>
      <c r="V176" s="61" t="n">
        <v>-0.1298</v>
      </c>
      <c r="W176" s="61" t="n">
        <v>1</v>
      </c>
      <c r="X176" s="61" t="n">
        <v>0.85</v>
      </c>
      <c r="Y176" s="71" t="inlineStr">
        <is>
          <t>قريب من المستهدف — فجوة 12٪، متابعة لإغلاقها.</t>
        </is>
      </c>
      <c r="Z176" s="69" t="inlineStr">
        <is>
          <t>متابعة أسبوعية حتى بلوغ المستهدف.</t>
        </is>
      </c>
      <c r="AA176" s="27" t="inlineStr">
        <is>
          <t>قريب</t>
        </is>
      </c>
      <c r="AB176" s="27" t="n">
        <v>2</v>
      </c>
      <c r="AC176" s="72" t="inlineStr">
        <is>
          <t>#F2C94C</t>
        </is>
      </c>
    </row>
    <row r="177">
      <c r="A177" s="9" t="inlineStr">
        <is>
          <t>الجودة</t>
        </is>
      </c>
      <c r="B177" s="9" t="inlineStr">
        <is>
          <t>تفتيش وتدقيق</t>
        </is>
      </c>
      <c r="C177" s="9" t="inlineStr">
        <is>
          <t>نسبة تنفيذ خطة التفتيش والتدقيق</t>
        </is>
      </c>
      <c r="D177" s="15" t="inlineStr">
        <is>
          <t>⚙️ نشاط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61" t="n">
        <v>0.07000000000000001</v>
      </c>
      <c r="I177" s="46" t="n">
        <v>0.95</v>
      </c>
      <c r="J177" s="46" t="n">
        <v>0.728</v>
      </c>
      <c r="K177" s="61" t="n">
        <v>0.7663157894736842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نظام المحاسبة / ERP (D365)</t>
        </is>
      </c>
      <c r="R177" s="15" t="inlineStr">
        <is>
          <t>ربعي</t>
        </is>
      </c>
      <c r="S177" s="46" t="n">
        <v>0.621</v>
      </c>
      <c r="T177" s="46" t="n">
        <v>0.674</v>
      </c>
      <c r="U177" s="46" t="n">
        <v>0.728</v>
      </c>
      <c r="V177" s="61" t="n">
        <v>0.1723</v>
      </c>
      <c r="W177" s="61" t="n">
        <v>1</v>
      </c>
      <c r="X177" s="61" t="n">
        <v>0.85</v>
      </c>
      <c r="Y177" s="75" t="inlineStr">
        <is>
          <t>دون المستهدف — فجوة 23٪، يتطلب إجراءً تصحيحياً عاجلاً.</t>
        </is>
      </c>
      <c r="Z177" s="69" t="inlineStr">
        <is>
          <t>إطلاق إجراء تصحيحي خلال 30 يوماً بإشراف مدير الجودة.</t>
        </is>
      </c>
      <c r="AA177" s="27" t="inlineStr">
        <is>
          <t>تحت الهدف</t>
        </is>
      </c>
      <c r="AB177" s="27" t="n">
        <v>3</v>
      </c>
      <c r="AC177" s="76" t="inlineStr">
        <is>
          <t>#EB5757</t>
        </is>
      </c>
    </row>
    <row r="178">
      <c r="A178" s="9" t="inlineStr">
        <is>
          <t>الجودة</t>
        </is>
      </c>
      <c r="B178" s="9" t="inlineStr">
        <is>
          <t>حوكمة الجودة</t>
        </is>
      </c>
      <c r="C178" s="9" t="inlineStr">
        <is>
          <t>نسبة جاهزية نظام إدارة الجودة QMS</t>
        </is>
      </c>
      <c r="D178" s="15" t="inlineStr">
        <is>
          <t>🎯 نتيجة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🔴 رئيسي</t>
        </is>
      </c>
      <c r="H178" s="61" t="n">
        <v>0.1</v>
      </c>
      <c r="I178" s="46" t="n">
        <v>0.9</v>
      </c>
      <c r="J178" s="46" t="n">
        <v>0.754</v>
      </c>
      <c r="K178" s="61" t="n">
        <v>0.8377777777777777</v>
      </c>
      <c r="L178" s="27" t="inlineStr">
        <is>
          <t>🔴 تحت الهدف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إدارة الجودة (QMS)</t>
        </is>
      </c>
      <c r="R178" s="15" t="inlineStr">
        <is>
          <t>شهري</t>
        </is>
      </c>
      <c r="S178" s="46" t="n">
        <v>0.647</v>
      </c>
      <c r="T178" s="46" t="n">
        <v>0.701</v>
      </c>
      <c r="U178" s="46" t="n">
        <v>0.754</v>
      </c>
      <c r="V178" s="61" t="n">
        <v>0.1654</v>
      </c>
      <c r="W178" s="61" t="n">
        <v>1</v>
      </c>
      <c r="X178" s="61" t="n">
        <v>0.97</v>
      </c>
      <c r="Y178" s="75" t="inlineStr">
        <is>
          <t>دون المستهدف — فجوة 16٪، يتطلب إجراءً تصحيحياً عاجلاً.</t>
        </is>
      </c>
      <c r="Z178" s="69" t="inlineStr">
        <is>
          <t>إطلاق إجراء تصحيحي خلال 30 يوماً بإشراف مدير الجودة.</t>
        </is>
      </c>
      <c r="AA178" s="27" t="inlineStr">
        <is>
          <t>تحت الهدف</t>
        </is>
      </c>
      <c r="AB178" s="27" t="n">
        <v>3</v>
      </c>
      <c r="AC178" s="76" t="inlineStr">
        <is>
          <t>#EB5757</t>
        </is>
      </c>
    </row>
    <row r="179">
      <c r="A179" s="9" t="inlineStr">
        <is>
          <t>الجودة</t>
        </is>
      </c>
      <c r="B179" s="9" t="inlineStr">
        <is>
          <t>مخاطر الجودة</t>
        </is>
      </c>
      <c r="C179" s="9" t="inlineStr">
        <is>
          <t>عدد مخاطر الجودة الحرجة المفتوحة</t>
        </is>
      </c>
      <c r="D179" s="15" t="inlineStr">
        <is>
          <t>⚙️ نشاط</t>
        </is>
      </c>
      <c r="E179" s="46" t="inlineStr">
        <is>
          <t>خطر</t>
        </is>
      </c>
      <c r="F179" s="46" t="inlineStr">
        <is>
          <t>↓</t>
        </is>
      </c>
      <c r="G179" s="15" t="inlineStr">
        <is>
          <t>🟠 مهم</t>
        </is>
      </c>
      <c r="H179" s="61" t="n">
        <v>0.07000000000000001</v>
      </c>
      <c r="I179" s="46" t="n">
        <v>0</v>
      </c>
      <c r="J179" s="46" t="n"/>
      <c r="K179" s="61" t="n"/>
      <c r="L179" s="27" t="inlineStr">
        <is>
          <t>⏳ بانتظار هدف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/>
      <c r="T179" s="46" t="n"/>
      <c r="U179" s="46" t="n"/>
      <c r="V179" s="61" t="n"/>
      <c r="W179" s="61" t="n">
        <v>1</v>
      </c>
      <c r="X179" s="61" t="n">
        <v>0.85</v>
      </c>
      <c r="Y179" s="71" t="inlineStr"/>
      <c r="Z179" s="69" t="inlineStr"/>
      <c r="AA179" s="27" t="inlineStr">
        <is>
          <t>بانتظار هدف</t>
        </is>
      </c>
      <c r="AB179" s="27" t="n">
        <v>4</v>
      </c>
      <c r="AC179" s="73" t="inlineStr">
        <is>
          <t>#BDBDBD</t>
        </is>
      </c>
    </row>
    <row r="180">
      <c r="A180" s="9" t="inlineStr">
        <is>
          <t>الجودة</t>
        </is>
      </c>
      <c r="B180" s="9" t="inlineStr">
        <is>
          <t>مخاطر الجودة</t>
        </is>
      </c>
      <c r="C180" s="9" t="inlineStr">
        <is>
          <t>نسبة إغلاق مخاطر الجودة في الوقت المحدد</t>
        </is>
      </c>
      <c r="D180" s="15" t="inlineStr">
        <is>
          <t>🎯 نتيجة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🟠 مهم</t>
        </is>
      </c>
      <c r="H180" s="61" t="n">
        <v>0.07000000000000001</v>
      </c>
      <c r="I180" s="46" t="n">
        <v>0.9</v>
      </c>
      <c r="J180" s="46" t="n">
        <v>0.908</v>
      </c>
      <c r="K180" s="61" t="n">
        <v>1</v>
      </c>
      <c r="L180" s="27" t="inlineStr">
        <is>
          <t>✅ محقق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>
        <v>0.822</v>
      </c>
      <c r="T180" s="46" t="n">
        <v>0.865</v>
      </c>
      <c r="U180" s="46" t="n">
        <v>0.908</v>
      </c>
      <c r="V180" s="61" t="n">
        <v>0.1046</v>
      </c>
      <c r="W180" s="61" t="n">
        <v>1</v>
      </c>
      <c r="X180" s="61" t="n">
        <v>0.85</v>
      </c>
      <c r="Y180" s="71" t="inlineStr"/>
      <c r="Z180" s="69" t="inlineStr"/>
      <c r="AA180" s="27" t="inlineStr">
        <is>
          <t>محقق</t>
        </is>
      </c>
      <c r="AB180" s="27" t="n">
        <v>1</v>
      </c>
      <c r="AC180" s="74" t="inlineStr">
        <is>
          <t>#2EAD6B</t>
        </is>
      </c>
    </row>
    <row r="181">
      <c r="A181" s="9" t="inlineStr">
        <is>
          <t>الجودة</t>
        </is>
      </c>
      <c r="B181" s="9" t="inlineStr">
        <is>
          <t>تجربة العميل</t>
        </is>
      </c>
      <c r="C181" s="9" t="inlineStr">
        <is>
          <t>نسبة انخفاض الشكاوى المتكررة ذات العلاقة بالجودة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0.15</v>
      </c>
      <c r="J181" s="46" t="n">
        <v>0.126</v>
      </c>
      <c r="K181" s="61" t="n">
        <v>0.8400000000000001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تعزيز تجربة العملاء</t>
        </is>
      </c>
      <c r="O181" s="15" t="inlineStr">
        <is>
          <t>العملاء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>
        <v>0.106</v>
      </c>
      <c r="T181" s="46" t="n">
        <v>0.116</v>
      </c>
      <c r="U181" s="46" t="n">
        <v>0.126</v>
      </c>
      <c r="V181" s="61" t="n">
        <v>0.1887</v>
      </c>
      <c r="W181" s="61" t="n">
        <v>1</v>
      </c>
      <c r="X181" s="61" t="n">
        <v>0.85</v>
      </c>
      <c r="Y181" s="75" t="inlineStr">
        <is>
          <t>دون المستهدف — فجوة 16٪، يتطلب إجراءً تصحيحياً عاجلاً.</t>
        </is>
      </c>
      <c r="Z181" s="69" t="inlineStr">
        <is>
          <t>إطلاق إجراء تصحيحي خلال 30 يوماً بإشراف مدير الجودة.</t>
        </is>
      </c>
      <c r="AA181" s="27" t="inlineStr">
        <is>
          <t>تحت الهدف</t>
        </is>
      </c>
      <c r="AB181" s="27" t="n">
        <v>3</v>
      </c>
      <c r="AC181" s="76" t="inlineStr">
        <is>
          <t>#EB5757</t>
        </is>
      </c>
    </row>
    <row r="182">
      <c r="A182" s="9" t="inlineStr">
        <is>
          <t>الجودة</t>
        </is>
      </c>
      <c r="B182" s="9" t="inlineStr">
        <is>
          <t>الجودة الإدارية</t>
        </is>
      </c>
      <c r="C182" s="9" t="inlineStr">
        <is>
          <t>نسبة اكتمال وتحديث الإجراءات المعتمدة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🟡 متابعة</t>
        </is>
      </c>
      <c r="H182" s="61" t="n">
        <v>0.03</v>
      </c>
      <c r="I182" s="46" t="n">
        <v>0.95</v>
      </c>
      <c r="J182" s="46" t="n">
        <v>0.944</v>
      </c>
      <c r="K182" s="61" t="n">
        <v>0.9936842105263158</v>
      </c>
      <c r="L182" s="27" t="inlineStr">
        <is>
          <t>🟡 قريب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0.792</v>
      </c>
      <c r="T182" s="46" t="n">
        <v>0.868</v>
      </c>
      <c r="U182" s="46" t="n">
        <v>0.944</v>
      </c>
      <c r="V182" s="61" t="n">
        <v>0.1919</v>
      </c>
      <c r="W182" s="61" t="n">
        <v>1</v>
      </c>
      <c r="X182" s="61" t="n">
        <v>0.85</v>
      </c>
      <c r="Y182" s="71" t="inlineStr">
        <is>
          <t>قريب من المستهدف — فجوة 1٪، متابعة لإغلاقها.</t>
        </is>
      </c>
      <c r="Z182" s="69" t="inlineStr">
        <is>
          <t>متابعة أسبوعية حتى بلوغ المستهدف.</t>
        </is>
      </c>
      <c r="AA182" s="27" t="inlineStr">
        <is>
          <t>قريب</t>
        </is>
      </c>
      <c r="AB182" s="27" t="n">
        <v>2</v>
      </c>
      <c r="AC182" s="72" t="inlineStr">
        <is>
          <t>#F2C94C</t>
        </is>
      </c>
    </row>
    <row r="183">
      <c r="A183" s="9" t="inlineStr">
        <is>
          <t>الجودة</t>
        </is>
      </c>
      <c r="B183" s="9" t="inlineStr">
        <is>
          <t>توثيق وحوكمة</t>
        </is>
      </c>
      <c r="C183" s="9" t="inlineStr">
        <is>
          <t>نسبة اكتمال سجلات الجودة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🟠 مهم</t>
        </is>
      </c>
      <c r="H183" s="61" t="n">
        <v>0.07000000000000001</v>
      </c>
      <c r="I183" s="46" t="n">
        <v>0.95</v>
      </c>
      <c r="J183" s="46" t="n">
        <v>0.982</v>
      </c>
      <c r="K183" s="61" t="n">
        <v>1</v>
      </c>
      <c r="L183" s="27" t="inlineStr">
        <is>
          <t>✅ محقق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مدير الجودة</t>
        </is>
      </c>
      <c r="Q183" s="13" t="inlineStr">
        <is>
          <t>نظام إدارة الجودة (QMS)</t>
        </is>
      </c>
      <c r="R183" s="15" t="inlineStr">
        <is>
          <t>شهري</t>
        </is>
      </c>
      <c r="S183" s="46" t="n">
        <v>0.841</v>
      </c>
      <c r="T183" s="46" t="n">
        <v>0.911</v>
      </c>
      <c r="U183" s="46" t="n">
        <v>0.982</v>
      </c>
      <c r="V183" s="61" t="n">
        <v>0.1677</v>
      </c>
      <c r="W183" s="61" t="n">
        <v>1</v>
      </c>
      <c r="X183" s="61" t="n">
        <v>0.85</v>
      </c>
      <c r="Y183" s="71" t="inlineStr"/>
      <c r="Z183" s="69" t="inlineStr"/>
      <c r="AA183" s="27" t="inlineStr">
        <is>
          <t>محقق</t>
        </is>
      </c>
      <c r="AB183" s="27" t="n">
        <v>1</v>
      </c>
      <c r="AC183" s="74" t="inlineStr">
        <is>
          <t>#2EAD6B</t>
        </is>
      </c>
    </row>
    <row r="184">
      <c r="A184" s="9" t="inlineStr">
        <is>
          <t>الجودة</t>
        </is>
      </c>
      <c r="B184" s="9" t="inlineStr">
        <is>
          <t>الابتكار والرقمنة</t>
        </is>
      </c>
      <c r="C184" s="9" t="inlineStr">
        <is>
          <t>نسبة رقمنة عمليات الجودة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🟠 مهم</t>
        </is>
      </c>
      <c r="H184" s="61" t="n">
        <v>0.07000000000000001</v>
      </c>
      <c r="I184" s="46" t="n">
        <v>0.8</v>
      </c>
      <c r="J184" s="46" t="n">
        <v>0.834</v>
      </c>
      <c r="K184" s="61" t="n">
        <v>1</v>
      </c>
      <c r="L184" s="27" t="inlineStr">
        <is>
          <t>✅ محقق</t>
        </is>
      </c>
      <c r="M184" s="27" t="inlineStr">
        <is>
          <t>الابتكار</t>
        </is>
      </c>
      <c r="N184" s="13" t="inlineStr">
        <is>
          <t>التحول التقني</t>
        </is>
      </c>
      <c r="O184" s="15" t="inlineStr">
        <is>
          <t>التعلّم والنمو</t>
        </is>
      </c>
      <c r="P184" s="15" t="inlineStr">
        <is>
          <t>مدير الجودة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0.724</v>
      </c>
      <c r="T184" s="46" t="n">
        <v>0.779</v>
      </c>
      <c r="U184" s="46" t="n">
        <v>0.834</v>
      </c>
      <c r="V184" s="61" t="n">
        <v>0.1519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  <row r="185">
      <c r="A185" s="9" t="inlineStr">
        <is>
          <t>الجودة</t>
        </is>
      </c>
      <c r="B185" s="9" t="inlineStr">
        <is>
          <t>التحسين المستمر</t>
        </is>
      </c>
      <c r="C185" s="9" t="inlineStr">
        <is>
          <t>عدد مبادرات التحسين المؤثرة</t>
        </is>
      </c>
      <c r="D185" s="15" t="inlineStr">
        <is>
          <t>⚙️ نشاط</t>
        </is>
      </c>
      <c r="E185" s="46" t="inlineStr">
        <is>
          <t>مبادرة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0.07000000000000001</v>
      </c>
      <c r="I185" s="46" t="n">
        <v>8</v>
      </c>
      <c r="J185" s="46" t="n">
        <v>6.827</v>
      </c>
      <c r="K185" s="61" t="n">
        <v>0.853375</v>
      </c>
      <c r="L185" s="27" t="inlineStr">
        <is>
          <t>🟡 قريب</t>
        </is>
      </c>
      <c r="M185" s="27" t="inlineStr">
        <is>
          <t>الاستدامة</t>
        </is>
      </c>
      <c r="N185" s="13" t="inlineStr">
        <is>
          <t>جودة التشغيل</t>
        </is>
      </c>
      <c r="O185" s="15" t="inlineStr">
        <is>
          <t>التعلّم والنمو</t>
        </is>
      </c>
      <c r="P185" s="15" t="inlineStr">
        <is>
          <t>مدير الجودة</t>
        </is>
      </c>
      <c r="Q185" s="13" t="inlineStr">
        <is>
          <t>سجلات الإدارة</t>
        </is>
      </c>
      <c r="R185" s="15" t="inlineStr">
        <is>
          <t>ربعي</t>
        </is>
      </c>
      <c r="S185" s="46" t="n">
        <v>5.487</v>
      </c>
      <c r="T185" s="46" t="n">
        <v>6.157</v>
      </c>
      <c r="U185" s="46" t="n">
        <v>13.654</v>
      </c>
      <c r="V185" s="61" t="n">
        <v>0.2442</v>
      </c>
      <c r="W185" s="61" t="n">
        <v>1</v>
      </c>
      <c r="X185" s="61" t="n">
        <v>0.85</v>
      </c>
      <c r="Y185" s="71" t="inlineStr">
        <is>
          <t>قريب من المستهدف — فجوة 15٪، متابعة لإغلاقها.</t>
        </is>
      </c>
      <c r="Z185" s="69" t="inlineStr">
        <is>
          <t>متابعة أسبوعية حتى بلوغ المستهدف.</t>
        </is>
      </c>
      <c r="AA185" s="27" t="inlineStr">
        <is>
          <t>قريب</t>
        </is>
      </c>
      <c r="AB185" s="27" t="n">
        <v>2</v>
      </c>
      <c r="AC185" s="72" t="inlineStr">
        <is>
          <t>#F2C94C</t>
        </is>
      </c>
    </row>
    <row r="186">
      <c r="A186" s="9" t="inlineStr">
        <is>
          <t>الإدارة القانونية</t>
        </is>
      </c>
      <c r="B186" s="9" t="inlineStr">
        <is>
          <t>أعمال العقود</t>
        </is>
      </c>
      <c r="C186" s="9" t="inlineStr">
        <is>
          <t>نسبة العقود المُراجَعة قانونياً قبل التوقيع</t>
        </is>
      </c>
      <c r="D186" s="15" t="inlineStr">
        <is>
          <t>🔧 تشغيلي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🔴 رئيسي</t>
        </is>
      </c>
      <c r="H186" s="61" t="n">
        <v>0.1</v>
      </c>
      <c r="I186" s="46" t="n">
        <v>1</v>
      </c>
      <c r="J186" s="46" t="n">
        <v>1.013</v>
      </c>
      <c r="K186" s="61" t="n">
        <v>1</v>
      </c>
      <c r="L186" s="27" t="inlineStr">
        <is>
          <t>✅ محقق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العمليات الداخلية</t>
        </is>
      </c>
      <c r="P186" s="15" t="inlineStr">
        <is>
          <t>المدير القانوني</t>
        </is>
      </c>
      <c r="Q186" s="13" t="inlineStr">
        <is>
          <t>نظام إدارة العقود (CRM)</t>
        </is>
      </c>
      <c r="R186" s="15" t="inlineStr">
        <is>
          <t>شهري</t>
        </is>
      </c>
      <c r="S186" s="46" t="n">
        <v>0.91</v>
      </c>
      <c r="T186" s="46" t="n">
        <v>0.962</v>
      </c>
      <c r="U186" s="46" t="n">
        <v>1.013</v>
      </c>
      <c r="V186" s="61" t="n">
        <v>0.1132</v>
      </c>
      <c r="W186" s="61" t="n">
        <v>1</v>
      </c>
      <c r="X186" s="61" t="n">
        <v>0.85</v>
      </c>
      <c r="Y186" s="71" t="inlineStr"/>
      <c r="Z186" s="69" t="inlineStr"/>
      <c r="AA186" s="27" t="inlineStr">
        <is>
          <t>محقق</t>
        </is>
      </c>
      <c r="AB186" s="27" t="n">
        <v>1</v>
      </c>
      <c r="AC186" s="74" t="inlineStr">
        <is>
          <t>#2EAD6B</t>
        </is>
      </c>
    </row>
    <row r="187">
      <c r="A187" s="9" t="inlineStr">
        <is>
          <t>الإدارة القانونية</t>
        </is>
      </c>
      <c r="B187" s="9" t="inlineStr">
        <is>
          <t>أعمال العقود</t>
        </is>
      </c>
      <c r="C187" s="9" t="inlineStr">
        <is>
          <t>متوسط زمن صياغة ومراجعة العقد</t>
        </is>
      </c>
      <c r="D187" s="15" t="inlineStr">
        <is>
          <t>🔧 تشغيلي</t>
        </is>
      </c>
      <c r="E187" s="46" t="inlineStr">
        <is>
          <t>يوم</t>
        </is>
      </c>
      <c r="F187" s="46" t="inlineStr">
        <is>
          <t>↓</t>
        </is>
      </c>
      <c r="G187" s="15" t="inlineStr">
        <is>
          <t>🔴 رئيسي</t>
        </is>
      </c>
      <c r="H187" s="61" t="n">
        <v>0.1</v>
      </c>
      <c r="I187" s="46" t="n">
        <v>3</v>
      </c>
      <c r="J187" s="46" t="n">
        <v>2.994</v>
      </c>
      <c r="K187" s="61" t="n">
        <v>1</v>
      </c>
      <c r="L187" s="27" t="inlineStr">
        <is>
          <t>✅ محقق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القضايا والتحقيقات</t>
        </is>
      </c>
      <c r="R187" s="15" t="inlineStr">
        <is>
          <t>شهري</t>
        </is>
      </c>
      <c r="S187" s="46" t="n">
        <v>3.446</v>
      </c>
      <c r="T187" s="46" t="n">
        <v>3.22</v>
      </c>
      <c r="U187" s="46" t="n">
        <v>2.994</v>
      </c>
      <c r="V187" s="61" t="n">
        <v>-0.1312</v>
      </c>
      <c r="W187" s="61" t="n">
        <v>1</v>
      </c>
      <c r="X187" s="61" t="n">
        <v>0.85</v>
      </c>
      <c r="Y187" s="71" t="inlineStr"/>
      <c r="Z187" s="69" t="inlineStr"/>
      <c r="AA187" s="27" t="inlineStr">
        <is>
          <t>محقق</t>
        </is>
      </c>
      <c r="AB187" s="27" t="n">
        <v>1</v>
      </c>
      <c r="AC187" s="74" t="inlineStr">
        <is>
          <t>#2EAD6B</t>
        </is>
      </c>
    </row>
    <row r="188">
      <c r="A188" s="9" t="inlineStr">
        <is>
          <t>الإدارة القانونية</t>
        </is>
      </c>
      <c r="B188" s="9" t="inlineStr">
        <is>
          <t>أعمال العقود</t>
        </is>
      </c>
      <c r="C188" s="9" t="inlineStr">
        <is>
          <t>نسبة العقود الخالية من الملاحظات والمخاطر القانونية</t>
        </is>
      </c>
      <c r="D188" s="15" t="inlineStr">
        <is>
          <t>🎯 نتيجة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🔴 رئيسي</t>
        </is>
      </c>
      <c r="H188" s="61" t="n">
        <v>0.1</v>
      </c>
      <c r="I188" s="46" t="n">
        <v>0.95</v>
      </c>
      <c r="J188" s="46" t="n">
        <v>0.924</v>
      </c>
      <c r="K188" s="61" t="n">
        <v>0.9726315789473685</v>
      </c>
      <c r="L188" s="27" t="inlineStr">
        <is>
          <t>🟡 قريب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الجودة (QMS)</t>
        </is>
      </c>
      <c r="R188" s="15" t="inlineStr">
        <is>
          <t>شهري</t>
        </is>
      </c>
      <c r="S188" s="46" t="n">
        <v>0.803</v>
      </c>
      <c r="T188" s="46" t="n">
        <v>0.864</v>
      </c>
      <c r="U188" s="46" t="n">
        <v>0.924</v>
      </c>
      <c r="V188" s="61" t="n">
        <v>0.1507</v>
      </c>
      <c r="W188" s="61" t="n">
        <v>1</v>
      </c>
      <c r="X188" s="61" t="n">
        <v>0.85</v>
      </c>
      <c r="Y188" s="71" t="inlineStr">
        <is>
          <t>قريب من المستهدف — فجوة 3٪، متابعة لإغلاقها.</t>
        </is>
      </c>
      <c r="Z188" s="69" t="inlineStr">
        <is>
          <t>متابعة أسبوعية حتى بلوغ المستهدف.</t>
        </is>
      </c>
      <c r="AA188" s="27" t="inlineStr">
        <is>
          <t>قريب</t>
        </is>
      </c>
      <c r="AB188" s="27" t="n">
        <v>2</v>
      </c>
      <c r="AC188" s="72" t="inlineStr">
        <is>
          <t>#F2C94C</t>
        </is>
      </c>
    </row>
    <row r="189">
      <c r="A189" s="9" t="inlineStr">
        <is>
          <t>الإدارة القانونية</t>
        </is>
      </c>
      <c r="B189" s="9" t="inlineStr">
        <is>
          <t>أعمال القضايا</t>
        </is>
      </c>
      <c r="C189" s="9" t="inlineStr">
        <is>
          <t>نسبة القضايا المُغلقة لصالح الشركة</t>
        </is>
      </c>
      <c r="D189" s="15" t="inlineStr">
        <is>
          <t>🔧 تشغيلي</t>
        </is>
      </c>
      <c r="E189" s="46" t="inlineStr">
        <is>
          <t>%</t>
        </is>
      </c>
      <c r="F189" s="46" t="inlineStr">
        <is>
          <t>↑</t>
        </is>
      </c>
      <c r="G189" s="15" t="inlineStr">
        <is>
          <t>🟠 مهم</t>
        </is>
      </c>
      <c r="H189" s="61" t="n">
        <v>0.07000000000000001</v>
      </c>
      <c r="I189" s="46" t="n">
        <v>0.8</v>
      </c>
      <c r="J189" s="46" t="n">
        <v>0.664</v>
      </c>
      <c r="K189" s="61" t="n">
        <v>0.83</v>
      </c>
      <c r="L189" s="27" t="inlineStr">
        <is>
          <t>🔴 تحت الهدف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القضايا والتحقيقات</t>
        </is>
      </c>
      <c r="R189" s="15" t="inlineStr">
        <is>
          <t>شهري</t>
        </is>
      </c>
      <c r="S189" s="46" t="n">
        <v>0.532</v>
      </c>
      <c r="T189" s="46" t="n">
        <v>0.598</v>
      </c>
      <c r="U189" s="46" t="n">
        <v>0.664</v>
      </c>
      <c r="V189" s="61" t="n">
        <v>0.2481</v>
      </c>
      <c r="W189" s="61" t="n">
        <v>1</v>
      </c>
      <c r="X189" s="61" t="n">
        <v>0.85</v>
      </c>
      <c r="Y189" s="75" t="inlineStr">
        <is>
          <t>دون المستهدف — فجوة 17٪، يتطلب إجراءً تصحيحياً عاجلاً.</t>
        </is>
      </c>
      <c r="Z189" s="69" t="inlineStr">
        <is>
          <t>إطلاق إجراء تصحيحي خلال 30 يوماً بإشراف المدير القانوني.</t>
        </is>
      </c>
      <c r="AA189" s="27" t="inlineStr">
        <is>
          <t>تحت الهدف</t>
        </is>
      </c>
      <c r="AB189" s="27" t="n">
        <v>3</v>
      </c>
      <c r="AC189" s="76" t="inlineStr">
        <is>
          <t>#EB5757</t>
        </is>
      </c>
    </row>
    <row r="190">
      <c r="A190" s="9" t="inlineStr">
        <is>
          <t>الإدارة القانونية</t>
        </is>
      </c>
      <c r="B190" s="9" t="inlineStr">
        <is>
          <t>أعمال القضايا</t>
        </is>
      </c>
      <c r="C190" s="9" t="inlineStr">
        <is>
          <t>نسبة تقديم المذكرات والردود في المواعيد النظامية</t>
        </is>
      </c>
      <c r="D190" s="15" t="inlineStr">
        <is>
          <t>🔧 تشغيلي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0.07000000000000001</v>
      </c>
      <c r="I190" s="46" t="n">
        <v>1</v>
      </c>
      <c r="J190" s="46" t="n">
        <v>0.797</v>
      </c>
      <c r="K190" s="61" t="n">
        <v>0.797</v>
      </c>
      <c r="L190" s="27" t="inlineStr">
        <is>
          <t>🔴 تحت الهدف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القضايا والتحقيقات</t>
        </is>
      </c>
      <c r="R190" s="15" t="inlineStr">
        <is>
          <t>شهري</t>
        </is>
      </c>
      <c r="S190" s="46" t="n">
        <v>0.638</v>
      </c>
      <c r="T190" s="46" t="n">
        <v>0.718</v>
      </c>
      <c r="U190" s="46" t="n">
        <v>0.797</v>
      </c>
      <c r="V190" s="61" t="n">
        <v>0.2492</v>
      </c>
      <c r="W190" s="61" t="n">
        <v>1</v>
      </c>
      <c r="X190" s="61" t="n">
        <v>0.85</v>
      </c>
      <c r="Y190" s="75" t="inlineStr">
        <is>
          <t>دون المستهدف — فجوة 20٪، يتطلب إجراءً تصحيحياً عاجلاً.</t>
        </is>
      </c>
      <c r="Z190" s="69" t="inlineStr">
        <is>
          <t>إطلاق إجراء تصحيحي خلال 30 يوماً بإشراف المدير القانوني.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القانونية</t>
        </is>
      </c>
      <c r="B191" s="9" t="inlineStr">
        <is>
          <t>أعمال القضايا</t>
        </is>
      </c>
      <c r="C191" s="9" t="inlineStr">
        <is>
          <t>متوسط زمن إعداد المذكرة القانونية</t>
        </is>
      </c>
      <c r="D191" s="15" t="inlineStr">
        <is>
          <t>⚙️ نشاط</t>
        </is>
      </c>
      <c r="E191" s="46" t="inlineStr">
        <is>
          <t>يوم</t>
        </is>
      </c>
      <c r="F191" s="46" t="inlineStr">
        <is>
          <t>↓</t>
        </is>
      </c>
      <c r="G191" s="15" t="inlineStr">
        <is>
          <t>🟠 مهم</t>
        </is>
      </c>
      <c r="H191" s="61" t="n">
        <v>0.07000000000000001</v>
      </c>
      <c r="I191" s="46" t="n">
        <v>5</v>
      </c>
      <c r="J191" s="46" t="n">
        <v>4.545</v>
      </c>
      <c r="K191" s="61" t="n">
        <v>1</v>
      </c>
      <c r="L191" s="27" t="inlineStr">
        <is>
          <t>✅ محقق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القانوني</t>
        </is>
      </c>
      <c r="Q191" s="13" t="inlineStr">
        <is>
          <t>نظام إدارة القضايا والتحقيقات</t>
        </is>
      </c>
      <c r="R191" s="15" t="inlineStr">
        <is>
          <t>شهري</t>
        </is>
      </c>
      <c r="S191" s="46" t="n">
        <v>5.434</v>
      </c>
      <c r="T191" s="46" t="n">
        <v>4.989</v>
      </c>
      <c r="U191" s="46" t="n">
        <v>4.545</v>
      </c>
      <c r="V191" s="61" t="n">
        <v>-0.1636</v>
      </c>
      <c r="W191" s="61" t="n">
        <v>1</v>
      </c>
      <c r="X191" s="61" t="n">
        <v>0.85</v>
      </c>
      <c r="Y191" s="71" t="inlineStr"/>
      <c r="Z191" s="69" t="inlineStr"/>
      <c r="AA191" s="27" t="inlineStr">
        <is>
          <t>محقق</t>
        </is>
      </c>
      <c r="AB191" s="27" t="n">
        <v>1</v>
      </c>
      <c r="AC191" s="74" t="inlineStr">
        <is>
          <t>#2EAD6B</t>
        </is>
      </c>
    </row>
    <row r="192">
      <c r="A192" s="9" t="inlineStr">
        <is>
          <t>الإدارة القانونية</t>
        </is>
      </c>
      <c r="B192" s="9" t="inlineStr">
        <is>
          <t>الاستشارات القانونية</t>
        </is>
      </c>
      <c r="C192" s="9" t="inlineStr">
        <is>
          <t>نسبة الاستشارات المُنجزة ضمن المدة المستهدفة (SLA)</t>
        </is>
      </c>
      <c r="D192" s="15" t="inlineStr">
        <is>
          <t>🔧 تشغيلي</t>
        </is>
      </c>
      <c r="E192" s="46" t="inlineStr">
        <is>
          <t>%</t>
        </is>
      </c>
      <c r="F192" s="46" t="inlineStr">
        <is>
          <t>↑</t>
        </is>
      </c>
      <c r="G192" s="15" t="inlineStr">
        <is>
          <t>🟠 مهم</t>
        </is>
      </c>
      <c r="H192" s="61" t="n">
        <v>0.07000000000000001</v>
      </c>
      <c r="I192" s="46" t="n">
        <v>0.9</v>
      </c>
      <c r="J192" s="46" t="n">
        <v>0.659</v>
      </c>
      <c r="K192" s="61" t="n">
        <v>0.7322222222222222</v>
      </c>
      <c r="L192" s="27" t="inlineStr">
        <is>
          <t>🔴 تحت الهدف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القضايا والتحقيقات</t>
        </is>
      </c>
      <c r="R192" s="15" t="inlineStr">
        <is>
          <t>شهري</t>
        </is>
      </c>
      <c r="S192" s="46" t="n">
        <v>0.5570000000000001</v>
      </c>
      <c r="T192" s="46" t="n">
        <v>0.608</v>
      </c>
      <c r="U192" s="46" t="n">
        <v>0.659</v>
      </c>
      <c r="V192" s="61" t="n">
        <v>0.1831</v>
      </c>
      <c r="W192" s="61" t="n">
        <v>1</v>
      </c>
      <c r="X192" s="61" t="n">
        <v>0.85</v>
      </c>
      <c r="Y192" s="75" t="inlineStr">
        <is>
          <t>دون المستهدف — فجوة 27٪، يتطلب إجراءً تصحيحياً عاجلاً.</t>
        </is>
      </c>
      <c r="Z192" s="69" t="inlineStr">
        <is>
          <t>إطلاق إجراء تصحيحي خلال 30 يوماً بإشراف المدير القانوني.</t>
        </is>
      </c>
      <c r="AA192" s="27" t="inlineStr">
        <is>
          <t>تحت الهدف</t>
        </is>
      </c>
      <c r="AB192" s="27" t="n">
        <v>3</v>
      </c>
      <c r="AC192" s="76" t="inlineStr">
        <is>
          <t>#EB5757</t>
        </is>
      </c>
    </row>
    <row r="193">
      <c r="A193" s="9" t="inlineStr">
        <is>
          <t>الإدارة القانونية</t>
        </is>
      </c>
      <c r="B193" s="9" t="inlineStr">
        <is>
          <t>الاستشارات القانونية</t>
        </is>
      </c>
      <c r="C193" s="9" t="inlineStr">
        <is>
          <t>مستوى رضا الإدارات عن الدعم القانوني</t>
        </is>
      </c>
      <c r="D193" s="15" t="inlineStr">
        <is>
          <t>🎯 نتيجة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🔴 رئيسي</t>
        </is>
      </c>
      <c r="H193" s="61" t="n">
        <v>0.1</v>
      </c>
      <c r="I193" s="46" t="n">
        <v>0.85</v>
      </c>
      <c r="J193" s="46" t="n">
        <v>0.674</v>
      </c>
      <c r="K193" s="61" t="n">
        <v>0.7929411764705883</v>
      </c>
      <c r="L193" s="27" t="inlineStr">
        <is>
          <t>🟡 قريب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العملاء</t>
        </is>
      </c>
      <c r="P193" s="15" t="inlineStr">
        <is>
          <t>المدير القانوني</t>
        </is>
      </c>
      <c r="Q193" s="13" t="inlineStr">
        <is>
          <t>استبيان دوري</t>
        </is>
      </c>
      <c r="R193" s="15" t="inlineStr">
        <is>
          <t>ربعي</t>
        </is>
      </c>
      <c r="S193" s="46" t="n">
        <v>0.614</v>
      </c>
      <c r="T193" s="46" t="n">
        <v>0.644</v>
      </c>
      <c r="U193" s="46" t="n">
        <v>0.674</v>
      </c>
      <c r="V193" s="61" t="n">
        <v>0.0977</v>
      </c>
      <c r="W193" s="61" t="n">
        <v>0.9</v>
      </c>
      <c r="X193" s="61" t="n">
        <v>0.75</v>
      </c>
      <c r="Y193" s="71" t="inlineStr">
        <is>
          <t>قريب من المستهدف — فجوة 21٪، متابعة لإغلاقها.</t>
        </is>
      </c>
      <c r="Z193" s="69" t="inlineStr">
        <is>
          <t>متابعة أسبوعية حتى بلوغ المستهدف.</t>
        </is>
      </c>
      <c r="AA193" s="27" t="inlineStr">
        <is>
          <t>قريب</t>
        </is>
      </c>
      <c r="AB193" s="27" t="n">
        <v>2</v>
      </c>
      <c r="AC193" s="72" t="inlineStr">
        <is>
          <t>#F2C94C</t>
        </is>
      </c>
    </row>
    <row r="194">
      <c r="A194" s="9" t="inlineStr">
        <is>
          <t>الإدارة القانونية</t>
        </is>
      </c>
      <c r="B194" s="9" t="inlineStr">
        <is>
          <t>التحقيق</t>
        </is>
      </c>
      <c r="C194" s="9" t="inlineStr">
        <is>
          <t>نسبة إنجاز التحقيقات ضمن المدة المحددة</t>
        </is>
      </c>
      <c r="D194" s="15" t="inlineStr">
        <is>
          <t>🔧 تشغيلي</t>
        </is>
      </c>
      <c r="E194" s="46" t="inlineStr">
        <is>
          <t>%</t>
        </is>
      </c>
      <c r="F194" s="46" t="inlineStr">
        <is>
          <t>↑</t>
        </is>
      </c>
      <c r="G194" s="15" t="inlineStr">
        <is>
          <t>🟠 مهم</t>
        </is>
      </c>
      <c r="H194" s="61" t="n">
        <v>0.07000000000000001</v>
      </c>
      <c r="I194" s="46" t="n">
        <v>0.9</v>
      </c>
      <c r="J194" s="46" t="n">
        <v>0.753</v>
      </c>
      <c r="K194" s="61" t="n">
        <v>0.8366666666666667</v>
      </c>
      <c r="L194" s="27" t="inlineStr">
        <is>
          <t>🔴 تحت الهدف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القانوني</t>
        </is>
      </c>
      <c r="Q194" s="13" t="inlineStr">
        <is>
          <t>نظام إدارة القضايا والتحقيقات</t>
        </is>
      </c>
      <c r="R194" s="15" t="inlineStr">
        <is>
          <t>شهري</t>
        </is>
      </c>
      <c r="S194" s="46" t="n">
        <v>0.681</v>
      </c>
      <c r="T194" s="46" t="n">
        <v>0.717</v>
      </c>
      <c r="U194" s="46" t="n">
        <v>0.753</v>
      </c>
      <c r="V194" s="61" t="n">
        <v>0.1057</v>
      </c>
      <c r="W194" s="61" t="n">
        <v>1</v>
      </c>
      <c r="X194" s="61" t="n">
        <v>0.85</v>
      </c>
      <c r="Y194" s="75" t="inlineStr">
        <is>
          <t>دون المستهدف — فجوة 16٪، يتطلب إجراءً تصحيحياً عاجلاً.</t>
        </is>
      </c>
      <c r="Z194" s="69" t="inlineStr">
        <is>
          <t>إطلاق إجراء تصحيحي خلال 30 يوماً بإشراف المدير القانوني.</t>
        </is>
      </c>
      <c r="AA194" s="27" t="inlineStr">
        <is>
          <t>تحت الهدف</t>
        </is>
      </c>
      <c r="AB194" s="27" t="n">
        <v>3</v>
      </c>
      <c r="AC194" s="76" t="inlineStr">
        <is>
          <t>#EB5757</t>
        </is>
      </c>
    </row>
    <row r="195">
      <c r="A195" s="9" t="inlineStr">
        <is>
          <t>الإدارة القانونية</t>
        </is>
      </c>
      <c r="B195" s="9" t="inlineStr">
        <is>
          <t>التحقيق</t>
        </is>
      </c>
      <c r="C195" s="9" t="inlineStr">
        <is>
          <t>نسبة التحقيقات المُغلقة من إجمالي المُحالة</t>
        </is>
      </c>
      <c r="D195" s="15" t="inlineStr">
        <is>
          <t>🔧 تشغيلي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🟠 مهم</t>
        </is>
      </c>
      <c r="H195" s="61" t="n">
        <v>0.07000000000000001</v>
      </c>
      <c r="I195" s="46" t="n">
        <v>0.95</v>
      </c>
      <c r="J195" s="46" t="n">
        <v>0.719</v>
      </c>
      <c r="K195" s="61" t="n">
        <v>0.7568421052631579</v>
      </c>
      <c r="L195" s="27" t="inlineStr">
        <is>
          <t>🔴 تحت الهدف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القانوني</t>
        </is>
      </c>
      <c r="Q195" s="13" t="inlineStr">
        <is>
          <t>نظام إدارة القضايا والتحقيقات</t>
        </is>
      </c>
      <c r="R195" s="15" t="inlineStr">
        <is>
          <t>شهري</t>
        </is>
      </c>
      <c r="S195" s="46" t="n">
        <v>0.649</v>
      </c>
      <c r="T195" s="46" t="n">
        <v>0.6840000000000001</v>
      </c>
      <c r="U195" s="46" t="n">
        <v>0.719</v>
      </c>
      <c r="V195" s="61" t="n">
        <v>0.1079</v>
      </c>
      <c r="W195" s="61" t="n">
        <v>1</v>
      </c>
      <c r="X195" s="61" t="n">
        <v>0.85</v>
      </c>
      <c r="Y195" s="75" t="inlineStr">
        <is>
          <t>دون المستهدف — فجوة 24٪، يتطلب إجراءً تصحيحياً عاجلاً.</t>
        </is>
      </c>
      <c r="Z195" s="69" t="inlineStr">
        <is>
          <t>إطلاق إجراء تصحيحي خلال 30 يوماً بإشراف المدير القانوني.</t>
        </is>
      </c>
      <c r="AA195" s="27" t="inlineStr">
        <is>
          <t>تحت الهدف</t>
        </is>
      </c>
      <c r="AB195" s="27" t="n">
        <v>3</v>
      </c>
      <c r="AC195" s="76" t="inlineStr">
        <is>
          <t>#EB5757</t>
        </is>
      </c>
    </row>
    <row r="196">
      <c r="A196" s="9" t="inlineStr">
        <is>
          <t>الإدارة القانونية</t>
        </is>
      </c>
      <c r="B196" s="9" t="inlineStr">
        <is>
          <t>التحقيق</t>
        </is>
      </c>
      <c r="C196" s="9" t="inlineStr">
        <is>
          <t>متوسط زمن إغلاق قضية التحقيق</t>
        </is>
      </c>
      <c r="D196" s="15" t="inlineStr">
        <is>
          <t>🎯 نتيجة</t>
        </is>
      </c>
      <c r="E196" s="46" t="inlineStr">
        <is>
          <t>يوم</t>
        </is>
      </c>
      <c r="F196" s="46" t="inlineStr">
        <is>
          <t>↓</t>
        </is>
      </c>
      <c r="G196" s="15" t="inlineStr">
        <is>
          <t>🟠 مهم</t>
        </is>
      </c>
      <c r="H196" s="61" t="n">
        <v>0.06</v>
      </c>
      <c r="I196" s="46" t="n">
        <v>30</v>
      </c>
      <c r="J196" s="46" t="n">
        <v>31.9</v>
      </c>
      <c r="K196" s="61" t="n">
        <v>0.9404388714733543</v>
      </c>
      <c r="L196" s="27" t="inlineStr">
        <is>
          <t>🟡 قريب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العمليات الداخلية</t>
        </is>
      </c>
      <c r="P196" s="15" t="inlineStr">
        <is>
          <t>المدير القانوني</t>
        </is>
      </c>
      <c r="Q196" s="13" t="inlineStr">
        <is>
          <t>نظام إدارة القضايا والتحقيقات</t>
        </is>
      </c>
      <c r="R196" s="15" t="inlineStr">
        <is>
          <t>شهري</t>
        </is>
      </c>
      <c r="S196" s="46" t="n">
        <v>37.867</v>
      </c>
      <c r="T196" s="46" t="n">
        <v>34.883</v>
      </c>
      <c r="U196" s="46" t="n">
        <v>31.9</v>
      </c>
      <c r="V196" s="61" t="n">
        <v>-0.1576</v>
      </c>
      <c r="W196" s="61" t="n">
        <v>1</v>
      </c>
      <c r="X196" s="61" t="n">
        <v>0.85</v>
      </c>
      <c r="Y196" s="71" t="inlineStr">
        <is>
          <t>قريب من المستهدف — فجوة 6٪، متابعة لإغلاقها.</t>
        </is>
      </c>
      <c r="Z196" s="69" t="inlineStr">
        <is>
          <t>متابعة أسبوعية حتى بلوغ المستهدف.</t>
        </is>
      </c>
      <c r="AA196" s="27" t="inlineStr">
        <is>
          <t>قريب</t>
        </is>
      </c>
      <c r="AB196" s="27" t="n">
        <v>2</v>
      </c>
      <c r="AC196" s="72" t="inlineStr">
        <is>
          <t>#F2C94C</t>
        </is>
      </c>
    </row>
    <row r="197">
      <c r="A197" s="9" t="inlineStr">
        <is>
          <t>الإدارة القانونية</t>
        </is>
      </c>
      <c r="B197" s="9" t="inlineStr">
        <is>
          <t>التحقيق</t>
        </is>
      </c>
      <c r="C197" s="9" t="inlineStr">
        <is>
          <t>نسبة تنفيذ التوصيات الصادرة عن التحقيقات</t>
        </is>
      </c>
      <c r="D197" s="15" t="inlineStr">
        <is>
          <t>⚙️ نشاط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0.06</v>
      </c>
      <c r="I197" s="46" t="n">
        <v>0.9</v>
      </c>
      <c r="J197" s="46" t="n">
        <v>0.651</v>
      </c>
      <c r="K197" s="61" t="n">
        <v>0.7233333333333334</v>
      </c>
      <c r="L197" s="27" t="inlineStr">
        <is>
          <t>🔴 تحت الهدف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العمليات الداخلية</t>
        </is>
      </c>
      <c r="P197" s="15" t="inlineStr">
        <is>
          <t>المدير القانوني</t>
        </is>
      </c>
      <c r="Q197" s="13" t="inlineStr">
        <is>
          <t>نظام إدارة القضايا والتحقيقات</t>
        </is>
      </c>
      <c r="R197" s="15" t="inlineStr">
        <is>
          <t>شهري</t>
        </is>
      </c>
      <c r="S197" s="46" t="n">
        <v>0.533</v>
      </c>
      <c r="T197" s="46" t="n">
        <v>0.592</v>
      </c>
      <c r="U197" s="46" t="n">
        <v>0.651</v>
      </c>
      <c r="V197" s="61" t="n">
        <v>0.2214</v>
      </c>
      <c r="W197" s="61" t="n">
        <v>1</v>
      </c>
      <c r="X197" s="61" t="n">
        <v>0.85</v>
      </c>
      <c r="Y197" s="75" t="inlineStr">
        <is>
          <t>دون المستهدف — فجوة 28٪، يتطلب إجراءً تصحيحياً عاجلاً.</t>
        </is>
      </c>
      <c r="Z197" s="69" t="inlineStr">
        <is>
          <t>إطلاق إجراء تصحيحي خلال 30 يوماً بإشراف المدير القانوني.</t>
        </is>
      </c>
      <c r="AA197" s="27" t="inlineStr">
        <is>
          <t>تحت الهدف</t>
        </is>
      </c>
      <c r="AB197" s="27" t="n">
        <v>3</v>
      </c>
      <c r="AC197" s="76" t="inlineStr">
        <is>
          <t>#EB5757</t>
        </is>
      </c>
    </row>
    <row r="198">
      <c r="A198" s="9" t="inlineStr">
        <is>
          <t>الإدارة القانونية</t>
        </is>
      </c>
      <c r="B198" s="9" t="inlineStr">
        <is>
          <t>التحقيق</t>
        </is>
      </c>
      <c r="C198" s="9" t="inlineStr">
        <is>
          <t>نسبة التزام التحقيقات بالإجراءات النظامية والعدالة الإجرائية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🟠 مهم</t>
        </is>
      </c>
      <c r="H198" s="61" t="n">
        <v>0.06</v>
      </c>
      <c r="I198" s="46" t="n">
        <v>1</v>
      </c>
      <c r="J198" s="46" t="n">
        <v>0.76</v>
      </c>
      <c r="K198" s="61" t="n">
        <v>0.76</v>
      </c>
      <c r="L198" s="27" t="inlineStr">
        <is>
          <t>🔴 تحت الهدف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العمليات الداخلية</t>
        </is>
      </c>
      <c r="P198" s="15" t="inlineStr">
        <is>
          <t>المدير القانوني</t>
        </is>
      </c>
      <c r="Q198" s="13" t="inlineStr">
        <is>
          <t>نظام إدارة القضايا والتحقيقات</t>
        </is>
      </c>
      <c r="R198" s="15" t="inlineStr">
        <is>
          <t>شهري</t>
        </is>
      </c>
      <c r="S198" s="46" t="n">
        <v>0.659</v>
      </c>
      <c r="T198" s="46" t="n">
        <v>0.71</v>
      </c>
      <c r="U198" s="46" t="n">
        <v>0.76</v>
      </c>
      <c r="V198" s="61" t="n">
        <v>0.1533</v>
      </c>
      <c r="W198" s="61" t="n">
        <v>1</v>
      </c>
      <c r="X198" s="61" t="n">
        <v>0.85</v>
      </c>
      <c r="Y198" s="75" t="inlineStr">
        <is>
          <t>دون المستهدف — فجوة 24٪، يتطلب إجراءً تصحيحياً عاجلاً.</t>
        </is>
      </c>
      <c r="Z198" s="69" t="inlineStr">
        <is>
          <t>إطلاق إجراء تصحيحي خلال 30 يوماً بإشراف المدير القانوني.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المالية</t>
        </is>
      </c>
      <c r="B199" s="9" t="inlineStr">
        <is>
          <t>المالية الاستراتيجية</t>
        </is>
      </c>
      <c r="C199" s="9" t="inlineStr">
        <is>
          <t>نمو الإيرادات السنوي</t>
        </is>
      </c>
      <c r="D199" s="15" t="inlineStr">
        <is>
          <t>🎯 نتيجة</t>
        </is>
      </c>
      <c r="E199" s="46" t="inlineStr">
        <is>
          <t>%</t>
        </is>
      </c>
      <c r="F199" s="46" t="inlineStr">
        <is>
          <t>↑</t>
        </is>
      </c>
      <c r="G199" s="15" t="inlineStr">
        <is>
          <t>🔴 رئيسي</t>
        </is>
      </c>
      <c r="H199" s="61" t="n">
        <v>0.05</v>
      </c>
      <c r="I199" s="46" t="n">
        <v>0.2</v>
      </c>
      <c r="J199" s="46" t="n">
        <v>0.169</v>
      </c>
      <c r="K199" s="61" t="n">
        <v>0.845</v>
      </c>
      <c r="L199" s="27" t="inlineStr">
        <is>
          <t>🔴 تحت الهدف</t>
        </is>
      </c>
      <c r="M199" s="27" t="inlineStr">
        <is>
          <t>النمو</t>
        </is>
      </c>
      <c r="N199" s="13" t="inlineStr">
        <is>
          <t>زيادة وصول العملاء</t>
        </is>
      </c>
      <c r="O199" s="15" t="inlineStr">
        <is>
          <t>مالي</t>
        </is>
      </c>
      <c r="P199" s="15" t="inlineStr">
        <is>
          <t>المدير المالي</t>
        </is>
      </c>
      <c r="Q199" s="13" t="inlineStr">
        <is>
          <t>نظام المحاسبة / ERP (D365)</t>
        </is>
      </c>
      <c r="R199" s="15" t="inlineStr">
        <is>
          <t>ربعي</t>
        </is>
      </c>
      <c r="S199" s="46" t="n">
        <v>0.148</v>
      </c>
      <c r="T199" s="46" t="n">
        <v>0.159</v>
      </c>
      <c r="U199" s="46" t="n">
        <v>0.169</v>
      </c>
      <c r="V199" s="61" t="n">
        <v>0.1419</v>
      </c>
      <c r="W199" s="61" t="n">
        <v>1</v>
      </c>
      <c r="X199" s="61" t="n">
        <v>0.85</v>
      </c>
      <c r="Y199" s="75" t="inlineStr">
        <is>
          <t>دون المستهدف — فجوة 16٪، يتطلب إجراءً تصحيحياً عاجلاً.</t>
        </is>
      </c>
      <c r="Z199" s="69" t="inlineStr">
        <is>
          <t>إطلاق إجراء تصحيحي خلال 30 يوماً بإشراف المدير المالي.</t>
        </is>
      </c>
      <c r="AA199" s="27" t="inlineStr">
        <is>
          <t>تحت الهدف</t>
        </is>
      </c>
      <c r="AB199" s="27" t="n">
        <v>3</v>
      </c>
      <c r="AC199" s="76" t="inlineStr">
        <is>
          <t>#EB5757</t>
        </is>
      </c>
    </row>
    <row r="200">
      <c r="A200" s="9" t="inlineStr">
        <is>
          <t>الإدارة المالية</t>
        </is>
      </c>
      <c r="B200" s="9" t="inlineStr">
        <is>
          <t>المالية الاستراتيجية</t>
        </is>
      </c>
      <c r="C200" s="9" t="inlineStr">
        <is>
          <t>هامش EBITDA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0.04</v>
      </c>
      <c r="I200" s="46" t="n">
        <v>0.08</v>
      </c>
      <c r="J200" s="46" t="n">
        <v>0.062</v>
      </c>
      <c r="K200" s="61" t="n">
        <v>0.775</v>
      </c>
      <c r="L200" s="27" t="inlineStr">
        <is>
          <t>🔴 تحت الهدف</t>
        </is>
      </c>
      <c r="M200" s="27" t="inlineStr">
        <is>
          <t>النمو</t>
        </is>
      </c>
      <c r="N200" s="13" t="inlineStr">
        <is>
          <t>زيادة وصول العملاء</t>
        </is>
      </c>
      <c r="O200" s="15" t="inlineStr">
        <is>
          <t>مالي</t>
        </is>
      </c>
      <c r="P200" s="15" t="inlineStr">
        <is>
          <t>المدير المالي</t>
        </is>
      </c>
      <c r="Q200" s="13" t="inlineStr">
        <is>
          <t>نظام المحاسبة / ERP (D365)</t>
        </is>
      </c>
      <c r="R200" s="15" t="inlineStr">
        <is>
          <t>شهري</t>
        </is>
      </c>
      <c r="S200" s="46" t="n">
        <v>0.056</v>
      </c>
      <c r="T200" s="46" t="n">
        <v>0.059</v>
      </c>
      <c r="U200" s="46" t="n">
        <v>0.062</v>
      </c>
      <c r="V200" s="61" t="n">
        <v>0.1071</v>
      </c>
      <c r="W200" s="61" t="n">
        <v>1</v>
      </c>
      <c r="X200" s="61" t="n">
        <v>0.85</v>
      </c>
      <c r="Y200" s="75" t="inlineStr">
        <is>
          <t>دون المستهدف — فجوة 22٪، يتطلب إجراءً تصحيحياً عاجلاً.</t>
        </is>
      </c>
      <c r="Z200" s="69" t="inlineStr">
        <is>
          <t>إطلاق إجراء تصحيحي خلال 30 يوماً بإشراف المدير المالي.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المالية الاستراتيجية</t>
        </is>
      </c>
      <c r="C201" s="9" t="inlineStr">
        <is>
          <t>هامش صافي الربح</t>
        </is>
      </c>
      <c r="D201" s="15" t="inlineStr">
        <is>
          <t>🎯 نتيجة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0.04</v>
      </c>
      <c r="I201" s="46" t="n">
        <v>0.01</v>
      </c>
      <c r="J201" s="46" t="n">
        <v>0.008</v>
      </c>
      <c r="K201" s="61" t="n">
        <v>0.8</v>
      </c>
      <c r="L201" s="27" t="inlineStr">
        <is>
          <t>🔴 تحت الهدف</t>
        </is>
      </c>
      <c r="M201" s="27" t="inlineStr">
        <is>
          <t>النمو</t>
        </is>
      </c>
      <c r="N201" s="13" t="inlineStr">
        <is>
          <t>زيادة وصول العملاء</t>
        </is>
      </c>
      <c r="O201" s="15" t="inlineStr">
        <is>
          <t>مالي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0.007</v>
      </c>
      <c r="T201" s="46" t="n">
        <v>0.007</v>
      </c>
      <c r="U201" s="46" t="n">
        <v>0.008</v>
      </c>
      <c r="V201" s="61" t="n">
        <v>0.1429</v>
      </c>
      <c r="W201" s="61" t="n">
        <v>1</v>
      </c>
      <c r="X201" s="61" t="n">
        <v>0.85</v>
      </c>
      <c r="Y201" s="75" t="inlineStr">
        <is>
          <t>دون المستهدف — فجوة 20٪،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المالية الاستراتيجية</t>
        </is>
      </c>
      <c r="C202" s="9" t="inlineStr">
        <is>
          <t>العائد على حقوق الملكية (ROE)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🔴 رئيسي</t>
        </is>
      </c>
      <c r="H202" s="61" t="n">
        <v>0.05</v>
      </c>
      <c r="I202" s="46" t="n">
        <v>0.1</v>
      </c>
      <c r="J202" s="46" t="n">
        <v>0.074</v>
      </c>
      <c r="K202" s="61" t="n">
        <v>0.7399999999999999</v>
      </c>
      <c r="L202" s="27" t="inlineStr">
        <is>
          <t>🔴 تحت الهدف</t>
        </is>
      </c>
      <c r="M202" s="27" t="inlineStr">
        <is>
          <t>النمو</t>
        </is>
      </c>
      <c r="N202" s="13" t="inlineStr">
        <is>
          <t>زيادة وصول العملاء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ربعي</t>
        </is>
      </c>
      <c r="S202" s="46" t="n">
        <v>0.061</v>
      </c>
      <c r="T202" s="46" t="n">
        <v>0.068</v>
      </c>
      <c r="U202" s="46" t="n">
        <v>0.074</v>
      </c>
      <c r="V202" s="61" t="n">
        <v>0.2131</v>
      </c>
      <c r="W202" s="61" t="n">
        <v>1</v>
      </c>
      <c r="X202" s="61" t="n">
        <v>0.85</v>
      </c>
      <c r="Y202" s="75" t="inlineStr">
        <is>
          <t>دون المستهدف — فجوة 26٪، يتطلب إجراءً تصحيحياً عاجلاً.</t>
        </is>
      </c>
      <c r="Z202" s="69" t="inlineStr">
        <is>
          <t>إطلاق إجراء تصحيحي خلال 30 يوماً بإشراف المدير المالي.</t>
        </is>
      </c>
      <c r="AA202" s="27" t="inlineStr">
        <is>
          <t>تحت الهدف</t>
        </is>
      </c>
      <c r="AB202" s="27" t="n">
        <v>3</v>
      </c>
      <c r="AC202" s="76" t="inlineStr">
        <is>
          <t>#EB5757</t>
        </is>
      </c>
    </row>
    <row r="203">
      <c r="A203" s="9" t="inlineStr">
        <is>
          <t>الإدارة المالية</t>
        </is>
      </c>
      <c r="B203" s="9" t="inlineStr">
        <is>
          <t>المالية الاستراتيجية</t>
        </is>
      </c>
      <c r="C203" s="9" t="inlineStr">
        <is>
          <t>نسبة التدفق النقدي التشغيلي</t>
        </is>
      </c>
      <c r="D203" s="15" t="inlineStr">
        <is>
          <t>🔧 تشغيلي</t>
        </is>
      </c>
      <c r="E203" s="46" t="inlineStr">
        <is>
          <t>نسبة</t>
        </is>
      </c>
      <c r="F203" s="46" t="inlineStr">
        <is>
          <t>↑</t>
        </is>
      </c>
      <c r="G203" s="15" t="inlineStr">
        <is>
          <t>🟠 مهم</t>
        </is>
      </c>
      <c r="H203" s="61" t="n">
        <v>0.04</v>
      </c>
      <c r="I203" s="46" t="n">
        <v>1</v>
      </c>
      <c r="J203" s="46" t="n">
        <v>0.902</v>
      </c>
      <c r="K203" s="61" t="n">
        <v>0.902</v>
      </c>
      <c r="L203" s="27" t="inlineStr">
        <is>
          <t>🟡 قريب</t>
        </is>
      </c>
      <c r="M203" s="27" t="inlineStr">
        <is>
          <t>الاستدامة</t>
        </is>
      </c>
      <c r="N203" s="13" t="inlineStr">
        <is>
          <t>جودة التشغيل</t>
        </is>
      </c>
      <c r="O203" s="15" t="inlineStr">
        <is>
          <t>العمليات الداخلية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0.735</v>
      </c>
      <c r="T203" s="46" t="n">
        <v>0.819</v>
      </c>
      <c r="U203" s="46" t="n">
        <v>0.902</v>
      </c>
      <c r="V203" s="61" t="n">
        <v>0.2272</v>
      </c>
      <c r="W203" s="61" t="n">
        <v>1</v>
      </c>
      <c r="X203" s="61" t="n">
        <v>0.85</v>
      </c>
      <c r="Y203" s="71" t="inlineStr">
        <is>
          <t>قريب من المستهدف — فجوة 10٪، متابعة لإغلاقها.</t>
        </is>
      </c>
      <c r="Z203" s="69" t="inlineStr">
        <is>
          <t>متابعة أسبوعية حتى بلوغ المستهدف.</t>
        </is>
      </c>
      <c r="AA203" s="27" t="inlineStr">
        <is>
          <t>قريب</t>
        </is>
      </c>
      <c r="AB203" s="27" t="n">
        <v>2</v>
      </c>
      <c r="AC203" s="72" t="inlineStr">
        <is>
          <t>#F2C94C</t>
        </is>
      </c>
    </row>
    <row r="204">
      <c r="A204" s="9" t="inlineStr">
        <is>
          <t>الإدارة المالية</t>
        </is>
      </c>
      <c r="B204" s="9" t="inlineStr">
        <is>
          <t>السيولة ورأس المال</t>
        </is>
      </c>
      <c r="C204" s="9" t="inlineStr">
        <is>
          <t>النسبة الجارية (Current Ratio)</t>
        </is>
      </c>
      <c r="D204" s="15" t="inlineStr">
        <is>
          <t>🔧 تشغيلي</t>
        </is>
      </c>
      <c r="E204" s="46" t="inlineStr">
        <is>
          <t>نسبة</t>
        </is>
      </c>
      <c r="F204" s="46" t="inlineStr">
        <is>
          <t>↑</t>
        </is>
      </c>
      <c r="G204" s="15" t="inlineStr">
        <is>
          <t>🟠 مهم</t>
        </is>
      </c>
      <c r="H204" s="61" t="n">
        <v>0.04</v>
      </c>
      <c r="I204" s="46" t="n">
        <v>1</v>
      </c>
      <c r="J204" s="46" t="n">
        <v>0.852</v>
      </c>
      <c r="K204" s="61" t="n">
        <v>0.852</v>
      </c>
      <c r="L204" s="27" t="inlineStr">
        <is>
          <t>🟡 قريب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العمليات الداخلية</t>
        </is>
      </c>
      <c r="P204" s="15" t="inlineStr">
        <is>
          <t>المدير المالي</t>
        </is>
      </c>
      <c r="Q204" s="13" t="inlineStr">
        <is>
          <t>سجلات الإدارة</t>
        </is>
      </c>
      <c r="R204" s="15" t="inlineStr">
        <is>
          <t>شهري</t>
        </is>
      </c>
      <c r="S204" s="46" t="n">
        <v>0.713</v>
      </c>
      <c r="T204" s="46" t="n">
        <v>0.782</v>
      </c>
      <c r="U204" s="46" t="n">
        <v>0.852</v>
      </c>
      <c r="V204" s="61" t="n">
        <v>0.195</v>
      </c>
      <c r="W204" s="61" t="n">
        <v>1</v>
      </c>
      <c r="X204" s="61" t="n">
        <v>0.85</v>
      </c>
      <c r="Y204" s="71" t="inlineStr">
        <is>
          <t>قريب من المستهدف — فجوة 15٪، متابعة لإغلاقها.</t>
        </is>
      </c>
      <c r="Z204" s="69" t="inlineStr">
        <is>
          <t>متابعة أسبوعية حتى بلوغ المستهدف.</t>
        </is>
      </c>
      <c r="AA204" s="27" t="inlineStr">
        <is>
          <t>قريب</t>
        </is>
      </c>
      <c r="AB204" s="27" t="n">
        <v>2</v>
      </c>
      <c r="AC204" s="72" t="inlineStr">
        <is>
          <t>#F2C94C</t>
        </is>
      </c>
    </row>
    <row r="205">
      <c r="A205" s="9" t="inlineStr">
        <is>
          <t>الإدارة المالية</t>
        </is>
      </c>
      <c r="B205" s="9" t="inlineStr">
        <is>
          <t>السيولة ورأس المال</t>
        </is>
      </c>
      <c r="C205" s="9" t="inlineStr">
        <is>
          <t>دورة التحويل النقدي</t>
        </is>
      </c>
      <c r="D205" s="15" t="inlineStr">
        <is>
          <t>🔧 تشغيلي</t>
        </is>
      </c>
      <c r="E205" s="46" t="inlineStr">
        <is>
          <t>يوم</t>
        </is>
      </c>
      <c r="F205" s="46" t="inlineStr">
        <is>
          <t>↓</t>
        </is>
      </c>
      <c r="G205" s="15" t="inlineStr">
        <is>
          <t>🔴 رئيسي</t>
        </is>
      </c>
      <c r="H205" s="61" t="n">
        <v>0.05</v>
      </c>
      <c r="I205" s="46" t="n">
        <v>20</v>
      </c>
      <c r="J205" s="46" t="n">
        <v>19.3</v>
      </c>
      <c r="K205" s="61" t="n">
        <v>1</v>
      </c>
      <c r="L205" s="27" t="inlineStr">
        <is>
          <t>✅ محقق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المحاسبة / ERP (D365)</t>
        </is>
      </c>
      <c r="R205" s="15" t="inlineStr">
        <is>
          <t>شهري</t>
        </is>
      </c>
      <c r="S205" s="46" t="n">
        <v>22.391</v>
      </c>
      <c r="T205" s="46" t="n">
        <v>20.846</v>
      </c>
      <c r="U205" s="46" t="n">
        <v>19.3</v>
      </c>
      <c r="V205" s="61" t="n">
        <v>-0.138</v>
      </c>
      <c r="W205" s="61" t="n">
        <v>1</v>
      </c>
      <c r="X205" s="61" t="n">
        <v>0.85</v>
      </c>
      <c r="Y205" s="71" t="inlineStr"/>
      <c r="Z205" s="69" t="inlineStr"/>
      <c r="AA205" s="27" t="inlineStr">
        <is>
          <t>محقق</t>
        </is>
      </c>
      <c r="AB205" s="27" t="n">
        <v>1</v>
      </c>
      <c r="AC205" s="74" t="inlineStr">
        <is>
          <t>#2EAD6B</t>
        </is>
      </c>
    </row>
    <row r="206">
      <c r="A206" s="9" t="inlineStr">
        <is>
          <t>الإدارة المالية</t>
        </is>
      </c>
      <c r="B206" s="9" t="inlineStr">
        <is>
          <t>الذمم المدينة</t>
        </is>
      </c>
      <c r="C206" s="9" t="inlineStr">
        <is>
          <t>متوسط أيام التحصيل العام (DSO)</t>
        </is>
      </c>
      <c r="D206" s="15" t="inlineStr">
        <is>
          <t>🎯 نتيجة</t>
        </is>
      </c>
      <c r="E206" s="46" t="inlineStr">
        <is>
          <t>يوم</t>
        </is>
      </c>
      <c r="F206" s="46" t="inlineStr">
        <is>
          <t>↓</t>
        </is>
      </c>
      <c r="G206" s="15" t="inlineStr">
        <is>
          <t>🔴 رئيسي</t>
        </is>
      </c>
      <c r="H206" s="61" t="n">
        <v>0.05</v>
      </c>
      <c r="I206" s="46" t="n">
        <v>30</v>
      </c>
      <c r="J206" s="46" t="n">
        <v>28.1</v>
      </c>
      <c r="K206" s="61" t="n">
        <v>1</v>
      </c>
      <c r="L206" s="27" t="inlineStr">
        <is>
          <t>✅ محقق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مالي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شهري</t>
        </is>
      </c>
      <c r="S206" s="46" t="n">
        <v>33.197</v>
      </c>
      <c r="T206" s="46" t="n">
        <v>30.649</v>
      </c>
      <c r="U206" s="46" t="n">
        <v>28.1</v>
      </c>
      <c r="V206" s="61" t="n">
        <v>-0.1535</v>
      </c>
      <c r="W206" s="61" t="n">
        <v>1</v>
      </c>
      <c r="X206" s="61" t="n">
        <v>0.85</v>
      </c>
      <c r="Y206" s="71" t="inlineStr"/>
      <c r="Z206" s="69" t="inlineStr"/>
      <c r="AA206" s="27" t="inlineStr">
        <is>
          <t>محقق</t>
        </is>
      </c>
      <c r="AB206" s="27" t="n">
        <v>1</v>
      </c>
      <c r="AC206" s="74" t="inlineStr">
        <is>
          <t>#2EAD6B</t>
        </is>
      </c>
    </row>
    <row r="207">
      <c r="A207" s="9" t="inlineStr">
        <is>
          <t>الإدارة المالية</t>
        </is>
      </c>
      <c r="B207" s="9" t="inlineStr">
        <is>
          <t>الذمم المدينة</t>
        </is>
      </c>
      <c r="C207" s="9" t="inlineStr">
        <is>
          <t>نسبة التحصيل العام (الشركة)</t>
        </is>
      </c>
      <c r="D207" s="15" t="inlineStr">
        <is>
          <t>🎯 نتيجة</t>
        </is>
      </c>
      <c r="E207" s="46" t="inlineStr">
        <is>
          <t>%</t>
        </is>
      </c>
      <c r="F207" s="46" t="inlineStr">
        <is>
          <t>↑</t>
        </is>
      </c>
      <c r="G207" s="15" t="inlineStr">
        <is>
          <t>🔴 رئيسي</t>
        </is>
      </c>
      <c r="H207" s="61" t="n">
        <v>0.05</v>
      </c>
      <c r="I207" s="46" t="n">
        <v>0.95</v>
      </c>
      <c r="J207" s="46" t="n">
        <v>0.699</v>
      </c>
      <c r="K207" s="61" t="n">
        <v>0.7357894736842105</v>
      </c>
      <c r="L207" s="27" t="inlineStr">
        <is>
          <t>🔴 تحت الهدف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مالي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0.572</v>
      </c>
      <c r="T207" s="46" t="n">
        <v>0.635</v>
      </c>
      <c r="U207" s="46" t="n">
        <v>0.699</v>
      </c>
      <c r="V207" s="61" t="n">
        <v>0.222</v>
      </c>
      <c r="W207" s="61" t="n">
        <v>1</v>
      </c>
      <c r="X207" s="61" t="n">
        <v>0.85</v>
      </c>
      <c r="Y207" s="75" t="inlineStr">
        <is>
          <t>دون المستهدف — فجوة 26٪، يتطلب إجراءً تصحيحياً عاجلاً.</t>
        </is>
      </c>
      <c r="Z207" s="69" t="inlineStr">
        <is>
          <t>إطلاق إجراء تصحيحي خلال 30 يوماً بإشراف المدير المالي.</t>
        </is>
      </c>
      <c r="AA207" s="27" t="inlineStr">
        <is>
          <t>تحت الهدف</t>
        </is>
      </c>
      <c r="AB207" s="27" t="n">
        <v>3</v>
      </c>
      <c r="AC207" s="76" t="inlineStr">
        <is>
          <t>#EB5757</t>
        </is>
      </c>
    </row>
    <row r="208">
      <c r="A208" s="9" t="inlineStr">
        <is>
          <t>الإدارة المالية</t>
        </is>
      </c>
      <c r="B208" s="9" t="inlineStr">
        <is>
          <t>الذمم المدينة</t>
        </is>
      </c>
      <c r="C208" s="9" t="inlineStr">
        <is>
          <t>نسبة الذمم المتأخرة</t>
        </is>
      </c>
      <c r="D208" s="15" t="inlineStr">
        <is>
          <t>🔧 تشغيلي</t>
        </is>
      </c>
      <c r="E208" s="46" t="inlineStr">
        <is>
          <t>%</t>
        </is>
      </c>
      <c r="F208" s="46" t="inlineStr">
        <is>
          <t>↓</t>
        </is>
      </c>
      <c r="G208" s="15" t="inlineStr">
        <is>
          <t>🟠 مهم</t>
        </is>
      </c>
      <c r="H208" s="61" t="n">
        <v>0.04</v>
      </c>
      <c r="I208" s="46" t="n">
        <v>0.1</v>
      </c>
      <c r="J208" s="46" t="n">
        <v>0.099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العمليات الداخلية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0.109</v>
      </c>
      <c r="T208" s="46" t="n">
        <v>0.104</v>
      </c>
      <c r="U208" s="46" t="n">
        <v>0.099</v>
      </c>
      <c r="V208" s="61" t="n">
        <v>-0.0917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  <row r="209">
      <c r="A209" s="9" t="inlineStr">
        <is>
          <t>الإدارة المالية</t>
        </is>
      </c>
      <c r="B209" s="9" t="inlineStr">
        <is>
          <t>الذمم المدينة</t>
        </is>
      </c>
      <c r="C209" s="9" t="inlineStr">
        <is>
          <t>نسبة الديون المعدومة</t>
        </is>
      </c>
      <c r="D209" s="15" t="inlineStr">
        <is>
          <t>🔧 تشغيلي</t>
        </is>
      </c>
      <c r="E209" s="46" t="inlineStr">
        <is>
          <t>%</t>
        </is>
      </c>
      <c r="F209" s="46" t="inlineStr">
        <is>
          <t>↓</t>
        </is>
      </c>
      <c r="G209" s="15" t="inlineStr">
        <is>
          <t>🟠 مهم</t>
        </is>
      </c>
      <c r="H209" s="61" t="n">
        <v>0.04</v>
      </c>
      <c r="I209" s="46" t="n">
        <v>0.01</v>
      </c>
      <c r="J209" s="46" t="n">
        <v>0.008999999999999999</v>
      </c>
      <c r="K209" s="61" t="n">
        <v>1</v>
      </c>
      <c r="L209" s="27" t="inlineStr">
        <is>
          <t>✅ محقق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العمليات الداخلية</t>
        </is>
      </c>
      <c r="P209" s="15" t="inlineStr">
        <is>
          <t>المدير المالي</t>
        </is>
      </c>
      <c r="Q209" s="13" t="inlineStr">
        <is>
          <t>نظام المحاسبة / ERP (D365)</t>
        </is>
      </c>
      <c r="R209" s="15" t="inlineStr">
        <is>
          <t>شهري</t>
        </is>
      </c>
      <c r="S209" s="46" t="n">
        <v>0.011</v>
      </c>
      <c r="T209" s="46" t="n">
        <v>0.01</v>
      </c>
      <c r="U209" s="46" t="n">
        <v>0.008999999999999999</v>
      </c>
      <c r="V209" s="61" t="n">
        <v>-0.1818</v>
      </c>
      <c r="W209" s="61" t="n">
        <v>1</v>
      </c>
      <c r="X209" s="61" t="n">
        <v>0.85</v>
      </c>
      <c r="Y209" s="71" t="inlineStr"/>
      <c r="Z209" s="69" t="inlineStr"/>
      <c r="AA209" s="27" t="inlineStr">
        <is>
          <t>محقق</t>
        </is>
      </c>
      <c r="AB209" s="27" t="n">
        <v>1</v>
      </c>
      <c r="AC209" s="74" t="inlineStr">
        <is>
          <t>#2EAD6B</t>
        </is>
      </c>
    </row>
    <row r="210">
      <c r="A210" s="9" t="inlineStr">
        <is>
          <t>الإدارة المالية</t>
        </is>
      </c>
      <c r="B210" s="9" t="inlineStr">
        <is>
          <t>الذمم الدائنة</t>
        </is>
      </c>
      <c r="C210" s="9" t="inlineStr">
        <is>
          <t>سداد الموردين في الموعد</t>
        </is>
      </c>
      <c r="D210" s="15" t="inlineStr">
        <is>
          <t>🔧 تشغيلي</t>
        </is>
      </c>
      <c r="E210" s="46" t="inlineStr">
        <is>
          <t>%</t>
        </is>
      </c>
      <c r="F210" s="46" t="inlineStr">
        <is>
          <t>↑</t>
        </is>
      </c>
      <c r="G210" s="15" t="inlineStr">
        <is>
          <t>🟠 مهم</t>
        </is>
      </c>
      <c r="H210" s="61" t="n">
        <v>0.04</v>
      </c>
      <c r="I210" s="46" t="n">
        <v>0.98</v>
      </c>
      <c r="J210" s="46" t="n">
        <v>0.754</v>
      </c>
      <c r="K210" s="61" t="n">
        <v>0.7693877551020408</v>
      </c>
      <c r="L210" s="27" t="inlineStr">
        <is>
          <t>🔴 تحت الهدف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مالي</t>
        </is>
      </c>
      <c r="P210" s="15" t="inlineStr">
        <is>
          <t>المدير المالي</t>
        </is>
      </c>
      <c r="Q210" s="13" t="inlineStr">
        <is>
          <t>نظام المحاسبة / ERP (D365)</t>
        </is>
      </c>
      <c r="R210" s="15" t="inlineStr">
        <is>
          <t>شهري</t>
        </is>
      </c>
      <c r="S210" s="46" t="n">
        <v>0.659</v>
      </c>
      <c r="T210" s="46" t="n">
        <v>0.707</v>
      </c>
      <c r="U210" s="46" t="n">
        <v>0.754</v>
      </c>
      <c r="V210" s="61" t="n">
        <v>0.1442</v>
      </c>
      <c r="W210" s="61" t="n">
        <v>1</v>
      </c>
      <c r="X210" s="61" t="n">
        <v>0.85</v>
      </c>
      <c r="Y210" s="75" t="inlineStr">
        <is>
          <t>دون المستهدف — فجوة 23٪، يتطلب إجراءً تصحيحياً عاجلاً.</t>
        </is>
      </c>
      <c r="Z210" s="69" t="inlineStr">
        <is>
          <t>إطلاق إجراء تصحيحي خلال 30 يوماً بإشراف المدير المالي.</t>
        </is>
      </c>
      <c r="AA210" s="27" t="inlineStr">
        <is>
          <t>تحت الهدف</t>
        </is>
      </c>
      <c r="AB210" s="27" t="n">
        <v>3</v>
      </c>
      <c r="AC210" s="76" t="inlineStr">
        <is>
          <t>#EB5757</t>
        </is>
      </c>
    </row>
    <row r="211">
      <c r="A211" s="9" t="inlineStr">
        <is>
          <t>الإدارة المالية</t>
        </is>
      </c>
      <c r="B211" s="9" t="inlineStr">
        <is>
          <t>الذمم الدائنة</t>
        </is>
      </c>
      <c r="C211" s="9" t="inlineStr">
        <is>
          <t>اكتمال مطابقة حسابات الموردين</t>
        </is>
      </c>
      <c r="D211" s="15" t="inlineStr">
        <is>
          <t>🎯 نتيجة</t>
        </is>
      </c>
      <c r="E211" s="46" t="inlineStr">
        <is>
          <t>%</t>
        </is>
      </c>
      <c r="F211" s="46" t="inlineStr">
        <is>
          <t>↑</t>
        </is>
      </c>
      <c r="G211" s="15" t="inlineStr">
        <is>
          <t>🟠 مهم</t>
        </is>
      </c>
      <c r="H211" s="61" t="n">
        <v>0.04</v>
      </c>
      <c r="I211" s="46" t="n">
        <v>0.95</v>
      </c>
      <c r="J211" s="46" t="n">
        <v>0.926</v>
      </c>
      <c r="K211" s="61" t="n">
        <v>0.9747368421052632</v>
      </c>
      <c r="L211" s="27" t="inlineStr">
        <is>
          <t>🟡 قريب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المحاسبة / ERP (D365)</t>
        </is>
      </c>
      <c r="R211" s="15" t="inlineStr">
        <is>
          <t>شهري</t>
        </is>
      </c>
      <c r="S211" s="46" t="n">
        <v>0.847</v>
      </c>
      <c r="T211" s="46" t="n">
        <v>0.887</v>
      </c>
      <c r="U211" s="46" t="n">
        <v>0.926</v>
      </c>
      <c r="V211" s="61" t="n">
        <v>0.09329999999999999</v>
      </c>
      <c r="W211" s="61" t="n">
        <v>1</v>
      </c>
      <c r="X211" s="61" t="n">
        <v>0.97</v>
      </c>
      <c r="Y211" s="71" t="inlineStr">
        <is>
          <t>قريب من المستهدف — فجوة 3٪، متابعة لإغلاقها.</t>
        </is>
      </c>
      <c r="Z211" s="69" t="inlineStr">
        <is>
          <t>متابعة أسبوعية حتى بلوغ المستهدف.</t>
        </is>
      </c>
      <c r="AA211" s="27" t="inlineStr">
        <is>
          <t>قريب</t>
        </is>
      </c>
      <c r="AB211" s="27" t="n">
        <v>2</v>
      </c>
      <c r="AC211" s="72" t="inlineStr">
        <is>
          <t>#F2C94C</t>
        </is>
      </c>
    </row>
    <row r="212">
      <c r="A212" s="9" t="inlineStr">
        <is>
          <t>الإدارة المالية</t>
        </is>
      </c>
      <c r="B212" s="9" t="inlineStr">
        <is>
          <t>الخزينة</t>
        </is>
      </c>
      <c r="C212" s="9" t="inlineStr">
        <is>
          <t>دقة التنبؤ النقدي</t>
        </is>
      </c>
      <c r="D212" s="15" t="inlineStr">
        <is>
          <t>🎯 نتيجة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🟠 مهم</t>
        </is>
      </c>
      <c r="H212" s="61" t="n">
        <v>0.04</v>
      </c>
      <c r="I212" s="46" t="n">
        <v>0.9</v>
      </c>
      <c r="J212" s="46" t="n">
        <v>0.9</v>
      </c>
      <c r="K212" s="61" t="n">
        <v>1</v>
      </c>
      <c r="L212" s="27" t="inlineStr">
        <is>
          <t>✅ محقق</t>
        </is>
      </c>
      <c r="M212" s="27" t="inlineStr">
        <is>
          <t>الاستدامة</t>
        </is>
      </c>
      <c r="N212" s="13" t="inlineStr">
        <is>
          <t>جودة التشغيل</t>
        </is>
      </c>
      <c r="O212" s="15" t="inlineStr">
        <is>
          <t>العمليات الداخلية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0.721</v>
      </c>
      <c r="T212" s="46" t="n">
        <v>0.8100000000000001</v>
      </c>
      <c r="U212" s="46" t="n">
        <v>0.9</v>
      </c>
      <c r="V212" s="61" t="n">
        <v>0.2483</v>
      </c>
      <c r="W212" s="61" t="n">
        <v>1</v>
      </c>
      <c r="X212" s="61" t="n">
        <v>0.85</v>
      </c>
      <c r="Y212" s="71" t="inlineStr"/>
      <c r="Z212" s="69" t="inlineStr"/>
      <c r="AA212" s="27" t="inlineStr">
        <is>
          <t>محقق</t>
        </is>
      </c>
      <c r="AB212" s="27" t="n">
        <v>1</v>
      </c>
      <c r="AC212" s="74" t="inlineStr">
        <is>
          <t>#2EAD6B</t>
        </is>
      </c>
    </row>
    <row r="213">
      <c r="A213" s="9" t="inlineStr">
        <is>
          <t>الإدارة المالية</t>
        </is>
      </c>
      <c r="B213" s="9" t="inlineStr">
        <is>
          <t>صناعة الوقود</t>
        </is>
      </c>
      <c r="C213" s="9" t="inlineStr">
        <is>
          <t>تباين مخزون الوقود</t>
        </is>
      </c>
      <c r="D213" s="15" t="inlineStr">
        <is>
          <t>🔧 تشغيلي</t>
        </is>
      </c>
      <c r="E213" s="46" t="inlineStr">
        <is>
          <t>%</t>
        </is>
      </c>
      <c r="F213" s="46" t="inlineStr">
        <is>
          <t>↓</t>
        </is>
      </c>
      <c r="G213" s="15" t="inlineStr">
        <is>
          <t>🟠 مهم</t>
        </is>
      </c>
      <c r="H213" s="61" t="n">
        <v>0.04</v>
      </c>
      <c r="I213" s="46" t="n">
        <v>0.001</v>
      </c>
      <c r="J213" s="46" t="n">
        <v>0.001</v>
      </c>
      <c r="K213" s="61" t="n">
        <v>1</v>
      </c>
      <c r="L213" s="27" t="inlineStr">
        <is>
          <t>✅ محقق</t>
        </is>
      </c>
      <c r="M213" s="27" t="inlineStr">
        <is>
          <t>الاستدامة</t>
        </is>
      </c>
      <c r="N213" s="13" t="inlineStr">
        <is>
          <t>جودة التشغيل</t>
        </is>
      </c>
      <c r="O213" s="15" t="inlineStr">
        <is>
          <t>العمليات الداخلية</t>
        </is>
      </c>
      <c r="P213" s="15" t="inlineStr">
        <is>
          <t>المدير المالي</t>
        </is>
      </c>
      <c r="Q213" s="13" t="inlineStr">
        <is>
          <t>نظام تشغيل المحطات</t>
        </is>
      </c>
      <c r="R213" s="15" t="inlineStr">
        <is>
          <t>شهري</t>
        </is>
      </c>
      <c r="S213" s="46" t="n">
        <v>0.001</v>
      </c>
      <c r="T213" s="46" t="n">
        <v>0.001</v>
      </c>
      <c r="U213" s="46" t="n">
        <v>0.001</v>
      </c>
      <c r="V213" s="61" t="n">
        <v>0</v>
      </c>
      <c r="W213" s="61" t="n">
        <v>1</v>
      </c>
      <c r="X213" s="61" t="n">
        <v>0.85</v>
      </c>
      <c r="Y213" s="71" t="inlineStr"/>
      <c r="Z213" s="69" t="inlineStr"/>
      <c r="AA213" s="27" t="inlineStr">
        <is>
          <t>محقق</t>
        </is>
      </c>
      <c r="AB213" s="27" t="n">
        <v>1</v>
      </c>
      <c r="AC213" s="74" t="inlineStr">
        <is>
          <t>#2EAD6B</t>
        </is>
      </c>
    </row>
    <row r="214">
      <c r="A214" s="9" t="inlineStr">
        <is>
          <t>الإدارة المالية</t>
        </is>
      </c>
      <c r="B214" s="9" t="inlineStr">
        <is>
          <t>صناعة الوقود</t>
        </is>
      </c>
      <c r="C214" s="9" t="inlineStr">
        <is>
          <t>دقة مطابقة المخزون</t>
        </is>
      </c>
      <c r="D214" s="15" t="inlineStr">
        <is>
          <t>🎯 نتيجة</t>
        </is>
      </c>
      <c r="E214" s="46" t="inlineStr">
        <is>
          <t>%</t>
        </is>
      </c>
      <c r="F214" s="46" t="inlineStr">
        <is>
          <t>↑</t>
        </is>
      </c>
      <c r="G214" s="15" t="inlineStr">
        <is>
          <t>🟠 مهم</t>
        </is>
      </c>
      <c r="H214" s="61" t="n">
        <v>0.03</v>
      </c>
      <c r="I214" s="46" t="n">
        <v>0.995</v>
      </c>
      <c r="J214" s="46" t="n">
        <v>0.776</v>
      </c>
      <c r="K214" s="61" t="n">
        <v>0.7798994974874373</v>
      </c>
      <c r="L214" s="27" t="inlineStr">
        <is>
          <t>🔴 تحت الهدف</t>
        </is>
      </c>
      <c r="M214" s="27" t="inlineStr">
        <is>
          <t>الاستدامة</t>
        </is>
      </c>
      <c r="N214" s="13" t="inlineStr">
        <is>
          <t>جودة التشغيل</t>
        </is>
      </c>
      <c r="O214" s="15" t="inlineStr">
        <is>
          <t>العمليات الداخلية</t>
        </is>
      </c>
      <c r="P214" s="15" t="inlineStr">
        <is>
          <t>المدير المالي</t>
        </is>
      </c>
      <c r="Q214" s="13" t="inlineStr">
        <is>
          <t>نظام إدارة الجودة (QMS)</t>
        </is>
      </c>
      <c r="R214" s="15" t="inlineStr">
        <is>
          <t>شهري</t>
        </is>
      </c>
      <c r="S214" s="46" t="n">
        <v>0.648</v>
      </c>
      <c r="T214" s="46" t="n">
        <v>0.712</v>
      </c>
      <c r="U214" s="46" t="n">
        <v>0.776</v>
      </c>
      <c r="V214" s="61" t="n">
        <v>0.1975</v>
      </c>
      <c r="W214" s="61" t="n">
        <v>1</v>
      </c>
      <c r="X214" s="61" t="n">
        <v>0.97</v>
      </c>
      <c r="Y214" s="75" t="inlineStr">
        <is>
          <t>دون المستهدف — فجوة 22٪، يتطلب إجراءً تصحيحياً عاجلاً.</t>
        </is>
      </c>
      <c r="Z214" s="69" t="inlineStr">
        <is>
          <t>إطلاق إجراء تصحيحي خلال 30 يوماً بإشراف المدير المالي.</t>
        </is>
      </c>
      <c r="AA214" s="27" t="inlineStr">
        <is>
          <t>تحت الهدف</t>
        </is>
      </c>
      <c r="AB214" s="27" t="n">
        <v>3</v>
      </c>
      <c r="AC214" s="76" t="inlineStr">
        <is>
          <t>#EB5757</t>
        </is>
      </c>
    </row>
    <row r="215">
      <c r="A215" s="9" t="inlineStr">
        <is>
          <t>الإدارة المالية</t>
        </is>
      </c>
      <c r="B215" s="9" t="inlineStr">
        <is>
          <t>صناعة الوقود</t>
        </is>
      </c>
      <c r="C215" s="9" t="inlineStr">
        <is>
          <t>دقة تسوية أرامكو</t>
        </is>
      </c>
      <c r="D215" s="15" t="inlineStr">
        <is>
          <t>🎯 نتيجة</t>
        </is>
      </c>
      <c r="E215" s="46" t="inlineStr">
        <is>
          <t>%</t>
        </is>
      </c>
      <c r="F215" s="46" t="inlineStr">
        <is>
          <t>↑</t>
        </is>
      </c>
      <c r="G215" s="15" t="inlineStr">
        <is>
          <t>🟠 مهم</t>
        </is>
      </c>
      <c r="H215" s="61" t="n">
        <v>0.03</v>
      </c>
      <c r="I215" s="46" t="n">
        <v>1</v>
      </c>
      <c r="J215" s="46" t="n">
        <v>0.76</v>
      </c>
      <c r="K215" s="61" t="n">
        <v>0.76</v>
      </c>
      <c r="L215" s="27" t="inlineStr">
        <is>
          <t>🔴 تحت الهدف</t>
        </is>
      </c>
      <c r="M215" s="27" t="inlineStr">
        <is>
          <t>الاستدامة</t>
        </is>
      </c>
      <c r="N215" s="13" t="inlineStr">
        <is>
          <t>جودة التشغيل</t>
        </is>
      </c>
      <c r="O215" s="15" t="inlineStr">
        <is>
          <t>العمليات الداخلية</t>
        </is>
      </c>
      <c r="P215" s="15" t="inlineStr">
        <is>
          <t>المدير المالي</t>
        </is>
      </c>
      <c r="Q215" s="13" t="inlineStr">
        <is>
          <t>نظام تشغيل المحطات</t>
        </is>
      </c>
      <c r="R215" s="15" t="inlineStr">
        <is>
          <t>شهري</t>
        </is>
      </c>
      <c r="S215" s="46" t="n">
        <v>0.642</v>
      </c>
      <c r="T215" s="46" t="n">
        <v>0.701</v>
      </c>
      <c r="U215" s="46" t="n">
        <v>0.76</v>
      </c>
      <c r="V215" s="61" t="n">
        <v>0.1838</v>
      </c>
      <c r="W215" s="61" t="n">
        <v>1</v>
      </c>
      <c r="X215" s="61" t="n">
        <v>0.97</v>
      </c>
      <c r="Y215" s="75" t="inlineStr">
        <is>
          <t>دون المستهدف — فجوة 24٪، يتطلب إجراءً تصحيحياً عاجلاً.</t>
        </is>
      </c>
      <c r="Z215" s="69" t="inlineStr">
        <is>
          <t>إطلاق إجراء تصحيحي خلال 30 يوماً بإشراف المدير المالي.</t>
        </is>
      </c>
      <c r="AA215" s="27" t="inlineStr">
        <is>
          <t>تحت الهدف</t>
        </is>
      </c>
      <c r="AB215" s="27" t="n">
        <v>3</v>
      </c>
      <c r="AC215" s="76" t="inlineStr">
        <is>
          <t>#EB5757</t>
        </is>
      </c>
    </row>
    <row r="216">
      <c r="A216" s="9" t="inlineStr">
        <is>
          <t>الإدارة المالية</t>
        </is>
      </c>
      <c r="B216" s="9" t="inlineStr">
        <is>
          <t>تمويل الامتياز</t>
        </is>
      </c>
      <c r="C216" s="9" t="inlineStr">
        <is>
          <t>نسبة تحصيل الامتياز</t>
        </is>
      </c>
      <c r="D216" s="15" t="inlineStr">
        <is>
          <t>🎯 نتيجة</t>
        </is>
      </c>
      <c r="E216" s="46" t="inlineStr">
        <is>
          <t>%</t>
        </is>
      </c>
      <c r="F216" s="46" t="inlineStr">
        <is>
          <t>↑</t>
        </is>
      </c>
      <c r="G216" s="15" t="inlineStr">
        <is>
          <t>🔴 رئيسي</t>
        </is>
      </c>
      <c r="H216" s="61" t="n">
        <v>0.05</v>
      </c>
      <c r="I216" s="46" t="n">
        <v>0.98</v>
      </c>
      <c r="J216" s="46" t="n">
        <v>0.91</v>
      </c>
      <c r="K216" s="61" t="n">
        <v>0.9285714285714286</v>
      </c>
      <c r="L216" s="27" t="inlineStr">
        <is>
          <t>🟡 قريب</t>
        </is>
      </c>
      <c r="M216" s="27" t="inlineStr">
        <is>
          <t>النمو</t>
        </is>
      </c>
      <c r="N216" s="13" t="inlineStr">
        <is>
          <t>الامتياز التجاري</t>
        </is>
      </c>
      <c r="O216" s="15" t="inlineStr">
        <is>
          <t>مالي</t>
        </is>
      </c>
      <c r="P216" s="15" t="inlineStr">
        <is>
          <t>المدير المالي</t>
        </is>
      </c>
      <c r="Q216" s="13" t="inlineStr">
        <is>
          <t>نظام المحاسبة / ERP (D365)</t>
        </is>
      </c>
      <c r="R216" s="15" t="inlineStr">
        <is>
          <t>شهري</t>
        </is>
      </c>
      <c r="S216" s="46" t="n">
        <v>0.753</v>
      </c>
      <c r="T216" s="46" t="n">
        <v>0.832</v>
      </c>
      <c r="U216" s="46" t="n">
        <v>0.91</v>
      </c>
      <c r="V216" s="61" t="n">
        <v>0.2085</v>
      </c>
      <c r="W216" s="61" t="n">
        <v>1</v>
      </c>
      <c r="X216" s="61" t="n">
        <v>0.85</v>
      </c>
      <c r="Y216" s="71" t="inlineStr">
        <is>
          <t>قريب من المستهدف — فجوة 7٪، متابعة لإغلاقها.</t>
        </is>
      </c>
      <c r="Z216" s="69" t="inlineStr">
        <is>
          <t>متابعة أسبوعية حتى بلوغ المستهدف.</t>
        </is>
      </c>
      <c r="AA216" s="27" t="inlineStr">
        <is>
          <t>قريب</t>
        </is>
      </c>
      <c r="AB216" s="27" t="n">
        <v>2</v>
      </c>
      <c r="AC216" s="72" t="inlineStr">
        <is>
          <t>#F2C94C</t>
        </is>
      </c>
    </row>
    <row r="217">
      <c r="A217" s="9" t="inlineStr">
        <is>
          <t>الإدارة المالية</t>
        </is>
      </c>
      <c r="B217" s="9" t="inlineStr">
        <is>
          <t>تمويل الامتياز</t>
        </is>
      </c>
      <c r="C217" s="9" t="inlineStr">
        <is>
          <t>أيام تحصيل رسوم الامتياز</t>
        </is>
      </c>
      <c r="D217" s="15" t="inlineStr">
        <is>
          <t>🎯 نتيجة</t>
        </is>
      </c>
      <c r="E217" s="46" t="inlineStr">
        <is>
          <t>يوم</t>
        </is>
      </c>
      <c r="F217" s="46" t="inlineStr">
        <is>
          <t>↓</t>
        </is>
      </c>
      <c r="G217" s="15" t="inlineStr">
        <is>
          <t>🔴 رئيسي</t>
        </is>
      </c>
      <c r="H217" s="61" t="n">
        <v>0.05</v>
      </c>
      <c r="I217" s="46" t="n">
        <v>15</v>
      </c>
      <c r="J217" s="46" t="n">
        <v>15.8</v>
      </c>
      <c r="K217" s="61" t="n">
        <v>0.9493670886075949</v>
      </c>
      <c r="L217" s="27" t="inlineStr">
        <is>
          <t>🟡 قريب</t>
        </is>
      </c>
      <c r="M217" s="27" t="inlineStr">
        <is>
          <t>النمو</t>
        </is>
      </c>
      <c r="N217" s="13" t="inlineStr">
        <is>
          <t>الامتياز التجاري</t>
        </is>
      </c>
      <c r="O217" s="15" t="inlineStr">
        <is>
          <t>مالي</t>
        </is>
      </c>
      <c r="P217" s="15" t="inlineStr">
        <is>
          <t>المدير المالي</t>
        </is>
      </c>
      <c r="Q217" s="13" t="inlineStr">
        <is>
          <t>نظام المحاسبة / ERP (D365)</t>
        </is>
      </c>
      <c r="R217" s="15" t="inlineStr">
        <is>
          <t>شهري</t>
        </is>
      </c>
      <c r="S217" s="46" t="n">
        <v>18.048</v>
      </c>
      <c r="T217" s="46" t="n">
        <v>16.924</v>
      </c>
      <c r="U217" s="46" t="n">
        <v>15.8</v>
      </c>
      <c r="V217" s="61" t="n">
        <v>-0.1246</v>
      </c>
      <c r="W217" s="61" t="n">
        <v>1</v>
      </c>
      <c r="X217" s="61" t="n">
        <v>0.85</v>
      </c>
      <c r="Y217" s="71" t="inlineStr">
        <is>
          <t>قريب من المستهدف — فجوة 5٪، متابعة لإغلاقها.</t>
        </is>
      </c>
      <c r="Z217" s="69" t="inlineStr">
        <is>
          <t>متابعة أسبوعية حتى بلوغ المستهدف.</t>
        </is>
      </c>
      <c r="AA217" s="27" t="inlineStr">
        <is>
          <t>قريب</t>
        </is>
      </c>
      <c r="AB217" s="27" t="n">
        <v>2</v>
      </c>
      <c r="AC217" s="72" t="inlineStr">
        <is>
          <t>#F2C94C</t>
        </is>
      </c>
    </row>
    <row r="218">
      <c r="A218" s="9" t="inlineStr">
        <is>
          <t>الإدارة المالية</t>
        </is>
      </c>
      <c r="B218" s="9" t="inlineStr">
        <is>
          <t>العقار والإيجار</t>
        </is>
      </c>
      <c r="C218" s="9" t="inlineStr">
        <is>
          <t>نسبة تحصيل الإيجار</t>
        </is>
      </c>
      <c r="D218" s="15" t="inlineStr">
        <is>
          <t>🎯 نتيجة</t>
        </is>
      </c>
      <c r="E218" s="46" t="inlineStr">
        <is>
          <t>%</t>
        </is>
      </c>
      <c r="F218" s="46" t="inlineStr">
        <is>
          <t>↑</t>
        </is>
      </c>
      <c r="G218" s="15" t="inlineStr">
        <is>
          <t>🔴 رئيسي</t>
        </is>
      </c>
      <c r="H218" s="61" t="n">
        <v>0.05</v>
      </c>
      <c r="I218" s="46" t="n">
        <v>0.98</v>
      </c>
      <c r="J218" s="46" t="n">
        <v>1.027</v>
      </c>
      <c r="K218" s="61" t="n">
        <v>1</v>
      </c>
      <c r="L218" s="27" t="inlineStr">
        <is>
          <t>✅ محقق</t>
        </is>
      </c>
      <c r="M218" s="27" t="inlineStr">
        <is>
          <t>الاستدامة</t>
        </is>
      </c>
      <c r="N218" s="13" t="inlineStr">
        <is>
          <t>منظومة التأجير</t>
        </is>
      </c>
      <c r="O218" s="15" t="inlineStr">
        <is>
          <t>مالي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شهري</t>
        </is>
      </c>
      <c r="S218" s="46" t="n">
        <v>0.927</v>
      </c>
      <c r="T218" s="46" t="n">
        <v>0.977</v>
      </c>
      <c r="U218" s="46" t="n">
        <v>1.027</v>
      </c>
      <c r="V218" s="61" t="n">
        <v>0.1079</v>
      </c>
      <c r="W218" s="61" t="n">
        <v>1</v>
      </c>
      <c r="X218" s="61" t="n">
        <v>0.85</v>
      </c>
      <c r="Y218" s="71" t="inlineStr"/>
      <c r="Z218" s="69" t="inlineStr"/>
      <c r="AA218" s="27" t="inlineStr">
        <is>
          <t>محقق</t>
        </is>
      </c>
      <c r="AB218" s="27" t="n">
        <v>1</v>
      </c>
      <c r="AC218" s="74" t="inlineStr">
        <is>
          <t>#2EAD6B</t>
        </is>
      </c>
    </row>
    <row r="219">
      <c r="A219" s="9" t="inlineStr">
        <is>
          <t>الإدارة المالية</t>
        </is>
      </c>
      <c r="B219" s="9" t="inlineStr">
        <is>
          <t>العقار والإيجار</t>
        </is>
      </c>
      <c r="C219" s="9" t="inlineStr">
        <is>
          <t>معدل تجديد عقود الإيجار</t>
        </is>
      </c>
      <c r="D219" s="15" t="inlineStr">
        <is>
          <t>🎯 نتيجة</t>
        </is>
      </c>
      <c r="E219" s="46" t="inlineStr">
        <is>
          <t>%</t>
        </is>
      </c>
      <c r="F219" s="46" t="inlineStr">
        <is>
          <t>↑</t>
        </is>
      </c>
      <c r="G219" s="15" t="inlineStr">
        <is>
          <t>🔴 رئيسي</t>
        </is>
      </c>
      <c r="H219" s="61" t="n">
        <v>0.05</v>
      </c>
      <c r="I219" s="46" t="n">
        <v>0.9</v>
      </c>
      <c r="J219" s="46" t="n">
        <v>0.702</v>
      </c>
      <c r="K219" s="61" t="n">
        <v>0.7799999999999999</v>
      </c>
      <c r="L219" s="27" t="inlineStr">
        <is>
          <t>🔴 تحت الهدف</t>
        </is>
      </c>
      <c r="M219" s="27" t="inlineStr">
        <is>
          <t>الاستدامة</t>
        </is>
      </c>
      <c r="N219" s="13" t="inlineStr">
        <is>
          <t>منظومة التأجير</t>
        </is>
      </c>
      <c r="O219" s="15" t="inlineStr">
        <is>
          <t>العمليات الداخلية</t>
        </is>
      </c>
      <c r="P219" s="15" t="inlineStr">
        <is>
          <t>المدير المالي</t>
        </is>
      </c>
      <c r="Q219" s="13" t="inlineStr">
        <is>
          <t>نظام إدارة العقود (CRM)</t>
        </is>
      </c>
      <c r="R219" s="15" t="inlineStr">
        <is>
          <t>شهري</t>
        </is>
      </c>
      <c r="S219" s="46" t="n">
        <v>0.593</v>
      </c>
      <c r="T219" s="46" t="n">
        <v>0.647</v>
      </c>
      <c r="U219" s="46" t="n">
        <v>0.702</v>
      </c>
      <c r="V219" s="61" t="n">
        <v>0.1838</v>
      </c>
      <c r="W219" s="61" t="n">
        <v>1</v>
      </c>
      <c r="X219" s="61" t="n">
        <v>0.85</v>
      </c>
      <c r="Y219" s="75" t="inlineStr">
        <is>
          <t>دون المستهدف — فجوة 22٪، يتطلب إجراءً تصحيحياً عاجلاً.</t>
        </is>
      </c>
      <c r="Z219" s="69" t="inlineStr">
        <is>
          <t>إطلاق إجراء تصحيحي خلال 30 يوماً بإشراف المدير المالي.</t>
        </is>
      </c>
      <c r="AA219" s="27" t="inlineStr">
        <is>
          <t>تحت الهدف</t>
        </is>
      </c>
      <c r="AB219" s="27" t="n">
        <v>3</v>
      </c>
      <c r="AC219" s="76" t="inlineStr">
        <is>
          <t>#EB5757</t>
        </is>
      </c>
    </row>
    <row r="220">
      <c r="A220" s="9" t="inlineStr">
        <is>
          <t>الإدارة المالية</t>
        </is>
      </c>
      <c r="B220" s="9" t="inlineStr">
        <is>
          <t>الموازنة والتقارير</t>
        </is>
      </c>
      <c r="C220" s="9" t="inlineStr">
        <is>
          <t>انحراف الموازنة</t>
        </is>
      </c>
      <c r="D220" s="15" t="inlineStr">
        <is>
          <t>🔧 تشغيلي</t>
        </is>
      </c>
      <c r="E220" s="46" t="inlineStr">
        <is>
          <t>%</t>
        </is>
      </c>
      <c r="F220" s="46" t="inlineStr">
        <is>
          <t>↓</t>
        </is>
      </c>
      <c r="G220" s="15" t="inlineStr">
        <is>
          <t>🟠 مهم</t>
        </is>
      </c>
      <c r="H220" s="61" t="n">
        <v>0.03</v>
      </c>
      <c r="I220" s="46" t="n">
        <v>0.1</v>
      </c>
      <c r="J220" s="46" t="n">
        <v>0.101</v>
      </c>
      <c r="K220" s="61" t="n">
        <v>0.9900990099009901</v>
      </c>
      <c r="L220" s="27" t="inlineStr">
        <is>
          <t>🟡 قريب</t>
        </is>
      </c>
      <c r="M220" s="27" t="inlineStr">
        <is>
          <t>الاستدامة</t>
        </is>
      </c>
      <c r="N220" s="13" t="inlineStr">
        <is>
          <t>جودة التشغيل</t>
        </is>
      </c>
      <c r="O220" s="15" t="inlineStr">
        <is>
          <t>العمليات الداخلية</t>
        </is>
      </c>
      <c r="P220" s="15" t="inlineStr">
        <is>
          <t>المدير المالي</t>
        </is>
      </c>
      <c r="Q220" s="13" t="inlineStr">
        <is>
          <t>نظام المحاسبة / ERP (D365)</t>
        </is>
      </c>
      <c r="R220" s="15" t="inlineStr">
        <is>
          <t>ربعي</t>
        </is>
      </c>
      <c r="S220" s="46" t="n">
        <v>0.113</v>
      </c>
      <c r="T220" s="46" t="n">
        <v>0.107</v>
      </c>
      <c r="U220" s="46" t="n">
        <v>0.101</v>
      </c>
      <c r="V220" s="61" t="n">
        <v>-0.1062</v>
      </c>
      <c r="W220" s="61" t="n">
        <v>1</v>
      </c>
      <c r="X220" s="61" t="n">
        <v>0.85</v>
      </c>
      <c r="Y220" s="71" t="inlineStr">
        <is>
          <t>قريب من المستهدف — فجوة 1٪، متابعة لإغلاقها.</t>
        </is>
      </c>
      <c r="Z220" s="69" t="inlineStr">
        <is>
          <t>متابعة أسبوعية حتى بلوغ المستهدف.</t>
        </is>
      </c>
      <c r="AA220" s="27" t="inlineStr">
        <is>
          <t>قريب</t>
        </is>
      </c>
      <c r="AB220" s="27" t="n">
        <v>2</v>
      </c>
      <c r="AC220" s="72" t="inlineStr">
        <is>
          <t>#F2C94C</t>
        </is>
      </c>
    </row>
    <row r="221">
      <c r="A221" s="9" t="inlineStr">
        <is>
          <t>الإدارة المالية</t>
        </is>
      </c>
      <c r="B221" s="9" t="inlineStr">
        <is>
          <t>الموازنة والتقارير</t>
        </is>
      </c>
      <c r="C221" s="9" t="inlineStr">
        <is>
          <t>أيام الإقفال الشهري</t>
        </is>
      </c>
      <c r="D221" s="15" t="inlineStr">
        <is>
          <t>🔧 تشغيلي</t>
        </is>
      </c>
      <c r="E221" s="46" t="inlineStr">
        <is>
          <t>يوم</t>
        </is>
      </c>
      <c r="F221" s="46" t="inlineStr">
        <is>
          <t>↓</t>
        </is>
      </c>
      <c r="G221" s="15" t="inlineStr">
        <is>
          <t>🟠 مهم</t>
        </is>
      </c>
      <c r="H221" s="61" t="n">
        <v>0.03</v>
      </c>
      <c r="I221" s="46" t="n">
        <v>6</v>
      </c>
      <c r="J221" s="46" t="n">
        <v>7.044</v>
      </c>
      <c r="K221" s="61" t="n">
        <v>0.8517887563884157</v>
      </c>
      <c r="L221" s="27" t="inlineStr">
        <is>
          <t>🟡 قريب</t>
        </is>
      </c>
      <c r="M221" s="27" t="inlineStr">
        <is>
          <t>الاستدامة</t>
        </is>
      </c>
      <c r="N221" s="13" t="inlineStr">
        <is>
          <t>جودة التشغيل</t>
        </is>
      </c>
      <c r="O221" s="15" t="inlineStr">
        <is>
          <t>العمليات الداخلية</t>
        </is>
      </c>
      <c r="P221" s="15" t="inlineStr">
        <is>
          <t>المدير المالي</t>
        </is>
      </c>
      <c r="Q221" s="13" t="inlineStr">
        <is>
          <t>نظام المحاسبة / ERP (D365)</t>
        </is>
      </c>
      <c r="R221" s="15" t="inlineStr">
        <is>
          <t>شهري</t>
        </is>
      </c>
      <c r="S221" s="46" t="n">
        <v>7.804</v>
      </c>
      <c r="T221" s="46" t="n">
        <v>7.424</v>
      </c>
      <c r="U221" s="46" t="n">
        <v>7.044</v>
      </c>
      <c r="V221" s="61" t="n">
        <v>-0.0974</v>
      </c>
      <c r="W221" s="61" t="n">
        <v>1</v>
      </c>
      <c r="X221" s="61" t="n">
        <v>0.85</v>
      </c>
      <c r="Y221" s="71" t="inlineStr">
        <is>
          <t>قريب من المستهدف — فجوة 15٪، متابعة لإغلاقها.</t>
        </is>
      </c>
      <c r="Z221" s="69" t="inlineStr">
        <is>
          <t>متابعة أسبوعية حتى بلوغ المستهدف.</t>
        </is>
      </c>
      <c r="AA221" s="27" t="inlineStr">
        <is>
          <t>قريب</t>
        </is>
      </c>
      <c r="AB221" s="27" t="n">
        <v>2</v>
      </c>
      <c r="AC221" s="72" t="inlineStr">
        <is>
          <t>#F2C94C</t>
        </is>
      </c>
    </row>
    <row r="222">
      <c r="A222" s="9" t="inlineStr">
        <is>
          <t>الإدارة المالية</t>
        </is>
      </c>
      <c r="B222" s="9" t="inlineStr">
        <is>
          <t>الموازنة والتقارير</t>
        </is>
      </c>
      <c r="C222" s="9" t="inlineStr">
        <is>
          <t>نسبة تسويات التدقيق</t>
        </is>
      </c>
      <c r="D222" s="15" t="inlineStr">
        <is>
          <t>🔧 تشغيلي</t>
        </is>
      </c>
      <c r="E222" s="46" t="inlineStr">
        <is>
          <t>%</t>
        </is>
      </c>
      <c r="F222" s="46" t="inlineStr">
        <is>
          <t>↓</t>
        </is>
      </c>
      <c r="G222" s="15" t="inlineStr">
        <is>
          <t>🟠 مهم</t>
        </is>
      </c>
      <c r="H222" s="61" t="n">
        <v>0.03</v>
      </c>
      <c r="I222" s="46" t="n">
        <v>0.02</v>
      </c>
      <c r="J222" s="46" t="n">
        <v>0.02</v>
      </c>
      <c r="K222" s="61" t="n">
        <v>1</v>
      </c>
      <c r="L222" s="27" t="inlineStr">
        <is>
          <t>✅ محقق</t>
        </is>
      </c>
      <c r="M222" s="27" t="inlineStr">
        <is>
          <t>الاستدامة</t>
        </is>
      </c>
      <c r="N222" s="13" t="inlineStr">
        <is>
          <t>جودة التشغيل</t>
        </is>
      </c>
      <c r="O222" s="15" t="inlineStr">
        <is>
          <t>العمليات الداخلية</t>
        </is>
      </c>
      <c r="P222" s="15" t="inlineStr">
        <is>
          <t>المدير المالي</t>
        </is>
      </c>
      <c r="Q222" s="13" t="inlineStr">
        <is>
          <t>نظام المحاسبة / ERP (D365)</t>
        </is>
      </c>
      <c r="R222" s="15" t="inlineStr">
        <is>
          <t>ربعي</t>
        </is>
      </c>
      <c r="S222" s="46" t="n">
        <v>0.023</v>
      </c>
      <c r="T222" s="46" t="n">
        <v>0.021</v>
      </c>
      <c r="U222" s="46" t="n">
        <v>0.02</v>
      </c>
      <c r="V222" s="61" t="n">
        <v>-0.1304</v>
      </c>
      <c r="W222" s="61" t="n">
        <v>1</v>
      </c>
      <c r="X222" s="61" t="n">
        <v>0.85</v>
      </c>
      <c r="Y222" s="71" t="inlineStr"/>
      <c r="Z222" s="69" t="inlineStr"/>
      <c r="AA222" s="27" t="inlineStr">
        <is>
          <t>محقق</t>
        </is>
      </c>
      <c r="AB222" s="27" t="n">
        <v>1</v>
      </c>
      <c r="AC222" s="74" t="inlineStr">
        <is>
          <t>#2EAD6B</t>
        </is>
      </c>
    </row>
  </sheetData>
  <autoFilter ref="A1:AC22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«المحطات المشغّلة — الشركة»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«العقود الجديدة — الشركة»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قيمة «إيرادات الشركة السنوية» بالريال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«نمو إيرادات الشركة» ÷ الإجمالي المستهدف لنفس البند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«إنجاز مشاريع الخارطة التنفيذية» ÷ الإجمالي المستهدف لنفس البند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«التحول الرقمي على مستوى الشركة» ÷ الإجمالي المستهدف لنفس البند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القيمة المتحقّقة من «مؤشر رضا العملاء العام» ÷ المستهدف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الموظفين المروّجين − ٪ المنتقدين (مقياس eNPS)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«تحقيق المستهدفات الاستراتيجية العامة»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القيمة المتحقّقة من «الالتزام بمعايير وزارة الطاقة» ÷ المستهدف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الامتياز المشغّلة» تراكمياً حتى نهاية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الامتياز الجديدة الموقّعة» المُسجّلة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لترات «مبيعات وقود محطات الامتياز»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«المحطات التي حققت مستهدف المبيعات» ÷ الإجمالي المستهدف لنفس البند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قيم «مبيعات المحطة الواحدة شهرياً» ÷ عدد المفردات المقيسة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«تأجير وحدات الامتياز» ÷ الإجمالي المستهدف لنفس البند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قيمة «إيرادات إدارة الامتياز» بالريال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«رفع هامش الربحية للامتياز»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المالي من شركاء الامتياز»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أيام «أيام تحصيل شركاء الامتياز» ÷ عدد الحالات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قيمة «المستحقات المتأخرة» بالريال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«الشركاء الملتزمين بمواعيد السداد» ÷ الإجمالي المستهدف لنفس البند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«دوران رأس المال» خلال الفترة ÷ إجمالي الحالات القابلة للقياس × 100٪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قيمة/عدد المتحقّق من «جاهزية محطات الامتياز» ÷ الإجمالي المستهدف لنفس البند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«حالات انقطاع الوقود الموثّقة» المُسجّلة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«إغلاق ملاحظات الجودة الميدانية» ÷ الإجمالي المستهدف لنفس البند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مجموع قيم «درجة تقييم جودة المحطة» ÷ عدد المفردات المقيسة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«تنفيذ الزيارات الميدانية المجدولة»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قيمة/عدد المتحقّق من «المحطات المستوفية لمعايير السلامة»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مجموع ساعات «وقت معالجة البلاغات التشغيلية» ÷ عدد الحالات المغلقة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قيمة/عدد المتحقّق من «أتمتة محطات الامتياز» ÷ الإجمالي المستهدف لنفس البند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قيمة/عدد المتحقّق من «تطبيق المعيار الشامل داخل المحطات» ÷ الإجمالي المستهدف لنفس البند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«التزام المحطات بالهوية المؤسسية» ÷ الإجمالي المستهدف لنفس البند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مجموع قيم «تقييم المحطات على خرائط قوقل» ÷ عدد المفردات المقيسة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عدد حالات «رضا شركاء الامتياز» خلال الفترة ÷ إجمالي الحالات القابلة للقياس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قيمة/عدد المتحقّق من «حل الشكاوى خلال المدة المحددة» ÷ الإجمالي المستهدف لنفس البند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قيمة/عدد المتحقّق من «انخفاض الشكاوى التشغيلية والإدارية» ÷ الإجمالي المستهدف لنفس البند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قيمة/عدد المتحقّق من «استدامة أصحاب الامتياز» ÷ الإجمالي المستهدف لنفس البند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قيمة/عدد المتحقّق من «زيادة عدد أصحاب الامتياز» ÷ الإجمالي المستهدف لنفس البند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مجموع قيم «مدة إغلاق عقد الامتياز» ÷ عدد المفردات المقيسة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«المحطات المشغّلة» تراكمياً حتى نهاية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«نمو مبيعات بنزين 91 مقارنة بالعام السابق»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«نمو مبيعات بنزين 95 مقارنة بالعام السابق»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«نمو مبيعات بنزين 98 مقارنة بالعام السابق» ÷ المستهدف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القيمة المتحقّقة من «نمو مبيعات الديزل مقارنة بالعام السابق» ÷ المستهدف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قيمة/عدد المتحقّق من «جاهزية المحطة الشاملة»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«المضخات العاملة» ÷ الإجمالي المستهدف لنفس البند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«تكلفة التشغيل لكل لتر مباع»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«الصيانة الوقائية المنفذة في موعدها» ÷ الإجمالي المستهدف لنفس البند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مقارنة بالشهر السابق» ÷ الإجمالي المستهدف لنفس البند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تقييم «تقييم Google Maps للمحطات» على مقياسه المعتمد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قياس «سرعة تعبئة الوقود» مقابل مستهدفه المعتمد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«دقة التعبئة بدون أخطاء» ÷ المستهدف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«تطبيق المعيار الشامل في المحطات» ÷ المستهدف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القيمة المتحقّقة من «الالتزام بمعايير السلامة داخل المحطة»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«التشجير داخل المحطة» ÷ المستهدف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«عقود الاستثمار الجديدة»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الاستثمار العادي الجديدة» المُسجّل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عدد «عقود الاستحواذ الجديدة» المُسجّل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عدد «المحطات المستحوَذ عليها المشغّلة» المُسجّل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«عقود تأجير الأرض الجديدة»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«عقود إيجار المحطة الجديدة»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عدد «عقود تشغيل المحطة الجديدة» المُسجّل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«المواقع المعتمدة ذات العائد المجدي» ÷ الإجمالي المستهدف لنفس البند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قيم «فترة استرداد رأس المال» ÷ عدد المفردات المقيسة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قيم «قيمة عقد الإيجار السنوي» ÷ عدد المفردات المقيسة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«العقود التي تغطي المناطق الـ13» ÷ الإجمالي المستهدف لنفس البند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«العقود خارج المدن الرئيسية»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«العقود في الـ12 مدينة الرئيسية» ÷ الإجمالي المستهدف لنفس البند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«العقود على الطرق الإقليمية» ÷ الإجمالي المستهدف لنفس البند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قيم «مدة إغلاق عقد الاستثمار» ÷ عدد المفردات المقيسة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«العقود المتحوّلة لمحطات مشغّلة» ÷ الإجمالي المستهدف لنفس البند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«تخفيض إيجار المواقع عالية التكاليف» ÷ الإجمالي المستهدف لنفس البند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«اكتمال المستندات النظامية قبل التوقيع»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قيمة/عدد المتحقّق من «العقود المؤرشفة إلكترونياً خلال 48 ساعة»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القيمة المتحقّقة من «جودة التفاوض مع المستثمرين» ÷ المستهدف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قياس «سرعة إنجاز إجراءات التعاقد» مقابل مستهدفه المعتمد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القيمة المتحقّقة من «مدى رضا المستثمرين وشركاء الاستثمار» ÷ المستهدف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«اكتمال أرشفة ملفات العملاء» ÷ الإجمالي المستهدف لنفس البند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«إنجاز التقارير الدورية في موعدها» ÷ الإجمالي المستهدف لنفس البند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الإيجارية»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«الالتزام بالعقود» ÷ الإجمالي المستهدف لنفس البند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«تحصيل الإيجارات»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«الإشغال» ÷ الإجمالي المستهدف لنفس البند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«الوحدات المؤجَّرة شهرياً»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«العملاء المحتملون»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حالات «التحويل» خلال الفترة ÷ إجمالي الحالات القابلة للقياس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«زيادة عدد العلامات التجارية» المُسجّل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«تأجير ساحة درب» ÷ الإجمالي المستهدف لنفس البند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«علامات تجارية جديدة» المُسجّل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«الشراكات الاستراتيجية» المُسجّل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«تجديد العقود»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مجموع أيام «زمن تسليم الوحدة» ÷ عدد الحالات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«إغلاق الطلبات خلال 3 أسابيع» ÷ الإجمالي المستهدف لنفس البند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«استدامة المستأجرين» ÷ المستهدف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عدد حالات «رضا المستأجرين» خلال الفترة ÷ إجمالي الحالات القابلة للقياس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الشركة المُسلَّمة» المُسجّلة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«إنجاز محفظة مشاريع التوسع» ÷ الإجمالي المستهدف لنفس البند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«تسليم المحطات في الموعد المخطط» ÷ الإجمالي المستهدف لنفس البند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«المشاريع المنفّذة ضمن الميزانية» ÷ الإجمالي المستهدف لنفس البند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«محطات الامتياز المُسلَّمة بالهوية» المُسجّلة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زيارات الإشراف المجدولة» ÷ الإجمالي المستهدف لنفس البند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«التزام المطوّرين بالجدول الزمني» ÷ الإجمالي المستهدف لنفس البند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«إغلاق ملاحظات الجودة على المطوّرين» ÷ الإجمالي المستهدف لنفس البند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«المحطات المُسلَّمة بالهوية»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«المشاريع الخالية من مخالفات الجودة» ÷ الإجمالي المستهدف لنفس البند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«مخالفات المقاولين» المُسجّلة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قيمة/عدد المتحقّق من «التزام المقاولين بمعايير السلامة» ÷ الإجمالي المستهدف لنفس البند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بالميزانية المعتمدة» ÷ الإجمالي المستهدف لنفس البند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«الالتزام بالجدول الزمني العام» ÷ الإجمالي المستهدف لنفس البند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أيام «مدة إغلاق قائمة الملاحظات النهائية» ÷ عدد الحالات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«انقطاعات الوقود الشهرية» المُسجّلة خلال الفترة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«توفّر المواد المخزنية» ÷ الإجمالي المستهدف لنفس البند × 100٪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«إصدار أوامر الشراء خلال ≤ 5 أيام عمل» ÷ الإجمالي المستهدف لنفس البند × 100٪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«استيفاء طلبات المحطات» ÷ الإجمالي المستهدف لنفس البند × 100٪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لترات «فاقد الوقود لكل 33 ألف لتر» خلال الفترة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«المواد التالفة من المخزون» ÷ الإجمالي المستهدف لنفس البند × 100٪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«تغطية مخزون الوقود» خلال الفترة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جدول النقل» ÷ الإجمالي المستهدف لنفس البند × 100٪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«استخدام الأسطول المملوك» ÷ الإجمالي المستهدف لنفس البند × 100٪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«إنجاز محفظة مشاريع التحول الرقمي» ÷ الإجمالي المستهدف لنفس البند × 100٪</t>
        </is>
      </c>
      <c r="Q4" s="80" t="inlineStr">
        <is>
          <t>سجلات الإدارة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حالات «تسليم المشاريع في الموعد المحدد» خلال الفترة ÷ إجمالي الحالات القابلة للقياس × 100٪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«الالتزام بميزانية المشاريع»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«الالتزام بنطاق العمل»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«تفعيل الأنظمة الأساسية بالمحطات» ÷ الإجمالي المستهدف لنفس البند × 100٪</t>
        </is>
      </c>
      <c r="Q8" s="80" t="inlineStr">
        <is>
          <t>مكتب إدارة المشاريع (PMO)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مجموع قيم «جاهزية أنظمة المركز الرئيسي» ÷ عدد المفردات المقيسة</t>
        </is>
      </c>
      <c r="Q9" s="80" t="inlineStr">
        <is>
          <t>مكتب إدارة المشاريع (PMO)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«الامتثال للأمن السيبراني» ÷ الإجمالي المستهدف لنفس البند × 100٪</t>
        </is>
      </c>
      <c r="Q10" s="80" t="inlineStr">
        <is>
          <t>مكتب إدارة المشاريع (PMO)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ساعات «زمن استجابة الدعم الفني» ÷ عدد الحالات المغلقة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«التكامل الرقمي» ÷ الإجمالي المستهدف لنفس البند × 100٪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61" t="n">
        <v>0.3</v>
      </c>
      <c r="I4" s="78" t="inlineStr">
        <is>
          <t>≥ 30%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>
        <v>0.249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«السعودة / التوطين» ÷ الإجمالي المستهدف لنفس البند × 100٪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التوظيف والتوطين</t>
        </is>
      </c>
      <c r="C5" s="24" t="inlineStr">
        <is>
          <t>نسبة شغل الشواغر خلال 30 يوماً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0.85</v>
      </c>
      <c r="I5" s="78" t="inlineStr">
        <is>
          <t>≥ 85%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0.823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«شغل الشواغر خلال 30 يوماً» ÷ الإجمالي المستهدف لنفس البند × 100٪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التوظيف والتوطين</t>
        </is>
      </c>
      <c r="C6" s="24" t="inlineStr">
        <is>
          <t>جودة التوظيف — نسبة اجتياز الموظفين الجدد فترة التجربة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59" t="n">
        <v>0.854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«جودة التوظيف — نسبة اجتياز الموظفين الجدد فترة التجربة» ÷ المستهدف × 100٪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الاستبقاء والاستقرار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عدد حالات «استبقاء الموظفين» خلال الفترة ÷ إجمالي الحالات القابلة للقياس × 100٪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الاستبقاء والاستقرار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عدد حالات «دوران الموظفين» خلال الفترة ÷ إجمالي الحالات القابلة للقياس × 100٪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الاستبقاء والاستقرار</t>
        </is>
      </c>
      <c r="C9" s="24" t="inlineStr">
        <is>
          <t>معدل الغياب (Absenteeism)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0.06</v>
      </c>
      <c r="H9" s="61" t="n">
        <v>0.03</v>
      </c>
      <c r="I9" s="78" t="inlineStr">
        <is>
          <t>≤ 3%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9" t="n">
        <v>0.028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حالات «الغياب» خلال الفترة ÷ إجمالي الحالات القابلة للقياس × 100٪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ساعات «ساعات التدريب لكل موظف» ÷ عدد الحالات المغلقة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«الموظفين المشمولين بخطة تطوير» ÷ الإجمالي المستهدف لنفس البند × 100٪</t>
        </is>
      </c>
      <c r="Q11" s="80" t="inlineStr">
        <is>
          <t>نظام الموارد البشرية (HRMS)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التدريب والتطوير</t>
        </is>
      </c>
      <c r="C12" s="24" t="inlineStr">
        <is>
          <t>فاعلية التدريب — نسبة تطبيق أثر التدريب في العمل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61" t="n">
        <v>0.8</v>
      </c>
      <c r="I12" s="78" t="inlineStr">
        <is>
          <t>≥ 80%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59" t="n">
        <v>0.8159999999999999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القيمة المتحقّقة من «فاعلية التدريب — نسبة تطبيق أثر التدريب في العمل» ÷ المستهدف × 100٪</t>
        </is>
      </c>
      <c r="Q12" s="80" t="inlineStr">
        <is>
          <t>نظام الموارد البشرية (HRMS)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التدريب والتطوير</t>
        </is>
      </c>
      <c r="C13" s="24" t="inlineStr">
        <is>
          <t>نسبة الترقيات الداخلية لشغل الشواغر القيادية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0.6</v>
      </c>
      <c r="I13" s="78" t="inlineStr">
        <is>
          <t>≥ 60%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العمليات الداخلية</t>
        </is>
      </c>
      <c r="M13" s="59" t="n">
        <v>0.6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«الترقيات الداخلية لشغل الشواغر القيادية» ÷ الإجمالي المستهدف لنفس البند × 100٪</t>
        </is>
      </c>
      <c r="Q13" s="80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الرضا والثقافة</t>
        </is>
      </c>
      <c r="C14" s="24" t="inlineStr">
        <is>
          <t>مؤشر رضا الموظفين (eNPS)</t>
        </is>
      </c>
      <c r="D14" s="46" t="inlineStr">
        <is>
          <t>نقطة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0.08</v>
      </c>
      <c r="H14" s="62" t="n">
        <v>30</v>
      </c>
      <c r="I14" s="78" t="inlineStr">
        <is>
          <t>≥ 30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3" t="n">
        <v>27.5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هدف",IF($N14&gt;=0.9,"✅ محقق",IF($N14&gt;=0.75,"🟡 قريب","🔴 تحت الهدف")))</f>
        <v/>
      </c>
      <c r="P14" s="80" t="inlineStr">
        <is>
          <t>٪ الموظفين المروّجين − ٪ المنتقدين (مقياس eNPS)</t>
        </is>
      </c>
      <c r="Q14" s="80" t="inlineStr">
        <is>
          <t>استبيان دوري</t>
        </is>
      </c>
      <c r="R14" s="15" t="inlineStr">
        <is>
          <t>ربعي</t>
        </is>
      </c>
    </row>
    <row r="15" ht="26" customHeight="1">
      <c r="A15" s="28" t="n">
        <v>12</v>
      </c>
      <c r="B15" s="24" t="inlineStr">
        <is>
          <t>الرواتب والتعويضات</t>
        </is>
      </c>
      <c r="C15" s="24" t="inlineStr">
        <is>
          <t>دقة الرواتب — نسبة الرواتب المصروفة صحيحةً وفي موعدها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0.995</v>
      </c>
      <c r="I15" s="78" t="inlineStr">
        <is>
          <t>≥ 99.5%</t>
        </is>
      </c>
      <c r="J15" s="79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59" t="n">
        <v>1.041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«دقة الرواتب — نسبة الرواتب المصروفة صحيحةً وفي موعدها» ÷ المستهدف × 100٪</t>
        </is>
      </c>
      <c r="Q15" s="80" t="inlineStr">
        <is>
          <t>نظام الرواتب (Payroll) / حماية الأجور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الرواتب والتعويضات</t>
        </is>
      </c>
      <c r="C16" s="24" t="inlineStr">
        <is>
          <t>نسبة الالتزام بنظام حماية الأجور (WPS)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🔴 رئيسي</t>
        </is>
      </c>
      <c r="G16" s="61" t="n">
        <v>0.08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الاستثمار في الموظفين</t>
        </is>
      </c>
      <c r="L16" s="15" t="inlineStr">
        <is>
          <t>العمليات الداخلية</t>
        </is>
      </c>
      <c r="M16" s="59" t="n">
        <v>0.77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بنظام حماية الأجور» ÷ الإجمالي المستهدف لنفس البند × 100٪</t>
        </is>
      </c>
      <c r="Q16" s="80" t="inlineStr">
        <is>
          <t>نظام الرواتب (Payroll) / حماية الأجور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التمكين والأداء</t>
        </is>
      </c>
      <c r="C17" s="24" t="inlineStr">
        <is>
          <t>نسبة إنجاز تقييمات الأداء في موعدها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0.06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العمليات الداخلية</t>
        </is>
      </c>
      <c r="M17" s="59" t="n">
        <v>0.8080000000000001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«إنجاز تقييمات الأداء في موعدها» ÷ الإجمالي المستهدف لنفس البند × 100٪</t>
        </is>
      </c>
      <c r="Q17" s="80" t="inlineStr">
        <is>
          <t>نظام الموارد البشرية (HRMS)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التمكين والأداء</t>
        </is>
      </c>
      <c r="C18" s="24" t="inlineStr">
        <is>
          <t>نسبة أتمتة عمليات الموارد البشرية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0.9</v>
      </c>
      <c r="I18" s="78" t="inlineStr">
        <is>
          <t>≥ 90%</t>
        </is>
      </c>
      <c r="J18" s="79" t="inlineStr">
        <is>
          <t>الابتكار</t>
        </is>
      </c>
      <c r="K18" s="11" t="inlineStr">
        <is>
          <t>التحول التقني</t>
        </is>
      </c>
      <c r="L18" s="15" t="inlineStr">
        <is>
          <t>التعلّم والنمو</t>
        </is>
      </c>
      <c r="M18" s="59" t="n">
        <v>0.756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قيمة/عدد المتحقّق من «أتمتة عمليات الموارد البشرية» ÷ الإجمالي المستهدف لنفس البند × 100٪</t>
        </is>
      </c>
      <c r="Q18" s="80" t="inlineStr">
        <is>
          <t>مكتب إدارة المشاريع (PMO)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التمكين والأداء</t>
        </is>
      </c>
      <c r="C19" s="24" t="inlineStr">
        <is>
          <t>نسبة توثيق وتحديث أنظمة وسياسات العمل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🟡 متابعة</t>
        </is>
      </c>
      <c r="G19" s="61" t="n">
        <v>0.03</v>
      </c>
      <c r="H19" s="61" t="n">
        <v>0.85</v>
      </c>
      <c r="I19" s="78" t="inlineStr">
        <is>
          <t>≥ 85%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59" t="n">
        <v>0.694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«توثيق وتحديث أنظمة وسياسات العمل» ÷ الإجمالي المستهدف لنفس البند × 100٪</t>
        </is>
      </c>
      <c r="Q19" s="80" t="inlineStr">
        <is>
          <t>مكتب إدارة المشاريع (PMO)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عدد «الوصول الكلي» المُسجّل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«عملاء تجاريون جدد» المُسجّل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مجموع «المتابعين»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عدد حالات «التفاعل» خلال الفترة ÷ إجمالي الحالات القابلة للقياس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«حملات تسويقية منجزة» المُسجّل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القيمة المتحقّقة من «تحويل الفرص إلى عقود» ÷ المستهدف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«المبيعات لكل حملة» ÷ الإجمالي المستهدف لنفس البند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الهوية البصرية» ÷ الإجمالي المستهدف لنفس البند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عدد «وصول العلاقات العامة» المُسجّل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«المعارض بالسنة» المُسجّلة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«اتفاقيات استراتيجية» المُسجّل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تقييم «تقييم خرائط قوقل» على مقياسه المعتمد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«خفض الشكاوى» خلال الفترة ÷ إجمالي الحالات القابلة للقياس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«وصول محتوى تطبيق تانكي» المُسجّل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«مشاركات تطبيق تانكي» المُسجّل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«المحطات الحرجة» ÷ الإجمالي المستهدف لنفس البند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قيمة/عدد المتحقّق من «مطابقة جودة الوقود» ÷ الإجمالي المستهدف لنفس البند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«إغلاق الملاحظات في الوقت المحدد»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«فعالية الإجراءات التصحيحية»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«تكرار الملاحظات» ÷ الإجمالي المستهدف لنفس البند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خطة التفتيش والتدقيق»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«جاهزية نظام إدارة الجودة QMS» ÷ الإجمالي المستهدف لنفس البند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«مخاطر الجودة الحرجة المفتوحة» تراكمياً حتى نهاية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«إغلاق مخاطر الجودة في الوقت المحدد» ÷ الإجمالي المستهدف لنفس البند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«اكتمال وتحديث الإجراءات المعتمدة» ÷ الإجمالي المستهدف لنفس البند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«اكتمال سجلات الجودة» ÷ الإجمالي المستهدف لنفس البند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«رقمنة عمليات الجودة» ÷ الإجمالي المستهدف لنفس البند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«مبادرات التحسين المؤثرة» المُسجّلة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«العقود المُراجَعة قانونياً قبل التوقيع» ÷ الإجمالي المستهدف لنفس البند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أيام «زمن صياغة ومراجعة العقد» ÷ عدد الحالات</t>
        </is>
      </c>
      <c r="Q5" s="80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«القضايا المُغلقة لصالح الشركة» ÷ الإجمالي المستهدف لنفس البند × 100٪</t>
        </is>
      </c>
      <c r="Q7" s="80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0.07000000000000001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80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مجموع أيام «زمن إعداد المذكرة القانونية» ÷ عدد الحالات</t>
        </is>
      </c>
      <c r="Q9" s="80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0.07000000000000001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«الاستشارات المُنجزة ضمن المدة المستهدفة» ÷ الإجمالي المستهدف لنفس البند × 100٪</t>
        </is>
      </c>
      <c r="Q10" s="80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القيمة المتحقّقة من «مستوى رضا الإدارات عن الدعم القانوني» ÷ المستهدف × 100٪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التحقيق</t>
        </is>
      </c>
      <c r="C12" s="24" t="inlineStr">
        <is>
          <t>نسبة إنجاز التحقيقات ضمن المدة المحددة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«إنجاز التحقيقات ضمن المدة المحددة» ÷ الإجمالي المستهدف لنفس البند × 100٪</t>
        </is>
      </c>
      <c r="Q12" s="80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التحقيق</t>
        </is>
      </c>
      <c r="C13" s="24" t="inlineStr">
        <is>
          <t>نسبة التحقيقات المُغلقة من إجمالي المُحالة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0.719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«التحقيقات المُغلقة من إجمالي المُحالة» ÷ الإجمالي المستهدف لنفس البند × 100٪</t>
        </is>
      </c>
      <c r="Q13" s="80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التحقيق</t>
        </is>
      </c>
      <c r="C14" s="24" t="inlineStr">
        <is>
          <t>متوسط زمن إغلاق قضية التحقيق</t>
        </is>
      </c>
      <c r="D14" s="46" t="inlineStr">
        <is>
          <t>يوم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62" t="n">
        <v>30</v>
      </c>
      <c r="I14" s="78" t="inlineStr">
        <is>
          <t>≤ 30 يوم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أيام «زمن إغلاق قضية التحقيق» ÷ عدد الحالات</t>
        </is>
      </c>
      <c r="Q14" s="80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التحقيق</t>
        </is>
      </c>
      <c r="C15" s="24" t="inlineStr">
        <is>
          <t>نسبة تنفيذ التوصيات الصادرة عن التحقيقات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1" t="n">
        <v>0.9</v>
      </c>
      <c r="I15" s="78" t="inlineStr">
        <is>
          <t>≥ 90%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0.651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«تنفيذ التوصيات الصادرة عن التحقيقات» ÷ الإجمالي المستهدف لنفس البند × 100٪</t>
        </is>
      </c>
      <c r="Q15" s="80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التحقيق</t>
        </is>
      </c>
      <c r="C16" s="24" t="inlineStr">
        <is>
          <t>نسبة التزام التحقيقات بالإجراءات النظامية والعدالة الإجرائية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0.76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80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السنوي»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«هامش EBITDA»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«هامش صافي الربح»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«العائد على حقوق الملكية» ÷ المستهدف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«التدفق النقدي التشغيلي» ÷ الإجمالي المستهدف لنفس البند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قياس «النسبة الجارية» مقابل مستهدفه المعتمد خلال الفترة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«دورة التحويل النقدي»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أيام «أيام التحصيل العام» ÷ عدد الحالات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العام»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«الذمم المتأخرة» ÷ الإجمالي المستهدف لنفس البند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«الديون المعدومة» ÷ الإجمالي المستهدف لنفس البند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«سداد الموردين في الموعد» ÷ المستهدف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«اكتمال مطابقة حسابات الموردين» ÷ المستهدف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«دقة التنبؤ النقدي» ÷ المستهدف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«تباين مخزون الوقود»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القيمة المتحقّقة من «دقة مطابقة المخزون» ÷ المستهدف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القيمة المتحقّقة من «دقة تسوية أرامكو» ÷ المستهدف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«تحصيل الامتياز» ÷ الإجمالي المستهدف لنفس البند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عدد أيام «أيام تحصيل رسوم الامتياز»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قيمة/عدد المتحقّق من «تحصيل الإيجار» ÷ الإجمالي المستهدف لنفس البند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عدد حالات «تجديد عقود الإيجار» خلال الفترة ÷ إجمالي الحالات القابلة للقياس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القيمة المتحقّقة من «انحراف الموازنة» ÷ المستهدف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عدد أيام «أيام الإقفال الشهري»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«تسويات التدقيق» ÷ الإجمالي المستهدف لنفس البند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والأتمتة'!C4</f>
        <v/>
      </c>
      <c r="D122" s="15">
        <f>'الصيانة والأتمتة'!J4</f>
        <v/>
      </c>
      <c r="E122" s="13">
        <f>'الصيانة والأتمتة'!K4</f>
        <v/>
      </c>
      <c r="F122" s="15">
        <f>'الصيانة والأتمتة'!L4</f>
        <v/>
      </c>
      <c r="G122" s="47">
        <f>'الصيانة والأتمتة'!N4</f>
        <v/>
      </c>
      <c r="H122" s="15">
        <f>'الصيانة والأتمتة'!O4</f>
        <v/>
      </c>
      <c r="I122" s="68">
        <f>'الصيانة والأتمتة'!G4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والأتمتة'!C5</f>
        <v/>
      </c>
      <c r="D123" s="15">
        <f>'الصيانة والأتمتة'!J5</f>
        <v/>
      </c>
      <c r="E123" s="13">
        <f>'الصيانة والأتمتة'!K5</f>
        <v/>
      </c>
      <c r="F123" s="15">
        <f>'الصيانة والأتمتة'!L5</f>
        <v/>
      </c>
      <c r="G123" s="47">
        <f>'الصيانة والأتمتة'!N5</f>
        <v/>
      </c>
      <c r="H123" s="15">
        <f>'الصيانة والأتمتة'!O5</f>
        <v/>
      </c>
      <c r="I123" s="68">
        <f>'الصيانة والأتمتة'!G5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والأتمتة'!C6</f>
        <v/>
      </c>
      <c r="D124" s="15">
        <f>'الصيانة والأتمتة'!J6</f>
        <v/>
      </c>
      <c r="E124" s="13">
        <f>'الصيانة والأتمتة'!K6</f>
        <v/>
      </c>
      <c r="F124" s="15">
        <f>'الصيانة والأتمتة'!L6</f>
        <v/>
      </c>
      <c r="G124" s="47">
        <f>'الصيانة والأتمتة'!N6</f>
        <v/>
      </c>
      <c r="H124" s="15">
        <f>'الصيانة والأتمتة'!O6</f>
        <v/>
      </c>
      <c r="I124" s="68">
        <f>'الصيانة والأتمتة'!G6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والأتمتة'!C7</f>
        <v/>
      </c>
      <c r="D125" s="15">
        <f>'الصيانة والأتمتة'!J7</f>
        <v/>
      </c>
      <c r="E125" s="13">
        <f>'الصيانة والأتمتة'!K7</f>
        <v/>
      </c>
      <c r="F125" s="15">
        <f>'الصيانة والأتمتة'!L7</f>
        <v/>
      </c>
      <c r="G125" s="47">
        <f>'الصيانة والأتمتة'!N7</f>
        <v/>
      </c>
      <c r="H125" s="15">
        <f>'الصيانة والأتمتة'!O7</f>
        <v/>
      </c>
      <c r="I125" s="68">
        <f>'الصيانة والأتمتة'!G7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47">
        <f>'الصيانة والأتمتة'!N8</f>
        <v/>
      </c>
      <c r="H126" s="15">
        <f>'الصيانة والأتمتة'!O8</f>
        <v/>
      </c>
      <c r="I126" s="68">
        <f>'الصيانة والأتمتة'!G8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47">
        <f>'الصيانة والأتمتة'!N9</f>
        <v/>
      </c>
      <c r="H127" s="15">
        <f>'الصيانة والأتمتة'!O9</f>
        <v/>
      </c>
      <c r="I127" s="68">
        <f>'الصيانة والأتمتة'!G9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47">
        <f>'الصيانة والأتمتة'!N10</f>
        <v/>
      </c>
      <c r="H128" s="15">
        <f>'الصيانة والأتمتة'!O10</f>
        <v/>
      </c>
      <c r="I128" s="68">
        <f>'الصيانة والأتمتة'!G10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47">
        <f>'الصيانة والأتمتة'!N11</f>
        <v/>
      </c>
      <c r="H129" s="15">
        <f>'الصيانة والأتمتة'!O11</f>
        <v/>
      </c>
      <c r="I129" s="68">
        <f>'الصيانة والأتمتة'!G11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47">
        <f>'الصيانة والأتمتة'!N12</f>
        <v/>
      </c>
      <c r="H130" s="15">
        <f>'الصيانة والأتمتة'!O12</f>
        <v/>
      </c>
      <c r="I130" s="68">
        <f>'الصيانة والأتمتة'!G12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والأتمتة'!C13</f>
        <v/>
      </c>
      <c r="D131" s="15">
        <f>'الصيانة والأتمتة'!J13</f>
        <v/>
      </c>
      <c r="E131" s="13">
        <f>'الصيانة والأتمتة'!K13</f>
        <v/>
      </c>
      <c r="F131" s="15">
        <f>'الصيانة والأتمتة'!L13</f>
        <v/>
      </c>
      <c r="G131" s="47">
        <f>'الصيانة والأتمتة'!N13</f>
        <v/>
      </c>
      <c r="H131" s="15">
        <f>'الصيانة والأتمتة'!O13</f>
        <v/>
      </c>
      <c r="I131" s="68">
        <f>'الصيانة والأتمتة'!G13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الرقمية'!C4</f>
        <v/>
      </c>
      <c r="D132" s="15">
        <f>'التقنية الرقمية'!J4</f>
        <v/>
      </c>
      <c r="E132" s="13">
        <f>'التقنية الرقمية'!K4</f>
        <v/>
      </c>
      <c r="F132" s="15">
        <f>'التقنية الرقمية'!L4</f>
        <v/>
      </c>
      <c r="G132" s="47">
        <f>'التقنية الرقمية'!N4</f>
        <v/>
      </c>
      <c r="H132" s="15">
        <f>'التقنية الرقمية'!O4</f>
        <v/>
      </c>
      <c r="I132" s="68">
        <f>'التقنية الرقمية'!G4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الرقمية'!C5</f>
        <v/>
      </c>
      <c r="D133" s="15">
        <f>'التقنية الرقمية'!J5</f>
        <v/>
      </c>
      <c r="E133" s="13">
        <f>'التقنية الرقمية'!K5</f>
        <v/>
      </c>
      <c r="F133" s="15">
        <f>'التقنية الرقمية'!L5</f>
        <v/>
      </c>
      <c r="G133" s="47">
        <f>'التقنية الرقمية'!N5</f>
        <v/>
      </c>
      <c r="H133" s="15">
        <f>'التقنية الرقمية'!O5</f>
        <v/>
      </c>
      <c r="I133" s="68">
        <f>'التقنية الرقمية'!G5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الرقمية'!C6</f>
        <v/>
      </c>
      <c r="D134" s="15">
        <f>'التقنية الرقمية'!J6</f>
        <v/>
      </c>
      <c r="E134" s="13">
        <f>'التقنية الرقمية'!K6</f>
        <v/>
      </c>
      <c r="F134" s="15">
        <f>'التقنية الرقمية'!L6</f>
        <v/>
      </c>
      <c r="G134" s="47">
        <f>'التقنية الرقمية'!N6</f>
        <v/>
      </c>
      <c r="H134" s="15">
        <f>'التقنية الرقمية'!O6</f>
        <v/>
      </c>
      <c r="I134" s="68">
        <f>'التقنية الرقمية'!G6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الرقمية'!C7</f>
        <v/>
      </c>
      <c r="D135" s="15">
        <f>'التقنية الرقمية'!J7</f>
        <v/>
      </c>
      <c r="E135" s="13">
        <f>'التقنية الرقمية'!K7</f>
        <v/>
      </c>
      <c r="F135" s="15">
        <f>'التقنية الرقمية'!L7</f>
        <v/>
      </c>
      <c r="G135" s="47">
        <f>'التقنية الرقمية'!N7</f>
        <v/>
      </c>
      <c r="H135" s="15">
        <f>'التقنية الرقمية'!O7</f>
        <v/>
      </c>
      <c r="I135" s="68">
        <f>'التقنية الرقمية'!G7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الرقمية'!C8</f>
        <v/>
      </c>
      <c r="D136" s="15">
        <f>'التقنية الرقمية'!J8</f>
        <v/>
      </c>
      <c r="E136" s="13">
        <f>'التقنية الرقمية'!K8</f>
        <v/>
      </c>
      <c r="F136" s="15">
        <f>'التقنية الرقمية'!L8</f>
        <v/>
      </c>
      <c r="G136" s="47">
        <f>'التقنية الرقمية'!N8</f>
        <v/>
      </c>
      <c r="H136" s="15">
        <f>'التقنية الرقمية'!O8</f>
        <v/>
      </c>
      <c r="I136" s="68">
        <f>'التقنية الرقمية'!G8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47">
        <f>'التقنية الرقمية'!N9</f>
        <v/>
      </c>
      <c r="H137" s="15">
        <f>'التقنية الرقمية'!O9</f>
        <v/>
      </c>
      <c r="I137" s="68">
        <f>'التقنية الرقمية'!G9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47">
        <f>'التقنية الرقمية'!N10</f>
        <v/>
      </c>
      <c r="H138" s="15">
        <f>'التقنية الرقمية'!O10</f>
        <v/>
      </c>
      <c r="I138" s="68">
        <f>'التقنية الرقمية'!G10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الرقمية'!C11</f>
        <v/>
      </c>
      <c r="D139" s="15">
        <f>'التقنية الرقمية'!J11</f>
        <v/>
      </c>
      <c r="E139" s="13">
        <f>'التقنية الرقمية'!K11</f>
        <v/>
      </c>
      <c r="F139" s="15">
        <f>'التقنية الرقمية'!L11</f>
        <v/>
      </c>
      <c r="G139" s="47">
        <f>'التقنية الرقمية'!N11</f>
        <v/>
      </c>
      <c r="H139" s="15">
        <f>'التقنية الرقمية'!O11</f>
        <v/>
      </c>
      <c r="I139" s="68">
        <f>'التقنية الرقمية'!G11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الرقمية'!C12</f>
        <v/>
      </c>
      <c r="D140" s="15">
        <f>'التقنية الرقمية'!J12</f>
        <v/>
      </c>
      <c r="E140" s="13">
        <f>'التقنية الرقمية'!K12</f>
        <v/>
      </c>
      <c r="F140" s="15">
        <f>'التقنية الرقمية'!L12</f>
        <v/>
      </c>
      <c r="G140" s="47">
        <f>'التقنية الرقمية'!N12</f>
        <v/>
      </c>
      <c r="H140" s="15">
        <f>'التقنية الرقمية'!O12</f>
        <v/>
      </c>
      <c r="I140" s="68">
        <f>'التقنية الرقمية'!G12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البشرية'!C4</f>
        <v/>
      </c>
      <c r="D141" s="15">
        <f>'الموارد البشرية'!J4</f>
        <v/>
      </c>
      <c r="E141" s="13">
        <f>'الموارد البشرية'!K4</f>
        <v/>
      </c>
      <c r="F141" s="15">
        <f>'الموارد البشرية'!L4</f>
        <v/>
      </c>
      <c r="G141" s="47">
        <f>'الموارد البشرية'!N4</f>
        <v/>
      </c>
      <c r="H141" s="15">
        <f>'الموارد البشرية'!O4</f>
        <v/>
      </c>
      <c r="I141" s="68">
        <f>'الموارد البشرية'!G4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47">
        <f>'الموارد البشرية'!N5</f>
        <v/>
      </c>
      <c r="H142" s="15">
        <f>'الموارد البشرية'!O5</f>
        <v/>
      </c>
      <c r="I142" s="68">
        <f>'الموارد البشرية'!G5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47">
        <f>'الموارد البشرية'!N6</f>
        <v/>
      </c>
      <c r="H143" s="15">
        <f>'الموارد البشرية'!O6</f>
        <v/>
      </c>
      <c r="I143" s="68">
        <f>'الموارد البشرية'!G6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47">
        <f>'الموارد البشرية'!N7</f>
        <v/>
      </c>
      <c r="H144" s="15">
        <f>'الموارد البشرية'!O7</f>
        <v/>
      </c>
      <c r="I144" s="68">
        <f>'الموارد البشرية'!G7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47">
        <f>'الموارد البشرية'!N8</f>
        <v/>
      </c>
      <c r="H145" s="15">
        <f>'الموارد البشرية'!O8</f>
        <v/>
      </c>
      <c r="I145" s="68">
        <f>'الموارد البشرية'!G8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47">
        <f>'الموارد البشرية'!N9</f>
        <v/>
      </c>
      <c r="H146" s="15">
        <f>'الموارد البشرية'!O9</f>
        <v/>
      </c>
      <c r="I146" s="68">
        <f>'الموارد البشرية'!G9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البشرية'!C10</f>
        <v/>
      </c>
      <c r="D147" s="15">
        <f>'الموارد البشرية'!J10</f>
        <v/>
      </c>
      <c r="E147" s="13">
        <f>'الموارد البشرية'!K10</f>
        <v/>
      </c>
      <c r="F147" s="15">
        <f>'الموارد البشرية'!L10</f>
        <v/>
      </c>
      <c r="G147" s="47">
        <f>'الموارد البشرية'!N10</f>
        <v/>
      </c>
      <c r="H147" s="15">
        <f>'الموارد البشرية'!O10</f>
        <v/>
      </c>
      <c r="I147" s="68">
        <f>'الموارد البشرية'!G10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47">
        <f>'الموارد البشرية'!N11</f>
        <v/>
      </c>
      <c r="H148" s="15">
        <f>'الموارد البشرية'!O11</f>
        <v/>
      </c>
      <c r="I148" s="68">
        <f>'الموارد البشرية'!G11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47">
        <f>'الموارد البشرية'!N12</f>
        <v/>
      </c>
      <c r="H149" s="15">
        <f>'الموارد البشرية'!O12</f>
        <v/>
      </c>
      <c r="I149" s="68">
        <f>'الموارد البشرية'!G12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البشرية'!C13</f>
        <v/>
      </c>
      <c r="D150" s="15">
        <f>'الموارد البشرية'!J13</f>
        <v/>
      </c>
      <c r="E150" s="13">
        <f>'الموارد البشرية'!K13</f>
        <v/>
      </c>
      <c r="F150" s="15">
        <f>'الموارد البشرية'!L13</f>
        <v/>
      </c>
      <c r="G150" s="47">
        <f>'الموارد البشرية'!N13</f>
        <v/>
      </c>
      <c r="H150" s="15">
        <f>'الموارد البشرية'!O13</f>
        <v/>
      </c>
      <c r="I150" s="68">
        <f>'الموارد البشرية'!G13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البشرية'!C14</f>
        <v/>
      </c>
      <c r="D151" s="15">
        <f>'الموارد البشرية'!J14</f>
        <v/>
      </c>
      <c r="E151" s="13">
        <f>'الموارد البشرية'!K14</f>
        <v/>
      </c>
      <c r="F151" s="15">
        <f>'الموارد البشرية'!L14</f>
        <v/>
      </c>
      <c r="G151" s="47">
        <f>'الموارد البشرية'!N14</f>
        <v/>
      </c>
      <c r="H151" s="15">
        <f>'الموارد البشرية'!O14</f>
        <v/>
      </c>
      <c r="I151" s="68">
        <f>'الموارد البشرية'!G14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البشرية'!C15</f>
        <v/>
      </c>
      <c r="D152" s="15">
        <f>'الموارد البشرية'!J15</f>
        <v/>
      </c>
      <c r="E152" s="13">
        <f>'الموارد البشرية'!K15</f>
        <v/>
      </c>
      <c r="F152" s="15">
        <f>'الموارد البشرية'!L15</f>
        <v/>
      </c>
      <c r="G152" s="47">
        <f>'الموارد البشرية'!N15</f>
        <v/>
      </c>
      <c r="H152" s="15">
        <f>'الموارد البشرية'!O15</f>
        <v/>
      </c>
      <c r="I152" s="68">
        <f>'الموارد البشرية'!G15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البشرية'!C16</f>
        <v/>
      </c>
      <c r="D153" s="15">
        <f>'الموارد البشرية'!J16</f>
        <v/>
      </c>
      <c r="E153" s="13">
        <f>'الموارد البشرية'!K16</f>
        <v/>
      </c>
      <c r="F153" s="15">
        <f>'الموارد البشرية'!L16</f>
        <v/>
      </c>
      <c r="G153" s="47">
        <f>'الموارد البشرية'!N16</f>
        <v/>
      </c>
      <c r="H153" s="15">
        <f>'الموارد البشرية'!O16</f>
        <v/>
      </c>
      <c r="I153" s="68">
        <f>'الموارد البشرية'!G16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البشرية'!C17</f>
        <v/>
      </c>
      <c r="D154" s="15">
        <f>'الموارد البشرية'!J17</f>
        <v/>
      </c>
      <c r="E154" s="13">
        <f>'الموارد البشرية'!K17</f>
        <v/>
      </c>
      <c r="F154" s="15">
        <f>'الموارد البشرية'!L17</f>
        <v/>
      </c>
      <c r="G154" s="47">
        <f>'الموارد البشرية'!N17</f>
        <v/>
      </c>
      <c r="H154" s="15">
        <f>'الموارد البشرية'!O17</f>
        <v/>
      </c>
      <c r="I154" s="68">
        <f>'الموارد البشرية'!G17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البشرية'!C18</f>
        <v/>
      </c>
      <c r="D155" s="15">
        <f>'الموارد البشرية'!J18</f>
        <v/>
      </c>
      <c r="E155" s="13">
        <f>'الموارد البشرية'!K18</f>
        <v/>
      </c>
      <c r="F155" s="15">
        <f>'الموارد البشرية'!L18</f>
        <v/>
      </c>
      <c r="G155" s="47">
        <f>'الموارد البشرية'!N18</f>
        <v/>
      </c>
      <c r="H155" s="15">
        <f>'الموارد البشرية'!O18</f>
        <v/>
      </c>
      <c r="I155" s="68">
        <f>'الموارد البشرية'!G18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البشرية'!C19</f>
        <v/>
      </c>
      <c r="D156" s="15">
        <f>'الموارد البشرية'!J19</f>
        <v/>
      </c>
      <c r="E156" s="13">
        <f>'الموارد البشرية'!K19</f>
        <v/>
      </c>
      <c r="F156" s="15">
        <f>'الموارد البشرية'!L19</f>
        <v/>
      </c>
      <c r="G156" s="47">
        <f>'الموارد البشرية'!N19</f>
        <v/>
      </c>
      <c r="H156" s="15">
        <f>'الموارد البشرية'!O19</f>
        <v/>
      </c>
      <c r="I156" s="68">
        <f>'الموارد البشرية'!G19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'التسويق'!C4</f>
        <v/>
      </c>
      <c r="D157" s="15">
        <f>'التسويق'!J4</f>
        <v/>
      </c>
      <c r="E157" s="13">
        <f>'التسويق'!K4</f>
        <v/>
      </c>
      <c r="F157" s="15">
        <f>'التسويق'!L4</f>
        <v/>
      </c>
      <c r="G157" s="47">
        <f>'التسويق'!N4</f>
        <v/>
      </c>
      <c r="H157" s="15">
        <f>'التسويق'!O4</f>
        <v/>
      </c>
      <c r="I157" s="68">
        <f>'التسويق'!G4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'التسويق'!C5</f>
        <v/>
      </c>
      <c r="D158" s="15">
        <f>'التسويق'!J5</f>
        <v/>
      </c>
      <c r="E158" s="13">
        <f>'التسويق'!K5</f>
        <v/>
      </c>
      <c r="F158" s="15">
        <f>'التسويق'!L5</f>
        <v/>
      </c>
      <c r="G158" s="47">
        <f>'التسويق'!N5</f>
        <v/>
      </c>
      <c r="H158" s="15">
        <f>'التسويق'!O5</f>
        <v/>
      </c>
      <c r="I158" s="68">
        <f>'التسويق'!G5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'التسويق'!C6</f>
        <v/>
      </c>
      <c r="D159" s="15">
        <f>'التسويق'!J6</f>
        <v/>
      </c>
      <c r="E159" s="13">
        <f>'التسويق'!K6</f>
        <v/>
      </c>
      <c r="F159" s="15">
        <f>'التسويق'!L6</f>
        <v/>
      </c>
      <c r="G159" s="47">
        <f>'التسويق'!N6</f>
        <v/>
      </c>
      <c r="H159" s="15">
        <f>'التسويق'!O6</f>
        <v/>
      </c>
      <c r="I159" s="68">
        <f>'التسويق'!G6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'التسويق'!C7</f>
        <v/>
      </c>
      <c r="D160" s="15">
        <f>'التسويق'!J7</f>
        <v/>
      </c>
      <c r="E160" s="13">
        <f>'التسويق'!K7</f>
        <v/>
      </c>
      <c r="F160" s="15">
        <f>'التسويق'!L7</f>
        <v/>
      </c>
      <c r="G160" s="47">
        <f>'التسويق'!N7</f>
        <v/>
      </c>
      <c r="H160" s="15">
        <f>'التسويق'!O7</f>
        <v/>
      </c>
      <c r="I160" s="68">
        <f>'التسويق'!G7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'التسويق'!C8</f>
        <v/>
      </c>
      <c r="D161" s="15">
        <f>'التسويق'!J8</f>
        <v/>
      </c>
      <c r="E161" s="13">
        <f>'التسويق'!K8</f>
        <v/>
      </c>
      <c r="F161" s="15">
        <f>'التسويق'!L8</f>
        <v/>
      </c>
      <c r="G161" s="47">
        <f>'التسويق'!N8</f>
        <v/>
      </c>
      <c r="H161" s="15">
        <f>'التسويق'!O8</f>
        <v/>
      </c>
      <c r="I161" s="68">
        <f>'التسويق'!G8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'التسويق'!C9</f>
        <v/>
      </c>
      <c r="D162" s="15">
        <f>'التسويق'!J9</f>
        <v/>
      </c>
      <c r="E162" s="13">
        <f>'التسويق'!K9</f>
        <v/>
      </c>
      <c r="F162" s="15">
        <f>'التسويق'!L9</f>
        <v/>
      </c>
      <c r="G162" s="47">
        <f>'التسويق'!N9</f>
        <v/>
      </c>
      <c r="H162" s="15">
        <f>'التسويق'!O9</f>
        <v/>
      </c>
      <c r="I162" s="68">
        <f>'التسويق'!G9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'التسويق'!C10</f>
        <v/>
      </c>
      <c r="D163" s="15">
        <f>'التسويق'!J10</f>
        <v/>
      </c>
      <c r="E163" s="13">
        <f>'التسويق'!K10</f>
        <v/>
      </c>
      <c r="F163" s="15">
        <f>'التسويق'!L10</f>
        <v/>
      </c>
      <c r="G163" s="47">
        <f>'التسويق'!N10</f>
        <v/>
      </c>
      <c r="H163" s="15">
        <f>'التسويق'!O10</f>
        <v/>
      </c>
      <c r="I163" s="68">
        <f>'التسويق'!G10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'التسويق'!C11</f>
        <v/>
      </c>
      <c r="D164" s="15">
        <f>'التسويق'!J11</f>
        <v/>
      </c>
      <c r="E164" s="13">
        <f>'التسويق'!K11</f>
        <v/>
      </c>
      <c r="F164" s="15">
        <f>'التسويق'!L11</f>
        <v/>
      </c>
      <c r="G164" s="47">
        <f>'التسويق'!N11</f>
        <v/>
      </c>
      <c r="H164" s="15">
        <f>'التسويق'!O11</f>
        <v/>
      </c>
      <c r="I164" s="68">
        <f>'التسويق'!G11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'التسويق'!C12</f>
        <v/>
      </c>
      <c r="D165" s="15">
        <f>'التسويق'!J12</f>
        <v/>
      </c>
      <c r="E165" s="13">
        <f>'التسويق'!K12</f>
        <v/>
      </c>
      <c r="F165" s="15">
        <f>'التسويق'!L12</f>
        <v/>
      </c>
      <c r="G165" s="47">
        <f>'التسويق'!N12</f>
        <v/>
      </c>
      <c r="H165" s="15">
        <f>'التسويق'!O12</f>
        <v/>
      </c>
      <c r="I165" s="68">
        <f>'التسويق'!G12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'التسويق'!C13</f>
        <v/>
      </c>
      <c r="D166" s="15">
        <f>'التسويق'!J13</f>
        <v/>
      </c>
      <c r="E166" s="13">
        <f>'التسويق'!K13</f>
        <v/>
      </c>
      <c r="F166" s="15">
        <f>'التسويق'!L13</f>
        <v/>
      </c>
      <c r="G166" s="47">
        <f>'التسويق'!N13</f>
        <v/>
      </c>
      <c r="H166" s="15">
        <f>'التسويق'!O13</f>
        <v/>
      </c>
      <c r="I166" s="68">
        <f>'التسويق'!G13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'التسويق'!C14</f>
        <v/>
      </c>
      <c r="D167" s="15">
        <f>'التسويق'!J14</f>
        <v/>
      </c>
      <c r="E167" s="13">
        <f>'التسويق'!K14</f>
        <v/>
      </c>
      <c r="F167" s="15">
        <f>'التسويق'!L14</f>
        <v/>
      </c>
      <c r="G167" s="47">
        <f>'التسويق'!N14</f>
        <v/>
      </c>
      <c r="H167" s="15">
        <f>'التسويق'!O14</f>
        <v/>
      </c>
      <c r="I167" s="68">
        <f>'التسويق'!G14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'التسويق'!C15</f>
        <v/>
      </c>
      <c r="D168" s="15">
        <f>'التسويق'!J15</f>
        <v/>
      </c>
      <c r="E168" s="13">
        <f>'التسويق'!K15</f>
        <v/>
      </c>
      <c r="F168" s="15">
        <f>'التسويق'!L15</f>
        <v/>
      </c>
      <c r="G168" s="47">
        <f>'التسويق'!N15</f>
        <v/>
      </c>
      <c r="H168" s="15">
        <f>'التسويق'!O15</f>
        <v/>
      </c>
      <c r="I168" s="68">
        <f>'التسويق'!G15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'التسويق'!C16</f>
        <v/>
      </c>
      <c r="D169" s="15">
        <f>'التسويق'!J16</f>
        <v/>
      </c>
      <c r="E169" s="13">
        <f>'التسويق'!K16</f>
        <v/>
      </c>
      <c r="F169" s="15">
        <f>'التسويق'!L16</f>
        <v/>
      </c>
      <c r="G169" s="47">
        <f>'التسويق'!N16</f>
        <v/>
      </c>
      <c r="H169" s="15">
        <f>'التسويق'!O16</f>
        <v/>
      </c>
      <c r="I169" s="68">
        <f>'التسويق'!G16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'التسويق'!C17</f>
        <v/>
      </c>
      <c r="D170" s="15">
        <f>'التسويق'!J17</f>
        <v/>
      </c>
      <c r="E170" s="13">
        <f>'التسويق'!K17</f>
        <v/>
      </c>
      <c r="F170" s="15">
        <f>'التسويق'!L17</f>
        <v/>
      </c>
      <c r="G170" s="47">
        <f>'التسويق'!N17</f>
        <v/>
      </c>
      <c r="H170" s="15">
        <f>'التسويق'!O17</f>
        <v/>
      </c>
      <c r="I170" s="68">
        <f>'التسويق'!G17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'التسويق'!C18</f>
        <v/>
      </c>
      <c r="D171" s="15">
        <f>'التسويق'!J18</f>
        <v/>
      </c>
      <c r="E171" s="13">
        <f>'التسويق'!K18</f>
        <v/>
      </c>
      <c r="F171" s="15">
        <f>'التسويق'!L18</f>
        <v/>
      </c>
      <c r="G171" s="47">
        <f>'التسويق'!N18</f>
        <v/>
      </c>
      <c r="H171" s="15">
        <f>'التسويق'!O18</f>
        <v/>
      </c>
      <c r="I171" s="68">
        <f>'التسويق'!G18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'الجودة'!C4</f>
        <v/>
      </c>
      <c r="D172" s="15">
        <f>'الجودة'!J4</f>
        <v/>
      </c>
      <c r="E172" s="13">
        <f>'الجودة'!K4</f>
        <v/>
      </c>
      <c r="F172" s="15">
        <f>'الجودة'!L4</f>
        <v/>
      </c>
      <c r="G172" s="47">
        <f>'الجودة'!N4</f>
        <v/>
      </c>
      <c r="H172" s="15">
        <f>'الجودة'!O4</f>
        <v/>
      </c>
      <c r="I172" s="68">
        <f>'الجودة'!G4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'الجودة'!C5</f>
        <v/>
      </c>
      <c r="D173" s="15">
        <f>'الجودة'!J5</f>
        <v/>
      </c>
      <c r="E173" s="13">
        <f>'الجودة'!K5</f>
        <v/>
      </c>
      <c r="F173" s="15">
        <f>'الجودة'!L5</f>
        <v/>
      </c>
      <c r="G173" s="47">
        <f>'الجودة'!N5</f>
        <v/>
      </c>
      <c r="H173" s="15">
        <f>'الجودة'!O5</f>
        <v/>
      </c>
      <c r="I173" s="68">
        <f>'الجودة'!G5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'الجودة'!C6</f>
        <v/>
      </c>
      <c r="D174" s="15">
        <f>'الجودة'!J6</f>
        <v/>
      </c>
      <c r="E174" s="13">
        <f>'الجودة'!K6</f>
        <v/>
      </c>
      <c r="F174" s="15">
        <f>'الجودة'!L6</f>
        <v/>
      </c>
      <c r="G174" s="47">
        <f>'الجودة'!N6</f>
        <v/>
      </c>
      <c r="H174" s="15">
        <f>'الجودة'!O6</f>
        <v/>
      </c>
      <c r="I174" s="68">
        <f>'الجودة'!G6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'الجودة'!C7</f>
        <v/>
      </c>
      <c r="D175" s="15">
        <f>'الجودة'!J7</f>
        <v/>
      </c>
      <c r="E175" s="13">
        <f>'الجودة'!K7</f>
        <v/>
      </c>
      <c r="F175" s="15">
        <f>'الجودة'!L7</f>
        <v/>
      </c>
      <c r="G175" s="47">
        <f>'الجودة'!N7</f>
        <v/>
      </c>
      <c r="H175" s="15">
        <f>'الجودة'!O7</f>
        <v/>
      </c>
      <c r="I175" s="68">
        <f>'الجودة'!G7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'الجودة'!C8</f>
        <v/>
      </c>
      <c r="D176" s="15">
        <f>'الجودة'!J8</f>
        <v/>
      </c>
      <c r="E176" s="13">
        <f>'الجودة'!K8</f>
        <v/>
      </c>
      <c r="F176" s="15">
        <f>'الجودة'!L8</f>
        <v/>
      </c>
      <c r="G176" s="47">
        <f>'الجودة'!N8</f>
        <v/>
      </c>
      <c r="H176" s="15">
        <f>'الجودة'!O8</f>
        <v/>
      </c>
      <c r="I176" s="68">
        <f>'الجودة'!G8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'الجودة'!C9</f>
        <v/>
      </c>
      <c r="D177" s="15">
        <f>'الجودة'!J9</f>
        <v/>
      </c>
      <c r="E177" s="13">
        <f>'الجودة'!K9</f>
        <v/>
      </c>
      <c r="F177" s="15">
        <f>'الجودة'!L9</f>
        <v/>
      </c>
      <c r="G177" s="47">
        <f>'الجودة'!N9</f>
        <v/>
      </c>
      <c r="H177" s="15">
        <f>'الجودة'!O9</f>
        <v/>
      </c>
      <c r="I177" s="68">
        <f>'الجودة'!G9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'الجودة'!C10</f>
        <v/>
      </c>
      <c r="D178" s="15">
        <f>'الجودة'!J10</f>
        <v/>
      </c>
      <c r="E178" s="13">
        <f>'الجودة'!K10</f>
        <v/>
      </c>
      <c r="F178" s="15">
        <f>'الجودة'!L10</f>
        <v/>
      </c>
      <c r="G178" s="47">
        <f>'الجودة'!N10</f>
        <v/>
      </c>
      <c r="H178" s="15">
        <f>'الجودة'!O10</f>
        <v/>
      </c>
      <c r="I178" s="68">
        <f>'الجودة'!G10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'الجودة'!C11</f>
        <v/>
      </c>
      <c r="D179" s="15">
        <f>'الجودة'!J11</f>
        <v/>
      </c>
      <c r="E179" s="13">
        <f>'الجودة'!K11</f>
        <v/>
      </c>
      <c r="F179" s="15">
        <f>'الجودة'!L11</f>
        <v/>
      </c>
      <c r="G179" s="47">
        <f>'الجودة'!N11</f>
        <v/>
      </c>
      <c r="H179" s="15">
        <f>'الجودة'!O11</f>
        <v/>
      </c>
      <c r="I179" s="68">
        <f>'الجودة'!G11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'الجودة'!C12</f>
        <v/>
      </c>
      <c r="D180" s="15">
        <f>'الجودة'!J12</f>
        <v/>
      </c>
      <c r="E180" s="13">
        <f>'الجودة'!K12</f>
        <v/>
      </c>
      <c r="F180" s="15">
        <f>'الجودة'!L12</f>
        <v/>
      </c>
      <c r="G180" s="47">
        <f>'الجودة'!N12</f>
        <v/>
      </c>
      <c r="H180" s="15">
        <f>'الجودة'!O12</f>
        <v/>
      </c>
      <c r="I180" s="68">
        <f>'الجودة'!G12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'الجودة'!C13</f>
        <v/>
      </c>
      <c r="D181" s="15">
        <f>'الجودة'!J13</f>
        <v/>
      </c>
      <c r="E181" s="13">
        <f>'الجودة'!K13</f>
        <v/>
      </c>
      <c r="F181" s="15">
        <f>'الجودة'!L13</f>
        <v/>
      </c>
      <c r="G181" s="47">
        <f>'الجودة'!N13</f>
        <v/>
      </c>
      <c r="H181" s="15">
        <f>'الجودة'!O13</f>
        <v/>
      </c>
      <c r="I181" s="68">
        <f>'الجودة'!G13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'الجودة'!C14</f>
        <v/>
      </c>
      <c r="D182" s="15">
        <f>'الجودة'!J14</f>
        <v/>
      </c>
      <c r="E182" s="13">
        <f>'الجودة'!K14</f>
        <v/>
      </c>
      <c r="F182" s="15">
        <f>'الجودة'!L14</f>
        <v/>
      </c>
      <c r="G182" s="47">
        <f>'الجودة'!N14</f>
        <v/>
      </c>
      <c r="H182" s="15">
        <f>'الجودة'!O14</f>
        <v/>
      </c>
      <c r="I182" s="68">
        <f>'الجودة'!G14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'الجودة'!C15</f>
        <v/>
      </c>
      <c r="D183" s="15">
        <f>'الجودة'!J15</f>
        <v/>
      </c>
      <c r="E183" s="13">
        <f>'الجودة'!K15</f>
        <v/>
      </c>
      <c r="F183" s="15">
        <f>'الجودة'!L15</f>
        <v/>
      </c>
      <c r="G183" s="47">
        <f>'الجودة'!N15</f>
        <v/>
      </c>
      <c r="H183" s="15">
        <f>'الجودة'!O15</f>
        <v/>
      </c>
      <c r="I183" s="68">
        <f>'الجودة'!G15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'الجودة'!C16</f>
        <v/>
      </c>
      <c r="D184" s="15">
        <f>'الجودة'!J16</f>
        <v/>
      </c>
      <c r="E184" s="13">
        <f>'الجودة'!K16</f>
        <v/>
      </c>
      <c r="F184" s="15">
        <f>'الجودة'!L16</f>
        <v/>
      </c>
      <c r="G184" s="47">
        <f>'الجودة'!N16</f>
        <v/>
      </c>
      <c r="H184" s="15">
        <f>'الجودة'!O16</f>
        <v/>
      </c>
      <c r="I184" s="68">
        <f>'الجودة'!G16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'الجودة'!C17</f>
        <v/>
      </c>
      <c r="D185" s="15">
        <f>'الجودة'!J17</f>
        <v/>
      </c>
      <c r="E185" s="13">
        <f>'الجودة'!K17</f>
        <v/>
      </c>
      <c r="F185" s="15">
        <f>'الجودة'!L17</f>
        <v/>
      </c>
      <c r="G185" s="47">
        <f>'الجودة'!N17</f>
        <v/>
      </c>
      <c r="H185" s="15">
        <f>'الجودة'!O17</f>
        <v/>
      </c>
      <c r="I185" s="68">
        <f>'الجودة'!G17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القانونية'!C4</f>
        <v/>
      </c>
      <c r="D186" s="15">
        <f>'الإدارة القانونية'!J4</f>
        <v/>
      </c>
      <c r="E186" s="13">
        <f>'الإدارة القانونية'!K4</f>
        <v/>
      </c>
      <c r="F186" s="15">
        <f>'الإدارة القانونية'!L4</f>
        <v/>
      </c>
      <c r="G186" s="47">
        <f>'الإدارة القانونية'!N4</f>
        <v/>
      </c>
      <c r="H186" s="15">
        <f>'الإدارة القانونية'!O4</f>
        <v/>
      </c>
      <c r="I186" s="68">
        <f>'الإدارة القانونية'!G4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القانونية'!C5</f>
        <v/>
      </c>
      <c r="D187" s="15">
        <f>'الإدارة القانونية'!J5</f>
        <v/>
      </c>
      <c r="E187" s="13">
        <f>'الإدارة القانونية'!K5</f>
        <v/>
      </c>
      <c r="F187" s="15">
        <f>'الإدارة القانونية'!L5</f>
        <v/>
      </c>
      <c r="G187" s="47">
        <f>'الإدارة القانونية'!N5</f>
        <v/>
      </c>
      <c r="H187" s="15">
        <f>'الإدارة القانونية'!O5</f>
        <v/>
      </c>
      <c r="I187" s="68">
        <f>'الإدارة القانونية'!G5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القانونية'!C6</f>
        <v/>
      </c>
      <c r="D188" s="15">
        <f>'الإدارة القانونية'!J6</f>
        <v/>
      </c>
      <c r="E188" s="13">
        <f>'الإدارة القانونية'!K6</f>
        <v/>
      </c>
      <c r="F188" s="15">
        <f>'الإدارة القانونية'!L6</f>
        <v/>
      </c>
      <c r="G188" s="47">
        <f>'الإدارة القانونية'!N6</f>
        <v/>
      </c>
      <c r="H188" s="15">
        <f>'الإدارة القانونية'!O6</f>
        <v/>
      </c>
      <c r="I188" s="68">
        <f>'الإدارة القانونية'!G6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القانونية'!C7</f>
        <v/>
      </c>
      <c r="D189" s="15">
        <f>'الإدارة القانونية'!J7</f>
        <v/>
      </c>
      <c r="E189" s="13">
        <f>'الإدارة القانونية'!K7</f>
        <v/>
      </c>
      <c r="F189" s="15">
        <f>'الإدارة القانونية'!L7</f>
        <v/>
      </c>
      <c r="G189" s="47">
        <f>'الإدارة القانونية'!N7</f>
        <v/>
      </c>
      <c r="H189" s="15">
        <f>'الإدارة القانونية'!O7</f>
        <v/>
      </c>
      <c r="I189" s="68">
        <f>'الإدارة القانونية'!G7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القانونية'!C8</f>
        <v/>
      </c>
      <c r="D190" s="15">
        <f>'الإدارة القانونية'!J8</f>
        <v/>
      </c>
      <c r="E190" s="13">
        <f>'الإدارة القانونية'!K8</f>
        <v/>
      </c>
      <c r="F190" s="15">
        <f>'الإدارة القانونية'!L8</f>
        <v/>
      </c>
      <c r="G190" s="47">
        <f>'الإدارة القانونية'!N8</f>
        <v/>
      </c>
      <c r="H190" s="15">
        <f>'الإدارة القانونية'!O8</f>
        <v/>
      </c>
      <c r="I190" s="68">
        <f>'الإدارة القانونية'!G8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القانونية'!C9</f>
        <v/>
      </c>
      <c r="D191" s="15">
        <f>'الإدارة القانونية'!J9</f>
        <v/>
      </c>
      <c r="E191" s="13">
        <f>'الإدارة القانونية'!K9</f>
        <v/>
      </c>
      <c r="F191" s="15">
        <f>'الإدارة القانونية'!L9</f>
        <v/>
      </c>
      <c r="G191" s="47">
        <f>'الإدارة القانونية'!N9</f>
        <v/>
      </c>
      <c r="H191" s="15">
        <f>'الإدارة القانونية'!O9</f>
        <v/>
      </c>
      <c r="I191" s="68">
        <f>'الإدارة القانونية'!G9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القانونية'!C10</f>
        <v/>
      </c>
      <c r="D192" s="15">
        <f>'الإدارة القانونية'!J10</f>
        <v/>
      </c>
      <c r="E192" s="13">
        <f>'الإدارة القانونية'!K10</f>
        <v/>
      </c>
      <c r="F192" s="15">
        <f>'الإدارة القانونية'!L10</f>
        <v/>
      </c>
      <c r="G192" s="47">
        <f>'الإدارة القانونية'!N10</f>
        <v/>
      </c>
      <c r="H192" s="15">
        <f>'الإدارة القانونية'!O10</f>
        <v/>
      </c>
      <c r="I192" s="68">
        <f>'الإدارة القانونية'!G10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القانونية'!C11</f>
        <v/>
      </c>
      <c r="D193" s="15">
        <f>'الإدارة القانونية'!J11</f>
        <v/>
      </c>
      <c r="E193" s="13">
        <f>'الإدارة القانونية'!K11</f>
        <v/>
      </c>
      <c r="F193" s="15">
        <f>'الإدارة القانونية'!L11</f>
        <v/>
      </c>
      <c r="G193" s="47">
        <f>'الإدارة القانونية'!N11</f>
        <v/>
      </c>
      <c r="H193" s="15">
        <f>'الإدارة القانونية'!O11</f>
        <v/>
      </c>
      <c r="I193" s="68">
        <f>'الإدارة القانونية'!G11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القانونية'!C12</f>
        <v/>
      </c>
      <c r="D194" s="15">
        <f>'الإدارة القانونية'!J12</f>
        <v/>
      </c>
      <c r="E194" s="13">
        <f>'الإدارة القانونية'!K12</f>
        <v/>
      </c>
      <c r="F194" s="15">
        <f>'الإدارة القانونية'!L12</f>
        <v/>
      </c>
      <c r="G194" s="47">
        <f>'الإدارة القانونية'!N12</f>
        <v/>
      </c>
      <c r="H194" s="15">
        <f>'الإدارة القانونية'!O12</f>
        <v/>
      </c>
      <c r="I194" s="68">
        <f>'الإدارة القانونية'!G12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القانونية'!C13</f>
        <v/>
      </c>
      <c r="D195" s="15">
        <f>'الإدارة القانونية'!J13</f>
        <v/>
      </c>
      <c r="E195" s="13">
        <f>'الإدارة القانونية'!K13</f>
        <v/>
      </c>
      <c r="F195" s="15">
        <f>'الإدارة القانونية'!L13</f>
        <v/>
      </c>
      <c r="G195" s="47">
        <f>'الإدارة القانونية'!N13</f>
        <v/>
      </c>
      <c r="H195" s="15">
        <f>'الإدارة القانونية'!O13</f>
        <v/>
      </c>
      <c r="I195" s="68">
        <f>'الإدارة القانونية'!G13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القانونية'!C14</f>
        <v/>
      </c>
      <c r="D196" s="15">
        <f>'الإدارة القانونية'!J14</f>
        <v/>
      </c>
      <c r="E196" s="13">
        <f>'الإدارة القانونية'!K14</f>
        <v/>
      </c>
      <c r="F196" s="15">
        <f>'الإدارة القانونية'!L14</f>
        <v/>
      </c>
      <c r="G196" s="47">
        <f>'الإدارة القانونية'!N14</f>
        <v/>
      </c>
      <c r="H196" s="15">
        <f>'الإدارة القانونية'!O14</f>
        <v/>
      </c>
      <c r="I196" s="68">
        <f>'الإدارة القانونية'!G14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القانونية'!C15</f>
        <v/>
      </c>
      <c r="D197" s="15">
        <f>'الإدارة القانونية'!J15</f>
        <v/>
      </c>
      <c r="E197" s="13">
        <f>'الإدارة القانونية'!K15</f>
        <v/>
      </c>
      <c r="F197" s="15">
        <f>'الإدارة القانونية'!L15</f>
        <v/>
      </c>
      <c r="G197" s="47">
        <f>'الإدارة القانونية'!N15</f>
        <v/>
      </c>
      <c r="H197" s="15">
        <f>'الإدارة القانونية'!O15</f>
        <v/>
      </c>
      <c r="I197" s="68">
        <f>'الإدارة القانونية'!G15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القانونية'!C16</f>
        <v/>
      </c>
      <c r="D198" s="15">
        <f>'الإدارة القانونية'!J16</f>
        <v/>
      </c>
      <c r="E198" s="13">
        <f>'الإدارة القانونية'!K16</f>
        <v/>
      </c>
      <c r="F198" s="15">
        <f>'الإدارة القانونية'!L16</f>
        <v/>
      </c>
      <c r="G198" s="47">
        <f>'الإدارة القانونية'!N16</f>
        <v/>
      </c>
      <c r="H198" s="15">
        <f>'الإدارة القانونية'!O16</f>
        <v/>
      </c>
      <c r="I198" s="68">
        <f>'الإدارة القانونية'!G16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المالية'!C4</f>
        <v/>
      </c>
      <c r="D199" s="15">
        <f>'الإدارة المالية'!J4</f>
        <v/>
      </c>
      <c r="E199" s="13">
        <f>'الإدارة المالية'!K4</f>
        <v/>
      </c>
      <c r="F199" s="15">
        <f>'الإدارة المالية'!L4</f>
        <v/>
      </c>
      <c r="G199" s="47">
        <f>'الإدارة المالية'!N4</f>
        <v/>
      </c>
      <c r="H199" s="15">
        <f>'الإدارة المالية'!O4</f>
        <v/>
      </c>
      <c r="I199" s="68">
        <f>'الإدارة المالية'!G4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المالية'!C5</f>
        <v/>
      </c>
      <c r="D200" s="15">
        <f>'الإدارة المالية'!J5</f>
        <v/>
      </c>
      <c r="E200" s="13">
        <f>'الإدارة المالية'!K5</f>
        <v/>
      </c>
      <c r="F200" s="15">
        <f>'الإدارة المالية'!L5</f>
        <v/>
      </c>
      <c r="G200" s="47">
        <f>'الإدارة المالية'!N5</f>
        <v/>
      </c>
      <c r="H200" s="15">
        <f>'الإدارة المالية'!O5</f>
        <v/>
      </c>
      <c r="I200" s="68">
        <f>'الإدارة المالية'!G5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المالية'!C6</f>
        <v/>
      </c>
      <c r="D201" s="15">
        <f>'الإدارة المالية'!J6</f>
        <v/>
      </c>
      <c r="E201" s="13">
        <f>'الإدارة المالية'!K6</f>
        <v/>
      </c>
      <c r="F201" s="15">
        <f>'الإدارة المالية'!L6</f>
        <v/>
      </c>
      <c r="G201" s="47">
        <f>'الإدارة المالية'!N6</f>
        <v/>
      </c>
      <c r="H201" s="15">
        <f>'الإدارة المالية'!O6</f>
        <v/>
      </c>
      <c r="I201" s="68">
        <f>'الإدارة المالية'!G6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المالية'!C7</f>
        <v/>
      </c>
      <c r="D202" s="15">
        <f>'الإدارة المالية'!J7</f>
        <v/>
      </c>
      <c r="E202" s="13">
        <f>'الإدارة المالية'!K7</f>
        <v/>
      </c>
      <c r="F202" s="15">
        <f>'الإدارة المالية'!L7</f>
        <v/>
      </c>
      <c r="G202" s="47">
        <f>'الإدارة المالية'!N7</f>
        <v/>
      </c>
      <c r="H202" s="15">
        <f>'الإدارة المالية'!O7</f>
        <v/>
      </c>
      <c r="I202" s="68">
        <f>'الإدارة المالية'!G7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المالية'!C8</f>
        <v/>
      </c>
      <c r="D203" s="15">
        <f>'الإدارة المالية'!J8</f>
        <v/>
      </c>
      <c r="E203" s="13">
        <f>'الإدارة المالية'!K8</f>
        <v/>
      </c>
      <c r="F203" s="15">
        <f>'الإدارة المالية'!L8</f>
        <v/>
      </c>
      <c r="G203" s="47">
        <f>'الإدارة المالية'!N8</f>
        <v/>
      </c>
      <c r="H203" s="15">
        <f>'الإدارة المالية'!O8</f>
        <v/>
      </c>
      <c r="I203" s="68">
        <f>'الإدارة المالية'!G8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المالية'!C9</f>
        <v/>
      </c>
      <c r="D204" s="15">
        <f>'الإدارة المالية'!J9</f>
        <v/>
      </c>
      <c r="E204" s="13">
        <f>'الإدارة المالية'!K9</f>
        <v/>
      </c>
      <c r="F204" s="15">
        <f>'الإدارة المالية'!L9</f>
        <v/>
      </c>
      <c r="G204" s="47">
        <f>'الإدارة المالية'!N9</f>
        <v/>
      </c>
      <c r="H204" s="15">
        <f>'الإدارة المالية'!O9</f>
        <v/>
      </c>
      <c r="I204" s="68">
        <f>'الإدارة المالية'!G9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المالية'!C10</f>
        <v/>
      </c>
      <c r="D205" s="15">
        <f>'الإدارة المالية'!J10</f>
        <v/>
      </c>
      <c r="E205" s="13">
        <f>'الإدارة المالية'!K10</f>
        <v/>
      </c>
      <c r="F205" s="15">
        <f>'الإدارة المالية'!L10</f>
        <v/>
      </c>
      <c r="G205" s="47">
        <f>'الإدارة المالية'!N10</f>
        <v/>
      </c>
      <c r="H205" s="15">
        <f>'الإدارة المالية'!O10</f>
        <v/>
      </c>
      <c r="I205" s="68">
        <f>'الإدارة المالية'!G10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المالية'!C11</f>
        <v/>
      </c>
      <c r="D206" s="15">
        <f>'الإدارة المالية'!J11</f>
        <v/>
      </c>
      <c r="E206" s="13">
        <f>'الإدارة المالية'!K11</f>
        <v/>
      </c>
      <c r="F206" s="15">
        <f>'الإدارة المالية'!L11</f>
        <v/>
      </c>
      <c r="G206" s="47">
        <f>'الإدارة المالية'!N11</f>
        <v/>
      </c>
      <c r="H206" s="15">
        <f>'الإدارة المالية'!O11</f>
        <v/>
      </c>
      <c r="I206" s="68">
        <f>'الإدارة المالية'!G11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المالية'!C12</f>
        <v/>
      </c>
      <c r="D207" s="15">
        <f>'الإدارة المالية'!J12</f>
        <v/>
      </c>
      <c r="E207" s="13">
        <f>'الإدارة المالية'!K12</f>
        <v/>
      </c>
      <c r="F207" s="15">
        <f>'الإدارة المالية'!L12</f>
        <v/>
      </c>
      <c r="G207" s="47">
        <f>'الإدارة المالية'!N12</f>
        <v/>
      </c>
      <c r="H207" s="15">
        <f>'الإدارة المالية'!O12</f>
        <v/>
      </c>
      <c r="I207" s="68">
        <f>'الإدارة المالية'!G12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المالية'!C13</f>
        <v/>
      </c>
      <c r="D208" s="15">
        <f>'الإدارة المالية'!J13</f>
        <v/>
      </c>
      <c r="E208" s="13">
        <f>'الإدارة المالية'!K13</f>
        <v/>
      </c>
      <c r="F208" s="15">
        <f>'الإدارة المالية'!L13</f>
        <v/>
      </c>
      <c r="G208" s="47">
        <f>'الإدارة المالية'!N13</f>
        <v/>
      </c>
      <c r="H208" s="15">
        <f>'الإدارة المالية'!O13</f>
        <v/>
      </c>
      <c r="I208" s="68">
        <f>'الإدارة المالية'!G13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المالية'!C14</f>
        <v/>
      </c>
      <c r="D209" s="15">
        <f>'الإدارة المالية'!J14</f>
        <v/>
      </c>
      <c r="E209" s="13">
        <f>'الإدارة المالية'!K14</f>
        <v/>
      </c>
      <c r="F209" s="15">
        <f>'الإدارة المالية'!L14</f>
        <v/>
      </c>
      <c r="G209" s="47">
        <f>'الإدارة المالية'!N14</f>
        <v/>
      </c>
      <c r="H209" s="15">
        <f>'الإدارة المالية'!O14</f>
        <v/>
      </c>
      <c r="I209" s="68">
        <f>'الإدارة المالية'!G14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المالية'!C15</f>
        <v/>
      </c>
      <c r="D210" s="15">
        <f>'الإدارة المالية'!J15</f>
        <v/>
      </c>
      <c r="E210" s="13">
        <f>'الإدارة المالية'!K15</f>
        <v/>
      </c>
      <c r="F210" s="15">
        <f>'الإدارة المالية'!L15</f>
        <v/>
      </c>
      <c r="G210" s="47">
        <f>'الإدارة المالية'!N15</f>
        <v/>
      </c>
      <c r="H210" s="15">
        <f>'الإدارة المالية'!O15</f>
        <v/>
      </c>
      <c r="I210" s="68">
        <f>'الإدارة المالية'!G15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المالية'!C16</f>
        <v/>
      </c>
      <c r="D211" s="15">
        <f>'الإدارة المالية'!J16</f>
        <v/>
      </c>
      <c r="E211" s="13">
        <f>'الإدارة المالية'!K16</f>
        <v/>
      </c>
      <c r="F211" s="15">
        <f>'الإدارة المالية'!L16</f>
        <v/>
      </c>
      <c r="G211" s="47">
        <f>'الإدارة المالية'!N16</f>
        <v/>
      </c>
      <c r="H211" s="15">
        <f>'الإدارة المالية'!O16</f>
        <v/>
      </c>
      <c r="I211" s="68">
        <f>'الإدارة المالية'!G16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المالية'!C17</f>
        <v/>
      </c>
      <c r="D212" s="15">
        <f>'الإدارة المالية'!J17</f>
        <v/>
      </c>
      <c r="E212" s="13">
        <f>'الإدارة المالية'!K17</f>
        <v/>
      </c>
      <c r="F212" s="15">
        <f>'الإدارة المالية'!L17</f>
        <v/>
      </c>
      <c r="G212" s="47">
        <f>'الإدارة المالية'!N17</f>
        <v/>
      </c>
      <c r="H212" s="15">
        <f>'الإدارة المالية'!O17</f>
        <v/>
      </c>
      <c r="I212" s="68">
        <f>'الإدارة المالية'!G17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المالية'!C18</f>
        <v/>
      </c>
      <c r="D213" s="15">
        <f>'الإدارة المالية'!J18</f>
        <v/>
      </c>
      <c r="E213" s="13">
        <f>'الإدارة المالية'!K18</f>
        <v/>
      </c>
      <c r="F213" s="15">
        <f>'الإدارة المالية'!L18</f>
        <v/>
      </c>
      <c r="G213" s="47">
        <f>'الإدارة المالية'!N18</f>
        <v/>
      </c>
      <c r="H213" s="15">
        <f>'الإدارة المالية'!O18</f>
        <v/>
      </c>
      <c r="I213" s="68">
        <f>'الإدارة المالية'!G18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المالية'!C19</f>
        <v/>
      </c>
      <c r="D214" s="15">
        <f>'الإدارة المالية'!J19</f>
        <v/>
      </c>
      <c r="E214" s="13">
        <f>'الإدارة المالية'!K19</f>
        <v/>
      </c>
      <c r="F214" s="15">
        <f>'الإدارة المالية'!L19</f>
        <v/>
      </c>
      <c r="G214" s="47">
        <f>'الإدارة المالية'!N19</f>
        <v/>
      </c>
      <c r="H214" s="15">
        <f>'الإدارة المالية'!O19</f>
        <v/>
      </c>
      <c r="I214" s="68">
        <f>'الإدارة المالية'!G19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المالية'!C20</f>
        <v/>
      </c>
      <c r="D215" s="15">
        <f>'الإدارة المالية'!J20</f>
        <v/>
      </c>
      <c r="E215" s="13">
        <f>'الإدارة المالية'!K20</f>
        <v/>
      </c>
      <c r="F215" s="15">
        <f>'الإدارة المالية'!L20</f>
        <v/>
      </c>
      <c r="G215" s="47">
        <f>'الإدارة المالية'!N20</f>
        <v/>
      </c>
      <c r="H215" s="15">
        <f>'الإدارة المالية'!O20</f>
        <v/>
      </c>
      <c r="I215" s="68">
        <f>'الإدارة المالية'!G20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المالية'!C21</f>
        <v/>
      </c>
      <c r="D216" s="15">
        <f>'الإدارة المالية'!J21</f>
        <v/>
      </c>
      <c r="E216" s="13">
        <f>'الإدارة المالية'!K21</f>
        <v/>
      </c>
      <c r="F216" s="15">
        <f>'الإدارة المالية'!L21</f>
        <v/>
      </c>
      <c r="G216" s="47">
        <f>'الإدارة المالية'!N21</f>
        <v/>
      </c>
      <c r="H216" s="15">
        <f>'الإدارة المالية'!O21</f>
        <v/>
      </c>
      <c r="I216" s="68">
        <f>'الإدارة المالية'!G21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المالية'!C22</f>
        <v/>
      </c>
      <c r="D217" s="15">
        <f>'الإدارة المالية'!J22</f>
        <v/>
      </c>
      <c r="E217" s="13">
        <f>'الإدارة المالية'!K22</f>
        <v/>
      </c>
      <c r="F217" s="15">
        <f>'الإدارة المالية'!L22</f>
        <v/>
      </c>
      <c r="G217" s="47">
        <f>'الإدارة المالية'!N22</f>
        <v/>
      </c>
      <c r="H217" s="15">
        <f>'الإدارة المالية'!O22</f>
        <v/>
      </c>
      <c r="I217" s="68">
        <f>'الإدارة المالية'!G22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المالية'!C23</f>
        <v/>
      </c>
      <c r="D218" s="15">
        <f>'الإدارة المالية'!J23</f>
        <v/>
      </c>
      <c r="E218" s="13">
        <f>'الإدارة المالية'!K23</f>
        <v/>
      </c>
      <c r="F218" s="15">
        <f>'الإدارة المالية'!L23</f>
        <v/>
      </c>
      <c r="G218" s="47">
        <f>'الإدارة المالية'!N23</f>
        <v/>
      </c>
      <c r="H218" s="15">
        <f>'الإدارة المالية'!O23</f>
        <v/>
      </c>
      <c r="I218" s="68">
        <f>'الإدارة المالية'!G23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المالية'!C24</f>
        <v/>
      </c>
      <c r="D219" s="15">
        <f>'الإدارة المالية'!J24</f>
        <v/>
      </c>
      <c r="E219" s="13">
        <f>'الإدارة المالية'!K24</f>
        <v/>
      </c>
      <c r="F219" s="15">
        <f>'الإدارة المالية'!L24</f>
        <v/>
      </c>
      <c r="G219" s="47">
        <f>'الإدارة المالية'!N24</f>
        <v/>
      </c>
      <c r="H219" s="15">
        <f>'الإدارة المالية'!O24</f>
        <v/>
      </c>
      <c r="I219" s="68">
        <f>'الإدارة المالية'!G24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المالية'!C25</f>
        <v/>
      </c>
      <c r="D220" s="15">
        <f>'الإدارة المالية'!J25</f>
        <v/>
      </c>
      <c r="E220" s="13">
        <f>'الإدارة المالية'!K25</f>
        <v/>
      </c>
      <c r="F220" s="15">
        <f>'الإدارة المالية'!L25</f>
        <v/>
      </c>
      <c r="G220" s="47">
        <f>'الإدارة المالية'!N25</f>
        <v/>
      </c>
      <c r="H220" s="15">
        <f>'الإدارة المالية'!O25</f>
        <v/>
      </c>
      <c r="I220" s="68">
        <f>'الإدارة المالية'!G25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المالية'!C26</f>
        <v/>
      </c>
      <c r="D221" s="15">
        <f>'الإدارة المالية'!J26</f>
        <v/>
      </c>
      <c r="E221" s="13">
        <f>'الإدارة المالية'!K26</f>
        <v/>
      </c>
      <c r="F221" s="15">
        <f>'الإدارة المالية'!L26</f>
        <v/>
      </c>
      <c r="G221" s="47">
        <f>'الإدارة المالية'!N26</f>
        <v/>
      </c>
      <c r="H221" s="15">
        <f>'الإدارة المالية'!O26</f>
        <v/>
      </c>
      <c r="I221" s="68">
        <f>'الإدارة المالية'!G26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المالية'!C27</f>
        <v/>
      </c>
      <c r="D222" s="15">
        <f>'الإدارة المالية'!J27</f>
        <v/>
      </c>
      <c r="E222" s="13">
        <f>'الإدارة المالية'!K27</f>
        <v/>
      </c>
      <c r="F222" s="15">
        <f>'الإدارة المالية'!L27</f>
        <v/>
      </c>
      <c r="G222" s="47">
        <f>'الإدارة المالية'!N27</f>
        <v/>
      </c>
      <c r="H222" s="15">
        <f>'الإدارة المالية'!O27</f>
        <v/>
      </c>
      <c r="I222" s="68">
        <f>'الإدارة المالية'!G27</f>
        <v/>
      </c>
      <c r="J222" s="15">
        <f>IF($G222="",0,$G222*$I222)</f>
        <v/>
      </c>
      <c r="K222" s="15">
        <f>IF($G222="",0,$I222)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2026-07-20T06:49:45Z</dcterms:created>
  <dcterms:modified xmlns:dcterms="http://purl.org/dc/terms/" xmlns:xsi="http://www.w3.org/2001/XMLSchema-instance" xsi:type="dcterms:W3CDTF">2026-07-20T06:49:47Z</dcterms:modified>
</cp:coreProperties>
</file>