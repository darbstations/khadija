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لاستراتيجية والمستهدفات" sheetId="1" state="visible" r:id="rId1"/>
    <sheet xmlns:r="http://schemas.openxmlformats.org/officeDocument/2006/relationships" name="اللوحة الموجزة" sheetId="2" state="visible" r:id="rId2"/>
    <sheet xmlns:r="http://schemas.openxmlformats.org/officeDocument/2006/relationships" name="الإدارة التنفيذية" sheetId="3" state="visible" r:id="rId3"/>
    <sheet xmlns:r="http://schemas.openxmlformats.org/officeDocument/2006/relationships" name="الامتياز التجاري" sheetId="4" state="visible" r:id="rId4"/>
    <sheet xmlns:r="http://schemas.openxmlformats.org/officeDocument/2006/relationships" name="التشغيل والمحطات" sheetId="5" state="visible" r:id="rId5"/>
    <sheet xmlns:r="http://schemas.openxmlformats.org/officeDocument/2006/relationships" name="الاستثمار" sheetId="6" state="visible" r:id="rId6"/>
    <sheet xmlns:r="http://schemas.openxmlformats.org/officeDocument/2006/relationships" name="العقار" sheetId="7" state="visible" r:id="rId7"/>
    <sheet xmlns:r="http://schemas.openxmlformats.org/officeDocument/2006/relationships" name="التقنية الرقمية" sheetId="8" state="visible" r:id="rId8"/>
    <sheet xmlns:r="http://schemas.openxmlformats.org/officeDocument/2006/relationships" name="الموارد البشرية" sheetId="9" state="visible" r:id="rId9"/>
    <sheet xmlns:r="http://schemas.openxmlformats.org/officeDocument/2006/relationships" name="التسويق" sheetId="10" state="visible" r:id="rId10"/>
    <sheet xmlns:r="http://schemas.openxmlformats.org/officeDocument/2006/relationships" name="الجودة" sheetId="11" state="visible" r:id="rId11"/>
    <sheet xmlns:r="http://schemas.openxmlformats.org/officeDocument/2006/relationships" name="الإدارة القانونية" sheetId="12" state="visible" r:id="rId12"/>
    <sheet xmlns:r="http://schemas.openxmlformats.org/officeDocument/2006/relationships" name="الإدارة المالية" sheetId="13" state="visible" r:id="rId13"/>
    <sheet xmlns:r="http://schemas.openxmlformats.org/officeDocument/2006/relationships" name="سجل المشاريع" sheetId="14" state="visible" r:id="rId14"/>
    <sheet xmlns:r="http://schemas.openxmlformats.org/officeDocument/2006/relationships" name="قاعدة المؤشرات" sheetId="15" state="hidden" r:id="rId15"/>
  </sheets>
  <definedNames>
    <definedName name="_xlnm._FilterDatabase" localSheetId="2" hidden="1">'الإدارة التنفيذية'!$A$3:$O$13</definedName>
    <definedName name="_xlnm._FilterDatabase" localSheetId="3" hidden="1">'الامتياز التجاري'!$A$3:$O$39</definedName>
    <definedName name="_xlnm._FilterDatabase" localSheetId="4" hidden="1">'التشغيل والمحطات'!$A$3:$O$19</definedName>
    <definedName name="_xlnm._FilterDatabase" localSheetId="5" hidden="1">'الاستثمار'!$A$3:$O$27</definedName>
    <definedName name="_xlnm._FilterDatabase" localSheetId="6" hidden="1">'العقار'!$A$3:$O$19</definedName>
    <definedName name="_xlnm._FilterDatabase" localSheetId="7" hidden="1">'التقنية الرقمية'!$A$3:$O$12</definedName>
    <definedName name="_xlnm._FilterDatabase" localSheetId="8" hidden="1">'الموارد البشرية'!$A$3:$O$20</definedName>
    <definedName name="_xlnm._FilterDatabase" localSheetId="9" hidden="1">'التسويق'!$A$3:$O$18</definedName>
    <definedName name="_xlnm._FilterDatabase" localSheetId="10" hidden="1">'الجودة'!$A$3:$O$17</definedName>
    <definedName name="_xlnm._FilterDatabase" localSheetId="11" hidden="1">'الإدارة القانونية'!$A$3:$O$11</definedName>
  </definedNames>
  <calcPr calcId="124519" fullCalcOnLoad="1"/>
</workbook>
</file>

<file path=xl/styles.xml><?xml version="1.0" encoding="utf-8"?>
<styleSheet xmlns="http://schemas.openxmlformats.org/spreadsheetml/2006/main">
  <numFmts count="2">
    <numFmt numFmtId="164" formatCode="#,##0 &quot;ر.س&quot;"/>
    <numFmt numFmtId="165" formatCode="0.0"/>
  </numFmts>
  <fonts count="25">
    <font>
      <name val="Calibri"/>
      <family val="2"/>
      <color theme="1"/>
      <sz val="11"/>
      <scheme val="minor"/>
    </font>
    <font>
      <name val="Tajawal"/>
      <b val="1"/>
      <color rgb="00FFFFFF"/>
      <sz val="13"/>
    </font>
    <font>
      <name val="Tajawal"/>
      <color rgb="0058595B"/>
      <sz val="9"/>
    </font>
    <font>
      <name val="Tajawal"/>
      <b val="1"/>
      <color rgb="00FFFFFF"/>
      <sz val="9"/>
    </font>
    <font>
      <name val="Tajawal"/>
      <b val="1"/>
      <color rgb="00222222"/>
      <sz val="9"/>
    </font>
    <font>
      <name val="Tajawal"/>
      <color rgb="00222222"/>
      <sz val="9"/>
    </font>
    <font>
      <name val="Tajawal"/>
      <color rgb="00222222"/>
      <sz val="10"/>
    </font>
    <font>
      <name val="Tajawal"/>
      <color rgb="00222222"/>
      <sz val="8"/>
    </font>
    <font>
      <name val="Tajawal"/>
      <color rgb="00666666"/>
      <sz val="8"/>
    </font>
    <font>
      <name val="Tajawal"/>
      <color rgb="00F47A21"/>
      <sz val="9"/>
    </font>
    <font>
      <name val="Tajawal"/>
      <b val="1"/>
      <color rgb="0058595B"/>
      <sz val="9"/>
    </font>
    <font>
      <name val="Tajawal"/>
      <b val="1"/>
      <color rgb="00C00000"/>
      <sz val="10"/>
    </font>
    <font>
      <name val="Tajawal"/>
      <b val="1"/>
      <color rgb="00C00000"/>
      <sz val="9"/>
    </font>
    <font>
      <name val="Tajawal"/>
      <color rgb="00C00000"/>
      <sz val="9"/>
    </font>
    <font>
      <name val="Tajawal"/>
      <b val="1"/>
      <color rgb="0058595B"/>
      <sz val="8"/>
    </font>
    <font>
      <name val="Tajawal"/>
      <b val="1"/>
      <color rgb="00FFFFFF"/>
      <sz val="15"/>
    </font>
    <font>
      <name val="Tajawal"/>
      <b val="1"/>
      <color rgb="00FFFFFF"/>
      <sz val="10"/>
    </font>
    <font>
      <name val="Tajawal"/>
      <b val="1"/>
      <color rgb="00FFFFFF"/>
      <sz val="11"/>
    </font>
    <font>
      <name val="Tajawal"/>
      <color rgb="00FFFFFF"/>
      <sz val="9"/>
    </font>
    <font>
      <name val="Tajawal"/>
      <b val="1"/>
      <color rgb="0058595B"/>
      <sz val="11"/>
    </font>
    <font>
      <name val="Tajawal"/>
      <b val="1"/>
      <color rgb="00F47A21"/>
      <sz val="9"/>
    </font>
    <font>
      <name val="Tajawal"/>
      <b val="1"/>
      <color rgb="00FFFFFF"/>
      <sz val="12"/>
    </font>
    <font>
      <name val="Tajawal"/>
      <b val="1"/>
      <color rgb="00F47A21"/>
      <sz val="22"/>
    </font>
    <font>
      <name val="Tajawal"/>
      <b val="1"/>
      <color rgb="0058595B"/>
      <sz val="18"/>
    </font>
    <font>
      <name val="Tajawal"/>
      <b val="1"/>
      <color rgb="00FFFFFF"/>
      <sz val="14"/>
    </font>
  </fonts>
  <fills count="10">
    <fill>
      <patternFill/>
    </fill>
    <fill>
      <patternFill patternType="gray125"/>
    </fill>
    <fill>
      <patternFill patternType="solid">
        <fgColor rgb="0058595B"/>
      </patternFill>
    </fill>
    <fill>
      <patternFill patternType="solid">
        <fgColor rgb="00FDE3D1"/>
      </patternFill>
    </fill>
    <fill>
      <patternFill patternType="solid">
        <fgColor rgb="00808285"/>
      </patternFill>
    </fill>
    <fill>
      <patternFill patternType="solid">
        <fgColor rgb="00C6EFCE"/>
      </patternFill>
    </fill>
    <fill>
      <patternFill patternType="solid">
        <fgColor rgb="00C00000"/>
      </patternFill>
    </fill>
    <fill>
      <patternFill patternType="solid">
        <fgColor rgb="00F8D7DA"/>
      </patternFill>
    </fill>
    <fill>
      <patternFill patternType="solid">
        <fgColor rgb="00F47A21"/>
      </patternFill>
    </fill>
    <fill>
      <patternFill patternType="solid">
        <fgColor rgb="00A7A9AC"/>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53">
    <xf numFmtId="0" fontId="0" fillId="0" borderId="0" pivotButton="0" quotePrefix="0" xfId="0"/>
    <xf numFmtId="0" fontId="15" fillId="2" borderId="0" applyAlignment="1" pivotButton="0" quotePrefix="0" xfId="0">
      <alignment horizontal="center" vertical="center"/>
    </xf>
    <xf numFmtId="0" fontId="16" fillId="4" borderId="1" applyAlignment="1" pivotButton="0" quotePrefix="0" xfId="0">
      <alignment horizontal="center" vertical="center"/>
    </xf>
    <xf numFmtId="0" fontId="6" fillId="4" borderId="1" applyAlignment="1" pivotButton="0" quotePrefix="0" xfId="0">
      <alignment horizontal="right" vertical="center"/>
    </xf>
    <xf numFmtId="0" fontId="17" fillId="4" borderId="1" applyAlignment="1" pivotButton="0" quotePrefix="0" xfId="0">
      <alignment horizontal="right" vertical="center" wrapText="1"/>
    </xf>
    <xf numFmtId="0" fontId="18" fillId="4" borderId="1" applyAlignment="1" pivotButton="0" quotePrefix="0" xfId="0">
      <alignment horizontal="right" vertical="center" wrapText="1"/>
    </xf>
    <xf numFmtId="0" fontId="3" fillId="4" borderId="1" applyAlignment="1" pivotButton="0" quotePrefix="0" xfId="0">
      <alignment horizontal="right" vertical="center" wrapText="1"/>
    </xf>
    <xf numFmtId="0" fontId="6" fillId="0" borderId="1" applyAlignment="1" pivotButton="0" quotePrefix="0" xfId="0">
      <alignment horizontal="right" vertical="center"/>
    </xf>
    <xf numFmtId="0" fontId="19" fillId="0" borderId="1" applyAlignment="1" pivotButton="0" quotePrefix="0" xfId="0">
      <alignment horizontal="right" vertical="center" wrapText="1"/>
    </xf>
    <xf numFmtId="0" fontId="5" fillId="0" borderId="1" applyAlignment="1" pivotButton="0" quotePrefix="0" xfId="0">
      <alignment horizontal="right" vertical="center" wrapText="1"/>
    </xf>
    <xf numFmtId="0" fontId="20" fillId="0" borderId="1" applyAlignment="1" pivotButton="0" quotePrefix="0" xfId="0">
      <alignment horizontal="right" vertical="center" wrapText="1"/>
    </xf>
    <xf numFmtId="0" fontId="21" fillId="8" borderId="1" applyAlignment="1" pivotButton="0" quotePrefix="0" xfId="0">
      <alignment horizontal="center" vertical="center"/>
    </xf>
    <xf numFmtId="0" fontId="0" fillId="0" borderId="4" pivotButton="0" quotePrefix="0" xfId="0"/>
    <xf numFmtId="0" fontId="0" fillId="0" borderId="5" pivotButton="0" quotePrefix="0" xfId="0"/>
    <xf numFmtId="0" fontId="5" fillId="0" borderId="1" applyAlignment="1" pivotButton="0" quotePrefix="0" xfId="0">
      <alignment horizontal="center" vertical="center"/>
    </xf>
    <xf numFmtId="0" fontId="4" fillId="0" borderId="1" applyAlignment="1" pivotButton="0" quotePrefix="0" xfId="0">
      <alignment horizontal="center" vertical="center"/>
    </xf>
    <xf numFmtId="9" fontId="10" fillId="0" borderId="1" applyAlignment="1" pivotButton="0" quotePrefix="0" xfId="0">
      <alignment horizontal="center" vertical="center"/>
    </xf>
    <xf numFmtId="0" fontId="17" fillId="4" borderId="1" applyAlignment="1" pivotButton="0" quotePrefix="0" xfId="0">
      <alignment horizontal="center" vertical="center"/>
    </xf>
    <xf numFmtId="0" fontId="16" fillId="9" borderId="1" applyAlignment="1" pivotButton="0" quotePrefix="0" xfId="0">
      <alignment horizontal="center" vertical="center"/>
    </xf>
    <xf numFmtId="9" fontId="22" fillId="0" borderId="1" applyAlignment="1" pivotButton="0" quotePrefix="0" xfId="0">
      <alignment horizontal="center" vertical="center"/>
    </xf>
    <xf numFmtId="0" fontId="23" fillId="0" borderId="1" applyAlignment="1" pivotButton="0" quotePrefix="0" xfId="0">
      <alignment horizontal="center" vertical="center"/>
    </xf>
    <xf numFmtId="0" fontId="5" fillId="0" borderId="1" applyAlignment="1" pivotButton="0" quotePrefix="0" xfId="0">
      <alignment horizontal="right" vertical="center"/>
    </xf>
    <xf numFmtId="0" fontId="12" fillId="7" borderId="1" applyAlignment="1" pivotButton="0" quotePrefix="0" xfId="0">
      <alignment horizontal="right" vertical="center"/>
    </xf>
    <xf numFmtId="0" fontId="12" fillId="7" borderId="1" applyAlignment="1" pivotButton="0" quotePrefix="0" xfId="0">
      <alignment horizontal="center" vertical="center"/>
    </xf>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0" fontId="6" fillId="0" borderId="1" applyAlignment="1" pivotButton="0" quotePrefix="0" xfId="0">
      <alignment horizontal="center" vertical="center"/>
    </xf>
    <xf numFmtId="0" fontId="7" fillId="0" borderId="1" applyAlignment="1" pivotButton="0" quotePrefix="0" xfId="0">
      <alignment horizontal="center" vertical="center"/>
    </xf>
    <xf numFmtId="9" fontId="6" fillId="0" borderId="1" applyAlignment="1" pivotButton="0" quotePrefix="0" xfId="0">
      <alignment horizontal="center" vertical="center"/>
    </xf>
    <xf numFmtId="3" fontId="6" fillId="0" borderId="1" applyAlignment="1" pivotButton="0" quotePrefix="0" xfId="0">
      <alignment horizontal="center" vertical="center"/>
    </xf>
    <xf numFmtId="0" fontId="8" fillId="0" borderId="1" applyAlignment="1" pivotButton="0" quotePrefix="0" xfId="0">
      <alignment horizontal="center" vertical="center" wrapText="1"/>
    </xf>
    <xf numFmtId="0" fontId="9" fillId="0" borderId="1" applyAlignment="1" pivotButton="0" quotePrefix="0" xfId="0">
      <alignment horizontal="center" vertical="center"/>
    </xf>
    <xf numFmtId="0" fontId="7" fillId="0" borderId="1" applyAlignment="1" pivotButton="0" quotePrefix="0" xfId="0">
      <alignment horizontal="right" vertical="center" wrapText="1"/>
    </xf>
    <xf numFmtId="3" fontId="6" fillId="5" borderId="1" applyAlignment="1" applyProtection="1" pivotButton="0" quotePrefix="0" xfId="0">
      <alignment horizontal="center" vertical="center"/>
      <protection locked="0" hidden="0"/>
    </xf>
    <xf numFmtId="164" fontId="6" fillId="5" borderId="1" applyAlignment="1" applyProtection="1" pivotButton="0" quotePrefix="0" xfId="0">
      <alignment horizontal="center" vertical="center"/>
      <protection locked="0" hidden="0"/>
    </xf>
    <xf numFmtId="9" fontId="6" fillId="5" borderId="1" applyAlignment="1" applyProtection="1" pivotButton="0" quotePrefix="0" xfId="0">
      <alignment horizontal="center" vertical="center"/>
      <protection locked="0" hidden="0"/>
    </xf>
    <xf numFmtId="165" fontId="6" fillId="0" borderId="1" applyAlignment="1" pivotButton="0" quotePrefix="0" xfId="0">
      <alignment horizontal="center" vertical="center"/>
    </xf>
    <xf numFmtId="165" fontId="6" fillId="5" borderId="1" applyAlignment="1" applyProtection="1" pivotButton="0" quotePrefix="0" xfId="0">
      <alignment horizontal="center" vertical="center"/>
      <protection locked="0" hidden="0"/>
    </xf>
    <xf numFmtId="0" fontId="1" fillId="6" borderId="0" applyAlignment="1" pivotButton="0" quotePrefix="0" xfId="0">
      <alignment horizontal="center" vertical="center"/>
    </xf>
    <xf numFmtId="0" fontId="11" fillId="7" borderId="0" applyAlignment="1" pivotButton="0" quotePrefix="0" xfId="0">
      <alignment horizontal="center" vertical="center"/>
    </xf>
    <xf numFmtId="0" fontId="3" fillId="6" borderId="1" applyAlignment="1" pivotButton="0" quotePrefix="0" xfId="0">
      <alignment horizontal="center" vertical="center"/>
    </xf>
    <xf numFmtId="0" fontId="6" fillId="7" borderId="1" applyAlignment="1" pivotButton="0" quotePrefix="0" xfId="0">
      <alignment horizontal="right" vertical="center"/>
    </xf>
    <xf numFmtId="0" fontId="13" fillId="7" borderId="1" applyAlignment="1" pivotButton="0" quotePrefix="0" xfId="0">
      <alignment horizontal="right" vertical="center"/>
    </xf>
    <xf numFmtId="0" fontId="24" fillId="2" borderId="0" applyAlignment="1" pivotButton="0" quotePrefix="0" xfId="0">
      <alignment horizontal="center" vertical="center"/>
    </xf>
    <xf numFmtId="0" fontId="16" fillId="8" borderId="1" applyAlignment="1" pivotButton="0" quotePrefix="0" xfId="0">
      <alignment horizontal="right" vertical="center"/>
    </xf>
    <xf numFmtId="0" fontId="6" fillId="5" borderId="1" applyAlignment="1" applyProtection="1" pivotButton="0" quotePrefix="0" xfId="0">
      <alignment horizontal="center" vertical="center"/>
      <protection locked="0" hidden="0"/>
    </xf>
    <xf numFmtId="0" fontId="8" fillId="0" borderId="1" applyAlignment="1" pivotButton="0" quotePrefix="0" xfId="0">
      <alignment horizontal="right" vertical="center" wrapText="1"/>
    </xf>
    <xf numFmtId="0" fontId="16" fillId="9" borderId="1" applyAlignment="1" pivotButton="0" quotePrefix="0" xfId="0">
      <alignment horizontal="right" vertical="center"/>
    </xf>
    <xf numFmtId="0" fontId="6" fillId="5" borderId="1" applyAlignment="1" applyProtection="1" pivotButton="0" quotePrefix="0" xfId="0">
      <alignment horizontal="right" vertical="center"/>
      <protection locked="0" hidden="0"/>
    </xf>
    <xf numFmtId="0" fontId="7" fillId="0" borderId="1" applyAlignment="1" pivotButton="0" quotePrefix="0" xfId="0">
      <alignment horizontal="right" vertical="center"/>
    </xf>
    <xf numFmtId="9" fontId="14" fillId="0" borderId="1" applyAlignment="1" pivotButton="0" quotePrefix="0" xfId="0">
      <alignment horizontal="center" vertical="center"/>
    </xf>
    <xf numFmtId="9" fontId="7"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428750" cy="3714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2:E30"/>
  <sheetViews>
    <sheetView showGridLines="0" rightToLeft="1" workbookViewId="0">
      <selection activeCell="A1" sqref="A1"/>
    </sheetView>
  </sheetViews>
  <sheetFormatPr baseColWidth="8" defaultRowHeight="15"/>
  <cols>
    <col width="3" customWidth="1" min="1" max="1"/>
    <col width="26" customWidth="1" min="2" max="2"/>
    <col width="40" customWidth="1" min="3" max="3"/>
    <col width="30" customWidth="1" min="4" max="4"/>
    <col width="14" customWidth="1" min="5" max="5"/>
  </cols>
  <sheetData>
    <row r="1" ht="46" customHeight="1"/>
    <row r="2" ht="26" customHeight="1">
      <c r="B2" s="1" t="inlineStr">
        <is>
          <t>درب · الاستراتيجية ومستهدفات 2026 — قطاع المحطات والعقار</t>
        </is>
      </c>
    </row>
    <row r="4">
      <c r="A4" s="2" t="inlineStr"/>
      <c r="B4" s="2" t="inlineStr">
        <is>
          <t>الركيزة (5 سنوات) / الهدف</t>
        </is>
      </c>
      <c r="C4" s="2" t="inlineStr">
        <is>
          <t>الوصف</t>
        </is>
      </c>
      <c r="D4" s="2" t="inlineStr">
        <is>
          <t>مستهدف 2026</t>
        </is>
      </c>
    </row>
    <row r="5" ht="24" customHeight="1">
      <c r="A5" s="3" t="inlineStr"/>
      <c r="B5" s="4" t="inlineStr">
        <is>
          <t>النمو</t>
        </is>
      </c>
      <c r="C5" s="5" t="inlineStr">
        <is>
          <t>التوسع في المواقع وزيادة الوصول وتنمية الإيراد.</t>
        </is>
      </c>
      <c r="D5" s="6" t="inlineStr"/>
    </row>
    <row r="6" ht="24" customHeight="1">
      <c r="A6" s="7" t="inlineStr"/>
      <c r="B6" s="8" t="inlineStr">
        <is>
          <t>التوسع في المواقع</t>
        </is>
      </c>
      <c r="C6" s="9" t="inlineStr">
        <is>
          <t>افتتاح وتشغيل محطات جديدة.</t>
        </is>
      </c>
      <c r="D6" s="10" t="inlineStr">
        <is>
          <t>التشغيل 85 · الامتياز 150 محطة</t>
        </is>
      </c>
    </row>
    <row r="7" ht="24" customHeight="1">
      <c r="A7" s="7" t="inlineStr"/>
      <c r="B7" s="8" t="inlineStr">
        <is>
          <t>الامتياز والعقود</t>
        </is>
      </c>
      <c r="C7" s="9" t="inlineStr">
        <is>
          <t>تنمية الإيراد عبر الامتياز والاستثمار.</t>
        </is>
      </c>
      <c r="D7" s="10" t="inlineStr">
        <is>
          <t>الامتياز 167 · الاستثمار 190 عقد</t>
        </is>
      </c>
    </row>
    <row r="8" ht="24" customHeight="1">
      <c r="A8" s="7" t="inlineStr"/>
      <c r="B8" s="8" t="inlineStr">
        <is>
          <t>زيادة وصول العملاء</t>
        </is>
      </c>
      <c r="C8" s="9" t="inlineStr">
        <is>
          <t>رفع المبيعات والتغطية الجغرافية.</t>
        </is>
      </c>
      <c r="D8" s="10" t="inlineStr">
        <is>
          <t>718.8M لتر · 13 منطقة · 59 مدينة</t>
        </is>
      </c>
    </row>
    <row r="9" ht="24" customHeight="1">
      <c r="A9" s="3" t="inlineStr"/>
      <c r="B9" s="4" t="inlineStr">
        <is>
          <t>الابتكار</t>
        </is>
      </c>
      <c r="C9" s="5" t="inlineStr">
        <is>
          <t>مشاريع جديدة وتحول تقني وهوية وتانكي.</t>
        </is>
      </c>
      <c r="D9" s="6" t="inlineStr"/>
    </row>
    <row r="10" ht="24" customHeight="1">
      <c r="A10" s="7" t="inlineStr"/>
      <c r="B10" s="8" t="inlineStr">
        <is>
          <t>التحول التقني</t>
        </is>
      </c>
      <c r="C10" s="9" t="inlineStr">
        <is>
          <t>أتمتة 164 محطة · D365 · جاهزية الأنظمة.</t>
        </is>
      </c>
      <c r="D10" s="10" t="inlineStr">
        <is>
          <t>أتمتة 90% · جاهزية 99%</t>
        </is>
      </c>
    </row>
    <row r="11" ht="24" customHeight="1">
      <c r="A11" s="7" t="inlineStr"/>
      <c r="B11" s="8" t="inlineStr">
        <is>
          <t>ساحات درب وتانكي</t>
        </is>
      </c>
      <c r="C11" s="9" t="inlineStr">
        <is>
          <t>تشغيل ساحات درب ونمو تطبيق تانكي (التسويق).</t>
        </is>
      </c>
      <c r="D11" s="10" t="inlineStr">
        <is>
          <t>تأجير ساحة ≥80% · تانكي تصاعدي</t>
        </is>
      </c>
    </row>
    <row r="12" ht="24" customHeight="1">
      <c r="A12" s="3" t="inlineStr"/>
      <c r="B12" s="4" t="inlineStr">
        <is>
          <t>الاستدامة</t>
        </is>
      </c>
      <c r="C12" s="5" t="inlineStr">
        <is>
          <t>جودة التشغيل وتجربة العميل والموظفين.</t>
        </is>
      </c>
      <c r="D12" s="6" t="inlineStr"/>
    </row>
    <row r="13" ht="24" customHeight="1">
      <c r="A13" s="7" t="inlineStr"/>
      <c r="B13" s="8" t="inlineStr">
        <is>
          <t>تجربة العميل وجودة التشغيل</t>
        </is>
      </c>
      <c r="C13" s="9" t="inlineStr">
        <is>
          <t>رضا وأمن سيبراني وجاهزية.</t>
        </is>
      </c>
      <c r="D13" s="10" t="inlineStr">
        <is>
          <t>CSAT 90% · جاهزية 99%</t>
        </is>
      </c>
    </row>
    <row r="14" ht="24" customHeight="1">
      <c r="A14" s="7" t="inlineStr"/>
      <c r="B14" s="8" t="inlineStr">
        <is>
          <t>منظومة التأجير</t>
        </is>
      </c>
      <c r="C14" s="9" t="inlineStr">
        <is>
          <t>الإشغال والتحصيل واستدامة المستأجرين.</t>
        </is>
      </c>
      <c r="D14" s="10" t="inlineStr">
        <is>
          <t>إشغال ≥60% · 246 علامة</t>
        </is>
      </c>
    </row>
    <row r="15" ht="24" customHeight="1">
      <c r="A15" s="7" t="inlineStr"/>
      <c r="B15" s="8" t="inlineStr">
        <is>
          <t>الاستثمار في الموظفين</t>
        </is>
      </c>
      <c r="C15" s="9" t="inlineStr">
        <is>
          <t>التوطين والتدريب والاستبقاء.</t>
        </is>
      </c>
      <c r="D15" s="10" t="inlineStr">
        <is>
          <t>6 دورات · استبقاء 90% · سعودة</t>
        </is>
      </c>
    </row>
    <row r="17">
      <c r="B17" s="11" t="inlineStr">
        <is>
          <t>الخارطة التنفيذية — المشاريع (أداء حي)</t>
        </is>
      </c>
      <c r="C17" s="12" t="n"/>
      <c r="D17" s="12" t="n"/>
      <c r="E17" s="13" t="n"/>
    </row>
    <row r="18">
      <c r="B18" s="2" t="inlineStr">
        <is>
          <t>المشروع</t>
        </is>
      </c>
      <c r="C18" s="2" t="inlineStr">
        <is>
          <t>الركيزة</t>
        </is>
      </c>
      <c r="D18" s="2" t="inlineStr">
        <is>
          <t>عدد المؤشرات</t>
        </is>
      </c>
      <c r="E18" s="2" t="inlineStr">
        <is>
          <t>الأداء (حي)</t>
        </is>
      </c>
    </row>
    <row r="19">
      <c r="B19" s="9" t="inlineStr">
        <is>
          <t>التوسع في المواقع</t>
        </is>
      </c>
      <c r="C19" s="14" t="inlineStr">
        <is>
          <t>النمو</t>
        </is>
      </c>
      <c r="D19" s="15">
        <f>COUNTIF('قاعدة المؤشرات'!$E$2:$E$166,"التوسع في المواقع")</f>
        <v/>
      </c>
      <c r="E19" s="16">
        <f>IFERROR(AVERAGEIFS('قاعدة المؤشرات'!$G$2:$G$166,'قاعدة المؤشرات'!$E$2:$E$166,"التوسع في المواقع"),"—")</f>
        <v/>
      </c>
    </row>
    <row r="20">
      <c r="B20" s="9" t="inlineStr">
        <is>
          <t>الامتياز التجاري</t>
        </is>
      </c>
      <c r="C20" s="14" t="inlineStr">
        <is>
          <t>النمو</t>
        </is>
      </c>
      <c r="D20" s="15">
        <f>COUNTIF('قاعدة المؤشرات'!$E$2:$E$166,"الامتياز التجاري")</f>
        <v/>
      </c>
      <c r="E20" s="16">
        <f>IFERROR(AVERAGEIFS('قاعدة المؤشرات'!$G$2:$G$166,'قاعدة المؤشرات'!$E$2:$E$166,"الامتياز التجاري"),"—")</f>
        <v/>
      </c>
    </row>
    <row r="21">
      <c r="B21" s="9" t="inlineStr">
        <is>
          <t>زيادة وصول العملاء</t>
        </is>
      </c>
      <c r="C21" s="14" t="inlineStr">
        <is>
          <t>النمو</t>
        </is>
      </c>
      <c r="D21" s="15">
        <f>COUNTIF('قاعدة المؤشرات'!$E$2:$E$166,"زيادة وصول العملاء")</f>
        <v/>
      </c>
      <c r="E21" s="16">
        <f>IFERROR(AVERAGEIFS('قاعدة المؤشرات'!$G$2:$G$166,'قاعدة المؤشرات'!$E$2:$E$166,"زيادة وصول العملاء"),"—")</f>
        <v/>
      </c>
    </row>
    <row r="22">
      <c r="B22" s="9" t="inlineStr">
        <is>
          <t>إطلاق مشاريع جديدة</t>
        </is>
      </c>
      <c r="C22" s="14" t="inlineStr">
        <is>
          <t>الابتكار</t>
        </is>
      </c>
      <c r="D22" s="15">
        <f>COUNTIF('قاعدة المؤشرات'!$E$2:$E$166,"إطلاق مشاريع جديدة")</f>
        <v/>
      </c>
      <c r="E22" s="16">
        <f>IFERROR(AVERAGEIFS('قاعدة المؤشرات'!$G$2:$G$166,'قاعدة المؤشرات'!$E$2:$E$166,"إطلاق مشاريع جديدة"),"—")</f>
        <v/>
      </c>
    </row>
    <row r="23">
      <c r="B23" s="9" t="inlineStr">
        <is>
          <t>تطوير التصاميم والهوية</t>
        </is>
      </c>
      <c r="C23" s="14" t="inlineStr">
        <is>
          <t>الابتكار</t>
        </is>
      </c>
      <c r="D23" s="15">
        <f>COUNTIF('قاعدة المؤشرات'!$E$2:$E$166,"تطوير التصاميم والهوية")</f>
        <v/>
      </c>
      <c r="E23" s="16">
        <f>IFERROR(AVERAGEIFS('قاعدة المؤشرات'!$G$2:$G$166,'قاعدة المؤشرات'!$E$2:$E$166,"تطوير التصاميم والهوية"),"—")</f>
        <v/>
      </c>
    </row>
    <row r="24">
      <c r="B24" s="9" t="inlineStr">
        <is>
          <t>التحول التقني</t>
        </is>
      </c>
      <c r="C24" s="14" t="inlineStr">
        <is>
          <t>الابتكار</t>
        </is>
      </c>
      <c r="D24" s="15">
        <f>COUNTIF('قاعدة المؤشرات'!$E$2:$E$166,"التحول التقني")</f>
        <v/>
      </c>
      <c r="E24" s="16">
        <f>IFERROR(AVERAGEIFS('قاعدة المؤشرات'!$G$2:$G$166,'قاعدة المؤشرات'!$E$2:$E$166,"التحول التقني"),"—")</f>
        <v/>
      </c>
    </row>
    <row r="25">
      <c r="B25" s="9" t="inlineStr">
        <is>
          <t>ساحات درب</t>
        </is>
      </c>
      <c r="C25" s="14" t="inlineStr">
        <is>
          <t>الابتكار</t>
        </is>
      </c>
      <c r="D25" s="15">
        <f>COUNTIF('قاعدة المؤشرات'!$E$2:$E$166,"ساحات درب")</f>
        <v/>
      </c>
      <c r="E25" s="16">
        <f>IFERROR(AVERAGEIFS('قاعدة المؤشرات'!$G$2:$G$166,'قاعدة المؤشرات'!$E$2:$E$166,"ساحات درب"),"—")</f>
        <v/>
      </c>
    </row>
    <row r="26">
      <c r="B26" s="9" t="inlineStr">
        <is>
          <t>تطبيق «تانكي»</t>
        </is>
      </c>
      <c r="C26" s="14" t="inlineStr">
        <is>
          <t>الابتكار</t>
        </is>
      </c>
      <c r="D26" s="15">
        <f>COUNTIF('قاعدة المؤشرات'!$E$2:$E$166,"تطبيق «تانكي»")</f>
        <v/>
      </c>
      <c r="E26" s="16">
        <f>IFERROR(AVERAGEIFS('قاعدة المؤشرات'!$G$2:$G$166,'قاعدة المؤشرات'!$E$2:$E$166,"تطبيق «تانكي»"),"—")</f>
        <v/>
      </c>
    </row>
    <row r="27">
      <c r="B27" s="9" t="inlineStr">
        <is>
          <t>تعزيز تجربة العملاء</t>
        </is>
      </c>
      <c r="C27" s="14" t="inlineStr">
        <is>
          <t>الاستدامة</t>
        </is>
      </c>
      <c r="D27" s="15">
        <f>COUNTIF('قاعدة المؤشرات'!$E$2:$E$166,"تعزيز تجربة العملاء")</f>
        <v/>
      </c>
      <c r="E27" s="16">
        <f>IFERROR(AVERAGEIFS('قاعدة المؤشرات'!$G$2:$G$166,'قاعدة المؤشرات'!$E$2:$E$166,"تعزيز تجربة العملاء"),"—")</f>
        <v/>
      </c>
    </row>
    <row r="28">
      <c r="B28" s="9" t="inlineStr">
        <is>
          <t>جودة التشغيل</t>
        </is>
      </c>
      <c r="C28" s="14" t="inlineStr">
        <is>
          <t>الاستدامة</t>
        </is>
      </c>
      <c r="D28" s="15">
        <f>COUNTIF('قاعدة المؤشرات'!$E$2:$E$166,"جودة التشغيل")</f>
        <v/>
      </c>
      <c r="E28" s="16">
        <f>IFERROR(AVERAGEIFS('قاعدة المؤشرات'!$G$2:$G$166,'قاعدة المؤشرات'!$E$2:$E$166,"جودة التشغيل"),"—")</f>
        <v/>
      </c>
    </row>
    <row r="29">
      <c r="B29" s="9" t="inlineStr">
        <is>
          <t>منظومة التأجير</t>
        </is>
      </c>
      <c r="C29" s="14" t="inlineStr">
        <is>
          <t>الاستدامة</t>
        </is>
      </c>
      <c r="D29" s="15">
        <f>COUNTIF('قاعدة المؤشرات'!$E$2:$E$166,"منظومة التأجير")</f>
        <v/>
      </c>
      <c r="E29" s="16">
        <f>IFERROR(AVERAGEIFS('قاعدة المؤشرات'!$G$2:$G$166,'قاعدة المؤشرات'!$E$2:$E$166,"منظومة التأجير"),"—")</f>
        <v/>
      </c>
    </row>
    <row r="30">
      <c r="B30" s="9" t="inlineStr">
        <is>
          <t>الاستثمار في الموظفين</t>
        </is>
      </c>
      <c r="C30" s="14" t="inlineStr">
        <is>
          <t>الاستدامة</t>
        </is>
      </c>
      <c r="D30" s="15">
        <f>COUNTIF('قاعدة المؤشرات'!$E$2:$E$166,"الاستثمار في الموظفين")</f>
        <v/>
      </c>
      <c r="E30" s="16">
        <f>IFERROR(AVERAGEIFS('قاعدة المؤشرات'!$G$2:$G$166,'قاعدة المؤشرات'!$E$2:$E$166,"الاستثمار في الموظفين"),"—")</f>
        <v/>
      </c>
    </row>
  </sheetData>
  <mergeCells count="2">
    <mergeCell ref="B17:E17"/>
    <mergeCell ref="B2:E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E19"/>
  <sheetViews>
    <sheetView showGridLines="0" rightToLeft="1" workbookViewId="0">
      <selection activeCell="A1" sqref="A1"/>
    </sheetView>
  </sheetViews>
  <sheetFormatPr baseColWidth="8" defaultRowHeight="15"/>
  <cols>
    <col width="3" customWidth="1" min="1" max="1"/>
    <col width="28" customWidth="1" min="2" max="2"/>
    <col width="14" customWidth="1" min="3" max="3"/>
    <col width="16" customWidth="1" min="4" max="4"/>
    <col width="16" customWidth="1" min="5" max="5"/>
  </cols>
  <sheetData>
    <row r="2" ht="26" customHeight="1">
      <c r="B2" s="1" t="inlineStr">
        <is>
          <t>اللوحة الموجزة — تجميع حي من جداول الإدارات</t>
        </is>
      </c>
    </row>
    <row r="4">
      <c r="B4" s="17" t="inlineStr">
        <is>
          <t>الإنجاز العام</t>
        </is>
      </c>
      <c r="C4" s="18" t="inlineStr">
        <is>
          <t>✅ محقق</t>
        </is>
      </c>
      <c r="D4" s="18" t="inlineStr">
        <is>
          <t>🟡 قريب</t>
        </is>
      </c>
      <c r="E4" s="18" t="inlineStr">
        <is>
          <t>🔴 تحت الهدف</t>
        </is>
      </c>
    </row>
    <row r="5">
      <c r="B5" s="19">
        <f>IFERROR(AVERAGE('قاعدة المؤشرات'!$G$2:$G$166),0)</f>
        <v/>
      </c>
      <c r="C5" s="20">
        <f>COUNTIF('قاعدة المؤشرات'!$H$2:$H$166,"✅ محقق")</f>
        <v/>
      </c>
      <c r="D5" s="20">
        <f>COUNTIF('قاعدة المؤشرات'!$H$2:$H$166,"🟡 قريب")</f>
        <v/>
      </c>
      <c r="E5" s="20">
        <f>COUNTIF('قاعدة المؤشرات'!$H$2:$H$166,"🔴 تحت الهدف")</f>
        <v/>
      </c>
    </row>
    <row r="7">
      <c r="B7" s="11" t="inlineStr">
        <is>
          <t>الأداء حسب الإدارة</t>
        </is>
      </c>
      <c r="C7" s="13" t="n"/>
      <c r="D7" s="11" t="inlineStr">
        <is>
          <t>حسب الركيزة</t>
        </is>
      </c>
      <c r="E7" s="13" t="n"/>
    </row>
    <row r="8">
      <c r="B8" s="18" t="inlineStr">
        <is>
          <t>الإدارة</t>
        </is>
      </c>
      <c r="C8" s="18" t="inlineStr">
        <is>
          <t>الأداء</t>
        </is>
      </c>
      <c r="D8" s="18" t="inlineStr">
        <is>
          <t>الركيزة</t>
        </is>
      </c>
      <c r="E8" s="18" t="inlineStr">
        <is>
          <t>الأداء</t>
        </is>
      </c>
    </row>
    <row r="9">
      <c r="B9" s="21" t="inlineStr">
        <is>
          <t>الإدارة التنفيذية</t>
        </is>
      </c>
      <c r="C9" s="16">
        <f>IFERROR(AVERAGEIFS('قاعدة المؤشرات'!$G$2:$G$166,'قاعدة المؤشرات'!$B$2:$B$166,"الإدارة التنفيذية"),"—")</f>
        <v/>
      </c>
      <c r="D9" s="21" t="inlineStr">
        <is>
          <t>النمو</t>
        </is>
      </c>
      <c r="E9" s="16">
        <f>IFERROR(AVERAGEIFS('قاعدة المؤشرات'!$G$2:$G$166,'قاعدة المؤشرات'!$D$2:$D$166,"النمو"),"—")</f>
        <v/>
      </c>
    </row>
    <row r="10">
      <c r="B10" s="21" t="inlineStr">
        <is>
          <t>الامتياز التجاري</t>
        </is>
      </c>
      <c r="C10" s="16">
        <f>IFERROR(AVERAGEIFS('قاعدة المؤشرات'!$G$2:$G$166,'قاعدة المؤشرات'!$B$2:$B$166,"الامتياز التجاري"),"—")</f>
        <v/>
      </c>
      <c r="D10" s="21" t="inlineStr">
        <is>
          <t>الابتكار</t>
        </is>
      </c>
      <c r="E10" s="16">
        <f>IFERROR(AVERAGEIFS('قاعدة المؤشرات'!$G$2:$G$166,'قاعدة المؤشرات'!$D$2:$D$166,"الابتكار"),"—")</f>
        <v/>
      </c>
    </row>
    <row r="11">
      <c r="B11" s="21" t="inlineStr">
        <is>
          <t>التشغيل والمحطات</t>
        </is>
      </c>
      <c r="C11" s="16">
        <f>IFERROR(AVERAGEIFS('قاعدة المؤشرات'!$G$2:$G$166,'قاعدة المؤشرات'!$B$2:$B$166,"التشغيل والمحطات"),"—")</f>
        <v/>
      </c>
      <c r="D11" s="21" t="inlineStr">
        <is>
          <t>الاستدامة</t>
        </is>
      </c>
      <c r="E11" s="16">
        <f>IFERROR(AVERAGEIFS('قاعدة المؤشرات'!$G$2:$G$166,'قاعدة المؤشرات'!$D$2:$D$166,"الاستدامة"),"—")</f>
        <v/>
      </c>
    </row>
    <row r="12">
      <c r="B12" s="21" t="inlineStr">
        <is>
          <t>الاستثمار</t>
        </is>
      </c>
      <c r="C12" s="16">
        <f>IFERROR(AVERAGEIFS('قاعدة المؤشرات'!$G$2:$G$166,'قاعدة المؤشرات'!$B$2:$B$166,"الاستثمار"),"—")</f>
        <v/>
      </c>
    </row>
    <row r="13">
      <c r="B13" s="21" t="inlineStr">
        <is>
          <t>العقار</t>
        </is>
      </c>
      <c r="C13" s="16">
        <f>IFERROR(AVERAGEIFS('قاعدة المؤشرات'!$G$2:$G$166,'قاعدة المؤشرات'!$B$2:$B$166,"العقار"),"—")</f>
        <v/>
      </c>
      <c r="D13" s="17" t="inlineStr">
        <is>
          <t>حسب منظور BSC</t>
        </is>
      </c>
      <c r="E13" s="13" t="n"/>
    </row>
    <row r="14">
      <c r="B14" s="21" t="inlineStr">
        <is>
          <t>التقنية الرقمية</t>
        </is>
      </c>
      <c r="C14" s="16">
        <f>IFERROR(AVERAGEIFS('قاعدة المؤشرات'!$G$2:$G$166,'قاعدة المؤشرات'!$B$2:$B$166,"التقنية الرقمية"),"—")</f>
        <v/>
      </c>
      <c r="D14" s="21" t="inlineStr">
        <is>
          <t>مالي</t>
        </is>
      </c>
      <c r="E14" s="16">
        <f>IFERROR(AVERAGEIFS('قاعدة المؤشرات'!$G$2:$G$166,'قاعدة المؤشرات'!$F$2:$F$166,"مالي"),"—")</f>
        <v/>
      </c>
    </row>
    <row r="15">
      <c r="B15" s="21" t="inlineStr">
        <is>
          <t>الموارد البشرية</t>
        </is>
      </c>
      <c r="C15" s="16">
        <f>IFERROR(AVERAGEIFS('قاعدة المؤشرات'!$G$2:$G$166,'قاعدة المؤشرات'!$B$2:$B$166,"الموارد البشرية"),"—")</f>
        <v/>
      </c>
      <c r="D15" s="21" t="inlineStr">
        <is>
          <t>العملاء</t>
        </is>
      </c>
      <c r="E15" s="16">
        <f>IFERROR(AVERAGEIFS('قاعدة المؤشرات'!$G$2:$G$166,'قاعدة المؤشرات'!$F$2:$F$166,"العملاء"),"—")</f>
        <v/>
      </c>
    </row>
    <row r="16">
      <c r="B16" s="21" t="inlineStr">
        <is>
          <t>التسويق</t>
        </is>
      </c>
      <c r="C16" s="16">
        <f>IFERROR(AVERAGEIFS('قاعدة المؤشرات'!$G$2:$G$166,'قاعدة المؤشرات'!$B$2:$B$166,"التسويق"),"—")</f>
        <v/>
      </c>
      <c r="D16" s="21" t="inlineStr">
        <is>
          <t>العمليات الداخلية</t>
        </is>
      </c>
      <c r="E16" s="16">
        <f>IFERROR(AVERAGEIFS('قاعدة المؤشرات'!$G$2:$G$166,'قاعدة المؤشرات'!$F$2:$F$166,"العمليات الداخلية"),"—")</f>
        <v/>
      </c>
    </row>
    <row r="17">
      <c r="B17" s="21" t="inlineStr">
        <is>
          <t>الجودة</t>
        </is>
      </c>
      <c r="C17" s="16">
        <f>IFERROR(AVERAGEIFS('قاعدة المؤشرات'!$G$2:$G$166,'قاعدة المؤشرات'!$B$2:$B$166,"الجودة"),"—")</f>
        <v/>
      </c>
      <c r="D17" s="21" t="inlineStr">
        <is>
          <t>التعلّم والنمو</t>
        </is>
      </c>
      <c r="E17" s="16">
        <f>IFERROR(AVERAGEIFS('قاعدة المؤشرات'!$G$2:$G$166,'قاعدة المؤشرات'!$F$2:$F$166,"التعلّم والنمو"),"—")</f>
        <v/>
      </c>
    </row>
    <row r="18">
      <c r="B18" s="21" t="inlineStr">
        <is>
          <t>الإدارة القانونية</t>
        </is>
      </c>
      <c r="C18" s="16">
        <f>IFERROR(AVERAGEIFS('قاعدة المؤشرات'!$G$2:$G$166,'قاعدة المؤشرات'!$B$2:$B$166,"الإدارة القانونية"),"—")</f>
        <v/>
      </c>
    </row>
    <row r="19">
      <c r="B19" s="22" t="inlineStr">
        <is>
          <t>الإدارة المالية</t>
        </is>
      </c>
      <c r="C19" s="23" t="inlineStr">
        <is>
          <t>⛔ فارغة</t>
        </is>
      </c>
    </row>
  </sheetData>
  <mergeCells count="4">
    <mergeCell ref="D7:E7"/>
    <mergeCell ref="D13:E13"/>
    <mergeCell ref="B2:E2"/>
    <mergeCell ref="B7:C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3"/>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4" t="inlineStr">
        <is>
          <t>إدارة الإدارة التنفيذية · مؤشرات الأداء 2026</t>
        </is>
      </c>
    </row>
    <row r="2">
      <c r="A2" s="25" t="inlineStr">
        <is>
          <t>🟩 أدخل «المُحقَّق» · نسبة التحقيق والحالة دلّات حقيقية تُحسب تلقائياً</t>
        </is>
      </c>
    </row>
    <row r="3" ht="28" customHeight="1">
      <c r="A3" s="26" t="inlineStr">
        <is>
          <t>#</t>
        </is>
      </c>
      <c r="B3" s="26" t="inlineStr">
        <is>
          <t>المحور</t>
        </is>
      </c>
      <c r="C3" s="26" t="inlineStr">
        <is>
          <t>المؤشر</t>
        </is>
      </c>
      <c r="D3" s="26" t="inlineStr">
        <is>
          <t>الوحدة</t>
        </is>
      </c>
      <c r="E3" s="26" t="inlineStr">
        <is>
          <t>القطبية</t>
        </is>
      </c>
      <c r="F3" s="26" t="inlineStr">
        <is>
          <t>الأولوية</t>
        </is>
      </c>
      <c r="G3" s="26" t="inlineStr">
        <is>
          <t>الوزن %</t>
        </is>
      </c>
      <c r="H3" s="26" t="inlineStr">
        <is>
          <t>المستهدف</t>
        </is>
      </c>
      <c r="I3" s="26" t="inlineStr">
        <is>
          <t>نص المستهدف</t>
        </is>
      </c>
      <c r="J3" s="26" t="inlineStr">
        <is>
          <t>الركيزة</t>
        </is>
      </c>
      <c r="K3" s="26" t="inlineStr">
        <is>
          <t>المشروع</t>
        </is>
      </c>
      <c r="L3" s="26" t="inlineStr">
        <is>
          <t>منظور BSC</t>
        </is>
      </c>
      <c r="M3" s="26" t="inlineStr">
        <is>
          <t>المُحقَّق</t>
        </is>
      </c>
      <c r="N3" s="26" t="inlineStr">
        <is>
          <t>نسبة التحقيق</t>
        </is>
      </c>
      <c r="O3" s="26" t="inlineStr">
        <is>
          <t>الحالة</t>
        </is>
      </c>
    </row>
    <row r="4" ht="24" customHeight="1">
      <c r="A4" s="15" t="n">
        <v>1</v>
      </c>
      <c r="B4" s="9" t="inlineStr">
        <is>
          <t>النمو</t>
        </is>
      </c>
      <c r="C4" s="9" t="inlineStr">
        <is>
          <t>إجمالي المحطات المشغّلة — الشركة (تراكمي)</t>
        </is>
      </c>
      <c r="D4" s="27" t="inlineStr">
        <is>
          <t>محطة</t>
        </is>
      </c>
      <c r="E4" s="27" t="inlineStr">
        <is>
          <t>↑</t>
        </is>
      </c>
      <c r="F4" s="28" t="inlineStr">
        <is>
          <t>🔴 رئيسي</t>
        </is>
      </c>
      <c r="G4" s="29" t="n">
        <v>0.11538</v>
      </c>
      <c r="H4" s="30" t="n">
        <v>235</v>
      </c>
      <c r="I4" s="31" t="inlineStr">
        <is>
          <t>≥ 235 محطة</t>
        </is>
      </c>
      <c r="J4" s="32" t="inlineStr">
        <is>
          <t>النمو</t>
        </is>
      </c>
      <c r="K4" s="33" t="inlineStr">
        <is>
          <t>التوسع في المواقع</t>
        </is>
      </c>
      <c r="L4" s="28" t="inlineStr">
        <is>
          <t>العمليات الداخلية</t>
        </is>
      </c>
      <c r="M4" s="34" t="n"/>
      <c r="N4" s="16">
        <f>IF($H4="","",IF($M4="","",IF($H4=0,IF($M4&lt;=0,1,0),IF($E4="↓",IFERROR($H4/$M4,0),IFERROR($M4/$H4,0)))))</f>
        <v/>
      </c>
      <c r="O4" s="15">
        <f>IF($N4="","—",IF($N4&gt;=1,"✅ محقق",IF($N4&gt;=0.85,"🟡 قريب","🔴 تحت الهدف")))</f>
        <v/>
      </c>
    </row>
    <row r="5" ht="24" customHeight="1">
      <c r="A5" s="15" t="n">
        <v>2</v>
      </c>
      <c r="B5" s="9" t="inlineStr">
        <is>
          <t>النمو</t>
        </is>
      </c>
      <c r="C5" s="9" t="inlineStr">
        <is>
          <t>إجمالي العقود الجديدة — الشركة</t>
        </is>
      </c>
      <c r="D5" s="27" t="inlineStr">
        <is>
          <t>عقد</t>
        </is>
      </c>
      <c r="E5" s="27" t="inlineStr">
        <is>
          <t>↑</t>
        </is>
      </c>
      <c r="F5" s="28" t="inlineStr">
        <is>
          <t>🔴 رئيسي</t>
        </is>
      </c>
      <c r="G5" s="29" t="n">
        <v>0.11538</v>
      </c>
      <c r="H5" s="30" t="n">
        <v>357</v>
      </c>
      <c r="I5" s="31" t="inlineStr">
        <is>
          <t>357 عقد</t>
        </is>
      </c>
      <c r="J5" s="32" t="inlineStr">
        <is>
          <t>النمو</t>
        </is>
      </c>
      <c r="K5" s="33" t="inlineStr">
        <is>
          <t>الامتياز التجاري</t>
        </is>
      </c>
      <c r="L5" s="28" t="inlineStr">
        <is>
          <t>العمليات الداخلية</t>
        </is>
      </c>
      <c r="M5" s="34" t="n"/>
      <c r="N5" s="16">
        <f>IF($H5="","",IF($M5="","",IF($H5=0,IF($M5&lt;=0,1,0),IF($E5="↓",IFERROR($H5/$M5,0),IFERROR($M5/$H5,0)))))</f>
        <v/>
      </c>
      <c r="O5" s="15">
        <f>IF($N5="","—",IF($N5&gt;=1,"✅ محقق",IF($N5&gt;=0.85,"🟡 قريب","🔴 تحت الهدف")))</f>
        <v/>
      </c>
    </row>
    <row r="6" ht="24" customHeight="1">
      <c r="A6" s="15" t="n">
        <v>3</v>
      </c>
      <c r="B6" s="9" t="inlineStr">
        <is>
          <t>النمو</t>
        </is>
      </c>
      <c r="C6" s="9" t="inlineStr">
        <is>
          <t>إجمالي إيرادات الشركة السنوية</t>
        </is>
      </c>
      <c r="D6" s="27" t="inlineStr">
        <is>
          <t>ر.س</t>
        </is>
      </c>
      <c r="E6" s="27" t="inlineStr">
        <is>
          <t>↑</t>
        </is>
      </c>
      <c r="F6" s="28" t="inlineStr">
        <is>
          <t>🔴 رئيسي</t>
        </is>
      </c>
      <c r="G6" s="29" t="n">
        <v>0.11538</v>
      </c>
      <c r="H6" s="27" t="inlineStr"/>
      <c r="I6" s="31" t="inlineStr">
        <is>
          <t>تصاعدي مستمر</t>
        </is>
      </c>
      <c r="J6" s="32" t="inlineStr">
        <is>
          <t>النمو</t>
        </is>
      </c>
      <c r="K6" s="33" t="inlineStr">
        <is>
          <t>زيادة وصول العملاء</t>
        </is>
      </c>
      <c r="L6" s="28" t="inlineStr">
        <is>
          <t>مالي</t>
        </is>
      </c>
      <c r="M6" s="35" t="n"/>
      <c r="N6" s="16">
        <f>IF($H6="","",IF($M6="","",IF($H6=0,IF($M6&lt;=0,1,0),IF($E6="↓",IFERROR($H6/$M6,0),IFERROR($M6/$H6,0)))))</f>
        <v/>
      </c>
      <c r="O6" s="15">
        <f>IF($N6="","—",IF($N6&gt;=1,"✅ محقق",IF($N6&gt;=0.85,"🟡 قريب","🔴 تحت الهدف")))</f>
        <v/>
      </c>
    </row>
    <row r="7" ht="24" customHeight="1">
      <c r="A7" s="15" t="n">
        <v>4</v>
      </c>
      <c r="B7" s="9" t="inlineStr">
        <is>
          <t>النمو</t>
        </is>
      </c>
      <c r="C7" s="9" t="inlineStr">
        <is>
          <t>نسبة نمو إيرادات الشركة (سنوي)</t>
        </is>
      </c>
      <c r="D7" s="27" t="inlineStr">
        <is>
          <t>%</t>
        </is>
      </c>
      <c r="E7" s="27" t="inlineStr">
        <is>
          <t>↑</t>
        </is>
      </c>
      <c r="F7" s="28" t="inlineStr">
        <is>
          <t>🔴 رئيسي</t>
        </is>
      </c>
      <c r="G7" s="29" t="n">
        <v>0.11538</v>
      </c>
      <c r="H7" s="27" t="inlineStr"/>
      <c r="I7" s="31" t="inlineStr">
        <is>
          <t>مستهدف تنفيذي</t>
        </is>
      </c>
      <c r="J7" s="32" t="inlineStr">
        <is>
          <t>النمو</t>
        </is>
      </c>
      <c r="K7" s="33" t="inlineStr">
        <is>
          <t>زيادة وصول العملاء</t>
        </is>
      </c>
      <c r="L7" s="28" t="inlineStr">
        <is>
          <t>مالي</t>
        </is>
      </c>
      <c r="M7" s="36" t="n"/>
      <c r="N7" s="16">
        <f>IF($H7="","",IF($M7="","",IF($H7=0,IF($M7&lt;=0,1,0),IF($E7="↓",IFERROR($H7/$M7,0),IFERROR($M7/$H7,0)))))</f>
        <v/>
      </c>
      <c r="O7" s="15">
        <f>IF($N7="","—",IF($N7&gt;=1,"✅ محقق",IF($N7&gt;=0.85,"🟡 قريب","🔴 تحت الهدف")))</f>
        <v/>
      </c>
    </row>
    <row r="8" ht="24" customHeight="1">
      <c r="A8" s="15" t="n">
        <v>5</v>
      </c>
      <c r="B8" s="9" t="inlineStr">
        <is>
          <t>الابتكار</t>
        </is>
      </c>
      <c r="C8" s="9" t="inlineStr">
        <is>
          <t>نسبة إنجاز مشاريع الخارطة التنفيذية</t>
        </is>
      </c>
      <c r="D8" s="27" t="inlineStr">
        <is>
          <t>%</t>
        </is>
      </c>
      <c r="E8" s="27" t="inlineStr">
        <is>
          <t>↑</t>
        </is>
      </c>
      <c r="F8" s="28" t="inlineStr">
        <is>
          <t>🟠 مهم</t>
        </is>
      </c>
      <c r="G8" s="29" t="n">
        <v>0.07692</v>
      </c>
      <c r="H8" s="29" t="n">
        <v>1</v>
      </c>
      <c r="I8" s="31" t="inlineStr">
        <is>
          <t>100%</t>
        </is>
      </c>
      <c r="J8" s="32" t="inlineStr">
        <is>
          <t>الابتكار</t>
        </is>
      </c>
      <c r="K8" s="33" t="inlineStr">
        <is>
          <t>إطلاق مشاريع جديدة</t>
        </is>
      </c>
      <c r="L8" s="28" t="inlineStr">
        <is>
          <t>العمليات الداخلية</t>
        </is>
      </c>
      <c r="M8" s="36" t="n"/>
      <c r="N8" s="16">
        <f>IF($H8="","",IF($M8="","",IF($H8=0,IF($M8&lt;=0,1,0),IF($E8="↓",IFERROR($H8/$M8,0),IFERROR($M8/$H8,0)))))</f>
        <v/>
      </c>
      <c r="O8" s="15">
        <f>IF($N8="","—",IF($N8&gt;=1,"✅ محقق",IF($N8&gt;=0.85,"🟡 قريب","🔴 تحت الهدف")))</f>
        <v/>
      </c>
    </row>
    <row r="9" ht="24" customHeight="1">
      <c r="A9" s="15" t="n">
        <v>6</v>
      </c>
      <c r="B9" s="9" t="inlineStr">
        <is>
          <t>الابتكار</t>
        </is>
      </c>
      <c r="C9" s="9" t="inlineStr">
        <is>
          <t>نسبة التحول الرقمي على مستوى الشركة</t>
        </is>
      </c>
      <c r="D9" s="27" t="inlineStr">
        <is>
          <t>%</t>
        </is>
      </c>
      <c r="E9" s="27" t="inlineStr">
        <is>
          <t>↑</t>
        </is>
      </c>
      <c r="F9" s="28" t="inlineStr">
        <is>
          <t>🟠 مهم</t>
        </is>
      </c>
      <c r="G9" s="29" t="n">
        <v>0.07692</v>
      </c>
      <c r="H9" s="29" t="n">
        <v>0.9</v>
      </c>
      <c r="I9" s="31" t="inlineStr">
        <is>
          <t>≥ 90%</t>
        </is>
      </c>
      <c r="J9" s="32" t="inlineStr">
        <is>
          <t>الابتكار</t>
        </is>
      </c>
      <c r="K9" s="33" t="inlineStr">
        <is>
          <t>التحول التقني</t>
        </is>
      </c>
      <c r="L9" s="28" t="inlineStr">
        <is>
          <t>التعلّم والنمو</t>
        </is>
      </c>
      <c r="M9" s="36" t="n"/>
      <c r="N9" s="16">
        <f>IF($H9="","",IF($M9="","",IF($H9=0,IF($M9&lt;=0,1,0),IF($E9="↓",IFERROR($H9/$M9,0),IFERROR($M9/$H9,0)))))</f>
        <v/>
      </c>
      <c r="O9" s="15">
        <f>IF($N9="","—",IF($N9&gt;=1,"✅ محقق",IF($N9&gt;=0.85,"🟡 قريب","🔴 تحت الهدف")))</f>
        <v/>
      </c>
    </row>
    <row r="10" ht="24" customHeight="1">
      <c r="A10" s="15" t="n">
        <v>7</v>
      </c>
      <c r="B10" s="9" t="inlineStr">
        <is>
          <t>الاستدامة</t>
        </is>
      </c>
      <c r="C10" s="9" t="inlineStr">
        <is>
          <t>مؤشر رضا العملاء العام (الشركة)</t>
        </is>
      </c>
      <c r="D10" s="27" t="inlineStr">
        <is>
          <t>%</t>
        </is>
      </c>
      <c r="E10" s="27" t="inlineStr">
        <is>
          <t>↑</t>
        </is>
      </c>
      <c r="F10" s="28" t="inlineStr">
        <is>
          <t>🔴 رئيسي</t>
        </is>
      </c>
      <c r="G10" s="29" t="n">
        <v>0.11538</v>
      </c>
      <c r="H10" s="29" t="n">
        <v>0.9</v>
      </c>
      <c r="I10" s="31" t="inlineStr">
        <is>
          <t>≥ 90%</t>
        </is>
      </c>
      <c r="J10" s="32" t="inlineStr">
        <is>
          <t>الاستدامة</t>
        </is>
      </c>
      <c r="K10" s="33" t="inlineStr">
        <is>
          <t>تعزيز تجربة العملاء</t>
        </is>
      </c>
      <c r="L10" s="28" t="inlineStr">
        <is>
          <t>العملاء</t>
        </is>
      </c>
      <c r="M10" s="36" t="n"/>
      <c r="N10" s="16">
        <f>IF($H10="","",IF($M10="","",IF($H10=0,IF($M10&lt;=0,1,0),IF($E10="↓",IFERROR($H10/$M10,0),IFERROR($M10/$H10,0)))))</f>
        <v/>
      </c>
      <c r="O10" s="15">
        <f>IF($N10="","—",IF($N10&gt;=1,"✅ محقق",IF($N10&gt;=0.85,"🟡 قريب","🔴 تحت الهدف")))</f>
        <v/>
      </c>
    </row>
    <row r="11" ht="24" customHeight="1">
      <c r="A11" s="15" t="n">
        <v>8</v>
      </c>
      <c r="B11" s="9" t="inlineStr">
        <is>
          <t>الاستدامة</t>
        </is>
      </c>
      <c r="C11" s="9" t="inlineStr">
        <is>
          <t>مؤشر رضا الموظفين العام (eNPS)</t>
        </is>
      </c>
      <c r="D11" s="27" t="inlineStr">
        <is>
          <t>نقطة</t>
        </is>
      </c>
      <c r="E11" s="27" t="inlineStr">
        <is>
          <t>↑</t>
        </is>
      </c>
      <c r="F11" s="28" t="inlineStr">
        <is>
          <t>🔴 رئيسي</t>
        </is>
      </c>
      <c r="G11" s="29" t="n">
        <v>0.11538</v>
      </c>
      <c r="H11" s="37" t="n">
        <v>30</v>
      </c>
      <c r="I11" s="31" t="inlineStr">
        <is>
          <t>≥ 30</t>
        </is>
      </c>
      <c r="J11" s="32" t="inlineStr">
        <is>
          <t>الاستدامة</t>
        </is>
      </c>
      <c r="K11" s="33" t="inlineStr">
        <is>
          <t>الاستثمار في الموظفين</t>
        </is>
      </c>
      <c r="L11" s="28" t="inlineStr">
        <is>
          <t>التعلّم والنمو</t>
        </is>
      </c>
      <c r="M11" s="38" t="n"/>
      <c r="N11" s="16">
        <f>IF($H11="","",IF($M11="","",IF($H11=0,IF($M11&lt;=0,1,0),IF($E11="↓",IFERROR($H11/$M11,0),IFERROR($M11/$H11,0)))))</f>
        <v/>
      </c>
      <c r="O11" s="15">
        <f>IF($N11="","—",IF($N11&gt;=1,"✅ محقق",IF($N11&gt;=0.85,"🟡 قريب","🔴 تحت الهدف")))</f>
        <v/>
      </c>
    </row>
    <row r="12" ht="24" customHeight="1">
      <c r="A12" s="15" t="n">
        <v>9</v>
      </c>
      <c r="B12" s="9" t="inlineStr">
        <is>
          <t>الاستدامة</t>
        </is>
      </c>
      <c r="C12" s="9" t="inlineStr">
        <is>
          <t>نسبة تحقيق المستهدفات الاستراتيجية العامة</t>
        </is>
      </c>
      <c r="D12" s="27" t="inlineStr">
        <is>
          <t>%</t>
        </is>
      </c>
      <c r="E12" s="27" t="inlineStr">
        <is>
          <t>↑</t>
        </is>
      </c>
      <c r="F12" s="28" t="inlineStr">
        <is>
          <t>🟠 مهم</t>
        </is>
      </c>
      <c r="G12" s="29" t="n">
        <v>0.07692</v>
      </c>
      <c r="H12" s="29" t="n">
        <v>1</v>
      </c>
      <c r="I12" s="31" t="inlineStr">
        <is>
          <t>100%</t>
        </is>
      </c>
      <c r="J12" s="32" t="inlineStr">
        <is>
          <t>الاستدامة</t>
        </is>
      </c>
      <c r="K12" s="33" t="inlineStr">
        <is>
          <t>جودة التشغيل</t>
        </is>
      </c>
      <c r="L12" s="28" t="inlineStr">
        <is>
          <t>العمليات الداخلية</t>
        </is>
      </c>
      <c r="M12" s="36" t="n"/>
      <c r="N12" s="16">
        <f>IF($H12="","",IF($M12="","",IF($H12=0,IF($M12&lt;=0,1,0),IF($E12="↓",IFERROR($H12/$M12,0),IFERROR($M12/$H12,0)))))</f>
        <v/>
      </c>
      <c r="O12" s="15">
        <f>IF($N12="","—",IF($N12&gt;=1,"✅ محقق",IF($N12&gt;=0.85,"🟡 قريب","🔴 تحت الهدف")))</f>
        <v/>
      </c>
    </row>
    <row r="13" ht="24" customHeight="1">
      <c r="A13" s="15" t="n">
        <v>10</v>
      </c>
      <c r="B13" s="9" t="inlineStr">
        <is>
          <t>النمو</t>
        </is>
      </c>
      <c r="C13" s="9" t="inlineStr">
        <is>
          <t>الالتزام بمعايير وزارة الطاقة (تغطية 13 منطقة)</t>
        </is>
      </c>
      <c r="D13" s="27" t="inlineStr">
        <is>
          <t>%</t>
        </is>
      </c>
      <c r="E13" s="27" t="inlineStr">
        <is>
          <t>↑</t>
        </is>
      </c>
      <c r="F13" s="28" t="inlineStr">
        <is>
          <t>🟠 مهم</t>
        </is>
      </c>
      <c r="G13" s="29" t="n">
        <v>0.07692</v>
      </c>
      <c r="H13" s="29" t="n">
        <v>1</v>
      </c>
      <c r="I13" s="31" t="inlineStr">
        <is>
          <t>100%</t>
        </is>
      </c>
      <c r="J13" s="32" t="inlineStr">
        <is>
          <t>النمو</t>
        </is>
      </c>
      <c r="K13" s="33" t="inlineStr">
        <is>
          <t>التوسع في المواقع</t>
        </is>
      </c>
      <c r="L13" s="28" t="inlineStr">
        <is>
          <t>العمليات الداخلية</t>
        </is>
      </c>
      <c r="M13" s="36" t="n"/>
      <c r="N13" s="16">
        <f>IF($H13="","",IF($M13="","",IF($H13=0,IF($M13&lt;=0,1,0),IF($E13="↓",IFERROR($H13/$M13,0),IFERROR($M13/$H13,0)))))</f>
        <v/>
      </c>
      <c r="O13" s="15">
        <f>IF($N13="","—",IF($N13&gt;=1,"✅ محقق",IF($N13&gt;=0.85,"🟡 قريب","🔴 تحت الهدف")))</f>
        <v/>
      </c>
    </row>
  </sheetData>
  <autoFilter ref="A3:O13"/>
  <mergeCells count="2">
    <mergeCell ref="A1:O1"/>
    <mergeCell ref="A2:O2"/>
  </mergeCells>
  <dataValidations count="1">
    <dataValidation sqref="M4 M5 M6 M7 M8 M9 M10 M11 M12 M13" showDropDown="0" showInputMessage="0" showErrorMessage="0" allowBlank="1"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4" t="inlineStr">
        <is>
          <t>إدارة الامتياز التجاري · مؤشرات الأداء 2026</t>
        </is>
      </c>
    </row>
    <row r="2">
      <c r="A2" s="25" t="inlineStr">
        <is>
          <t>🟩 أدخل «المُحقَّق» · نسبة التحقيق والحالة دلّات حقيقية تُحسب تلقائياً</t>
        </is>
      </c>
    </row>
    <row r="3" ht="28" customHeight="1">
      <c r="A3" s="26" t="inlineStr">
        <is>
          <t>#</t>
        </is>
      </c>
      <c r="B3" s="26" t="inlineStr">
        <is>
          <t>المحور</t>
        </is>
      </c>
      <c r="C3" s="26" t="inlineStr">
        <is>
          <t>المؤشر</t>
        </is>
      </c>
      <c r="D3" s="26" t="inlineStr">
        <is>
          <t>الوحدة</t>
        </is>
      </c>
      <c r="E3" s="26" t="inlineStr">
        <is>
          <t>القطبية</t>
        </is>
      </c>
      <c r="F3" s="26" t="inlineStr">
        <is>
          <t>الأولوية</t>
        </is>
      </c>
      <c r="G3" s="26" t="inlineStr">
        <is>
          <t>الوزن %</t>
        </is>
      </c>
      <c r="H3" s="26" t="inlineStr">
        <is>
          <t>المستهدف</t>
        </is>
      </c>
      <c r="I3" s="26" t="inlineStr">
        <is>
          <t>نص المستهدف</t>
        </is>
      </c>
      <c r="J3" s="26" t="inlineStr">
        <is>
          <t>الركيزة</t>
        </is>
      </c>
      <c r="K3" s="26" t="inlineStr">
        <is>
          <t>المشروع</t>
        </is>
      </c>
      <c r="L3" s="26" t="inlineStr">
        <is>
          <t>منظور BSC</t>
        </is>
      </c>
      <c r="M3" s="26" t="inlineStr">
        <is>
          <t>المُحقَّق</t>
        </is>
      </c>
      <c r="N3" s="26" t="inlineStr">
        <is>
          <t>نسبة التحقيق</t>
        </is>
      </c>
      <c r="O3" s="26" t="inlineStr">
        <is>
          <t>الحالة</t>
        </is>
      </c>
    </row>
    <row r="4" ht="24" customHeight="1">
      <c r="A4" s="15" t="n">
        <v>1</v>
      </c>
      <c r="B4" s="9" t="inlineStr">
        <is>
          <t>النمو والتوسع</t>
        </is>
      </c>
      <c r="C4" s="9" t="inlineStr">
        <is>
          <t>عدد محطات الامتياز المشغّلة (تراكمي)</t>
        </is>
      </c>
      <c r="D4" s="27" t="inlineStr">
        <is>
          <t>محطة</t>
        </is>
      </c>
      <c r="E4" s="27" t="inlineStr">
        <is>
          <t>↑</t>
        </is>
      </c>
      <c r="F4" s="28" t="inlineStr">
        <is>
          <t>🔴 رئيسي</t>
        </is>
      </c>
      <c r="G4" s="29" t="n">
        <v>0.03371</v>
      </c>
      <c r="H4" s="30" t="n">
        <v>150</v>
      </c>
      <c r="I4" s="31" t="inlineStr">
        <is>
          <t>150 محطة</t>
        </is>
      </c>
      <c r="J4" s="32" t="inlineStr">
        <is>
          <t>النمو</t>
        </is>
      </c>
      <c r="K4" s="33" t="inlineStr">
        <is>
          <t>التوسع في المواقع</t>
        </is>
      </c>
      <c r="L4" s="28" t="inlineStr">
        <is>
          <t>العمليات الداخلية</t>
        </is>
      </c>
      <c r="M4" s="34" t="n"/>
      <c r="N4" s="16">
        <f>IF($H4="","",IF($M4="","",IF($H4=0,IF($M4&lt;=0,1,0),IF($E4="↓",IFERROR($H4/$M4,0),IFERROR($M4/$H4,0)))))</f>
        <v/>
      </c>
      <c r="O4" s="15">
        <f>IF($N4="","—",IF($N4&gt;=1,"✅ محقق",IF($N4&gt;=0.85,"🟡 قريب","🔴 تحت الهدف")))</f>
        <v/>
      </c>
    </row>
    <row r="5" ht="24" customHeight="1">
      <c r="A5" s="15" t="n">
        <v>2</v>
      </c>
      <c r="B5" s="9" t="inlineStr">
        <is>
          <t>النمو والتوسع</t>
        </is>
      </c>
      <c r="C5" s="9" t="inlineStr">
        <is>
          <t>عدد عقود الامتياز الجديدة الموقّعة</t>
        </is>
      </c>
      <c r="D5" s="27" t="inlineStr">
        <is>
          <t>عقد</t>
        </is>
      </c>
      <c r="E5" s="27" t="inlineStr">
        <is>
          <t>↑</t>
        </is>
      </c>
      <c r="F5" s="28" t="inlineStr">
        <is>
          <t>🔴 رئيسي</t>
        </is>
      </c>
      <c r="G5" s="29" t="n">
        <v>0.03371</v>
      </c>
      <c r="H5" s="30" t="n">
        <v>167</v>
      </c>
      <c r="I5" s="31" t="inlineStr">
        <is>
          <t>167 عقد</t>
        </is>
      </c>
      <c r="J5" s="32" t="inlineStr">
        <is>
          <t>النمو</t>
        </is>
      </c>
      <c r="K5" s="33" t="inlineStr">
        <is>
          <t>الامتياز التجاري</t>
        </is>
      </c>
      <c r="L5" s="28" t="inlineStr">
        <is>
          <t>العمليات الداخلية</t>
        </is>
      </c>
      <c r="M5" s="34" t="n"/>
      <c r="N5" s="16">
        <f>IF($H5="","",IF($M5="","",IF($H5=0,IF($M5&lt;=0,1,0),IF($E5="↓",IFERROR($H5/$M5,0),IFERROR($M5/$H5,0)))))</f>
        <v/>
      </c>
      <c r="O5" s="15">
        <f>IF($N5="","—",IF($N5&gt;=1,"✅ محقق",IF($N5&gt;=0.85,"🟡 قريب","🔴 تحت الهدف")))</f>
        <v/>
      </c>
    </row>
    <row r="6" ht="24" customHeight="1">
      <c r="A6" s="15" t="n">
        <v>3</v>
      </c>
      <c r="B6" s="9" t="inlineStr">
        <is>
          <t>المبيعات والأداء التجاري</t>
        </is>
      </c>
      <c r="C6" s="9" t="inlineStr">
        <is>
          <t>إجمالي مبيعات وقود محطات الامتياز</t>
        </is>
      </c>
      <c r="D6" s="27" t="inlineStr">
        <is>
          <t>لتر</t>
        </is>
      </c>
      <c r="E6" s="27" t="inlineStr">
        <is>
          <t>↑</t>
        </is>
      </c>
      <c r="F6" s="28" t="inlineStr">
        <is>
          <t>🔴 رئيسي</t>
        </is>
      </c>
      <c r="G6" s="29" t="n">
        <v>0.03371</v>
      </c>
      <c r="H6" s="30" t="n">
        <v>718838077</v>
      </c>
      <c r="I6" s="31" t="inlineStr">
        <is>
          <t>718.8M لتر</t>
        </is>
      </c>
      <c r="J6" s="32" t="inlineStr">
        <is>
          <t>النمو</t>
        </is>
      </c>
      <c r="K6" s="33" t="inlineStr">
        <is>
          <t>زيادة وصول العملاء</t>
        </is>
      </c>
      <c r="L6" s="28" t="inlineStr">
        <is>
          <t>مالي</t>
        </is>
      </c>
      <c r="M6" s="34" t="n"/>
      <c r="N6" s="16">
        <f>IF($H6="","",IF($M6="","",IF($H6=0,IF($M6&lt;=0,1,0),IF($E6="↓",IFERROR($H6/$M6,0),IFERROR($M6/$H6,0)))))</f>
        <v/>
      </c>
      <c r="O6" s="15">
        <f>IF($N6="","—",IF($N6&gt;=1,"✅ محقق",IF($N6&gt;=0.85,"🟡 قريب","🔴 تحت الهدف")))</f>
        <v/>
      </c>
    </row>
    <row r="7" ht="24" customHeight="1">
      <c r="A7" s="15" t="n">
        <v>4</v>
      </c>
      <c r="B7" s="9" t="inlineStr">
        <is>
          <t>المبيعات والأداء التجاري</t>
        </is>
      </c>
      <c r="C7" s="9" t="inlineStr">
        <is>
          <t>نسبة المحطات التي حققت مستهدف المبيعات</t>
        </is>
      </c>
      <c r="D7" s="27" t="inlineStr">
        <is>
          <t>%</t>
        </is>
      </c>
      <c r="E7" s="27" t="inlineStr">
        <is>
          <t>↑</t>
        </is>
      </c>
      <c r="F7" s="28" t="inlineStr">
        <is>
          <t>🔴 رئيسي</t>
        </is>
      </c>
      <c r="G7" s="29" t="n">
        <v>0.03371</v>
      </c>
      <c r="H7" s="29" t="n">
        <v>0.9</v>
      </c>
      <c r="I7" s="31" t="inlineStr">
        <is>
          <t>90%+</t>
        </is>
      </c>
      <c r="J7" s="32" t="inlineStr">
        <is>
          <t>النمو</t>
        </is>
      </c>
      <c r="K7" s="33" t="inlineStr">
        <is>
          <t>زيادة وصول العملاء</t>
        </is>
      </c>
      <c r="L7" s="28" t="inlineStr">
        <is>
          <t>مالي</t>
        </is>
      </c>
      <c r="M7" s="36" t="n"/>
      <c r="N7" s="16">
        <f>IF($H7="","",IF($M7="","",IF($H7=0,IF($M7&lt;=0,1,0),IF($E7="↓",IFERROR($H7/$M7,0),IFERROR($M7/$H7,0)))))</f>
        <v/>
      </c>
      <c r="O7" s="15">
        <f>IF($N7="","—",IF($N7&gt;=1,"✅ محقق",IF($N7&gt;=0.85,"🟡 قريب","🔴 تحت الهدف")))</f>
        <v/>
      </c>
    </row>
    <row r="8" ht="24" customHeight="1">
      <c r="A8" s="15" t="n">
        <v>5</v>
      </c>
      <c r="B8" s="9" t="inlineStr">
        <is>
          <t>المبيعات والأداء التجاري</t>
        </is>
      </c>
      <c r="C8" s="9" t="inlineStr">
        <is>
          <t>متوسط مبيعات المحطة الواحدة شهرياً</t>
        </is>
      </c>
      <c r="D8" s="27" t="inlineStr">
        <is>
          <t>لتر/محطة</t>
        </is>
      </c>
      <c r="E8" s="27" t="inlineStr">
        <is>
          <t>↑</t>
        </is>
      </c>
      <c r="F8" s="28" t="inlineStr">
        <is>
          <t>🔴 رئيسي</t>
        </is>
      </c>
      <c r="G8" s="29" t="n">
        <v>0.03371</v>
      </c>
      <c r="H8" s="27" t="inlineStr"/>
      <c r="I8" s="31" t="inlineStr">
        <is>
          <t>+10% نمو شهري</t>
        </is>
      </c>
      <c r="J8" s="32" t="inlineStr">
        <is>
          <t>النمو</t>
        </is>
      </c>
      <c r="K8" s="33" t="inlineStr">
        <is>
          <t>زيادة وصول العملاء</t>
        </is>
      </c>
      <c r="L8" s="28" t="inlineStr">
        <is>
          <t>مالي</t>
        </is>
      </c>
      <c r="M8" s="34" t="n"/>
      <c r="N8" s="16">
        <f>IF($H8="","",IF($M8="","",IF($H8=0,IF($M8&lt;=0,1,0),IF($E8="↓",IFERROR($H8/$M8,0),IFERROR($M8/$H8,0)))))</f>
        <v/>
      </c>
      <c r="O8" s="15">
        <f>IF($N8="","—",IF($N8&gt;=1,"✅ محقق",IF($N8&gt;=0.85,"🟡 قريب","🔴 تحت الهدف")))</f>
        <v/>
      </c>
    </row>
    <row r="9" ht="24" customHeight="1">
      <c r="A9" s="15" t="n">
        <v>6</v>
      </c>
      <c r="B9" s="9" t="inlineStr">
        <is>
          <t>المبيعات والأداء التجاري</t>
        </is>
      </c>
      <c r="C9" s="9" t="inlineStr">
        <is>
          <t>نسبة تأجير وحدات الامتياز</t>
        </is>
      </c>
      <c r="D9" s="27" t="inlineStr">
        <is>
          <t>%</t>
        </is>
      </c>
      <c r="E9" s="27" t="inlineStr">
        <is>
          <t>↑</t>
        </is>
      </c>
      <c r="F9" s="28" t="inlineStr">
        <is>
          <t>🟠 مهم</t>
        </is>
      </c>
      <c r="G9" s="29" t="n">
        <v>0.02247</v>
      </c>
      <c r="H9" s="29" t="n">
        <v>0.7</v>
      </c>
      <c r="I9" s="31" t="inlineStr">
        <is>
          <t>70%</t>
        </is>
      </c>
      <c r="J9" s="32" t="inlineStr">
        <is>
          <t>الاستدامة</t>
        </is>
      </c>
      <c r="K9" s="33" t="inlineStr">
        <is>
          <t>منظومة التأجير</t>
        </is>
      </c>
      <c r="L9" s="28" t="inlineStr">
        <is>
          <t>العمليات الداخلية</t>
        </is>
      </c>
      <c r="M9" s="36" t="n"/>
      <c r="N9" s="16">
        <f>IF($H9="","",IF($M9="","",IF($H9=0,IF($M9&lt;=0,1,0),IF($E9="↓",IFERROR($H9/$M9,0),IFERROR($M9/$H9,0)))))</f>
        <v/>
      </c>
      <c r="O9" s="15">
        <f>IF($N9="","—",IF($N9&gt;=1,"✅ محقق",IF($N9&gt;=0.85,"🟡 قريب","🔴 تحت الهدف")))</f>
        <v/>
      </c>
    </row>
    <row r="10" ht="24" customHeight="1">
      <c r="A10" s="15" t="n">
        <v>7</v>
      </c>
      <c r="B10" s="9" t="inlineStr">
        <is>
          <t>الأداء المالي</t>
        </is>
      </c>
      <c r="C10" s="9" t="inlineStr">
        <is>
          <t>إجمالي إيرادات إدارة الامتياز</t>
        </is>
      </c>
      <c r="D10" s="27" t="inlineStr">
        <is>
          <t>ر.س</t>
        </is>
      </c>
      <c r="E10" s="27" t="inlineStr">
        <is>
          <t>↑</t>
        </is>
      </c>
      <c r="F10" s="28" t="inlineStr">
        <is>
          <t>🔴 رئيسي</t>
        </is>
      </c>
      <c r="G10" s="29" t="n">
        <v>0.03371</v>
      </c>
      <c r="H10" s="27" t="inlineStr"/>
      <c r="I10" s="31" t="inlineStr">
        <is>
          <t>تصاعدي مستمر</t>
        </is>
      </c>
      <c r="J10" s="32" t="inlineStr">
        <is>
          <t>النمو</t>
        </is>
      </c>
      <c r="K10" s="33" t="inlineStr">
        <is>
          <t>الامتياز التجاري</t>
        </is>
      </c>
      <c r="L10" s="28" t="inlineStr">
        <is>
          <t>مالي</t>
        </is>
      </c>
      <c r="M10" s="35" t="n"/>
      <c r="N10" s="16">
        <f>IF($H10="","",IF($M10="","",IF($H10=0,IF($M10&lt;=0,1,0),IF($E10="↓",IFERROR($H10/$M10,0),IFERROR($M10/$H10,0)))))</f>
        <v/>
      </c>
      <c r="O10" s="15">
        <f>IF($N10="","—",IF($N10&gt;=1,"✅ محقق",IF($N10&gt;=0.85,"🟡 قريب","🔴 تحت الهدف")))</f>
        <v/>
      </c>
    </row>
    <row r="11" ht="24" customHeight="1">
      <c r="A11" s="15" t="n">
        <v>8</v>
      </c>
      <c r="B11" s="9" t="inlineStr">
        <is>
          <t>الأداء المالي</t>
        </is>
      </c>
      <c r="C11" s="9" t="inlineStr">
        <is>
          <t>رفع هامش الربحية للامتياز</t>
        </is>
      </c>
      <c r="D11" s="27" t="inlineStr">
        <is>
          <t>هللة/لتر</t>
        </is>
      </c>
      <c r="E11" s="27" t="inlineStr">
        <is>
          <t>↑</t>
        </is>
      </c>
      <c r="F11" s="28" t="inlineStr">
        <is>
          <t>🟠 مهم</t>
        </is>
      </c>
      <c r="G11" s="29" t="n">
        <v>0.02247</v>
      </c>
      <c r="H11" s="37" t="n">
        <v>1.8</v>
      </c>
      <c r="I11" s="31" t="inlineStr">
        <is>
          <t>+1.8 هللة/لتر</t>
        </is>
      </c>
      <c r="J11" s="32" t="inlineStr">
        <is>
          <t>النمو</t>
        </is>
      </c>
      <c r="K11" s="33" t="inlineStr">
        <is>
          <t>الامتياز التجاري</t>
        </is>
      </c>
      <c r="L11" s="28" t="inlineStr">
        <is>
          <t>مالي</t>
        </is>
      </c>
      <c r="M11" s="38" t="n"/>
      <c r="N11" s="16">
        <f>IF($H11="","",IF($M11="","",IF($H11=0,IF($M11&lt;=0,1,0),IF($E11="↓",IFERROR($H11/$M11,0),IFERROR($M11/$H11,0)))))</f>
        <v/>
      </c>
      <c r="O11" s="15">
        <f>IF($N11="","—",IF($N11&gt;=1,"✅ محقق",IF($N11&gt;=0.85,"🟡 قريب","🔴 تحت الهدف")))</f>
        <v/>
      </c>
    </row>
    <row r="12" ht="24" customHeight="1">
      <c r="A12" s="15" t="n">
        <v>9</v>
      </c>
      <c r="B12" s="9" t="inlineStr">
        <is>
          <t>الأداء المالي</t>
        </is>
      </c>
      <c r="C12" s="9" t="inlineStr">
        <is>
          <t>نسبة التحصيل المالي من شركاء الامتياز</t>
        </is>
      </c>
      <c r="D12" s="27" t="inlineStr">
        <is>
          <t>%</t>
        </is>
      </c>
      <c r="E12" s="27" t="inlineStr">
        <is>
          <t>↑</t>
        </is>
      </c>
      <c r="F12" s="28" t="inlineStr">
        <is>
          <t>🔴 رئيسي</t>
        </is>
      </c>
      <c r="G12" s="29" t="n">
        <v>0.03371</v>
      </c>
      <c r="H12" s="29" t="n">
        <v>0.95</v>
      </c>
      <c r="I12" s="31" t="inlineStr">
        <is>
          <t>95%+</t>
        </is>
      </c>
      <c r="J12" s="32" t="inlineStr">
        <is>
          <t>الاستدامة</t>
        </is>
      </c>
      <c r="K12" s="33" t="inlineStr">
        <is>
          <t>جودة التشغيل</t>
        </is>
      </c>
      <c r="L12" s="28" t="inlineStr">
        <is>
          <t>مالي</t>
        </is>
      </c>
      <c r="M12" s="36" t="n"/>
      <c r="N12" s="16">
        <f>IF($H12="","",IF($M12="","",IF($H12=0,IF($M12&lt;=0,1,0),IF($E12="↓",IFERROR($H12/$M12,0),IFERROR($M12/$H12,0)))))</f>
        <v/>
      </c>
      <c r="O12" s="15">
        <f>IF($N12="","—",IF($N12&gt;=1,"✅ محقق",IF($N12&gt;=0.85,"🟡 قريب","🔴 تحت الهدف")))</f>
        <v/>
      </c>
    </row>
    <row r="13" ht="24" customHeight="1">
      <c r="A13" s="15" t="n">
        <v>10</v>
      </c>
      <c r="B13" s="9" t="inlineStr">
        <is>
          <t>الأداء المالي</t>
        </is>
      </c>
      <c r="C13" s="9" t="inlineStr">
        <is>
          <t>متوسط أيام التحصيل (DSO)</t>
        </is>
      </c>
      <c r="D13" s="27" t="inlineStr">
        <is>
          <t>يوم</t>
        </is>
      </c>
      <c r="E13" s="27" t="inlineStr">
        <is>
          <t>↓</t>
        </is>
      </c>
      <c r="F13" s="28" t="inlineStr">
        <is>
          <t>🔴 رئيسي</t>
        </is>
      </c>
      <c r="G13" s="29" t="n">
        <v>0.03371</v>
      </c>
      <c r="H13" s="37" t="n">
        <v>30</v>
      </c>
      <c r="I13" s="31" t="inlineStr">
        <is>
          <t>≤ 30 يوم</t>
        </is>
      </c>
      <c r="J13" s="32" t="inlineStr">
        <is>
          <t>الاستدامة</t>
        </is>
      </c>
      <c r="K13" s="33" t="inlineStr">
        <is>
          <t>جودة التشغيل</t>
        </is>
      </c>
      <c r="L13" s="28" t="inlineStr">
        <is>
          <t>مالي</t>
        </is>
      </c>
      <c r="M13" s="38" t="n"/>
      <c r="N13" s="16">
        <f>IF($H13="","",IF($M13="","",IF($H13=0,IF($M13&lt;=0,1,0),IF($E13="↓",IFERROR($H13/$M13,0),IFERROR($M13/$H13,0)))))</f>
        <v/>
      </c>
      <c r="O13" s="15">
        <f>IF($N13="","—",IF($N13&gt;=1,"✅ محقق",IF($N13&gt;=0.85,"🟡 قريب","🔴 تحت الهدف")))</f>
        <v/>
      </c>
    </row>
    <row r="14" ht="24" customHeight="1">
      <c r="A14" s="15" t="n">
        <v>11</v>
      </c>
      <c r="B14" s="9" t="inlineStr">
        <is>
          <t>الأداء المالي</t>
        </is>
      </c>
      <c r="C14" s="9" t="inlineStr">
        <is>
          <t>إجمالي المستحقات المتأخرة (+30 يوم)</t>
        </is>
      </c>
      <c r="D14" s="27" t="inlineStr">
        <is>
          <t>ر.س</t>
        </is>
      </c>
      <c r="E14" s="27" t="inlineStr">
        <is>
          <t>↓</t>
        </is>
      </c>
      <c r="F14" s="28" t="inlineStr">
        <is>
          <t>🟠 مهم</t>
        </is>
      </c>
      <c r="G14" s="29" t="n">
        <v>0.02247</v>
      </c>
      <c r="H14" s="27" t="inlineStr"/>
      <c r="I14" s="31" t="inlineStr">
        <is>
          <t>تراجع مستمر</t>
        </is>
      </c>
      <c r="J14" s="32" t="inlineStr">
        <is>
          <t>الاستدامة</t>
        </is>
      </c>
      <c r="K14" s="33" t="inlineStr">
        <is>
          <t>جودة التشغيل</t>
        </is>
      </c>
      <c r="L14" s="28" t="inlineStr">
        <is>
          <t>مالي</t>
        </is>
      </c>
      <c r="M14" s="35" t="n"/>
      <c r="N14" s="16">
        <f>IF($H14="","",IF($M14="","",IF($H14=0,IF($M14&lt;=0,1,0),IF($E14="↓",IFERROR($H14/$M14,0),IFERROR($M14/$H14,0)))))</f>
        <v/>
      </c>
      <c r="O14" s="15">
        <f>IF($N14="","—",IF($N14&gt;=1,"✅ محقق",IF($N14&gt;=0.85,"🟡 قريب","🔴 تحت الهدف")))</f>
        <v/>
      </c>
    </row>
    <row r="15" ht="24" customHeight="1">
      <c r="A15" s="15" t="n">
        <v>12</v>
      </c>
      <c r="B15" s="9" t="inlineStr">
        <is>
          <t>الأداء المالي</t>
        </is>
      </c>
      <c r="C15" s="9" t="inlineStr">
        <is>
          <t>نسبة الشركاء الملتزمين بمواعيد السداد</t>
        </is>
      </c>
      <c r="D15" s="27" t="inlineStr">
        <is>
          <t>%</t>
        </is>
      </c>
      <c r="E15" s="27" t="inlineStr">
        <is>
          <t>↑</t>
        </is>
      </c>
      <c r="F15" s="28" t="inlineStr">
        <is>
          <t>🟠 مهم</t>
        </is>
      </c>
      <c r="G15" s="29" t="n">
        <v>0.02247</v>
      </c>
      <c r="H15" s="29" t="n">
        <v>0.9</v>
      </c>
      <c r="I15" s="31" t="inlineStr">
        <is>
          <t>90%+</t>
        </is>
      </c>
      <c r="J15" s="32" t="inlineStr">
        <is>
          <t>الاستدامة</t>
        </is>
      </c>
      <c r="K15" s="33" t="inlineStr">
        <is>
          <t>جودة التشغيل</t>
        </is>
      </c>
      <c r="L15" s="28" t="inlineStr">
        <is>
          <t>مالي</t>
        </is>
      </c>
      <c r="M15" s="36" t="n"/>
      <c r="N15" s="16">
        <f>IF($H15="","",IF($M15="","",IF($H15=0,IF($M15&lt;=0,1,0),IF($E15="↓",IFERROR($H15/$M15,0),IFERROR($M15/$H15,0)))))</f>
        <v/>
      </c>
      <c r="O15" s="15">
        <f>IF($N15="","—",IF($N15&gt;=1,"✅ محقق",IF($N15&gt;=0.85,"🟡 قريب","🔴 تحت الهدف")))</f>
        <v/>
      </c>
    </row>
    <row r="16" ht="24" customHeight="1">
      <c r="A16" s="15" t="n">
        <v>13</v>
      </c>
      <c r="B16" s="9" t="inlineStr">
        <is>
          <t>الأداء المالي</t>
        </is>
      </c>
      <c r="C16" s="9" t="inlineStr">
        <is>
          <t>معدل دوران رأس المال (أيام الدورة)</t>
        </is>
      </c>
      <c r="D16" s="27" t="inlineStr">
        <is>
          <t>يوم</t>
        </is>
      </c>
      <c r="E16" s="27" t="inlineStr">
        <is>
          <t>↓</t>
        </is>
      </c>
      <c r="F16" s="28" t="inlineStr">
        <is>
          <t>🟠 مهم</t>
        </is>
      </c>
      <c r="G16" s="29" t="n">
        <v>0.02247</v>
      </c>
      <c r="H16" s="37" t="n">
        <v>5</v>
      </c>
      <c r="I16" s="31" t="inlineStr">
        <is>
          <t>≤ 5 أيام</t>
        </is>
      </c>
      <c r="J16" s="32" t="inlineStr">
        <is>
          <t>الاستدامة</t>
        </is>
      </c>
      <c r="K16" s="33" t="inlineStr">
        <is>
          <t>جودة التشغيل</t>
        </is>
      </c>
      <c r="L16" s="28" t="inlineStr">
        <is>
          <t>مالي</t>
        </is>
      </c>
      <c r="M16" s="38" t="n"/>
      <c r="N16" s="16">
        <f>IF($H16="","",IF($M16="","",IF($H16=0,IF($M16&lt;=0,1,0),IF($E16="↓",IFERROR($H16/$M16,0),IFERROR($M16/$H16,0)))))</f>
        <v/>
      </c>
      <c r="O16" s="15">
        <f>IF($N16="","—",IF($N16&gt;=1,"✅ محقق",IF($N16&gt;=0.85,"🟡 قريب","🔴 تحت الهدف")))</f>
        <v/>
      </c>
    </row>
    <row r="17" ht="24" customHeight="1">
      <c r="A17" s="15" t="n">
        <v>14</v>
      </c>
      <c r="B17" s="9" t="inlineStr">
        <is>
          <t>التشغيل والجودة</t>
        </is>
      </c>
      <c r="C17" s="9" t="inlineStr">
        <is>
          <t>نسبة جاهزية محطات الامتياز (صفر انقطاع)</t>
        </is>
      </c>
      <c r="D17" s="27" t="inlineStr">
        <is>
          <t>%</t>
        </is>
      </c>
      <c r="E17" s="27" t="inlineStr">
        <is>
          <t>↑</t>
        </is>
      </c>
      <c r="F17" s="28" t="inlineStr">
        <is>
          <t>🔴 رئيسي</t>
        </is>
      </c>
      <c r="G17" s="29" t="n">
        <v>0.03371</v>
      </c>
      <c r="H17" s="29" t="n">
        <v>0.99</v>
      </c>
      <c r="I17" s="31" t="inlineStr">
        <is>
          <t>99%+</t>
        </is>
      </c>
      <c r="J17" s="32" t="inlineStr">
        <is>
          <t>الاستدامة</t>
        </is>
      </c>
      <c r="K17" s="33" t="inlineStr">
        <is>
          <t>جودة التشغيل</t>
        </is>
      </c>
      <c r="L17" s="28" t="inlineStr">
        <is>
          <t>العمليات الداخلية</t>
        </is>
      </c>
      <c r="M17" s="36" t="n"/>
      <c r="N17" s="16">
        <f>IF($H17="","",IF($M17="","",IF($H17=0,IF($M17&lt;=0,1,0),IF($E17="↓",IFERROR($H17/$M17,0),IFERROR($M17/$H17,0)))))</f>
        <v/>
      </c>
      <c r="O17" s="15">
        <f>IF($N17="","—",IF($N17&gt;=1,"✅ محقق",IF($N17&gt;=0.85,"🟡 قريب","🔴 تحت الهدف")))</f>
        <v/>
      </c>
    </row>
    <row r="18" ht="24" customHeight="1">
      <c r="A18" s="15" t="n">
        <v>15</v>
      </c>
      <c r="B18" s="9" t="inlineStr">
        <is>
          <t>التشغيل والجودة</t>
        </is>
      </c>
      <c r="C18" s="9" t="inlineStr">
        <is>
          <t>عدد حالات انقطاع الوقود الموثّقة</t>
        </is>
      </c>
      <c r="D18" s="27" t="inlineStr">
        <is>
          <t>حالة</t>
        </is>
      </c>
      <c r="E18" s="27" t="inlineStr">
        <is>
          <t>↓</t>
        </is>
      </c>
      <c r="F18" s="28" t="inlineStr">
        <is>
          <t>🟠 مهم</t>
        </is>
      </c>
      <c r="G18" s="29" t="n">
        <v>0.02247</v>
      </c>
      <c r="H18" s="30" t="n">
        <v>0</v>
      </c>
      <c r="I18" s="31" t="inlineStr">
        <is>
          <t>0 حالة</t>
        </is>
      </c>
      <c r="J18" s="32" t="inlineStr">
        <is>
          <t>الاستدامة</t>
        </is>
      </c>
      <c r="K18" s="33" t="inlineStr">
        <is>
          <t>جودة التشغيل</t>
        </is>
      </c>
      <c r="L18" s="28" t="inlineStr">
        <is>
          <t>العمليات الداخلية</t>
        </is>
      </c>
      <c r="M18" s="34" t="n"/>
      <c r="N18" s="16">
        <f>IF($H18="","",IF($M18="","",IF($H18=0,IF($M18&lt;=0,1,0),IF($E18="↓",IFERROR($H18/$M18,0),IFERROR($M18/$H18,0)))))</f>
        <v/>
      </c>
      <c r="O18" s="15">
        <f>IF($N18="","—",IF($N18&gt;=1,"✅ محقق",IF($N18&gt;=0.85,"🟡 قريب","🔴 تحت الهدف")))</f>
        <v/>
      </c>
    </row>
    <row r="19" ht="24" customHeight="1">
      <c r="A19" s="15" t="n">
        <v>16</v>
      </c>
      <c r="B19" s="9" t="inlineStr">
        <is>
          <t>التشغيل والجودة</t>
        </is>
      </c>
      <c r="C19" s="9" t="inlineStr">
        <is>
          <t>نسبة إغلاق ملاحظات الجودة الميدانية</t>
        </is>
      </c>
      <c r="D19" s="27" t="inlineStr">
        <is>
          <t>%</t>
        </is>
      </c>
      <c r="E19" s="27" t="inlineStr">
        <is>
          <t>↑</t>
        </is>
      </c>
      <c r="F19" s="28" t="inlineStr">
        <is>
          <t>🟠 مهم</t>
        </is>
      </c>
      <c r="G19" s="29" t="n">
        <v>0.02247</v>
      </c>
      <c r="H19" s="29" t="n">
        <v>0.95</v>
      </c>
      <c r="I19" s="31" t="inlineStr">
        <is>
          <t>95%+</t>
        </is>
      </c>
      <c r="J19" s="32" t="inlineStr">
        <is>
          <t>الاستدامة</t>
        </is>
      </c>
      <c r="K19" s="33" t="inlineStr">
        <is>
          <t>جودة التشغيل</t>
        </is>
      </c>
      <c r="L19" s="28" t="inlineStr">
        <is>
          <t>العمليات الداخلية</t>
        </is>
      </c>
      <c r="M19" s="36" t="n"/>
      <c r="N19" s="16">
        <f>IF($H19="","",IF($M19="","",IF($H19=0,IF($M19&lt;=0,1,0),IF($E19="↓",IFERROR($H19/$M19,0),IFERROR($M19/$H19,0)))))</f>
        <v/>
      </c>
      <c r="O19" s="15">
        <f>IF($N19="","—",IF($N19&gt;=1,"✅ محقق",IF($N19&gt;=0.85,"🟡 قريب","🔴 تحت الهدف")))</f>
        <v/>
      </c>
    </row>
    <row r="20" ht="24" customHeight="1">
      <c r="A20" s="15" t="n">
        <v>17</v>
      </c>
      <c r="B20" s="9" t="inlineStr">
        <is>
          <t>التشغيل والجودة</t>
        </is>
      </c>
      <c r="C20" s="9" t="inlineStr">
        <is>
          <t>متوسط درجة تقييم جودة المحطة (قائمة التحقق)</t>
        </is>
      </c>
      <c r="D20" s="27" t="inlineStr">
        <is>
          <t>درجة/100</t>
        </is>
      </c>
      <c r="E20" s="27" t="inlineStr">
        <is>
          <t>↑</t>
        </is>
      </c>
      <c r="F20" s="28" t="inlineStr">
        <is>
          <t>🔴 رئيسي</t>
        </is>
      </c>
      <c r="G20" s="29" t="n">
        <v>0.03371</v>
      </c>
      <c r="H20" s="37" t="n">
        <v>85</v>
      </c>
      <c r="I20" s="31" t="inlineStr">
        <is>
          <t>85+</t>
        </is>
      </c>
      <c r="J20" s="32" t="inlineStr">
        <is>
          <t>الاستدامة</t>
        </is>
      </c>
      <c r="K20" s="33" t="inlineStr">
        <is>
          <t>جودة التشغيل</t>
        </is>
      </c>
      <c r="L20" s="28" t="inlineStr">
        <is>
          <t>العمليات الداخلية</t>
        </is>
      </c>
      <c r="M20" s="38" t="n"/>
      <c r="N20" s="16">
        <f>IF($H20="","",IF($M20="","",IF($H20=0,IF($M20&lt;=0,1,0),IF($E20="↓",IFERROR($H20/$M20,0),IFERROR($M20/$H20,0)))))</f>
        <v/>
      </c>
      <c r="O20" s="15">
        <f>IF($N20="","—",IF($N20&gt;=1,"✅ محقق",IF($N20&gt;=0.85,"🟡 قريب","🔴 تحت الهدف")))</f>
        <v/>
      </c>
    </row>
    <row r="21" ht="24" customHeight="1">
      <c r="A21" s="15" t="n">
        <v>18</v>
      </c>
      <c r="B21" s="9" t="inlineStr">
        <is>
          <t>التشغيل والجودة</t>
        </is>
      </c>
      <c r="C21" s="9" t="inlineStr">
        <is>
          <t>نسبة تنفيذ الزيارات الميدانية المجدولة</t>
        </is>
      </c>
      <c r="D21" s="27" t="inlineStr">
        <is>
          <t>%</t>
        </is>
      </c>
      <c r="E21" s="27" t="inlineStr">
        <is>
          <t>↑</t>
        </is>
      </c>
      <c r="F21" s="28" t="inlineStr">
        <is>
          <t>🟠 مهم</t>
        </is>
      </c>
      <c r="G21" s="29" t="n">
        <v>0.02247</v>
      </c>
      <c r="H21" s="29" t="n">
        <v>1</v>
      </c>
      <c r="I21" s="31" t="inlineStr">
        <is>
          <t>100%</t>
        </is>
      </c>
      <c r="J21" s="32" t="inlineStr">
        <is>
          <t>الاستدامة</t>
        </is>
      </c>
      <c r="K21" s="33" t="inlineStr">
        <is>
          <t>جودة التشغيل</t>
        </is>
      </c>
      <c r="L21" s="28" t="inlineStr">
        <is>
          <t>العمليات الداخلية</t>
        </is>
      </c>
      <c r="M21" s="36" t="n"/>
      <c r="N21" s="16">
        <f>IF($H21="","",IF($M21="","",IF($H21=0,IF($M21&lt;=0,1,0),IF($E21="↓",IFERROR($H21/$M21,0),IFERROR($M21/$H21,0)))))</f>
        <v/>
      </c>
      <c r="O21" s="15">
        <f>IF($N21="","—",IF($N21&gt;=1,"✅ محقق",IF($N21&gt;=0.85,"🟡 قريب","🔴 تحت الهدف")))</f>
        <v/>
      </c>
    </row>
    <row r="22" ht="24" customHeight="1">
      <c r="A22" s="15" t="n">
        <v>19</v>
      </c>
      <c r="B22" s="9" t="inlineStr">
        <is>
          <t>التشغيل والجودة</t>
        </is>
      </c>
      <c r="C22" s="9" t="inlineStr">
        <is>
          <t>نسبة المحطات المستوفية لمعايير السلامة</t>
        </is>
      </c>
      <c r="D22" s="27" t="inlineStr">
        <is>
          <t>%</t>
        </is>
      </c>
      <c r="E22" s="27" t="inlineStr">
        <is>
          <t>↑</t>
        </is>
      </c>
      <c r="F22" s="28" t="inlineStr">
        <is>
          <t>🔴 رئيسي</t>
        </is>
      </c>
      <c r="G22" s="29" t="n">
        <v>0.03371</v>
      </c>
      <c r="H22" s="29" t="n">
        <v>1</v>
      </c>
      <c r="I22" s="31" t="inlineStr">
        <is>
          <t>100%</t>
        </is>
      </c>
      <c r="J22" s="32" t="inlineStr">
        <is>
          <t>الاستدامة</t>
        </is>
      </c>
      <c r="K22" s="33" t="inlineStr">
        <is>
          <t>جودة التشغيل</t>
        </is>
      </c>
      <c r="L22" s="28" t="inlineStr">
        <is>
          <t>العمليات الداخلية</t>
        </is>
      </c>
      <c r="M22" s="36" t="n"/>
      <c r="N22" s="16">
        <f>IF($H22="","",IF($M22="","",IF($H22=0,IF($M22&lt;=0,1,0),IF($E22="↓",IFERROR($H22/$M22,0),IFERROR($M22/$H22,0)))))</f>
        <v/>
      </c>
      <c r="O22" s="15">
        <f>IF($N22="","—",IF($N22&gt;=1,"✅ محقق",IF($N22&gt;=0.85,"🟡 قريب","🔴 تحت الهدف")))</f>
        <v/>
      </c>
    </row>
    <row r="23" ht="24" customHeight="1">
      <c r="A23" s="15" t="n">
        <v>20</v>
      </c>
      <c r="B23" s="9" t="inlineStr">
        <is>
          <t>التشغيل والجودة</t>
        </is>
      </c>
      <c r="C23" s="9" t="inlineStr">
        <is>
          <t>متوسط وقت معالجة البلاغات التشغيلية</t>
        </is>
      </c>
      <c r="D23" s="27" t="inlineStr">
        <is>
          <t>ساعة</t>
        </is>
      </c>
      <c r="E23" s="27" t="inlineStr">
        <is>
          <t>↓</t>
        </is>
      </c>
      <c r="F23" s="28" t="inlineStr">
        <is>
          <t>🟠 مهم</t>
        </is>
      </c>
      <c r="G23" s="29" t="n">
        <v>0.02247</v>
      </c>
      <c r="H23" s="37" t="n">
        <v>24</v>
      </c>
      <c r="I23" s="31" t="inlineStr">
        <is>
          <t>≤ 24 ساعة</t>
        </is>
      </c>
      <c r="J23" s="32" t="inlineStr">
        <is>
          <t>الاستدامة</t>
        </is>
      </c>
      <c r="K23" s="33" t="inlineStr">
        <is>
          <t>جودة التشغيل</t>
        </is>
      </c>
      <c r="L23" s="28" t="inlineStr">
        <is>
          <t>العمليات الداخلية</t>
        </is>
      </c>
      <c r="M23" s="38" t="n"/>
      <c r="N23" s="16">
        <f>IF($H23="","",IF($M23="","",IF($H23=0,IF($M23&lt;=0,1,0),IF($E23="↓",IFERROR($H23/$M23,0),IFERROR($M23/$H23,0)))))</f>
        <v/>
      </c>
      <c r="O23" s="15">
        <f>IF($N23="","—",IF($N23&gt;=1,"✅ محقق",IF($N23&gt;=0.85,"🟡 قريب","🔴 تحت الهدف")))</f>
        <v/>
      </c>
    </row>
    <row r="24" ht="24" customHeight="1">
      <c r="A24" s="15" t="n">
        <v>21</v>
      </c>
      <c r="B24" s="9" t="inlineStr">
        <is>
          <t>التشغيل والجودة</t>
        </is>
      </c>
      <c r="C24" s="9" t="inlineStr">
        <is>
          <t>نسبة أتمتة محطات الامتياز</t>
        </is>
      </c>
      <c r="D24" s="27" t="inlineStr">
        <is>
          <t>%</t>
        </is>
      </c>
      <c r="E24" s="27" t="inlineStr">
        <is>
          <t>↑</t>
        </is>
      </c>
      <c r="F24" s="28" t="inlineStr">
        <is>
          <t>🔴 رئيسي</t>
        </is>
      </c>
      <c r="G24" s="29" t="n">
        <v>0.03371</v>
      </c>
      <c r="H24" s="29" t="n">
        <v>0.9</v>
      </c>
      <c r="I24" s="31" t="inlineStr">
        <is>
          <t>90%</t>
        </is>
      </c>
      <c r="J24" s="32" t="inlineStr">
        <is>
          <t>الابتكار</t>
        </is>
      </c>
      <c r="K24" s="33" t="inlineStr">
        <is>
          <t>التحول التقني</t>
        </is>
      </c>
      <c r="L24" s="28" t="inlineStr">
        <is>
          <t>التعلّم والنمو</t>
        </is>
      </c>
      <c r="M24" s="36" t="n"/>
      <c r="N24" s="16">
        <f>IF($H24="","",IF($M24="","",IF($H24=0,IF($M24&lt;=0,1,0),IF($E24="↓",IFERROR($H24/$M24,0),IFERROR($M24/$H24,0)))))</f>
        <v/>
      </c>
      <c r="O24" s="15">
        <f>IF($N24="","—",IF($N24&gt;=1,"✅ محقق",IF($N24&gt;=0.85,"🟡 قريب","🔴 تحت الهدف")))</f>
        <v/>
      </c>
    </row>
    <row r="25" ht="24" customHeight="1">
      <c r="A25" s="15" t="n">
        <v>22</v>
      </c>
      <c r="B25" s="9" t="inlineStr">
        <is>
          <t>التشغيل والجودة</t>
        </is>
      </c>
      <c r="C25" s="9" t="inlineStr">
        <is>
          <t>نسبة تطبيق المعيار الشامل داخل المحطات</t>
        </is>
      </c>
      <c r="D25" s="27" t="inlineStr">
        <is>
          <t>%</t>
        </is>
      </c>
      <c r="E25" s="27" t="inlineStr">
        <is>
          <t>↑</t>
        </is>
      </c>
      <c r="F25" s="28" t="inlineStr">
        <is>
          <t>🟡 متابعة</t>
        </is>
      </c>
      <c r="G25" s="29" t="n">
        <v>0.01124</v>
      </c>
      <c r="H25" s="29" t="n">
        <v>0.3</v>
      </c>
      <c r="I25" s="31" t="inlineStr">
        <is>
          <t>30%</t>
        </is>
      </c>
      <c r="J25" s="32" t="inlineStr">
        <is>
          <t>الابتكار</t>
        </is>
      </c>
      <c r="K25" s="33" t="inlineStr">
        <is>
          <t>التحول التقني</t>
        </is>
      </c>
      <c r="L25" s="28" t="inlineStr">
        <is>
          <t>العمليات الداخلية</t>
        </is>
      </c>
      <c r="M25" s="36" t="n"/>
      <c r="N25" s="16">
        <f>IF($H25="","",IF($M25="","",IF($H25=0,IF($M25&lt;=0,1,0),IF($E25="↓",IFERROR($H25/$M25,0),IFERROR($M25/$H25,0)))))</f>
        <v/>
      </c>
      <c r="O25" s="15">
        <f>IF($N25="","—",IF($N25&gt;=1,"✅ محقق",IF($N25&gt;=0.85,"🟡 قريب","🔴 تحت الهدف")))</f>
        <v/>
      </c>
    </row>
    <row r="26" ht="24" customHeight="1">
      <c r="A26" s="15" t="n">
        <v>23</v>
      </c>
      <c r="B26" s="9" t="inlineStr">
        <is>
          <t>الهوية والتسويق</t>
        </is>
      </c>
      <c r="C26" s="9" t="inlineStr">
        <is>
          <t>نسبة التزام المحطات بالهوية المؤسسية</t>
        </is>
      </c>
      <c r="D26" s="27" t="inlineStr">
        <is>
          <t>%</t>
        </is>
      </c>
      <c r="E26" s="27" t="inlineStr">
        <is>
          <t>↑</t>
        </is>
      </c>
      <c r="F26" s="28" t="inlineStr">
        <is>
          <t>🔴 رئيسي</t>
        </is>
      </c>
      <c r="G26" s="29" t="n">
        <v>0.03371</v>
      </c>
      <c r="H26" s="29" t="n">
        <v>0.55</v>
      </c>
      <c r="I26" s="31" t="inlineStr">
        <is>
          <t>55%</t>
        </is>
      </c>
      <c r="J26" s="32" t="inlineStr">
        <is>
          <t>الابتكار</t>
        </is>
      </c>
      <c r="K26" s="33" t="inlineStr">
        <is>
          <t>تطوير التصاميم والهوية</t>
        </is>
      </c>
      <c r="L26" s="28" t="inlineStr">
        <is>
          <t>التعلّم والنمو</t>
        </is>
      </c>
      <c r="M26" s="36" t="n"/>
      <c r="N26" s="16">
        <f>IF($H26="","",IF($M26="","",IF($H26=0,IF($M26&lt;=0,1,0),IF($E26="↓",IFERROR($H26/$M26,0),IFERROR($M26/$H26,0)))))</f>
        <v/>
      </c>
      <c r="O26" s="15">
        <f>IF($N26="","—",IF($N26&gt;=1,"✅ محقق",IF($N26&gt;=0.85,"🟡 قريب","🔴 تحت الهدف")))</f>
        <v/>
      </c>
    </row>
    <row r="27" ht="24" customHeight="1">
      <c r="A27" s="15" t="n">
        <v>24</v>
      </c>
      <c r="B27" s="9" t="inlineStr">
        <is>
          <t>التوسع الإقليمي</t>
        </is>
      </c>
      <c r="C27" s="9" t="inlineStr">
        <is>
          <t>نسبة العقود التي تغطي المناطق الـ13</t>
        </is>
      </c>
      <c r="D27" s="27" t="inlineStr">
        <is>
          <t>%</t>
        </is>
      </c>
      <c r="E27" s="27" t="inlineStr">
        <is>
          <t>↑</t>
        </is>
      </c>
      <c r="F27" s="28" t="inlineStr">
        <is>
          <t>🔴 رئيسي</t>
        </is>
      </c>
      <c r="G27" s="29" t="n">
        <v>0.03371</v>
      </c>
      <c r="H27" s="29" t="n">
        <v>1</v>
      </c>
      <c r="I27" s="31" t="inlineStr">
        <is>
          <t>100%</t>
        </is>
      </c>
      <c r="J27" s="32" t="inlineStr">
        <is>
          <t>النمو</t>
        </is>
      </c>
      <c r="K27" s="33" t="inlineStr">
        <is>
          <t>التوسع في المواقع</t>
        </is>
      </c>
      <c r="L27" s="28" t="inlineStr">
        <is>
          <t>العمليات الداخلية</t>
        </is>
      </c>
      <c r="M27" s="36" t="n"/>
      <c r="N27" s="16">
        <f>IF($H27="","",IF($M27="","",IF($H27=0,IF($M27&lt;=0,1,0),IF($E27="↓",IFERROR($H27/$M27,0),IFERROR($M27/$H27,0)))))</f>
        <v/>
      </c>
      <c r="O27" s="15">
        <f>IF($N27="","—",IF($N27&gt;=1,"✅ محقق",IF($N27&gt;=0.85,"🟡 قريب","🔴 تحت الهدف")))</f>
        <v/>
      </c>
    </row>
    <row r="28" ht="24" customHeight="1">
      <c r="A28" s="15" t="n">
        <v>25</v>
      </c>
      <c r="B28" s="9" t="inlineStr">
        <is>
          <t>التوسع الإقليمي</t>
        </is>
      </c>
      <c r="C28" s="9" t="inlineStr">
        <is>
          <t>نسبة العقود في الـ12 مدينة الرئيسية</t>
        </is>
      </c>
      <c r="D28" s="27" t="inlineStr">
        <is>
          <t>%</t>
        </is>
      </c>
      <c r="E28" s="27" t="inlineStr">
        <is>
          <t>↓</t>
        </is>
      </c>
      <c r="F28" s="28" t="inlineStr">
        <is>
          <t>🔴 رئيسي</t>
        </is>
      </c>
      <c r="G28" s="29" t="n">
        <v>0.03371</v>
      </c>
      <c r="H28" s="29" t="n">
        <v>0.4</v>
      </c>
      <c r="I28" s="31" t="inlineStr">
        <is>
          <t>&lt; 40%</t>
        </is>
      </c>
      <c r="J28" s="32" t="inlineStr">
        <is>
          <t>النمو</t>
        </is>
      </c>
      <c r="K28" s="33" t="inlineStr">
        <is>
          <t>التوسع في المواقع</t>
        </is>
      </c>
      <c r="L28" s="28" t="inlineStr">
        <is>
          <t>العمليات الداخلية</t>
        </is>
      </c>
      <c r="M28" s="36" t="n"/>
      <c r="N28" s="16">
        <f>IF($H28="","",IF($M28="","",IF($H28=0,IF($M28&lt;=0,1,0),IF($E28="↓",IFERROR($H28/$M28,0),IFERROR($M28/$H28,0)))))</f>
        <v/>
      </c>
      <c r="O28" s="15">
        <f>IF($N28="","—",IF($N28&gt;=1,"✅ محقق",IF($N28&gt;=0.85,"🟡 قريب","🔴 تحت الهدف")))</f>
        <v/>
      </c>
    </row>
    <row r="29" ht="24" customHeight="1">
      <c r="A29" s="15" t="n">
        <v>26</v>
      </c>
      <c r="B29" s="9" t="inlineStr">
        <is>
          <t>التوسع الإقليمي</t>
        </is>
      </c>
      <c r="C29" s="9" t="inlineStr">
        <is>
          <t>نسبة العقود خارج المدن الرئيسية</t>
        </is>
      </c>
      <c r="D29" s="27" t="inlineStr">
        <is>
          <t>%</t>
        </is>
      </c>
      <c r="E29" s="27" t="inlineStr">
        <is>
          <t>↑</t>
        </is>
      </c>
      <c r="F29" s="28" t="inlineStr">
        <is>
          <t>🔴 رئيسي</t>
        </is>
      </c>
      <c r="G29" s="29" t="n">
        <v>0.03371</v>
      </c>
      <c r="H29" s="29" t="n">
        <v>0.6</v>
      </c>
      <c r="I29" s="31" t="inlineStr">
        <is>
          <t>&gt; 60%</t>
        </is>
      </c>
      <c r="J29" s="32" t="inlineStr">
        <is>
          <t>النمو</t>
        </is>
      </c>
      <c r="K29" s="33" t="inlineStr">
        <is>
          <t>التوسع في المواقع</t>
        </is>
      </c>
      <c r="L29" s="28" t="inlineStr">
        <is>
          <t>العمليات الداخلية</t>
        </is>
      </c>
      <c r="M29" s="36" t="n"/>
      <c r="N29" s="16">
        <f>IF($H29="","",IF($M29="","",IF($H29=0,IF($M29&lt;=0,1,0),IF($E29="↓",IFERROR($H29/$M29,0),IFERROR($M29/$H29,0)))))</f>
        <v/>
      </c>
      <c r="O29" s="15">
        <f>IF($N29="","—",IF($N29&gt;=1,"✅ محقق",IF($N29&gt;=0.85,"🟡 قريب","🔴 تحت الهدف")))</f>
        <v/>
      </c>
    </row>
    <row r="30" ht="24" customHeight="1">
      <c r="A30" s="15" t="n">
        <v>27</v>
      </c>
      <c r="B30" s="9" t="inlineStr">
        <is>
          <t>التوسع الإقليمي</t>
        </is>
      </c>
      <c r="C30" s="9" t="inlineStr">
        <is>
          <t>نسبة العقود على الطرق الإقليمية</t>
        </is>
      </c>
      <c r="D30" s="27" t="inlineStr">
        <is>
          <t>%</t>
        </is>
      </c>
      <c r="E30" s="27" t="inlineStr">
        <is>
          <t>↑</t>
        </is>
      </c>
      <c r="F30" s="28" t="inlineStr">
        <is>
          <t>🔴 رئيسي</t>
        </is>
      </c>
      <c r="G30" s="29" t="n">
        <v>0.03371</v>
      </c>
      <c r="H30" s="29" t="n">
        <v>0.25</v>
      </c>
      <c r="I30" s="31" t="inlineStr">
        <is>
          <t>&gt; 25%</t>
        </is>
      </c>
      <c r="J30" s="32" t="inlineStr">
        <is>
          <t>النمو</t>
        </is>
      </c>
      <c r="K30" s="33" t="inlineStr">
        <is>
          <t>التوسع في المواقع</t>
        </is>
      </c>
      <c r="L30" s="28" t="inlineStr">
        <is>
          <t>العمليات الداخلية</t>
        </is>
      </c>
      <c r="M30" s="36" t="n"/>
      <c r="N30" s="16">
        <f>IF($H30="","",IF($M30="","",IF($H30=0,IF($M30&lt;=0,1,0),IF($E30="↓",IFERROR($H30/$M30,0),IFERROR($M30/$H30,0)))))</f>
        <v/>
      </c>
      <c r="O30" s="15">
        <f>IF($N30="","—",IF($N30&gt;=1,"✅ محقق",IF($N30&gt;=0.85,"🟡 قريب","🔴 تحت الهدف")))</f>
        <v/>
      </c>
    </row>
    <row r="31" ht="24" customHeight="1">
      <c r="A31" s="15" t="n">
        <v>28</v>
      </c>
      <c r="B31" s="9" t="inlineStr">
        <is>
          <t>تجربة العملاء والشركاء</t>
        </is>
      </c>
      <c r="C31" s="9" t="inlineStr">
        <is>
          <t>متوسط تقييم المحطات على خرائط قوقل</t>
        </is>
      </c>
      <c r="D31" s="27" t="inlineStr">
        <is>
          <t>نجمة/5</t>
        </is>
      </c>
      <c r="E31" s="27" t="inlineStr">
        <is>
          <t>↑</t>
        </is>
      </c>
      <c r="F31" s="28" t="inlineStr">
        <is>
          <t>🔴 رئيسي</t>
        </is>
      </c>
      <c r="G31" s="29" t="n">
        <v>0.03371</v>
      </c>
      <c r="H31" s="37" t="n">
        <v>4.7</v>
      </c>
      <c r="I31" s="31" t="inlineStr">
        <is>
          <t>≥ 4.7 نجمة</t>
        </is>
      </c>
      <c r="J31" s="32" t="inlineStr">
        <is>
          <t>الاستدامة</t>
        </is>
      </c>
      <c r="K31" s="33" t="inlineStr">
        <is>
          <t>تعزيز تجربة العملاء</t>
        </is>
      </c>
      <c r="L31" s="28" t="inlineStr">
        <is>
          <t>العملاء</t>
        </is>
      </c>
      <c r="M31" s="38" t="n"/>
      <c r="N31" s="16">
        <f>IF($H31="","",IF($M31="","",IF($H31=0,IF($M31&lt;=0,1,0),IF($E31="↓",IFERROR($H31/$M31,0),IFERROR($M31/$H31,0)))))</f>
        <v/>
      </c>
      <c r="O31" s="15">
        <f>IF($N31="","—",IF($N31&gt;=1,"✅ محقق",IF($N31&gt;=0.85,"🟡 قريب","🔴 تحت الهدف")))</f>
        <v/>
      </c>
    </row>
    <row r="32" ht="24" customHeight="1">
      <c r="A32" s="15" t="n">
        <v>29</v>
      </c>
      <c r="B32" s="9" t="inlineStr">
        <is>
          <t>تجربة العملاء والشركاء</t>
        </is>
      </c>
      <c r="C32" s="9" t="inlineStr">
        <is>
          <t>معدل رضا شركاء الامتياز (CSAT)</t>
        </is>
      </c>
      <c r="D32" s="27" t="inlineStr">
        <is>
          <t>%</t>
        </is>
      </c>
      <c r="E32" s="27" t="inlineStr">
        <is>
          <t>↑</t>
        </is>
      </c>
      <c r="F32" s="28" t="inlineStr">
        <is>
          <t>🔴 رئيسي</t>
        </is>
      </c>
      <c r="G32" s="29" t="n">
        <v>0.03371</v>
      </c>
      <c r="H32" s="29" t="n">
        <v>0.9</v>
      </c>
      <c r="I32" s="31" t="inlineStr">
        <is>
          <t>90%+</t>
        </is>
      </c>
      <c r="J32" s="32" t="inlineStr">
        <is>
          <t>الاستدامة</t>
        </is>
      </c>
      <c r="K32" s="33" t="inlineStr">
        <is>
          <t>تعزيز تجربة العملاء</t>
        </is>
      </c>
      <c r="L32" s="28" t="inlineStr">
        <is>
          <t>العملاء</t>
        </is>
      </c>
      <c r="M32" s="36" t="n"/>
      <c r="N32" s="16">
        <f>IF($H32="","",IF($M32="","",IF($H32=0,IF($M32&lt;=0,1,0),IF($E32="↓",IFERROR($H32/$M32,0),IFERROR($M32/$H32,0)))))</f>
        <v/>
      </c>
      <c r="O32" s="15">
        <f>IF($N32="","—",IF($N32&gt;=1,"✅ محقق",IF($N32&gt;=0.85,"🟡 قريب","🔴 تحت الهدف")))</f>
        <v/>
      </c>
    </row>
    <row r="33" ht="24" customHeight="1">
      <c r="A33" s="15" t="n">
        <v>30</v>
      </c>
      <c r="B33" s="9" t="inlineStr">
        <is>
          <t>تجربة العملاء والشركاء</t>
        </is>
      </c>
      <c r="C33" s="9" t="inlineStr">
        <is>
          <t>نسبة حل الشكاوى خلال المدة المحددة</t>
        </is>
      </c>
      <c r="D33" s="27" t="inlineStr">
        <is>
          <t>%</t>
        </is>
      </c>
      <c r="E33" s="27" t="inlineStr">
        <is>
          <t>↑</t>
        </is>
      </c>
      <c r="F33" s="28" t="inlineStr">
        <is>
          <t>🟠 مهم</t>
        </is>
      </c>
      <c r="G33" s="29" t="n">
        <v>0.02247</v>
      </c>
      <c r="H33" s="29" t="n">
        <v>0.95</v>
      </c>
      <c r="I33" s="31" t="inlineStr">
        <is>
          <t>95%+</t>
        </is>
      </c>
      <c r="J33" s="32" t="inlineStr">
        <is>
          <t>الاستدامة</t>
        </is>
      </c>
      <c r="K33" s="33" t="inlineStr">
        <is>
          <t>تعزيز تجربة العملاء</t>
        </is>
      </c>
      <c r="L33" s="28" t="inlineStr">
        <is>
          <t>العملاء</t>
        </is>
      </c>
      <c r="M33" s="36" t="n"/>
      <c r="N33" s="16">
        <f>IF($H33="","",IF($M33="","",IF($H33=0,IF($M33&lt;=0,1,0),IF($E33="↓",IFERROR($H33/$M33,0),IFERROR($M33/$H33,0)))))</f>
        <v/>
      </c>
      <c r="O33" s="15">
        <f>IF($N33="","—",IF($N33&gt;=1,"✅ محقق",IF($N33&gt;=0.85,"🟡 قريب","🔴 تحت الهدف")))</f>
        <v/>
      </c>
    </row>
    <row r="34" ht="24" customHeight="1">
      <c r="A34" s="15" t="n">
        <v>31</v>
      </c>
      <c r="B34" s="9" t="inlineStr">
        <is>
          <t>تجربة العملاء والشركاء</t>
        </is>
      </c>
      <c r="C34" s="9" t="inlineStr">
        <is>
          <t>نسبة انخفاض الشكاوى التشغيلية والإدارية</t>
        </is>
      </c>
      <c r="D34" s="27" t="inlineStr">
        <is>
          <t>%</t>
        </is>
      </c>
      <c r="E34" s="27" t="inlineStr">
        <is>
          <t>↑</t>
        </is>
      </c>
      <c r="F34" s="28" t="inlineStr">
        <is>
          <t>🟠 مهم</t>
        </is>
      </c>
      <c r="G34" s="29" t="n">
        <v>0.02247</v>
      </c>
      <c r="H34" s="27" t="inlineStr"/>
      <c r="I34" s="31" t="inlineStr">
        <is>
          <t>-30%</t>
        </is>
      </c>
      <c r="J34" s="32" t="inlineStr">
        <is>
          <t>الاستدامة</t>
        </is>
      </c>
      <c r="K34" s="33" t="inlineStr">
        <is>
          <t>تعزيز تجربة العملاء</t>
        </is>
      </c>
      <c r="L34" s="28" t="inlineStr">
        <is>
          <t>العملاء</t>
        </is>
      </c>
      <c r="M34" s="36" t="n"/>
      <c r="N34" s="16">
        <f>IF($H34="","",IF($M34="","",IF($H34=0,IF($M34&lt;=0,1,0),IF($E34="↓",IFERROR($H34/$M34,0),IFERROR($M34/$H34,0)))))</f>
        <v/>
      </c>
      <c r="O34" s="15">
        <f>IF($N34="","—",IF($N34&gt;=1,"✅ محقق",IF($N34&gt;=0.85,"🟡 قريب","🔴 تحت الهدف")))</f>
        <v/>
      </c>
    </row>
    <row r="35" ht="24" customHeight="1">
      <c r="A35" s="15" t="n">
        <v>32</v>
      </c>
      <c r="B35" s="9" t="inlineStr">
        <is>
          <t>استدامة الشراكة والامتثال</t>
        </is>
      </c>
      <c r="C35" s="9" t="inlineStr">
        <is>
          <t>نسبة استدامة أصحاب الامتياز (Retention)</t>
        </is>
      </c>
      <c r="D35" s="27" t="inlineStr">
        <is>
          <t>%</t>
        </is>
      </c>
      <c r="E35" s="27" t="inlineStr">
        <is>
          <t>↑</t>
        </is>
      </c>
      <c r="F35" s="28" t="inlineStr">
        <is>
          <t>🟠 مهم</t>
        </is>
      </c>
      <c r="G35" s="29" t="n">
        <v>0.02247</v>
      </c>
      <c r="H35" s="29" t="n">
        <v>0.9</v>
      </c>
      <c r="I35" s="31" t="inlineStr">
        <is>
          <t>90%</t>
        </is>
      </c>
      <c r="J35" s="32" t="inlineStr">
        <is>
          <t>الاستدامة</t>
        </is>
      </c>
      <c r="K35" s="33" t="inlineStr">
        <is>
          <t>تعزيز تجربة العملاء</t>
        </is>
      </c>
      <c r="L35" s="28" t="inlineStr">
        <is>
          <t>العمليات الداخلية</t>
        </is>
      </c>
      <c r="M35" s="36" t="n"/>
      <c r="N35" s="16">
        <f>IF($H35="","",IF($M35="","",IF($H35=0,IF($M35&lt;=0,1,0),IF($E35="↓",IFERROR($H35/$M35,0),IFERROR($M35/$H35,0)))))</f>
        <v/>
      </c>
      <c r="O35" s="15">
        <f>IF($N35="","—",IF($N35&gt;=1,"✅ محقق",IF($N35&gt;=0.85,"🟡 قريب","🔴 تحت الهدف")))</f>
        <v/>
      </c>
    </row>
    <row r="36" ht="24" customHeight="1">
      <c r="A36" s="15" t="n">
        <v>33</v>
      </c>
      <c r="B36" s="9" t="inlineStr">
        <is>
          <t>استدامة الشراكة والامتثال</t>
        </is>
      </c>
      <c r="C36" s="9" t="inlineStr">
        <is>
          <t>نسبة زيادة عدد أصحاب الامتياز</t>
        </is>
      </c>
      <c r="D36" s="27" t="inlineStr">
        <is>
          <t>%</t>
        </is>
      </c>
      <c r="E36" s="27" t="inlineStr">
        <is>
          <t>↑</t>
        </is>
      </c>
      <c r="F36" s="28" t="inlineStr">
        <is>
          <t>🟠 مهم</t>
        </is>
      </c>
      <c r="G36" s="29" t="n">
        <v>0.02247</v>
      </c>
      <c r="H36" s="29" t="n">
        <v>1</v>
      </c>
      <c r="I36" s="31" t="inlineStr">
        <is>
          <t>100% نمو</t>
        </is>
      </c>
      <c r="J36" s="32" t="inlineStr">
        <is>
          <t>الاستدامة</t>
        </is>
      </c>
      <c r="K36" s="33" t="inlineStr">
        <is>
          <t>تعزيز تجربة العملاء</t>
        </is>
      </c>
      <c r="L36" s="28" t="inlineStr">
        <is>
          <t>العمليات الداخلية</t>
        </is>
      </c>
      <c r="M36" s="36" t="n"/>
      <c r="N36" s="16">
        <f>IF($H36="","",IF($M36="","",IF($H36=0,IF($M36&lt;=0,1,0),IF($E36="↓",IFERROR($H36/$M36,0),IFERROR($M36/$H36,0)))))</f>
        <v/>
      </c>
      <c r="O36" s="15">
        <f>IF($N36="","—",IF($N36&gt;=1,"✅ محقق",IF($N36&gt;=0.85,"🟡 قريب","🔴 تحت الهدف")))</f>
        <v/>
      </c>
    </row>
    <row r="37" ht="24" customHeight="1">
      <c r="A37" s="15" t="n">
        <v>34</v>
      </c>
      <c r="B37" s="9" t="inlineStr">
        <is>
          <t>استدامة الشراكة والامتثال</t>
        </is>
      </c>
      <c r="C37" s="9" t="inlineStr">
        <is>
          <t>نسبة اكتمال المستندات النظامية قبل التوقيع</t>
        </is>
      </c>
      <c r="D37" s="27" t="inlineStr">
        <is>
          <t>%</t>
        </is>
      </c>
      <c r="E37" s="27" t="inlineStr">
        <is>
          <t>↑</t>
        </is>
      </c>
      <c r="F37" s="28" t="inlineStr">
        <is>
          <t>🟡 متابعة</t>
        </is>
      </c>
      <c r="G37" s="29" t="n">
        <v>0.01124</v>
      </c>
      <c r="H37" s="29" t="n">
        <v>1</v>
      </c>
      <c r="I37" s="31" t="inlineStr">
        <is>
          <t>100%</t>
        </is>
      </c>
      <c r="J37" s="32" t="inlineStr">
        <is>
          <t>الاستدامة</t>
        </is>
      </c>
      <c r="K37" s="33" t="inlineStr">
        <is>
          <t>جودة التشغيل</t>
        </is>
      </c>
      <c r="L37" s="28" t="inlineStr">
        <is>
          <t>العمليات الداخلية</t>
        </is>
      </c>
      <c r="M37" s="36" t="n"/>
      <c r="N37" s="16">
        <f>IF($H37="","",IF($M37="","",IF($H37=0,IF($M37&lt;=0,1,0),IF($E37="↓",IFERROR($H37/$M37,0),IFERROR($M37/$H37,0)))))</f>
        <v/>
      </c>
      <c r="O37" s="15">
        <f>IF($N37="","—",IF($N37&gt;=1,"✅ محقق",IF($N37&gt;=0.85,"🟡 قريب","🔴 تحت الهدف")))</f>
        <v/>
      </c>
    </row>
    <row r="38" ht="24" customHeight="1">
      <c r="A38" s="15" t="n">
        <v>35</v>
      </c>
      <c r="B38" s="9" t="inlineStr">
        <is>
          <t>استدامة الشراكة والامتثال</t>
        </is>
      </c>
      <c r="C38" s="9" t="inlineStr">
        <is>
          <t>متوسط مدة إغلاق عقد الامتياز</t>
        </is>
      </c>
      <c r="D38" s="27" t="inlineStr">
        <is>
          <t>أسبوع</t>
        </is>
      </c>
      <c r="E38" s="27" t="inlineStr">
        <is>
          <t>↓</t>
        </is>
      </c>
      <c r="F38" s="28" t="inlineStr">
        <is>
          <t>🔴 رئيسي</t>
        </is>
      </c>
      <c r="G38" s="29" t="n">
        <v>0.03371</v>
      </c>
      <c r="H38" s="37" t="n">
        <v>1</v>
      </c>
      <c r="I38" s="31" t="inlineStr">
        <is>
          <t>≤ أسبوع</t>
        </is>
      </c>
      <c r="J38" s="32" t="inlineStr">
        <is>
          <t>النمو</t>
        </is>
      </c>
      <c r="K38" s="33" t="inlineStr">
        <is>
          <t>الامتياز التجاري</t>
        </is>
      </c>
      <c r="L38" s="28" t="inlineStr">
        <is>
          <t>العمليات الداخلية</t>
        </is>
      </c>
      <c r="M38" s="38" t="n"/>
      <c r="N38" s="16">
        <f>IF($H38="","",IF($M38="","",IF($H38=0,IF($M38&lt;=0,1,0),IF($E38="↓",IFERROR($H38/$M38,0),IFERROR($M38/$H38,0)))))</f>
        <v/>
      </c>
      <c r="O38" s="15">
        <f>IF($N38="","—",IF($N38&gt;=1,"✅ محقق",IF($N38&gt;=0.85,"🟡 قريب","🔴 تحت الهدف")))</f>
        <v/>
      </c>
    </row>
    <row r="39" ht="24" customHeight="1">
      <c r="A39" s="15" t="n">
        <v>36</v>
      </c>
      <c r="B39" s="9" t="inlineStr">
        <is>
          <t>استدامة الشراكة والامتثال</t>
        </is>
      </c>
      <c r="C39" s="9" t="inlineStr">
        <is>
          <t>نسبة إنجاز التقارير الدورية في موعدها</t>
        </is>
      </c>
      <c r="D39" s="27" t="inlineStr">
        <is>
          <t>%</t>
        </is>
      </c>
      <c r="E39" s="27" t="inlineStr">
        <is>
          <t>↑</t>
        </is>
      </c>
      <c r="F39" s="28" t="inlineStr">
        <is>
          <t>🟡 متابعة</t>
        </is>
      </c>
      <c r="G39" s="29" t="n">
        <v>0.01124</v>
      </c>
      <c r="H39" s="29" t="n">
        <v>1</v>
      </c>
      <c r="I39" s="31" t="inlineStr">
        <is>
          <t>100%</t>
        </is>
      </c>
      <c r="J39" s="32" t="inlineStr">
        <is>
          <t>الاستدامة</t>
        </is>
      </c>
      <c r="K39" s="33" t="inlineStr">
        <is>
          <t>جودة التشغيل</t>
        </is>
      </c>
      <c r="L39" s="28" t="inlineStr">
        <is>
          <t>العمليات الداخلية</t>
        </is>
      </c>
      <c r="M39" s="36" t="n"/>
      <c r="N39" s="16">
        <f>IF($H39="","",IF($M39="","",IF($H39=0,IF($M39&lt;=0,1,0),IF($E39="↓",IFERROR($H39/$M39,0),IFERROR($M39/$H39,0)))))</f>
        <v/>
      </c>
      <c r="O39" s="15">
        <f>IF($N39="","—",IF($N39&gt;=1,"✅ محقق",IF($N39&gt;=0.85,"🟡 قريب","🔴 تحت الهدف")))</f>
        <v/>
      </c>
    </row>
  </sheetData>
  <autoFilter ref="A3:O39"/>
  <mergeCells count="2">
    <mergeCell ref="A1:O1"/>
    <mergeCell ref="A2:O2"/>
  </mergeCells>
  <dataValidations count="1">
    <dataValidation sqref="M4 M5 M6 M7 M8 M9 M10 M11 M12 M13 M14 M15 M16 M17 M18 M19 M20 M21 M22 M23 M24 M25 M26 M27 M28 M29 M30 M31 M32 M33 M34 M35 M36 M37 M38 M39" showDropDown="0" showInputMessage="0" showErrorMessage="0" allowBlank="1" type="decimal"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4" t="inlineStr">
        <is>
          <t>إدارة التشغيل والمحطات · مؤشرات الأداء 2026</t>
        </is>
      </c>
    </row>
    <row r="2">
      <c r="A2" s="25" t="inlineStr">
        <is>
          <t>🟩 أدخل «المُحقَّق» · نسبة التحقيق والحالة دلّات حقيقية تُحسب تلقائياً</t>
        </is>
      </c>
    </row>
    <row r="3" ht="28" customHeight="1">
      <c r="A3" s="26" t="inlineStr">
        <is>
          <t>#</t>
        </is>
      </c>
      <c r="B3" s="26" t="inlineStr">
        <is>
          <t>المحور</t>
        </is>
      </c>
      <c r="C3" s="26" t="inlineStr">
        <is>
          <t>المؤشر</t>
        </is>
      </c>
      <c r="D3" s="26" t="inlineStr">
        <is>
          <t>الوحدة</t>
        </is>
      </c>
      <c r="E3" s="26" t="inlineStr">
        <is>
          <t>القطبية</t>
        </is>
      </c>
      <c r="F3" s="26" t="inlineStr">
        <is>
          <t>الأولوية</t>
        </is>
      </c>
      <c r="G3" s="26" t="inlineStr">
        <is>
          <t>الوزن %</t>
        </is>
      </c>
      <c r="H3" s="26" t="inlineStr">
        <is>
          <t>المستهدف</t>
        </is>
      </c>
      <c r="I3" s="26" t="inlineStr">
        <is>
          <t>نص المستهدف</t>
        </is>
      </c>
      <c r="J3" s="26" t="inlineStr">
        <is>
          <t>الركيزة</t>
        </is>
      </c>
      <c r="K3" s="26" t="inlineStr">
        <is>
          <t>المشروع</t>
        </is>
      </c>
      <c r="L3" s="26" t="inlineStr">
        <is>
          <t>منظور BSC</t>
        </is>
      </c>
      <c r="M3" s="26" t="inlineStr">
        <is>
          <t>المُحقَّق</t>
        </is>
      </c>
      <c r="N3" s="26" t="inlineStr">
        <is>
          <t>نسبة التحقيق</t>
        </is>
      </c>
      <c r="O3" s="26" t="inlineStr">
        <is>
          <t>الحالة</t>
        </is>
      </c>
    </row>
    <row r="4" ht="24" customHeight="1">
      <c r="A4" s="15" t="n">
        <v>1</v>
      </c>
      <c r="B4" s="9" t="inlineStr">
        <is>
          <t>النمو</t>
        </is>
      </c>
      <c r="C4" s="9" t="inlineStr">
        <is>
          <t>عدد المحطات المشغّلة (تراكمي)</t>
        </is>
      </c>
      <c r="D4" s="27" t="inlineStr">
        <is>
          <t>محطة</t>
        </is>
      </c>
      <c r="E4" s="27" t="inlineStr">
        <is>
          <t>↑</t>
        </is>
      </c>
      <c r="F4" s="28" t="inlineStr">
        <is>
          <t>🔴 رئيسي</t>
        </is>
      </c>
      <c r="G4" s="29" t="n">
        <v>0.075</v>
      </c>
      <c r="H4" s="30" t="n">
        <v>85</v>
      </c>
      <c r="I4" s="31" t="inlineStr">
        <is>
          <t>85 محطة</t>
        </is>
      </c>
      <c r="J4" s="32" t="inlineStr">
        <is>
          <t>النمو</t>
        </is>
      </c>
      <c r="K4" s="33" t="inlineStr">
        <is>
          <t>التوسع في المواقع</t>
        </is>
      </c>
      <c r="L4" s="28" t="inlineStr">
        <is>
          <t>العمليات الداخلية</t>
        </is>
      </c>
      <c r="M4" s="34" t="n"/>
      <c r="N4" s="16">
        <f>IF($H4="","",IF($M4="","",IF($H4=0,IF($M4&lt;=0,1,0),IF($E4="↓",IFERROR($H4/$M4,0),IFERROR($M4/$H4,0)))))</f>
        <v/>
      </c>
      <c r="O4" s="15">
        <f>IF($N4="","—",IF($N4&gt;=1,"✅ محقق",IF($N4&gt;=0.85,"🟡 قريب","🔴 تحت الهدف")))</f>
        <v/>
      </c>
    </row>
    <row r="5" ht="24" customHeight="1">
      <c r="A5" s="15" t="n">
        <v>2</v>
      </c>
      <c r="B5" s="9" t="inlineStr">
        <is>
          <t>الربحية</t>
        </is>
      </c>
      <c r="C5" s="9" t="inlineStr">
        <is>
          <t>نمو مبيعات بنزين 91 مقارنة بالعام السابق</t>
        </is>
      </c>
      <c r="D5" s="27" t="inlineStr">
        <is>
          <t>%</t>
        </is>
      </c>
      <c r="E5" s="27" t="inlineStr">
        <is>
          <t>↑</t>
        </is>
      </c>
      <c r="F5" s="28" t="inlineStr">
        <is>
          <t>🔴 رئيسي</t>
        </is>
      </c>
      <c r="G5" s="29" t="n">
        <v>0.075</v>
      </c>
      <c r="H5" s="27" t="inlineStr"/>
      <c r="I5" s="31" t="inlineStr">
        <is>
          <t>يُحدد لاحقاً</t>
        </is>
      </c>
      <c r="J5" s="32" t="inlineStr">
        <is>
          <t>النمو</t>
        </is>
      </c>
      <c r="K5" s="33" t="inlineStr">
        <is>
          <t>زيادة وصول العملاء</t>
        </is>
      </c>
      <c r="L5" s="28" t="inlineStr">
        <is>
          <t>مالي</t>
        </is>
      </c>
      <c r="M5" s="36" t="n"/>
      <c r="N5" s="16">
        <f>IF($H5="","",IF($M5="","",IF($H5=0,IF($M5&lt;=0,1,0),IF($E5="↓",IFERROR($H5/$M5,0),IFERROR($M5/$H5,0)))))</f>
        <v/>
      </c>
      <c r="O5" s="15">
        <f>IF($N5="","—",IF($N5&gt;=1,"✅ محقق",IF($N5&gt;=0.85,"🟡 قريب","🔴 تحت الهدف")))</f>
        <v/>
      </c>
    </row>
    <row r="6" ht="24" customHeight="1">
      <c r="A6" s="15" t="n">
        <v>3</v>
      </c>
      <c r="B6" s="9" t="inlineStr">
        <is>
          <t>الربحية</t>
        </is>
      </c>
      <c r="C6" s="9" t="inlineStr">
        <is>
          <t>نمو مبيعات بنزين 95 مقارنة بالعام السابق</t>
        </is>
      </c>
      <c r="D6" s="27" t="inlineStr">
        <is>
          <t>%</t>
        </is>
      </c>
      <c r="E6" s="27" t="inlineStr">
        <is>
          <t>↑</t>
        </is>
      </c>
      <c r="F6" s="28" t="inlineStr">
        <is>
          <t>🔴 رئيسي</t>
        </is>
      </c>
      <c r="G6" s="29" t="n">
        <v>0.075</v>
      </c>
      <c r="H6" s="27" t="inlineStr"/>
      <c r="I6" s="31" t="inlineStr">
        <is>
          <t>يُحدد لاحقاً</t>
        </is>
      </c>
      <c r="J6" s="32" t="inlineStr">
        <is>
          <t>النمو</t>
        </is>
      </c>
      <c r="K6" s="33" t="inlineStr">
        <is>
          <t>زيادة وصول العملاء</t>
        </is>
      </c>
      <c r="L6" s="28" t="inlineStr">
        <is>
          <t>مالي</t>
        </is>
      </c>
      <c r="M6" s="36" t="n"/>
      <c r="N6" s="16">
        <f>IF($H6="","",IF($M6="","",IF($H6=0,IF($M6&lt;=0,1,0),IF($E6="↓",IFERROR($H6/$M6,0),IFERROR($M6/$H6,0)))))</f>
        <v/>
      </c>
      <c r="O6" s="15">
        <f>IF($N6="","—",IF($N6&gt;=1,"✅ محقق",IF($N6&gt;=0.85,"🟡 قريب","🔴 تحت الهدف")))</f>
        <v/>
      </c>
    </row>
    <row r="7" ht="24" customHeight="1">
      <c r="A7" s="15" t="n">
        <v>4</v>
      </c>
      <c r="B7" s="9" t="inlineStr">
        <is>
          <t>الربحية</t>
        </is>
      </c>
      <c r="C7" s="9" t="inlineStr">
        <is>
          <t>نمو مبيعات بنزين 98 مقارنة بالعام السابق</t>
        </is>
      </c>
      <c r="D7" s="27" t="inlineStr">
        <is>
          <t>%</t>
        </is>
      </c>
      <c r="E7" s="27" t="inlineStr">
        <is>
          <t>↑</t>
        </is>
      </c>
      <c r="F7" s="28" t="inlineStr">
        <is>
          <t>🔴 رئيسي</t>
        </is>
      </c>
      <c r="G7" s="29" t="n">
        <v>0.075</v>
      </c>
      <c r="H7" s="27" t="inlineStr"/>
      <c r="I7" s="31" t="inlineStr">
        <is>
          <t>يُحدد لاحقاً</t>
        </is>
      </c>
      <c r="J7" s="32" t="inlineStr">
        <is>
          <t>النمو</t>
        </is>
      </c>
      <c r="K7" s="33" t="inlineStr">
        <is>
          <t>زيادة وصول العملاء</t>
        </is>
      </c>
      <c r="L7" s="28" t="inlineStr">
        <is>
          <t>مالي</t>
        </is>
      </c>
      <c r="M7" s="36" t="n"/>
      <c r="N7" s="16">
        <f>IF($H7="","",IF($M7="","",IF($H7=0,IF($M7&lt;=0,1,0),IF($E7="↓",IFERROR($H7/$M7,0),IFERROR($M7/$H7,0)))))</f>
        <v/>
      </c>
      <c r="O7" s="15">
        <f>IF($N7="","—",IF($N7&gt;=1,"✅ محقق",IF($N7&gt;=0.85,"🟡 قريب","🔴 تحت الهدف")))</f>
        <v/>
      </c>
    </row>
    <row r="8" ht="24" customHeight="1">
      <c r="A8" s="15" t="n">
        <v>5</v>
      </c>
      <c r="B8" s="9" t="inlineStr">
        <is>
          <t>الربحية</t>
        </is>
      </c>
      <c r="C8" s="9" t="inlineStr">
        <is>
          <t>نمو مبيعات الديزل مقارنة بالعام السابق</t>
        </is>
      </c>
      <c r="D8" s="27" t="inlineStr">
        <is>
          <t>%</t>
        </is>
      </c>
      <c r="E8" s="27" t="inlineStr">
        <is>
          <t>↑</t>
        </is>
      </c>
      <c r="F8" s="28" t="inlineStr">
        <is>
          <t>🔴 رئيسي</t>
        </is>
      </c>
      <c r="G8" s="29" t="n">
        <v>0.075</v>
      </c>
      <c r="H8" s="27" t="inlineStr"/>
      <c r="I8" s="31" t="inlineStr">
        <is>
          <t>يُحدد لاحقاً</t>
        </is>
      </c>
      <c r="J8" s="32" t="inlineStr">
        <is>
          <t>النمو</t>
        </is>
      </c>
      <c r="K8" s="33" t="inlineStr">
        <is>
          <t>زيادة وصول العملاء</t>
        </is>
      </c>
      <c r="L8" s="28" t="inlineStr">
        <is>
          <t>مالي</t>
        </is>
      </c>
      <c r="M8" s="36" t="n"/>
      <c r="N8" s="16">
        <f>IF($H8="","",IF($M8="","",IF($H8=0,IF($M8&lt;=0,1,0),IF($E8="↓",IFERROR($H8/$M8,0),IFERROR($M8/$H8,0)))))</f>
        <v/>
      </c>
      <c r="O8" s="15">
        <f>IF($N8="","—",IF($N8&gt;=1,"✅ محقق",IF($N8&gt;=0.85,"🟡 قريب","🔴 تحت الهدف")))</f>
        <v/>
      </c>
    </row>
    <row r="9" ht="24" customHeight="1">
      <c r="A9" s="15" t="n">
        <v>6</v>
      </c>
      <c r="B9" s="9" t="inlineStr">
        <is>
          <t>حماية الإيراد</t>
        </is>
      </c>
      <c r="C9" s="9" t="inlineStr">
        <is>
          <t>نسبة جاهزية المحطة الشاملة (Uptime)</t>
        </is>
      </c>
      <c r="D9" s="27" t="inlineStr">
        <is>
          <t>%</t>
        </is>
      </c>
      <c r="E9" s="27" t="inlineStr">
        <is>
          <t>↑</t>
        </is>
      </c>
      <c r="F9" s="28" t="inlineStr">
        <is>
          <t>🔴 رئيسي</t>
        </is>
      </c>
      <c r="G9" s="29" t="n">
        <v>0.075</v>
      </c>
      <c r="H9" s="29" t="n">
        <v>0.99</v>
      </c>
      <c r="I9" s="31" t="inlineStr">
        <is>
          <t>99%+</t>
        </is>
      </c>
      <c r="J9" s="32" t="inlineStr">
        <is>
          <t>الاستدامة</t>
        </is>
      </c>
      <c r="K9" s="33" t="inlineStr">
        <is>
          <t>جودة التشغيل</t>
        </is>
      </c>
      <c r="L9" s="28" t="inlineStr">
        <is>
          <t>العمليات الداخلية</t>
        </is>
      </c>
      <c r="M9" s="36" t="n"/>
      <c r="N9" s="16">
        <f>IF($H9="","",IF($M9="","",IF($H9=0,IF($M9&lt;=0,1,0),IF($E9="↓",IFERROR($H9/$M9,0),IFERROR($M9/$H9,0)))))</f>
        <v/>
      </c>
      <c r="O9" s="15">
        <f>IF($N9="","—",IF($N9&gt;=1,"✅ محقق",IF($N9&gt;=0.85,"🟡 قريب","🔴 تحت الهدف")))</f>
        <v/>
      </c>
    </row>
    <row r="10" ht="24" customHeight="1">
      <c r="A10" s="15" t="n">
        <v>7</v>
      </c>
      <c r="B10" s="9" t="inlineStr">
        <is>
          <t>حماية الإيراد</t>
        </is>
      </c>
      <c r="C10" s="9" t="inlineStr">
        <is>
          <t>نسبة المضخات العاملة</t>
        </is>
      </c>
      <c r="D10" s="27" t="inlineStr">
        <is>
          <t>%</t>
        </is>
      </c>
      <c r="E10" s="27" t="inlineStr">
        <is>
          <t>↑</t>
        </is>
      </c>
      <c r="F10" s="28" t="inlineStr">
        <is>
          <t>🟠 مهم</t>
        </is>
      </c>
      <c r="G10" s="29" t="n">
        <v>0.05</v>
      </c>
      <c r="H10" s="29" t="n">
        <v>0.97</v>
      </c>
      <c r="I10" s="31" t="inlineStr">
        <is>
          <t>≥ 97%</t>
        </is>
      </c>
      <c r="J10" s="32" t="inlineStr">
        <is>
          <t>الاستدامة</t>
        </is>
      </c>
      <c r="K10" s="33" t="inlineStr">
        <is>
          <t>جودة التشغيل</t>
        </is>
      </c>
      <c r="L10" s="28" t="inlineStr">
        <is>
          <t>العمليات الداخلية</t>
        </is>
      </c>
      <c r="M10" s="36" t="n"/>
      <c r="N10" s="16">
        <f>IF($H10="","",IF($M10="","",IF($H10=0,IF($M10&lt;=0,1,0),IF($E10="↓",IFERROR($H10/$M10,0),IFERROR($M10/$H10,0)))))</f>
        <v/>
      </c>
      <c r="O10" s="15">
        <f>IF($N10="","—",IF($N10&gt;=1,"✅ محقق",IF($N10&gt;=0.85,"🟡 قريب","🔴 تحت الهدف")))</f>
        <v/>
      </c>
    </row>
    <row r="11" ht="24" customHeight="1">
      <c r="A11" s="15" t="n">
        <v>8</v>
      </c>
      <c r="B11" s="9" t="inlineStr">
        <is>
          <t>ضغط التكلفة</t>
        </is>
      </c>
      <c r="C11" s="9" t="inlineStr">
        <is>
          <t>تكلفة التشغيل لكل لتر مباع</t>
        </is>
      </c>
      <c r="D11" s="27" t="inlineStr">
        <is>
          <t>هللة/لتر</t>
        </is>
      </c>
      <c r="E11" s="27" t="inlineStr">
        <is>
          <t>↓</t>
        </is>
      </c>
      <c r="F11" s="28" t="inlineStr">
        <is>
          <t>🟠 مهم</t>
        </is>
      </c>
      <c r="G11" s="29" t="n">
        <v>0.05</v>
      </c>
      <c r="H11" s="27" t="inlineStr"/>
      <c r="I11" s="31" t="inlineStr">
        <is>
          <t>خفض ≥5% سنوياً</t>
        </is>
      </c>
      <c r="J11" s="32" t="inlineStr">
        <is>
          <t>الاستدامة</t>
        </is>
      </c>
      <c r="K11" s="33" t="inlineStr">
        <is>
          <t>جودة التشغيل</t>
        </is>
      </c>
      <c r="L11" s="28" t="inlineStr">
        <is>
          <t>مالي</t>
        </is>
      </c>
      <c r="M11" s="38" t="n"/>
      <c r="N11" s="16">
        <f>IF($H11="","",IF($M11="","",IF($H11=0,IF($M11&lt;=0,1,0),IF($E11="↓",IFERROR($H11/$M11,0),IFERROR($M11/$H11,0)))))</f>
        <v/>
      </c>
      <c r="O11" s="15">
        <f>IF($N11="","—",IF($N11&gt;=1,"✅ محقق",IF($N11&gt;=0.85,"🟡 قريب","🔴 تحت الهدف")))</f>
        <v/>
      </c>
    </row>
    <row r="12" ht="24" customHeight="1">
      <c r="A12" s="15" t="n">
        <v>9</v>
      </c>
      <c r="B12" s="9" t="inlineStr">
        <is>
          <t>حماية الأصول</t>
        </is>
      </c>
      <c r="C12" s="9" t="inlineStr">
        <is>
          <t>نسبة الصيانة الوقائية المنفذة في موعدها</t>
        </is>
      </c>
      <c r="D12" s="27" t="inlineStr">
        <is>
          <t>%</t>
        </is>
      </c>
      <c r="E12" s="27" t="inlineStr">
        <is>
          <t>↑</t>
        </is>
      </c>
      <c r="F12" s="28" t="inlineStr">
        <is>
          <t>🟠 مهم</t>
        </is>
      </c>
      <c r="G12" s="29" t="n">
        <v>0.05</v>
      </c>
      <c r="H12" s="29" t="n">
        <v>0.95</v>
      </c>
      <c r="I12" s="31" t="inlineStr">
        <is>
          <t>≥ 95%</t>
        </is>
      </c>
      <c r="J12" s="32" t="inlineStr">
        <is>
          <t>الاستدامة</t>
        </is>
      </c>
      <c r="K12" s="33" t="inlineStr">
        <is>
          <t>جودة التشغيل</t>
        </is>
      </c>
      <c r="L12" s="28" t="inlineStr">
        <is>
          <t>العمليات الداخلية</t>
        </is>
      </c>
      <c r="M12" s="36" t="n"/>
      <c r="N12" s="16">
        <f>IF($H12="","",IF($M12="","",IF($H12=0,IF($M12&lt;=0,1,0),IF($E12="↓",IFERROR($H12/$M12,0),IFERROR($M12/$H12,0)))))</f>
        <v/>
      </c>
      <c r="O12" s="15">
        <f>IF($N12="","—",IF($N12&gt;=1,"✅ محقق",IF($N12&gt;=0.85,"🟡 قريب","🔴 تحت الهدف")))</f>
        <v/>
      </c>
    </row>
    <row r="13" ht="24" customHeight="1">
      <c r="A13" s="15" t="n">
        <v>10</v>
      </c>
      <c r="B13" s="9" t="inlineStr">
        <is>
          <t>تجربة العميل</t>
        </is>
      </c>
      <c r="C13" s="9" t="inlineStr">
        <is>
          <t>نسبة انخفاض الشكاوى مقارنة بالشهر السابق</t>
        </is>
      </c>
      <c r="D13" s="27" t="inlineStr">
        <is>
          <t>%</t>
        </is>
      </c>
      <c r="E13" s="27" t="inlineStr">
        <is>
          <t>↑</t>
        </is>
      </c>
      <c r="F13" s="28" t="inlineStr">
        <is>
          <t>🟠 مهم</t>
        </is>
      </c>
      <c r="G13" s="29" t="n">
        <v>0.05</v>
      </c>
      <c r="H13" s="27" t="inlineStr"/>
      <c r="I13" s="31" t="inlineStr">
        <is>
          <t>−30%</t>
        </is>
      </c>
      <c r="J13" s="32" t="inlineStr">
        <is>
          <t>الاستدامة</t>
        </is>
      </c>
      <c r="K13" s="33" t="inlineStr">
        <is>
          <t>تعزيز تجربة العملاء</t>
        </is>
      </c>
      <c r="L13" s="28" t="inlineStr">
        <is>
          <t>العملاء</t>
        </is>
      </c>
      <c r="M13" s="36" t="n"/>
      <c r="N13" s="16">
        <f>IF($H13="","",IF($M13="","",IF($H13=0,IF($M13&lt;=0,1,0),IF($E13="↓",IFERROR($H13/$M13,0),IFERROR($M13/$H13,0)))))</f>
        <v/>
      </c>
      <c r="O13" s="15">
        <f>IF($N13="","—",IF($N13&gt;=1,"✅ محقق",IF($N13&gt;=0.85,"🟡 قريب","🔴 تحت الهدف")))</f>
        <v/>
      </c>
    </row>
    <row r="14" ht="24" customHeight="1">
      <c r="A14" s="15" t="n">
        <v>11</v>
      </c>
      <c r="B14" s="9" t="inlineStr">
        <is>
          <t>تجربة العميل</t>
        </is>
      </c>
      <c r="C14" s="9" t="inlineStr">
        <is>
          <t>تقييم Google Maps للمحطات</t>
        </is>
      </c>
      <c r="D14" s="27" t="inlineStr">
        <is>
          <t>نجمة/5</t>
        </is>
      </c>
      <c r="E14" s="27" t="inlineStr">
        <is>
          <t>↑</t>
        </is>
      </c>
      <c r="F14" s="28" t="inlineStr">
        <is>
          <t>🔴 رئيسي</t>
        </is>
      </c>
      <c r="G14" s="29" t="n">
        <v>0.075</v>
      </c>
      <c r="H14" s="37" t="n">
        <v>4.5</v>
      </c>
      <c r="I14" s="31" t="inlineStr">
        <is>
          <t>≥ 4.5</t>
        </is>
      </c>
      <c r="J14" s="32" t="inlineStr">
        <is>
          <t>الاستدامة</t>
        </is>
      </c>
      <c r="K14" s="33" t="inlineStr">
        <is>
          <t>تعزيز تجربة العملاء</t>
        </is>
      </c>
      <c r="L14" s="28" t="inlineStr">
        <is>
          <t>العمليات الداخلية</t>
        </is>
      </c>
      <c r="M14" s="38" t="n"/>
      <c r="N14" s="16">
        <f>IF($H14="","",IF($M14="","",IF($H14=0,IF($M14&lt;=0,1,0),IF($E14="↓",IFERROR($H14/$M14,0),IFERROR($M14/$H14,0)))))</f>
        <v/>
      </c>
      <c r="O14" s="15">
        <f>IF($N14="","—",IF($N14&gt;=1,"✅ محقق",IF($N14&gt;=0.85,"🟡 قريب","🔴 تحت الهدف")))</f>
        <v/>
      </c>
    </row>
    <row r="15" ht="24" customHeight="1">
      <c r="A15" s="15" t="n">
        <v>12</v>
      </c>
      <c r="B15" s="9" t="inlineStr">
        <is>
          <t>تجربة العميل</t>
        </is>
      </c>
      <c r="C15" s="9" t="inlineStr">
        <is>
          <t>سرعة تعبئة الوقود</t>
        </is>
      </c>
      <c r="D15" s="27" t="inlineStr">
        <is>
          <t>دقيقة</t>
        </is>
      </c>
      <c r="E15" s="27" t="inlineStr">
        <is>
          <t>↓</t>
        </is>
      </c>
      <c r="F15" s="28" t="inlineStr">
        <is>
          <t>🟠 مهم</t>
        </is>
      </c>
      <c r="G15" s="29" t="n">
        <v>0.05</v>
      </c>
      <c r="H15" s="37" t="n">
        <v>3</v>
      </c>
      <c r="I15" s="31" t="inlineStr">
        <is>
          <t>≤ 3 دقائق</t>
        </is>
      </c>
      <c r="J15" s="32" t="inlineStr">
        <is>
          <t>الاستدامة</t>
        </is>
      </c>
      <c r="K15" s="33" t="inlineStr">
        <is>
          <t>تعزيز تجربة العملاء</t>
        </is>
      </c>
      <c r="L15" s="28" t="inlineStr">
        <is>
          <t>العمليات الداخلية</t>
        </is>
      </c>
      <c r="M15" s="38" t="n"/>
      <c r="N15" s="16">
        <f>IF($H15="","",IF($M15="","",IF($H15=0,IF($M15&lt;=0,1,0),IF($E15="↓",IFERROR($H15/$M15,0),IFERROR($M15/$H15,0)))))</f>
        <v/>
      </c>
      <c r="O15" s="15">
        <f>IF($N15="","—",IF($N15&gt;=1,"✅ محقق",IF($N15&gt;=0.85,"🟡 قريب","🔴 تحت الهدف")))</f>
        <v/>
      </c>
    </row>
    <row r="16" ht="24" customHeight="1">
      <c r="A16" s="15" t="n">
        <v>13</v>
      </c>
      <c r="B16" s="9" t="inlineStr">
        <is>
          <t>تجربة العميل</t>
        </is>
      </c>
      <c r="C16" s="9" t="inlineStr">
        <is>
          <t>دقة التعبئة بدون أخطاء</t>
        </is>
      </c>
      <c r="D16" s="27" t="inlineStr">
        <is>
          <t>%</t>
        </is>
      </c>
      <c r="E16" s="27" t="inlineStr">
        <is>
          <t>↑</t>
        </is>
      </c>
      <c r="F16" s="28" t="inlineStr">
        <is>
          <t>🟠 مهم</t>
        </is>
      </c>
      <c r="G16" s="29" t="n">
        <v>0.05</v>
      </c>
      <c r="H16" s="29" t="n">
        <v>0.99</v>
      </c>
      <c r="I16" s="31" t="inlineStr">
        <is>
          <t>≥ 99%</t>
        </is>
      </c>
      <c r="J16" s="32" t="inlineStr">
        <is>
          <t>الاستدامة</t>
        </is>
      </c>
      <c r="K16" s="33" t="inlineStr">
        <is>
          <t>جودة التشغيل</t>
        </is>
      </c>
      <c r="L16" s="28" t="inlineStr">
        <is>
          <t>العمليات الداخلية</t>
        </is>
      </c>
      <c r="M16" s="36" t="n"/>
      <c r="N16" s="16">
        <f>IF($H16="","",IF($M16="","",IF($H16=0,IF($M16&lt;=0,1,0),IF($E16="↓",IFERROR($H16/$M16,0),IFERROR($M16/$H16,0)))))</f>
        <v/>
      </c>
      <c r="O16" s="15">
        <f>IF($N16="","—",IF($N16&gt;=1,"✅ محقق",IF($N16&gt;=0.85,"🟡 قريب","🔴 تحت الهدف")))</f>
        <v/>
      </c>
    </row>
    <row r="17" ht="24" customHeight="1">
      <c r="A17" s="15" t="n">
        <v>14</v>
      </c>
      <c r="B17" s="9" t="inlineStr">
        <is>
          <t>تجربة العميل</t>
        </is>
      </c>
      <c r="C17" s="9" t="inlineStr">
        <is>
          <t>تطبيق المعيار الشامل في المحطات</t>
        </is>
      </c>
      <c r="D17" s="27" t="inlineStr">
        <is>
          <t>%</t>
        </is>
      </c>
      <c r="E17" s="27" t="inlineStr">
        <is>
          <t>↑</t>
        </is>
      </c>
      <c r="F17" s="28" t="inlineStr">
        <is>
          <t>🟡 متابعة</t>
        </is>
      </c>
      <c r="G17" s="29" t="n">
        <v>0.025</v>
      </c>
      <c r="H17" s="29" t="n">
        <v>0.8</v>
      </c>
      <c r="I17" s="31" t="inlineStr">
        <is>
          <t>≥ 80%</t>
        </is>
      </c>
      <c r="J17" s="32" t="inlineStr">
        <is>
          <t>الابتكار</t>
        </is>
      </c>
      <c r="K17" s="33" t="inlineStr">
        <is>
          <t>التحول التقني</t>
        </is>
      </c>
      <c r="L17" s="28" t="inlineStr">
        <is>
          <t>العمليات الداخلية</t>
        </is>
      </c>
      <c r="M17" s="36" t="n"/>
      <c r="N17" s="16">
        <f>IF($H17="","",IF($M17="","",IF($H17=0,IF($M17&lt;=0,1,0),IF($E17="↓",IFERROR($H17/$M17,0),IFERROR($M17/$H17,0)))))</f>
        <v/>
      </c>
      <c r="O17" s="15">
        <f>IF($N17="","—",IF($N17&gt;=1,"✅ محقق",IF($N17&gt;=0.85,"🟡 قريب","🔴 تحت الهدف")))</f>
        <v/>
      </c>
    </row>
    <row r="18" ht="24" customHeight="1">
      <c r="A18" s="15" t="n">
        <v>15</v>
      </c>
      <c r="B18" s="9" t="inlineStr">
        <is>
          <t>السلامة</t>
        </is>
      </c>
      <c r="C18" s="9" t="inlineStr">
        <is>
          <t>الالتزام بمعايير السلامة داخل المحطة</t>
        </is>
      </c>
      <c r="D18" s="27" t="inlineStr">
        <is>
          <t>%</t>
        </is>
      </c>
      <c r="E18" s="27" t="inlineStr">
        <is>
          <t>↑</t>
        </is>
      </c>
      <c r="F18" s="28" t="inlineStr">
        <is>
          <t>🔴 رئيسي</t>
        </is>
      </c>
      <c r="G18" s="29" t="n">
        <v>0.075</v>
      </c>
      <c r="H18" s="29" t="n">
        <v>1</v>
      </c>
      <c r="I18" s="31" t="inlineStr">
        <is>
          <t>100%</t>
        </is>
      </c>
      <c r="J18" s="32" t="inlineStr">
        <is>
          <t>الاستدامة</t>
        </is>
      </c>
      <c r="K18" s="33" t="inlineStr">
        <is>
          <t>جودة التشغيل</t>
        </is>
      </c>
      <c r="L18" s="28" t="inlineStr">
        <is>
          <t>العمليات الداخلية</t>
        </is>
      </c>
      <c r="M18" s="36" t="n"/>
      <c r="N18" s="16">
        <f>IF($H18="","",IF($M18="","",IF($H18=0,IF($M18&lt;=0,1,0),IF($E18="↓",IFERROR($H18/$M18,0),IFERROR($M18/$H18,0)))))</f>
        <v/>
      </c>
      <c r="O18" s="15">
        <f>IF($N18="","—",IF($N18&gt;=1,"✅ محقق",IF($N18&gt;=0.85,"🟡 قريب","🔴 تحت الهدف")))</f>
        <v/>
      </c>
    </row>
    <row r="19" ht="24" customHeight="1">
      <c r="A19" s="15" t="n">
        <v>16</v>
      </c>
      <c r="B19" s="9" t="inlineStr">
        <is>
          <t>البيئة</t>
        </is>
      </c>
      <c r="C19" s="9" t="inlineStr">
        <is>
          <t>التشجير داخل المحطة (معيار الوزارة)</t>
        </is>
      </c>
      <c r="D19" s="27" t="inlineStr">
        <is>
          <t>%</t>
        </is>
      </c>
      <c r="E19" s="27" t="inlineStr">
        <is>
          <t>↑</t>
        </is>
      </c>
      <c r="F19" s="28" t="inlineStr">
        <is>
          <t>🔴 رئيسي</t>
        </is>
      </c>
      <c r="G19" s="29" t="n">
        <v>0.075</v>
      </c>
      <c r="H19" s="29" t="n">
        <v>1</v>
      </c>
      <c r="I19" s="31" t="inlineStr">
        <is>
          <t>100%</t>
        </is>
      </c>
      <c r="J19" s="32" t="inlineStr">
        <is>
          <t>الاستدامة</t>
        </is>
      </c>
      <c r="K19" s="33" t="inlineStr">
        <is>
          <t>جودة التشغيل</t>
        </is>
      </c>
      <c r="L19" s="28" t="inlineStr">
        <is>
          <t>العمليات الداخلية</t>
        </is>
      </c>
      <c r="M19" s="36" t="n"/>
      <c r="N19" s="16">
        <f>IF($H19="","",IF($M19="","",IF($H19=0,IF($M19&lt;=0,1,0),IF($E19="↓",IFERROR($H19/$M19,0),IFERROR($M19/$H19,0)))))</f>
        <v/>
      </c>
      <c r="O19" s="15">
        <f>IF($N19="","—",IF($N19&gt;=1,"✅ محقق",IF($N19&gt;=0.85,"🟡 قريب","🔴 تحت الهدف")))</f>
        <v/>
      </c>
    </row>
  </sheetData>
  <autoFilter ref="A3:O19"/>
  <mergeCells count="2">
    <mergeCell ref="A1:O1"/>
    <mergeCell ref="A2:O2"/>
  </mergeCells>
  <dataValidations count="1">
    <dataValidation sqref="M4 M5 M6 M7 M8 M9 M10 M11 M12 M13 M14 M15 M16 M17 M18 M19" showDropDown="0" showInputMessage="0" showErrorMessage="0" allowBlank="1" type="decimal"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7"/>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4" t="inlineStr">
        <is>
          <t>إدارة الاستثمار · مؤشرات الأداء 2026</t>
        </is>
      </c>
    </row>
    <row r="2">
      <c r="A2" s="25" t="inlineStr">
        <is>
          <t>🟩 أدخل «المُحقَّق» · نسبة التحقيق والحالة دلّات حقيقية تُحسب تلقائياً</t>
        </is>
      </c>
    </row>
    <row r="3" ht="28" customHeight="1">
      <c r="A3" s="26" t="inlineStr">
        <is>
          <t>#</t>
        </is>
      </c>
      <c r="B3" s="26" t="inlineStr">
        <is>
          <t>المحور</t>
        </is>
      </c>
      <c r="C3" s="26" t="inlineStr">
        <is>
          <t>المؤشر</t>
        </is>
      </c>
      <c r="D3" s="26" t="inlineStr">
        <is>
          <t>الوحدة</t>
        </is>
      </c>
      <c r="E3" s="26" t="inlineStr">
        <is>
          <t>القطبية</t>
        </is>
      </c>
      <c r="F3" s="26" t="inlineStr">
        <is>
          <t>الأولوية</t>
        </is>
      </c>
      <c r="G3" s="26" t="inlineStr">
        <is>
          <t>الوزن %</t>
        </is>
      </c>
      <c r="H3" s="26" t="inlineStr">
        <is>
          <t>المستهدف</t>
        </is>
      </c>
      <c r="I3" s="26" t="inlineStr">
        <is>
          <t>نص المستهدف</t>
        </is>
      </c>
      <c r="J3" s="26" t="inlineStr">
        <is>
          <t>الركيزة</t>
        </is>
      </c>
      <c r="K3" s="26" t="inlineStr">
        <is>
          <t>المشروع</t>
        </is>
      </c>
      <c r="L3" s="26" t="inlineStr">
        <is>
          <t>منظور BSC</t>
        </is>
      </c>
      <c r="M3" s="26" t="inlineStr">
        <is>
          <t>المُحقَّق</t>
        </is>
      </c>
      <c r="N3" s="26" t="inlineStr">
        <is>
          <t>نسبة التحقيق</t>
        </is>
      </c>
      <c r="O3" s="26" t="inlineStr">
        <is>
          <t>الحالة</t>
        </is>
      </c>
    </row>
    <row r="4" ht="24" customHeight="1">
      <c r="A4" s="15" t="n">
        <v>1</v>
      </c>
      <c r="B4" s="9" t="inlineStr">
        <is>
          <t>نمو المحفظة</t>
        </is>
      </c>
      <c r="C4" s="9" t="inlineStr">
        <is>
          <t>إجمالي عقود الاستثمار الجديدة (جميع النماذج)</t>
        </is>
      </c>
      <c r="D4" s="27" t="inlineStr">
        <is>
          <t>عقد</t>
        </is>
      </c>
      <c r="E4" s="27" t="inlineStr">
        <is>
          <t>↑</t>
        </is>
      </c>
      <c r="F4" s="28" t="inlineStr">
        <is>
          <t>🔴 رئيسي</t>
        </is>
      </c>
      <c r="G4" s="29" t="n">
        <v>0.04839</v>
      </c>
      <c r="H4" s="30" t="n">
        <v>190</v>
      </c>
      <c r="I4" s="31" t="inlineStr">
        <is>
          <t>190 عقد</t>
        </is>
      </c>
      <c r="J4" s="32" t="inlineStr">
        <is>
          <t>النمو</t>
        </is>
      </c>
      <c r="K4" s="33" t="inlineStr">
        <is>
          <t>التوسع في المواقع</t>
        </is>
      </c>
      <c r="L4" s="28" t="inlineStr">
        <is>
          <t>العمليات الداخلية</t>
        </is>
      </c>
      <c r="M4" s="34" t="n"/>
      <c r="N4" s="16">
        <f>IF($H4="","",IF($M4="","",IF($H4=0,IF($M4&lt;=0,1,0),IF($E4="↓",IFERROR($H4/$M4,0),IFERROR($M4/$H4,0)))))</f>
        <v/>
      </c>
      <c r="O4" s="15">
        <f>IF($N4="","—",IF($N4&gt;=1,"✅ محقق",IF($N4&gt;=0.85,"🟡 قريب","🔴 تحت الهدف")))</f>
        <v/>
      </c>
    </row>
    <row r="5" ht="24" customHeight="1">
      <c r="A5" s="15" t="n">
        <v>2</v>
      </c>
      <c r="B5" s="9" t="inlineStr">
        <is>
          <t>نمو المحفظة</t>
        </is>
      </c>
      <c r="C5" s="9" t="inlineStr">
        <is>
          <t>عقود الاستثمار العادي الجديدة</t>
        </is>
      </c>
      <c r="D5" s="27" t="inlineStr">
        <is>
          <t>عقد</t>
        </is>
      </c>
      <c r="E5" s="27" t="inlineStr">
        <is>
          <t>↑</t>
        </is>
      </c>
      <c r="F5" s="28" t="inlineStr">
        <is>
          <t>🔴 رئيسي</t>
        </is>
      </c>
      <c r="G5" s="29" t="n">
        <v>0.04839</v>
      </c>
      <c r="H5" s="30" t="n">
        <v>90</v>
      </c>
      <c r="I5" s="31" t="inlineStr">
        <is>
          <t>90 عقد</t>
        </is>
      </c>
      <c r="J5" s="32" t="inlineStr">
        <is>
          <t>النمو</t>
        </is>
      </c>
      <c r="K5" s="33" t="inlineStr">
        <is>
          <t>التوسع في المواقع</t>
        </is>
      </c>
      <c r="L5" s="28" t="inlineStr">
        <is>
          <t>العمليات الداخلية</t>
        </is>
      </c>
      <c r="M5" s="34" t="n"/>
      <c r="N5" s="16">
        <f>IF($H5="","",IF($M5="","",IF($H5=0,IF($M5&lt;=0,1,0),IF($E5="↓",IFERROR($H5/$M5,0),IFERROR($M5/$H5,0)))))</f>
        <v/>
      </c>
      <c r="O5" s="15">
        <f>IF($N5="","—",IF($N5&gt;=1,"✅ محقق",IF($N5&gt;=0.85,"🟡 قريب","🔴 تحت الهدف")))</f>
        <v/>
      </c>
    </row>
    <row r="6" ht="24" customHeight="1">
      <c r="A6" s="15" t="n">
        <v>3</v>
      </c>
      <c r="B6" s="9" t="inlineStr">
        <is>
          <t>نمو المحفظة</t>
        </is>
      </c>
      <c r="C6" s="9" t="inlineStr">
        <is>
          <t>عقود الاستحواذ الجديدة</t>
        </is>
      </c>
      <c r="D6" s="27" t="inlineStr">
        <is>
          <t>عقد</t>
        </is>
      </c>
      <c r="E6" s="27" t="inlineStr">
        <is>
          <t>↑</t>
        </is>
      </c>
      <c r="F6" s="28" t="inlineStr">
        <is>
          <t>🔴 رئيسي</t>
        </is>
      </c>
      <c r="G6" s="29" t="n">
        <v>0.04839</v>
      </c>
      <c r="H6" s="30" t="n">
        <v>100</v>
      </c>
      <c r="I6" s="31" t="inlineStr">
        <is>
          <t>100 عقد</t>
        </is>
      </c>
      <c r="J6" s="32" t="inlineStr">
        <is>
          <t>النمو</t>
        </is>
      </c>
      <c r="K6" s="33" t="inlineStr">
        <is>
          <t>التوسع في المواقع</t>
        </is>
      </c>
      <c r="L6" s="28" t="inlineStr">
        <is>
          <t>العمليات الداخلية</t>
        </is>
      </c>
      <c r="M6" s="34" t="n"/>
      <c r="N6" s="16">
        <f>IF($H6="","",IF($M6="","",IF($H6=0,IF($M6&lt;=0,1,0),IF($E6="↓",IFERROR($H6/$M6,0),IFERROR($M6/$H6,0)))))</f>
        <v/>
      </c>
      <c r="O6" s="15">
        <f>IF($N6="","—",IF($N6&gt;=1,"✅ محقق",IF($N6&gt;=0.85,"🟡 قريب","🔴 تحت الهدف")))</f>
        <v/>
      </c>
    </row>
    <row r="7" ht="24" customHeight="1">
      <c r="A7" s="15" t="n">
        <v>4</v>
      </c>
      <c r="B7" s="9" t="inlineStr">
        <is>
          <t>نمو المحفظة</t>
        </is>
      </c>
      <c r="C7" s="9" t="inlineStr">
        <is>
          <t>المحطات المستحوَذ عليها المشغّلة (تراكمي)</t>
        </is>
      </c>
      <c r="D7" s="27" t="inlineStr">
        <is>
          <t>محطة</t>
        </is>
      </c>
      <c r="E7" s="27" t="inlineStr">
        <is>
          <t>↑</t>
        </is>
      </c>
      <c r="F7" s="28" t="inlineStr">
        <is>
          <t>🔴 رئيسي</t>
        </is>
      </c>
      <c r="G7" s="29" t="n">
        <v>0.04839</v>
      </c>
      <c r="H7" s="30" t="n">
        <v>120</v>
      </c>
      <c r="I7" s="31" t="inlineStr">
        <is>
          <t>120 محطة</t>
        </is>
      </c>
      <c r="J7" s="32" t="inlineStr">
        <is>
          <t>النمو</t>
        </is>
      </c>
      <c r="K7" s="33" t="inlineStr">
        <is>
          <t>التوسع في المواقع</t>
        </is>
      </c>
      <c r="L7" s="28" t="inlineStr">
        <is>
          <t>العمليات الداخلية</t>
        </is>
      </c>
      <c r="M7" s="34" t="n"/>
      <c r="N7" s="16">
        <f>IF($H7="","",IF($M7="","",IF($H7=0,IF($M7&lt;=0,1,0),IF($E7="↓",IFERROR($H7/$M7,0),IFERROR($M7/$H7,0)))))</f>
        <v/>
      </c>
      <c r="O7" s="15">
        <f>IF($N7="","—",IF($N7&gt;=1,"✅ محقق",IF($N7&gt;=0.85,"🟡 قريب","🔴 تحت الهدف")))</f>
        <v/>
      </c>
    </row>
    <row r="8" ht="24" customHeight="1">
      <c r="A8" s="15" t="n">
        <v>5</v>
      </c>
      <c r="B8" s="9" t="inlineStr">
        <is>
          <t>نمو المحفظة</t>
        </is>
      </c>
      <c r="C8" s="9" t="inlineStr">
        <is>
          <t>عقود تأجير الأرض الجديدة</t>
        </is>
      </c>
      <c r="D8" s="27" t="inlineStr">
        <is>
          <t>عقد</t>
        </is>
      </c>
      <c r="E8" s="27" t="inlineStr">
        <is>
          <t>↑</t>
        </is>
      </c>
      <c r="F8" s="28" t="inlineStr">
        <is>
          <t>🔴 رئيسي</t>
        </is>
      </c>
      <c r="G8" s="29" t="n">
        <v>0.04839</v>
      </c>
      <c r="H8" s="30" t="n">
        <v>11</v>
      </c>
      <c r="I8" s="31" t="inlineStr">
        <is>
          <t>11 عقد</t>
        </is>
      </c>
      <c r="J8" s="32" t="inlineStr">
        <is>
          <t>النمو</t>
        </is>
      </c>
      <c r="K8" s="33" t="inlineStr">
        <is>
          <t>التوسع في المواقع</t>
        </is>
      </c>
      <c r="L8" s="28" t="inlineStr">
        <is>
          <t>العمليات الداخلية</t>
        </is>
      </c>
      <c r="M8" s="34" t="n"/>
      <c r="N8" s="16">
        <f>IF($H8="","",IF($M8="","",IF($H8=0,IF($M8&lt;=0,1,0),IF($E8="↓",IFERROR($H8/$M8,0),IFERROR($M8/$H8,0)))))</f>
        <v/>
      </c>
      <c r="O8" s="15">
        <f>IF($N8="","—",IF($N8&gt;=1,"✅ محقق",IF($N8&gt;=0.85,"🟡 قريب","🔴 تحت الهدف")))</f>
        <v/>
      </c>
    </row>
    <row r="9" ht="24" customHeight="1">
      <c r="A9" s="15" t="n">
        <v>6</v>
      </c>
      <c r="B9" s="9" t="inlineStr">
        <is>
          <t>نمو المحفظة</t>
        </is>
      </c>
      <c r="C9" s="9" t="inlineStr">
        <is>
          <t>عقود إيجار المحطة الجديدة</t>
        </is>
      </c>
      <c r="D9" s="27" t="inlineStr">
        <is>
          <t>عقد</t>
        </is>
      </c>
      <c r="E9" s="27" t="inlineStr">
        <is>
          <t>↑</t>
        </is>
      </c>
      <c r="F9" s="28" t="inlineStr">
        <is>
          <t>🔴 رئيسي</t>
        </is>
      </c>
      <c r="G9" s="29" t="n">
        <v>0.04839</v>
      </c>
      <c r="H9" s="30" t="n">
        <v>12</v>
      </c>
      <c r="I9" s="31" t="inlineStr">
        <is>
          <t>12 عقد</t>
        </is>
      </c>
      <c r="J9" s="32" t="inlineStr">
        <is>
          <t>النمو</t>
        </is>
      </c>
      <c r="K9" s="33" t="inlineStr">
        <is>
          <t>التوسع في المواقع</t>
        </is>
      </c>
      <c r="L9" s="28" t="inlineStr">
        <is>
          <t>العمليات الداخلية</t>
        </is>
      </c>
      <c r="M9" s="34" t="n"/>
      <c r="N9" s="16">
        <f>IF($H9="","",IF($M9="","",IF($H9=0,IF($M9&lt;=0,1,0),IF($E9="↓",IFERROR($H9/$M9,0),IFERROR($M9/$H9,0)))))</f>
        <v/>
      </c>
      <c r="O9" s="15">
        <f>IF($N9="","—",IF($N9&gt;=1,"✅ محقق",IF($N9&gt;=0.85,"🟡 قريب","🔴 تحت الهدف")))</f>
        <v/>
      </c>
    </row>
    <row r="10" ht="24" customHeight="1">
      <c r="A10" s="15" t="n">
        <v>7</v>
      </c>
      <c r="B10" s="9" t="inlineStr">
        <is>
          <t>نمو المحفظة</t>
        </is>
      </c>
      <c r="C10" s="9" t="inlineStr">
        <is>
          <t>عقود تشغيل المحطة الجديدة</t>
        </is>
      </c>
      <c r="D10" s="27" t="inlineStr">
        <is>
          <t>عقد</t>
        </is>
      </c>
      <c r="E10" s="27" t="inlineStr">
        <is>
          <t>↑</t>
        </is>
      </c>
      <c r="F10" s="28" t="inlineStr">
        <is>
          <t>🔴 رئيسي</t>
        </is>
      </c>
      <c r="G10" s="29" t="n">
        <v>0.04839</v>
      </c>
      <c r="H10" s="30" t="n">
        <v>68</v>
      </c>
      <c r="I10" s="31" t="inlineStr">
        <is>
          <t>68 عقد</t>
        </is>
      </c>
      <c r="J10" s="32" t="inlineStr">
        <is>
          <t>النمو</t>
        </is>
      </c>
      <c r="K10" s="33" t="inlineStr">
        <is>
          <t>التوسع في المواقع</t>
        </is>
      </c>
      <c r="L10" s="28" t="inlineStr">
        <is>
          <t>العمليات الداخلية</t>
        </is>
      </c>
      <c r="M10" s="34" t="n"/>
      <c r="N10" s="16">
        <f>IF($H10="","",IF($M10="","",IF($H10=0,IF($M10&lt;=0,1,0),IF($E10="↓",IFERROR($H10/$M10,0),IFERROR($M10/$H10,0)))))</f>
        <v/>
      </c>
      <c r="O10" s="15">
        <f>IF($N10="","—",IF($N10&gt;=1,"✅ محقق",IF($N10&gt;=0.85,"🟡 قريب","🔴 تحت الهدف")))</f>
        <v/>
      </c>
    </row>
    <row r="11" ht="24" customHeight="1">
      <c r="A11" s="15" t="n">
        <v>8</v>
      </c>
      <c r="B11" s="9" t="inlineStr">
        <is>
          <t>الربحية وجودة الموقع</t>
        </is>
      </c>
      <c r="C11" s="9" t="inlineStr">
        <is>
          <t>نسبة المواقع المعتمدة ذات العائد المجدي</t>
        </is>
      </c>
      <c r="D11" s="27" t="inlineStr">
        <is>
          <t>%</t>
        </is>
      </c>
      <c r="E11" s="27" t="inlineStr">
        <is>
          <t>↑</t>
        </is>
      </c>
      <c r="F11" s="28" t="inlineStr">
        <is>
          <t>🔴 رئيسي</t>
        </is>
      </c>
      <c r="G11" s="29" t="n">
        <v>0.04839</v>
      </c>
      <c r="H11" s="29" t="n">
        <v>0.8</v>
      </c>
      <c r="I11" s="31" t="inlineStr">
        <is>
          <t>80%+</t>
        </is>
      </c>
      <c r="J11" s="32" t="inlineStr">
        <is>
          <t>الاستدامة</t>
        </is>
      </c>
      <c r="K11" s="33" t="inlineStr">
        <is>
          <t>جودة التشغيل</t>
        </is>
      </c>
      <c r="L11" s="28" t="inlineStr">
        <is>
          <t>مالي</t>
        </is>
      </c>
      <c r="M11" s="36" t="n"/>
      <c r="N11" s="16">
        <f>IF($H11="","",IF($M11="","",IF($H11=0,IF($M11&lt;=0,1,0),IF($E11="↓",IFERROR($H11/$M11,0),IFERROR($M11/$H11,0)))))</f>
        <v/>
      </c>
      <c r="O11" s="15">
        <f>IF($N11="","—",IF($N11&gt;=1,"✅ محقق",IF($N11&gt;=0.85,"🟡 قريب","🔴 تحت الهدف")))</f>
        <v/>
      </c>
    </row>
    <row r="12" ht="24" customHeight="1">
      <c r="A12" s="15" t="n">
        <v>9</v>
      </c>
      <c r="B12" s="9" t="inlineStr">
        <is>
          <t>الربحية وجودة الموقع</t>
        </is>
      </c>
      <c r="C12" s="9" t="inlineStr">
        <is>
          <t>متوسط فترة استرداد رأس المال</t>
        </is>
      </c>
      <c r="D12" s="27" t="inlineStr">
        <is>
          <t>سنة</t>
        </is>
      </c>
      <c r="E12" s="27" t="inlineStr">
        <is>
          <t>↓</t>
        </is>
      </c>
      <c r="F12" s="28" t="inlineStr">
        <is>
          <t>🟠 مهم</t>
        </is>
      </c>
      <c r="G12" s="29" t="n">
        <v>0.03226</v>
      </c>
      <c r="H12" s="37" t="n">
        <v>5</v>
      </c>
      <c r="I12" s="31" t="inlineStr">
        <is>
          <t>≤ 5 سنوات</t>
        </is>
      </c>
      <c r="J12" s="32" t="inlineStr">
        <is>
          <t>الاستدامة</t>
        </is>
      </c>
      <c r="K12" s="33" t="inlineStr">
        <is>
          <t>جودة التشغيل</t>
        </is>
      </c>
      <c r="L12" s="28" t="inlineStr">
        <is>
          <t>مالي</t>
        </is>
      </c>
      <c r="M12" s="38" t="n"/>
      <c r="N12" s="16">
        <f>IF($H12="","",IF($M12="","",IF($H12=0,IF($M12&lt;=0,1,0),IF($E12="↓",IFERROR($H12/$M12,0),IFERROR($M12/$H12,0)))))</f>
        <v/>
      </c>
      <c r="O12" s="15">
        <f>IF($N12="","—",IF($N12&gt;=1,"✅ محقق",IF($N12&gt;=0.85,"🟡 قريب","🔴 تحت الهدف")))</f>
        <v/>
      </c>
    </row>
    <row r="13" ht="24" customHeight="1">
      <c r="A13" s="15" t="n">
        <v>10</v>
      </c>
      <c r="B13" s="9" t="inlineStr">
        <is>
          <t>الربحية وجودة الموقع</t>
        </is>
      </c>
      <c r="C13" s="9" t="inlineStr">
        <is>
          <t>متوسط قيمة عقد الإيجار السنوي (أرض)</t>
        </is>
      </c>
      <c r="D13" s="27" t="inlineStr">
        <is>
          <t>ر.س</t>
        </is>
      </c>
      <c r="E13" s="27" t="inlineStr">
        <is>
          <t>↑</t>
        </is>
      </c>
      <c r="F13" s="28" t="inlineStr">
        <is>
          <t>🔴 رئيسي</t>
        </is>
      </c>
      <c r="G13" s="29" t="n">
        <v>0.04839</v>
      </c>
      <c r="H13" s="27" t="inlineStr"/>
      <c r="I13" s="31" t="inlineStr">
        <is>
          <t>يُحدد لاحقاً</t>
        </is>
      </c>
      <c r="J13" s="32" t="inlineStr">
        <is>
          <t>النمو</t>
        </is>
      </c>
      <c r="K13" s="33" t="inlineStr">
        <is>
          <t>التوسع في المواقع</t>
        </is>
      </c>
      <c r="L13" s="28" t="inlineStr">
        <is>
          <t>مالي</t>
        </is>
      </c>
      <c r="M13" s="35" t="n"/>
      <c r="N13" s="16">
        <f>IF($H13="","",IF($M13="","",IF($H13=0,IF($M13&lt;=0,1,0),IF($E13="↓",IFERROR($H13/$M13,0),IFERROR($M13/$H13,0)))))</f>
        <v/>
      </c>
      <c r="O13" s="15">
        <f>IF($N13="","—",IF($N13&gt;=1,"✅ محقق",IF($N13&gt;=0.85,"🟡 قريب","🔴 تحت الهدف")))</f>
        <v/>
      </c>
    </row>
    <row r="14" ht="24" customHeight="1">
      <c r="A14" s="15" t="n">
        <v>11</v>
      </c>
      <c r="B14" s="9" t="inlineStr">
        <is>
          <t>التوسع الإقليمي</t>
        </is>
      </c>
      <c r="C14" s="9" t="inlineStr">
        <is>
          <t>نسبة العقود التي تغطي المناطق الـ13</t>
        </is>
      </c>
      <c r="D14" s="27" t="inlineStr">
        <is>
          <t>%</t>
        </is>
      </c>
      <c r="E14" s="27" t="inlineStr">
        <is>
          <t>↑</t>
        </is>
      </c>
      <c r="F14" s="28" t="inlineStr">
        <is>
          <t>🔴 رئيسي</t>
        </is>
      </c>
      <c r="G14" s="29" t="n">
        <v>0.04839</v>
      </c>
      <c r="H14" s="29" t="n">
        <v>1</v>
      </c>
      <c r="I14" s="31" t="inlineStr">
        <is>
          <t>100%</t>
        </is>
      </c>
      <c r="J14" s="32" t="inlineStr">
        <is>
          <t>النمو</t>
        </is>
      </c>
      <c r="K14" s="33" t="inlineStr">
        <is>
          <t>التوسع في المواقع</t>
        </is>
      </c>
      <c r="L14" s="28" t="inlineStr">
        <is>
          <t>العمليات الداخلية</t>
        </is>
      </c>
      <c r="M14" s="36" t="n"/>
      <c r="N14" s="16">
        <f>IF($H14="","",IF($M14="","",IF($H14=0,IF($M14&lt;=0,1,0),IF($E14="↓",IFERROR($H14/$M14,0),IFERROR($M14/$H14,0)))))</f>
        <v/>
      </c>
      <c r="O14" s="15">
        <f>IF($N14="","—",IF($N14&gt;=1,"✅ محقق",IF($N14&gt;=0.85,"🟡 قريب","🔴 تحت الهدف")))</f>
        <v/>
      </c>
    </row>
    <row r="15" ht="24" customHeight="1">
      <c r="A15" s="15" t="n">
        <v>12</v>
      </c>
      <c r="B15" s="9" t="inlineStr">
        <is>
          <t>التوسع الإقليمي</t>
        </is>
      </c>
      <c r="C15" s="9" t="inlineStr">
        <is>
          <t>نسبة العقود خارج المدن الرئيسية</t>
        </is>
      </c>
      <c r="D15" s="27" t="inlineStr">
        <is>
          <t>%</t>
        </is>
      </c>
      <c r="E15" s="27" t="inlineStr">
        <is>
          <t>↑</t>
        </is>
      </c>
      <c r="F15" s="28" t="inlineStr">
        <is>
          <t>🔴 رئيسي</t>
        </is>
      </c>
      <c r="G15" s="29" t="n">
        <v>0.04839</v>
      </c>
      <c r="H15" s="29" t="n">
        <v>0.6</v>
      </c>
      <c r="I15" s="31" t="inlineStr">
        <is>
          <t>&gt; 60%</t>
        </is>
      </c>
      <c r="J15" s="32" t="inlineStr">
        <is>
          <t>النمو</t>
        </is>
      </c>
      <c r="K15" s="33" t="inlineStr">
        <is>
          <t>التوسع في المواقع</t>
        </is>
      </c>
      <c r="L15" s="28" t="inlineStr">
        <is>
          <t>العمليات الداخلية</t>
        </is>
      </c>
      <c r="M15" s="36" t="n"/>
      <c r="N15" s="16">
        <f>IF($H15="","",IF($M15="","",IF($H15=0,IF($M15&lt;=0,1,0),IF($E15="↓",IFERROR($H15/$M15,0),IFERROR($M15/$H15,0)))))</f>
        <v/>
      </c>
      <c r="O15" s="15">
        <f>IF($N15="","—",IF($N15&gt;=1,"✅ محقق",IF($N15&gt;=0.85,"🟡 قريب","🔴 تحت الهدف")))</f>
        <v/>
      </c>
    </row>
    <row r="16" ht="24" customHeight="1">
      <c r="A16" s="15" t="n">
        <v>13</v>
      </c>
      <c r="B16" s="9" t="inlineStr">
        <is>
          <t>التوسع الإقليمي</t>
        </is>
      </c>
      <c r="C16" s="9" t="inlineStr">
        <is>
          <t>نسبة العقود في الـ12 مدينة الرئيسية</t>
        </is>
      </c>
      <c r="D16" s="27" t="inlineStr">
        <is>
          <t>%</t>
        </is>
      </c>
      <c r="E16" s="27" t="inlineStr">
        <is>
          <t>↓</t>
        </is>
      </c>
      <c r="F16" s="28" t="inlineStr">
        <is>
          <t>🔴 رئيسي</t>
        </is>
      </c>
      <c r="G16" s="29" t="n">
        <v>0.04839</v>
      </c>
      <c r="H16" s="29" t="n">
        <v>0.4</v>
      </c>
      <c r="I16" s="31" t="inlineStr">
        <is>
          <t>&lt; 40%</t>
        </is>
      </c>
      <c r="J16" s="32" t="inlineStr">
        <is>
          <t>النمو</t>
        </is>
      </c>
      <c r="K16" s="33" t="inlineStr">
        <is>
          <t>التوسع في المواقع</t>
        </is>
      </c>
      <c r="L16" s="28" t="inlineStr">
        <is>
          <t>العمليات الداخلية</t>
        </is>
      </c>
      <c r="M16" s="36" t="n"/>
      <c r="N16" s="16">
        <f>IF($H16="","",IF($M16="","",IF($H16=0,IF($M16&lt;=0,1,0),IF($E16="↓",IFERROR($H16/$M16,0),IFERROR($M16/$H16,0)))))</f>
        <v/>
      </c>
      <c r="O16" s="15">
        <f>IF($N16="","—",IF($N16&gt;=1,"✅ محقق",IF($N16&gt;=0.85,"🟡 قريب","🔴 تحت الهدف")))</f>
        <v/>
      </c>
    </row>
    <row r="17" ht="24" customHeight="1">
      <c r="A17" s="15" t="n">
        <v>14</v>
      </c>
      <c r="B17" s="9" t="inlineStr">
        <is>
          <t>التوسع الإقليمي</t>
        </is>
      </c>
      <c r="C17" s="9" t="inlineStr">
        <is>
          <t>نسبة العقود على الطرق الإقليمية</t>
        </is>
      </c>
      <c r="D17" s="27" t="inlineStr">
        <is>
          <t>%</t>
        </is>
      </c>
      <c r="E17" s="27" t="inlineStr">
        <is>
          <t>↑</t>
        </is>
      </c>
      <c r="F17" s="28" t="inlineStr">
        <is>
          <t>🔴 رئيسي</t>
        </is>
      </c>
      <c r="G17" s="29" t="n">
        <v>0.04839</v>
      </c>
      <c r="H17" s="29" t="n">
        <v>0.25</v>
      </c>
      <c r="I17" s="31" t="inlineStr">
        <is>
          <t>&gt; 25%</t>
        </is>
      </c>
      <c r="J17" s="32" t="inlineStr">
        <is>
          <t>النمو</t>
        </is>
      </c>
      <c r="K17" s="33" t="inlineStr">
        <is>
          <t>التوسع في المواقع</t>
        </is>
      </c>
      <c r="L17" s="28" t="inlineStr">
        <is>
          <t>العمليات الداخلية</t>
        </is>
      </c>
      <c r="M17" s="36" t="n"/>
      <c r="N17" s="16">
        <f>IF($H17="","",IF($M17="","",IF($H17=0,IF($M17&lt;=0,1,0),IF($E17="↓",IFERROR($H17/$M17,0),IFERROR($M17/$H17,0)))))</f>
        <v/>
      </c>
      <c r="O17" s="15">
        <f>IF($N17="","—",IF($N17&gt;=1,"✅ محقق",IF($N17&gt;=0.85,"🟡 قريب","🔴 تحت الهدف")))</f>
        <v/>
      </c>
    </row>
    <row r="18" ht="24" customHeight="1">
      <c r="A18" s="15" t="n">
        <v>15</v>
      </c>
      <c r="B18" s="9" t="inlineStr">
        <is>
          <t>كفاءة الدورة</t>
        </is>
      </c>
      <c r="C18" s="9" t="inlineStr">
        <is>
          <t>متوسط مدة إغلاق عقد الاستثمار</t>
        </is>
      </c>
      <c r="D18" s="27" t="inlineStr">
        <is>
          <t>أسبوع</t>
        </is>
      </c>
      <c r="E18" s="27" t="inlineStr">
        <is>
          <t>↓</t>
        </is>
      </c>
      <c r="F18" s="28" t="inlineStr">
        <is>
          <t>🔴 رئيسي</t>
        </is>
      </c>
      <c r="G18" s="29" t="n">
        <v>0.04839</v>
      </c>
      <c r="H18" s="37" t="n">
        <v>1</v>
      </c>
      <c r="I18" s="31" t="inlineStr">
        <is>
          <t>≤ أسبوع</t>
        </is>
      </c>
      <c r="J18" s="32" t="inlineStr">
        <is>
          <t>النمو</t>
        </is>
      </c>
      <c r="K18" s="33" t="inlineStr">
        <is>
          <t>التوسع في المواقع</t>
        </is>
      </c>
      <c r="L18" s="28" t="inlineStr">
        <is>
          <t>العمليات الداخلية</t>
        </is>
      </c>
      <c r="M18" s="38" t="n"/>
      <c r="N18" s="16">
        <f>IF($H18="","",IF($M18="","",IF($H18=0,IF($M18&lt;=0,1,0),IF($E18="↓",IFERROR($H18/$M18,0),IFERROR($M18/$H18,0)))))</f>
        <v/>
      </c>
      <c r="O18" s="15">
        <f>IF($N18="","—",IF($N18&gt;=1,"✅ محقق",IF($N18&gt;=0.85,"🟡 قريب","🔴 تحت الهدف")))</f>
        <v/>
      </c>
    </row>
    <row r="19" ht="24" customHeight="1">
      <c r="A19" s="15" t="n">
        <v>16</v>
      </c>
      <c r="B19" s="9" t="inlineStr">
        <is>
          <t>كفاءة الدورة</t>
        </is>
      </c>
      <c r="C19" s="9" t="inlineStr">
        <is>
          <t>نسبة العقود المتحوّلة لمحطات مشغّلة</t>
        </is>
      </c>
      <c r="D19" s="27" t="inlineStr">
        <is>
          <t>%</t>
        </is>
      </c>
      <c r="E19" s="27" t="inlineStr">
        <is>
          <t>↑</t>
        </is>
      </c>
      <c r="F19" s="28" t="inlineStr">
        <is>
          <t>🔴 رئيسي</t>
        </is>
      </c>
      <c r="G19" s="29" t="n">
        <v>0.04839</v>
      </c>
      <c r="H19" s="29" t="n">
        <v>0.3</v>
      </c>
      <c r="I19" s="31" t="inlineStr">
        <is>
          <t>≥ 30%</t>
        </is>
      </c>
      <c r="J19" s="32" t="inlineStr">
        <is>
          <t>النمو</t>
        </is>
      </c>
      <c r="K19" s="33" t="inlineStr">
        <is>
          <t>التوسع في المواقع</t>
        </is>
      </c>
      <c r="L19" s="28" t="inlineStr">
        <is>
          <t>العمليات الداخلية</t>
        </is>
      </c>
      <c r="M19" s="36" t="n"/>
      <c r="N19" s="16">
        <f>IF($H19="","",IF($M19="","",IF($H19=0,IF($M19&lt;=0,1,0),IF($E19="↓",IFERROR($H19/$M19,0),IFERROR($M19/$H19,0)))))</f>
        <v/>
      </c>
      <c r="O19" s="15">
        <f>IF($N19="","—",IF($N19&gt;=1,"✅ محقق",IF($N19&gt;=0.85,"🟡 قريب","🔴 تحت الهدف")))</f>
        <v/>
      </c>
    </row>
    <row r="20" ht="24" customHeight="1">
      <c r="A20" s="15" t="n">
        <v>17</v>
      </c>
      <c r="B20" s="9" t="inlineStr">
        <is>
          <t>كفاءة الدورة</t>
        </is>
      </c>
      <c r="C20" s="9" t="inlineStr">
        <is>
          <t>نسبة تخفيض إيجار المواقع عالية التكاليف</t>
        </is>
      </c>
      <c r="D20" s="27" t="inlineStr">
        <is>
          <t>%</t>
        </is>
      </c>
      <c r="E20" s="27" t="inlineStr">
        <is>
          <t>↑</t>
        </is>
      </c>
      <c r="F20" s="28" t="inlineStr">
        <is>
          <t>🟠 مهم</t>
        </is>
      </c>
      <c r="G20" s="29" t="n">
        <v>0.03226</v>
      </c>
      <c r="H20" s="29" t="n">
        <v>0.3</v>
      </c>
      <c r="I20" s="31" t="inlineStr">
        <is>
          <t>≥ 30%</t>
        </is>
      </c>
      <c r="J20" s="32" t="inlineStr">
        <is>
          <t>الاستدامة</t>
        </is>
      </c>
      <c r="K20" s="33" t="inlineStr">
        <is>
          <t>جودة التشغيل</t>
        </is>
      </c>
      <c r="L20" s="28" t="inlineStr">
        <is>
          <t>العمليات الداخلية</t>
        </is>
      </c>
      <c r="M20" s="36" t="n"/>
      <c r="N20" s="16">
        <f>IF($H20="","",IF($M20="","",IF($H20=0,IF($M20&lt;=0,1,0),IF($E20="↓",IFERROR($H20/$M20,0),IFERROR($M20/$H20,0)))))</f>
        <v/>
      </c>
      <c r="O20" s="15">
        <f>IF($N20="","—",IF($N20&gt;=1,"✅ محقق",IF($N20&gt;=0.85,"🟡 قريب","🔴 تحت الهدف")))</f>
        <v/>
      </c>
    </row>
    <row r="21" ht="24" customHeight="1">
      <c r="A21" s="15" t="n">
        <v>18</v>
      </c>
      <c r="B21" s="9" t="inlineStr">
        <is>
          <t>الامتثال</t>
        </is>
      </c>
      <c r="C21" s="9" t="inlineStr">
        <is>
          <t>نسبة اكتمال المستندات النظامية قبل التوقيع</t>
        </is>
      </c>
      <c r="D21" s="27" t="inlineStr">
        <is>
          <t>%</t>
        </is>
      </c>
      <c r="E21" s="27" t="inlineStr">
        <is>
          <t>↑</t>
        </is>
      </c>
      <c r="F21" s="28" t="inlineStr">
        <is>
          <t>🟡 متابعة</t>
        </is>
      </c>
      <c r="G21" s="29" t="n">
        <v>0.01613</v>
      </c>
      <c r="H21" s="29" t="n">
        <v>1</v>
      </c>
      <c r="I21" s="31" t="inlineStr">
        <is>
          <t>100%</t>
        </is>
      </c>
      <c r="J21" s="32" t="inlineStr">
        <is>
          <t>الاستدامة</t>
        </is>
      </c>
      <c r="K21" s="33" t="inlineStr">
        <is>
          <t>جودة التشغيل</t>
        </is>
      </c>
      <c r="L21" s="28" t="inlineStr">
        <is>
          <t>العمليات الداخلية</t>
        </is>
      </c>
      <c r="M21" s="36" t="n"/>
      <c r="N21" s="16">
        <f>IF($H21="","",IF($M21="","",IF($H21=0,IF($M21&lt;=0,1,0),IF($E21="↓",IFERROR($H21/$M21,0),IFERROR($M21/$H21,0)))))</f>
        <v/>
      </c>
      <c r="O21" s="15">
        <f>IF($N21="","—",IF($N21&gt;=1,"✅ محقق",IF($N21&gt;=0.85,"🟡 قريب","🔴 تحت الهدف")))</f>
        <v/>
      </c>
    </row>
    <row r="22" ht="24" customHeight="1">
      <c r="A22" s="15" t="n">
        <v>19</v>
      </c>
      <c r="B22" s="9" t="inlineStr">
        <is>
          <t>الامتثال</t>
        </is>
      </c>
      <c r="C22" s="9" t="inlineStr">
        <is>
          <t>نسبة العقود المؤرشفة إلكترونياً خلال 48 ساعة</t>
        </is>
      </c>
      <c r="D22" s="27" t="inlineStr">
        <is>
          <t>%</t>
        </is>
      </c>
      <c r="E22" s="27" t="inlineStr">
        <is>
          <t>↑</t>
        </is>
      </c>
      <c r="F22" s="28" t="inlineStr">
        <is>
          <t>🔴 رئيسي</t>
        </is>
      </c>
      <c r="G22" s="29" t="n">
        <v>0.04839</v>
      </c>
      <c r="H22" s="29" t="n">
        <v>0.95</v>
      </c>
      <c r="I22" s="31" t="inlineStr">
        <is>
          <t>95%+</t>
        </is>
      </c>
      <c r="J22" s="32" t="inlineStr">
        <is>
          <t>الاستدامة</t>
        </is>
      </c>
      <c r="K22" s="33" t="inlineStr">
        <is>
          <t>جودة التشغيل</t>
        </is>
      </c>
      <c r="L22" s="28" t="inlineStr">
        <is>
          <t>العمليات الداخلية</t>
        </is>
      </c>
      <c r="M22" s="36" t="n"/>
      <c r="N22" s="16">
        <f>IF($H22="","",IF($M22="","",IF($H22=0,IF($M22&lt;=0,1,0),IF($E22="↓",IFERROR($H22/$M22,0),IFERROR($M22/$H22,0)))))</f>
        <v/>
      </c>
      <c r="O22" s="15">
        <f>IF($N22="","—",IF($N22&gt;=1,"✅ محقق",IF($N22&gt;=0.85,"🟡 قريب","🔴 تحت الهدف")))</f>
        <v/>
      </c>
    </row>
    <row r="23" ht="24" customHeight="1">
      <c r="A23" s="15" t="n">
        <v>20</v>
      </c>
      <c r="B23" s="9" t="inlineStr">
        <is>
          <t>جودة التعاقد</t>
        </is>
      </c>
      <c r="C23" s="9" t="inlineStr">
        <is>
          <t>جودة التفاوض مع المستثمرين</t>
        </is>
      </c>
      <c r="D23" s="27" t="inlineStr">
        <is>
          <t>%</t>
        </is>
      </c>
      <c r="E23" s="27" t="inlineStr">
        <is>
          <t>↑</t>
        </is>
      </c>
      <c r="F23" s="28" t="inlineStr">
        <is>
          <t>🟠 مهم</t>
        </is>
      </c>
      <c r="G23" s="29" t="n">
        <v>0.03226</v>
      </c>
      <c r="H23" s="29" t="n">
        <v>0.98</v>
      </c>
      <c r="I23" s="31" t="inlineStr">
        <is>
          <t>98%</t>
        </is>
      </c>
      <c r="J23" s="32" t="inlineStr">
        <is>
          <t>النمو</t>
        </is>
      </c>
      <c r="K23" s="33" t="inlineStr">
        <is>
          <t>التوسع في المواقع</t>
        </is>
      </c>
      <c r="L23" s="28" t="inlineStr">
        <is>
          <t>العمليات الداخلية</t>
        </is>
      </c>
      <c r="M23" s="36" t="n"/>
      <c r="N23" s="16">
        <f>IF($H23="","",IF($M23="","",IF($H23=0,IF($M23&lt;=0,1,0),IF($E23="↓",IFERROR($H23/$M23,0),IFERROR($M23/$H23,0)))))</f>
        <v/>
      </c>
      <c r="O23" s="15">
        <f>IF($N23="","—",IF($N23&gt;=1,"✅ محقق",IF($N23&gt;=0.85,"🟡 قريب","🔴 تحت الهدف")))</f>
        <v/>
      </c>
    </row>
    <row r="24" ht="24" customHeight="1">
      <c r="A24" s="15" t="n">
        <v>21</v>
      </c>
      <c r="B24" s="9" t="inlineStr">
        <is>
          <t>جودة التعاقد</t>
        </is>
      </c>
      <c r="C24" s="9" t="inlineStr">
        <is>
          <t>سرعة إنجاز إجراءات التعاقد</t>
        </is>
      </c>
      <c r="D24" s="27" t="inlineStr">
        <is>
          <t>أسبوع</t>
        </is>
      </c>
      <c r="E24" s="27" t="inlineStr">
        <is>
          <t>↓</t>
        </is>
      </c>
      <c r="F24" s="28" t="inlineStr">
        <is>
          <t>🟠 مهم</t>
        </is>
      </c>
      <c r="G24" s="29" t="n">
        <v>0.03226</v>
      </c>
      <c r="H24" s="37" t="n">
        <v>1</v>
      </c>
      <c r="I24" s="31" t="inlineStr">
        <is>
          <t>≤ أسبوع</t>
        </is>
      </c>
      <c r="J24" s="32" t="inlineStr">
        <is>
          <t>النمو</t>
        </is>
      </c>
      <c r="K24" s="33" t="inlineStr">
        <is>
          <t>التوسع في المواقع</t>
        </is>
      </c>
      <c r="L24" s="28" t="inlineStr">
        <is>
          <t>العمليات الداخلية</t>
        </is>
      </c>
      <c r="M24" s="38" t="n"/>
      <c r="N24" s="16">
        <f>IF($H24="","",IF($M24="","",IF($H24=0,IF($M24&lt;=0,1,0),IF($E24="↓",IFERROR($H24/$M24,0),IFERROR($M24/$H24,0)))))</f>
        <v/>
      </c>
      <c r="O24" s="15">
        <f>IF($N24="","—",IF($N24&gt;=1,"✅ محقق",IF($N24&gt;=0.85,"🟡 قريب","🔴 تحت الهدف")))</f>
        <v/>
      </c>
    </row>
    <row r="25" ht="24" customHeight="1">
      <c r="A25" s="15" t="n">
        <v>22</v>
      </c>
      <c r="B25" s="9" t="inlineStr">
        <is>
          <t>جودة التعاقد</t>
        </is>
      </c>
      <c r="C25" s="9" t="inlineStr">
        <is>
          <t>مدى رضا المستثمرين وشركاء الاستثمار</t>
        </is>
      </c>
      <c r="D25" s="27" t="inlineStr">
        <is>
          <t>%</t>
        </is>
      </c>
      <c r="E25" s="27" t="inlineStr">
        <is>
          <t>↑</t>
        </is>
      </c>
      <c r="F25" s="28" t="inlineStr">
        <is>
          <t>🔴 رئيسي</t>
        </is>
      </c>
      <c r="G25" s="29" t="n">
        <v>0.04839</v>
      </c>
      <c r="H25" s="29" t="n">
        <v>0.8</v>
      </c>
      <c r="I25" s="31" t="inlineStr">
        <is>
          <t>80%+</t>
        </is>
      </c>
      <c r="J25" s="32" t="inlineStr">
        <is>
          <t>الاستدامة</t>
        </is>
      </c>
      <c r="K25" s="33" t="inlineStr">
        <is>
          <t>تعزيز تجربة العملاء</t>
        </is>
      </c>
      <c r="L25" s="28" t="inlineStr">
        <is>
          <t>العملاء</t>
        </is>
      </c>
      <c r="M25" s="36" t="n"/>
      <c r="N25" s="16">
        <f>IF($H25="","",IF($M25="","",IF($H25=0,IF($M25&lt;=0,1,0),IF($E25="↓",IFERROR($H25/$M25,0),IFERROR($M25/$H25,0)))))</f>
        <v/>
      </c>
      <c r="O25" s="15">
        <f>IF($N25="","—",IF($N25&gt;=1,"✅ محقق",IF($N25&gt;=0.85,"🟡 قريب","🔴 تحت الهدف")))</f>
        <v/>
      </c>
    </row>
    <row r="26" ht="24" customHeight="1">
      <c r="A26" s="15" t="n">
        <v>23</v>
      </c>
      <c r="B26" s="9" t="inlineStr">
        <is>
          <t>جودة التعاقد</t>
        </is>
      </c>
      <c r="C26" s="9" t="inlineStr">
        <is>
          <t>نسبة اكتمال أرشفة ملفات العملاء</t>
        </is>
      </c>
      <c r="D26" s="27" t="inlineStr">
        <is>
          <t>%</t>
        </is>
      </c>
      <c r="E26" s="27" t="inlineStr">
        <is>
          <t>↑</t>
        </is>
      </c>
      <c r="F26" s="28" t="inlineStr">
        <is>
          <t>🟡 متابعة</t>
        </is>
      </c>
      <c r="G26" s="29" t="n">
        <v>0.01613</v>
      </c>
      <c r="H26" s="29" t="n">
        <v>1</v>
      </c>
      <c r="I26" s="31" t="inlineStr">
        <is>
          <t>100%</t>
        </is>
      </c>
      <c r="J26" s="32" t="inlineStr">
        <is>
          <t>الاستدامة</t>
        </is>
      </c>
      <c r="K26" s="33" t="inlineStr">
        <is>
          <t>جودة التشغيل</t>
        </is>
      </c>
      <c r="L26" s="28" t="inlineStr">
        <is>
          <t>العملاء</t>
        </is>
      </c>
      <c r="M26" s="36" t="n"/>
      <c r="N26" s="16">
        <f>IF($H26="","",IF($M26="","",IF($H26=0,IF($M26&lt;=0,1,0),IF($E26="↓",IFERROR($H26/$M26,0),IFERROR($M26/$H26,0)))))</f>
        <v/>
      </c>
      <c r="O26" s="15">
        <f>IF($N26="","—",IF($N26&gt;=1,"✅ محقق",IF($N26&gt;=0.85,"🟡 قريب","🔴 تحت الهدف")))</f>
        <v/>
      </c>
    </row>
    <row r="27" ht="24" customHeight="1">
      <c r="A27" s="15" t="n">
        <v>24</v>
      </c>
      <c r="B27" s="9" t="inlineStr">
        <is>
          <t>جودة التعاقد</t>
        </is>
      </c>
      <c r="C27" s="9" t="inlineStr">
        <is>
          <t>نسبة إنجاز التقارير الدورية في موعدها</t>
        </is>
      </c>
      <c r="D27" s="27" t="inlineStr">
        <is>
          <t>%</t>
        </is>
      </c>
      <c r="E27" s="27" t="inlineStr">
        <is>
          <t>↑</t>
        </is>
      </c>
      <c r="F27" s="28" t="inlineStr">
        <is>
          <t>🟡 متابعة</t>
        </is>
      </c>
      <c r="G27" s="29" t="n">
        <v>0.01613</v>
      </c>
      <c r="H27" s="29" t="n">
        <v>1</v>
      </c>
      <c r="I27" s="31" t="inlineStr">
        <is>
          <t>100%</t>
        </is>
      </c>
      <c r="J27" s="32" t="inlineStr">
        <is>
          <t>الاستدامة</t>
        </is>
      </c>
      <c r="K27" s="33" t="inlineStr">
        <is>
          <t>جودة التشغيل</t>
        </is>
      </c>
      <c r="L27" s="28" t="inlineStr">
        <is>
          <t>العمليات الداخلية</t>
        </is>
      </c>
      <c r="M27" s="36" t="n"/>
      <c r="N27" s="16">
        <f>IF($H27="","",IF($M27="","",IF($H27=0,IF($M27&lt;=0,1,0),IF($E27="↓",IFERROR($H27/$M27,0),IFERROR($M27/$H27,0)))))</f>
        <v/>
      </c>
      <c r="O27" s="15">
        <f>IF($N27="","—",IF($N27&gt;=1,"✅ محقق",IF($N27&gt;=0.85,"🟡 قريب","🔴 تحت الهدف")))</f>
        <v/>
      </c>
    </row>
  </sheetData>
  <autoFilter ref="A3:O27"/>
  <mergeCells count="2">
    <mergeCell ref="A1:O1"/>
    <mergeCell ref="A2:O2"/>
  </mergeCells>
  <dataValidations count="1">
    <dataValidation sqref="M4 M5 M6 M7 M8 M9 M10 M11 M12 M13 M14 M15 M16 M17 M18 M19 M20 M21 M22 M23 M24 M25 M26 M27" showDropDown="0" showInputMessage="0" showErrorMessage="0" allowBlank="1" type="decimal" operator="greaterThanOrEqual">
      <formula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4" t="inlineStr">
        <is>
          <t>إدارة العقار · مؤشرات الأداء 2026</t>
        </is>
      </c>
    </row>
    <row r="2">
      <c r="A2" s="25" t="inlineStr">
        <is>
          <t>🟩 أدخل «المُحقَّق» · نسبة التحقيق والحالة دلّات حقيقية تُحسب تلقائياً</t>
        </is>
      </c>
    </row>
    <row r="3" ht="28" customHeight="1">
      <c r="A3" s="26" t="inlineStr">
        <is>
          <t>#</t>
        </is>
      </c>
      <c r="B3" s="26" t="inlineStr">
        <is>
          <t>المحور</t>
        </is>
      </c>
      <c r="C3" s="26" t="inlineStr">
        <is>
          <t>المؤشر</t>
        </is>
      </c>
      <c r="D3" s="26" t="inlineStr">
        <is>
          <t>الوحدة</t>
        </is>
      </c>
      <c r="E3" s="26" t="inlineStr">
        <is>
          <t>القطبية</t>
        </is>
      </c>
      <c r="F3" s="26" t="inlineStr">
        <is>
          <t>الأولوية</t>
        </is>
      </c>
      <c r="G3" s="26" t="inlineStr">
        <is>
          <t>الوزن %</t>
        </is>
      </c>
      <c r="H3" s="26" t="inlineStr">
        <is>
          <t>المستهدف</t>
        </is>
      </c>
      <c r="I3" s="26" t="inlineStr">
        <is>
          <t>نص المستهدف</t>
        </is>
      </c>
      <c r="J3" s="26" t="inlineStr">
        <is>
          <t>الركيزة</t>
        </is>
      </c>
      <c r="K3" s="26" t="inlineStr">
        <is>
          <t>المشروع</t>
        </is>
      </c>
      <c r="L3" s="26" t="inlineStr">
        <is>
          <t>منظور BSC</t>
        </is>
      </c>
      <c r="M3" s="26" t="inlineStr">
        <is>
          <t>المُحقَّق</t>
        </is>
      </c>
      <c r="N3" s="26" t="inlineStr">
        <is>
          <t>نسبة التحقيق</t>
        </is>
      </c>
      <c r="O3" s="26" t="inlineStr">
        <is>
          <t>الحالة</t>
        </is>
      </c>
    </row>
    <row r="4" ht="24" customHeight="1">
      <c r="A4" s="15" t="n">
        <v>1</v>
      </c>
      <c r="B4" s="9" t="inlineStr">
        <is>
          <t>الإدارة</t>
        </is>
      </c>
      <c r="C4" s="9" t="inlineStr">
        <is>
          <t>نمو الإيرادات الإيجارية</t>
        </is>
      </c>
      <c r="D4" s="27" t="inlineStr">
        <is>
          <t>%</t>
        </is>
      </c>
      <c r="E4" s="27" t="inlineStr">
        <is>
          <t>↑</t>
        </is>
      </c>
      <c r="F4" s="28" t="inlineStr">
        <is>
          <t>🔴 رئيسي</t>
        </is>
      </c>
      <c r="G4" s="29" t="n">
        <v>0.07692</v>
      </c>
      <c r="H4" s="29" t="n">
        <v>0.08</v>
      </c>
      <c r="I4" s="31" t="inlineStr">
        <is>
          <t>&gt; 8% سنوياً</t>
        </is>
      </c>
      <c r="J4" s="32" t="inlineStr">
        <is>
          <t>الاستدامة</t>
        </is>
      </c>
      <c r="K4" s="33" t="inlineStr">
        <is>
          <t>منظومة التأجير</t>
        </is>
      </c>
      <c r="L4" s="28" t="inlineStr">
        <is>
          <t>مالي</t>
        </is>
      </c>
      <c r="M4" s="36" t="n"/>
      <c r="N4" s="16">
        <f>IF($H4="","",IF($M4="","",IF($H4=0,IF($M4&lt;=0,1,0),IF($E4="↓",IFERROR($H4/$M4,0),IFERROR($M4/$H4,0)))))</f>
        <v/>
      </c>
      <c r="O4" s="15">
        <f>IF($N4="","—",IF($N4&gt;=1,"✅ محقق",IF($N4&gt;=0.85,"🟡 قريب","🔴 تحت الهدف")))</f>
        <v/>
      </c>
    </row>
    <row r="5" ht="24" customHeight="1">
      <c r="A5" s="15" t="n">
        <v>2</v>
      </c>
      <c r="B5" s="9" t="inlineStr">
        <is>
          <t>الإدارة</t>
        </is>
      </c>
      <c r="C5" s="9" t="inlineStr">
        <is>
          <t>نسبة الالتزام بالعقود</t>
        </is>
      </c>
      <c r="D5" s="27" t="inlineStr">
        <is>
          <t>%</t>
        </is>
      </c>
      <c r="E5" s="27" t="inlineStr">
        <is>
          <t>↑</t>
        </is>
      </c>
      <c r="F5" s="28" t="inlineStr">
        <is>
          <t>🔴 رئيسي</t>
        </is>
      </c>
      <c r="G5" s="29" t="n">
        <v>0.07692</v>
      </c>
      <c r="H5" s="29" t="n">
        <v>1</v>
      </c>
      <c r="I5" s="31" t="inlineStr">
        <is>
          <t>100%</t>
        </is>
      </c>
      <c r="J5" s="32" t="inlineStr">
        <is>
          <t>الاستدامة</t>
        </is>
      </c>
      <c r="K5" s="33" t="inlineStr">
        <is>
          <t>منظومة التأجير</t>
        </is>
      </c>
      <c r="L5" s="28" t="inlineStr">
        <is>
          <t>العمليات الداخلية</t>
        </is>
      </c>
      <c r="M5" s="36" t="n"/>
      <c r="N5" s="16">
        <f>IF($H5="","",IF($M5="","",IF($H5=0,IF($M5&lt;=0,1,0),IF($E5="↓",IFERROR($H5/$M5,0),IFERROR($M5/$H5,0)))))</f>
        <v/>
      </c>
      <c r="O5" s="15">
        <f>IF($N5="","—",IF($N5&gt;=1,"✅ محقق",IF($N5&gt;=0.85,"🟡 قريب","🔴 تحت الهدف")))</f>
        <v/>
      </c>
    </row>
    <row r="6" ht="24" customHeight="1">
      <c r="A6" s="15" t="n">
        <v>3</v>
      </c>
      <c r="B6" s="9" t="inlineStr">
        <is>
          <t>الإدارة</t>
        </is>
      </c>
      <c r="C6" s="9" t="inlineStr">
        <is>
          <t>نسبة التحصيل</t>
        </is>
      </c>
      <c r="D6" s="27" t="inlineStr">
        <is>
          <t>%</t>
        </is>
      </c>
      <c r="E6" s="27" t="inlineStr">
        <is>
          <t>↑</t>
        </is>
      </c>
      <c r="F6" s="28" t="inlineStr">
        <is>
          <t>🔴 رئيسي</t>
        </is>
      </c>
      <c r="G6" s="29" t="n">
        <v>0.07692</v>
      </c>
      <c r="H6" s="29" t="n">
        <v>0.95</v>
      </c>
      <c r="I6" s="31" t="inlineStr">
        <is>
          <t>&gt; 95%</t>
        </is>
      </c>
      <c r="J6" s="32" t="inlineStr">
        <is>
          <t>الاستدامة</t>
        </is>
      </c>
      <c r="K6" s="33" t="inlineStr">
        <is>
          <t>منظومة التأجير</t>
        </is>
      </c>
      <c r="L6" s="28" t="inlineStr">
        <is>
          <t>مالي</t>
        </is>
      </c>
      <c r="M6" s="36" t="n"/>
      <c r="N6" s="16">
        <f>IF($H6="","",IF($M6="","",IF($H6=0,IF($M6&lt;=0,1,0),IF($E6="↓",IFERROR($H6/$M6,0),IFERROR($M6/$H6,0)))))</f>
        <v/>
      </c>
      <c r="O6" s="15">
        <f>IF($N6="","—",IF($N6&gt;=1,"✅ محقق",IF($N6&gt;=0.85,"🟡 قريب","🔴 تحت الهدف")))</f>
        <v/>
      </c>
    </row>
    <row r="7" ht="24" customHeight="1">
      <c r="A7" s="15" t="n">
        <v>4</v>
      </c>
      <c r="B7" s="9" t="inlineStr">
        <is>
          <t>التأجير</t>
        </is>
      </c>
      <c r="C7" s="9" t="inlineStr">
        <is>
          <t>نسبة الإشغال</t>
        </is>
      </c>
      <c r="D7" s="27" t="inlineStr">
        <is>
          <t>%</t>
        </is>
      </c>
      <c r="E7" s="27" t="inlineStr">
        <is>
          <t>↑</t>
        </is>
      </c>
      <c r="F7" s="28" t="inlineStr">
        <is>
          <t>🔴 رئيسي</t>
        </is>
      </c>
      <c r="G7" s="29" t="n">
        <v>0.07692</v>
      </c>
      <c r="H7" s="29" t="n">
        <v>0.6</v>
      </c>
      <c r="I7" s="31" t="inlineStr">
        <is>
          <t>≥ 60%</t>
        </is>
      </c>
      <c r="J7" s="32" t="inlineStr">
        <is>
          <t>الاستدامة</t>
        </is>
      </c>
      <c r="K7" s="33" t="inlineStr">
        <is>
          <t>منظومة التأجير</t>
        </is>
      </c>
      <c r="L7" s="28" t="inlineStr">
        <is>
          <t>العمليات الداخلية</t>
        </is>
      </c>
      <c r="M7" s="36" t="n"/>
      <c r="N7" s="16">
        <f>IF($H7="","",IF($M7="","",IF($H7=0,IF($M7&lt;=0,1,0),IF($E7="↓",IFERROR($H7/$M7,0),IFERROR($M7/$H7,0)))))</f>
        <v/>
      </c>
      <c r="O7" s="15">
        <f>IF($N7="","—",IF($N7&gt;=1,"✅ محقق",IF($N7&gt;=0.85,"🟡 قريب","🔴 تحت الهدف")))</f>
        <v/>
      </c>
    </row>
    <row r="8" ht="24" customHeight="1">
      <c r="A8" s="15" t="n">
        <v>5</v>
      </c>
      <c r="B8" s="9" t="inlineStr">
        <is>
          <t>التأجير</t>
        </is>
      </c>
      <c r="C8" s="9" t="inlineStr">
        <is>
          <t>الوحدات المؤجَّرة شهرياً</t>
        </is>
      </c>
      <c r="D8" s="27" t="inlineStr">
        <is>
          <t>وحدة</t>
        </is>
      </c>
      <c r="E8" s="27" t="inlineStr">
        <is>
          <t>↑</t>
        </is>
      </c>
      <c r="F8" s="28" t="inlineStr">
        <is>
          <t>🟠 مهم</t>
        </is>
      </c>
      <c r="G8" s="29" t="n">
        <v>0.05128</v>
      </c>
      <c r="H8" s="30" t="n">
        <v>68</v>
      </c>
      <c r="I8" s="31" t="inlineStr">
        <is>
          <t>68 شهرياً</t>
        </is>
      </c>
      <c r="J8" s="32" t="inlineStr">
        <is>
          <t>الاستدامة</t>
        </is>
      </c>
      <c r="K8" s="33" t="inlineStr">
        <is>
          <t>منظومة التأجير</t>
        </is>
      </c>
      <c r="L8" s="28" t="inlineStr">
        <is>
          <t>العمليات الداخلية</t>
        </is>
      </c>
      <c r="M8" s="34" t="n"/>
      <c r="N8" s="16">
        <f>IF($H8="","",IF($M8="","",IF($H8=0,IF($M8&lt;=0,1,0),IF($E8="↓",IFERROR($H8/$M8,0),IFERROR($M8/$H8,0)))))</f>
        <v/>
      </c>
      <c r="O8" s="15">
        <f>IF($N8="","—",IF($N8&gt;=1,"✅ محقق",IF($N8&gt;=0.85,"🟡 قريب","🔴 تحت الهدف")))</f>
        <v/>
      </c>
    </row>
    <row r="9" ht="24" customHeight="1">
      <c r="A9" s="15" t="n">
        <v>6</v>
      </c>
      <c r="B9" s="9" t="inlineStr">
        <is>
          <t>التأجير</t>
        </is>
      </c>
      <c r="C9" s="9" t="inlineStr">
        <is>
          <t>العملاء المحتملون (LEADS)</t>
        </is>
      </c>
      <c r="D9" s="27" t="inlineStr">
        <is>
          <t>عميل</t>
        </is>
      </c>
      <c r="E9" s="27" t="inlineStr">
        <is>
          <t>↑</t>
        </is>
      </c>
      <c r="F9" s="28" t="inlineStr">
        <is>
          <t>🟠 مهم</t>
        </is>
      </c>
      <c r="G9" s="29" t="n">
        <v>0.05128</v>
      </c>
      <c r="H9" s="30" t="n">
        <v>680</v>
      </c>
      <c r="I9" s="31" t="inlineStr">
        <is>
          <t>544–680</t>
        </is>
      </c>
      <c r="J9" s="32" t="inlineStr">
        <is>
          <t>النمو</t>
        </is>
      </c>
      <c r="K9" s="33" t="inlineStr">
        <is>
          <t>زيادة وصول العملاء</t>
        </is>
      </c>
      <c r="L9" s="28" t="inlineStr">
        <is>
          <t>العملاء</t>
        </is>
      </c>
      <c r="M9" s="34" t="n"/>
      <c r="N9" s="16">
        <f>IF($H9="","",IF($M9="","",IF($H9=0,IF($M9&lt;=0,1,0),IF($E9="↓",IFERROR($H9/$M9,0),IFERROR($M9/$H9,0)))))</f>
        <v/>
      </c>
      <c r="O9" s="15">
        <f>IF($N9="","—",IF($N9&gt;=1,"✅ محقق",IF($N9&gt;=0.85,"🟡 قريب","🔴 تحت الهدف")))</f>
        <v/>
      </c>
    </row>
    <row r="10" ht="24" customHeight="1">
      <c r="A10" s="15" t="n">
        <v>7</v>
      </c>
      <c r="B10" s="9" t="inlineStr">
        <is>
          <t>التأجير</t>
        </is>
      </c>
      <c r="C10" s="9" t="inlineStr">
        <is>
          <t>معدل التحويل</t>
        </is>
      </c>
      <c r="D10" s="27" t="inlineStr">
        <is>
          <t>%</t>
        </is>
      </c>
      <c r="E10" s="27" t="inlineStr">
        <is>
          <t>↑</t>
        </is>
      </c>
      <c r="F10" s="28" t="inlineStr">
        <is>
          <t>🔴 رئيسي</t>
        </is>
      </c>
      <c r="G10" s="29" t="n">
        <v>0.07692</v>
      </c>
      <c r="H10" s="29" t="n">
        <v>0.2</v>
      </c>
      <c r="I10" s="31" t="inlineStr">
        <is>
          <t>15–25%</t>
        </is>
      </c>
      <c r="J10" s="32" t="inlineStr">
        <is>
          <t>النمو</t>
        </is>
      </c>
      <c r="K10" s="33" t="inlineStr">
        <is>
          <t>زيادة وصول العملاء</t>
        </is>
      </c>
      <c r="L10" s="28" t="inlineStr">
        <is>
          <t>العمليات الداخلية</t>
        </is>
      </c>
      <c r="M10" s="36" t="n"/>
      <c r="N10" s="16">
        <f>IF($H10="","",IF($M10="","",IF($H10=0,IF($M10&lt;=0,1,0),IF($E10="↓",IFERROR($H10/$M10,0),IFERROR($M10/$H10,0)))))</f>
        <v/>
      </c>
      <c r="O10" s="15">
        <f>IF($N10="","—",IF($N10&gt;=1,"✅ محقق",IF($N10&gt;=0.85,"🟡 قريب","🔴 تحت الهدف")))</f>
        <v/>
      </c>
    </row>
    <row r="11" ht="24" customHeight="1">
      <c r="A11" s="15" t="n">
        <v>8</v>
      </c>
      <c r="B11" s="9" t="inlineStr">
        <is>
          <t>التأجير</t>
        </is>
      </c>
      <c r="C11" s="9" t="inlineStr">
        <is>
          <t>زيادة عدد العلامات التجارية</t>
        </is>
      </c>
      <c r="D11" s="27" t="inlineStr">
        <is>
          <t>علامة</t>
        </is>
      </c>
      <c r="E11" s="27" t="inlineStr">
        <is>
          <t>↑</t>
        </is>
      </c>
      <c r="F11" s="28" t="inlineStr">
        <is>
          <t>🟠 مهم</t>
        </is>
      </c>
      <c r="G11" s="29" t="n">
        <v>0.05128</v>
      </c>
      <c r="H11" s="30" t="n">
        <v>246</v>
      </c>
      <c r="I11" s="31" t="inlineStr">
        <is>
          <t>246 علامة</t>
        </is>
      </c>
      <c r="J11" s="32" t="inlineStr">
        <is>
          <t>الاستدامة</t>
        </is>
      </c>
      <c r="K11" s="33" t="inlineStr">
        <is>
          <t>منظومة التأجير</t>
        </is>
      </c>
      <c r="L11" s="28" t="inlineStr">
        <is>
          <t>العمليات الداخلية</t>
        </is>
      </c>
      <c r="M11" s="34" t="n"/>
      <c r="N11" s="16">
        <f>IF($H11="","",IF($M11="","",IF($H11=0,IF($M11&lt;=0,1,0),IF($E11="↓",IFERROR($H11/$M11,0),IFERROR($M11/$H11,0)))))</f>
        <v/>
      </c>
      <c r="O11" s="15">
        <f>IF($N11="","—",IF($N11&gt;=1,"✅ محقق",IF($N11&gt;=0.85,"🟡 قريب","🔴 تحت الهدف")))</f>
        <v/>
      </c>
    </row>
    <row r="12" ht="24" customHeight="1">
      <c r="A12" s="15" t="n">
        <v>9</v>
      </c>
      <c r="B12" s="9" t="inlineStr">
        <is>
          <t>الإبداع والتكامل</t>
        </is>
      </c>
      <c r="C12" s="9" t="inlineStr">
        <is>
          <t>نسبة تأجير ساحة درب</t>
        </is>
      </c>
      <c r="D12" s="27" t="inlineStr">
        <is>
          <t>%</t>
        </is>
      </c>
      <c r="E12" s="27" t="inlineStr">
        <is>
          <t>↑</t>
        </is>
      </c>
      <c r="F12" s="28" t="inlineStr">
        <is>
          <t>🟠 مهم</t>
        </is>
      </c>
      <c r="G12" s="29" t="n">
        <v>0.05128</v>
      </c>
      <c r="H12" s="29" t="n">
        <v>0.8</v>
      </c>
      <c r="I12" s="31" t="inlineStr">
        <is>
          <t>≥ 80%</t>
        </is>
      </c>
      <c r="J12" s="32" t="inlineStr">
        <is>
          <t>الابتكار</t>
        </is>
      </c>
      <c r="K12" s="33" t="inlineStr">
        <is>
          <t>ساحات درب</t>
        </is>
      </c>
      <c r="L12" s="28" t="inlineStr">
        <is>
          <t>العمليات الداخلية</t>
        </is>
      </c>
      <c r="M12" s="36" t="n"/>
      <c r="N12" s="16">
        <f>IF($H12="","",IF($M12="","",IF($H12=0,IF($M12&lt;=0,1,0),IF($E12="↓",IFERROR($H12/$M12,0),IFERROR($M12/$H12,0)))))</f>
        <v/>
      </c>
      <c r="O12" s="15">
        <f>IF($N12="","—",IF($N12&gt;=1,"✅ محقق",IF($N12&gt;=0.85,"🟡 قريب","🔴 تحت الهدف")))</f>
        <v/>
      </c>
    </row>
    <row r="13" ht="24" customHeight="1">
      <c r="A13" s="15" t="n">
        <v>10</v>
      </c>
      <c r="B13" s="9" t="inlineStr">
        <is>
          <t>الإبداع والتكامل</t>
        </is>
      </c>
      <c r="C13" s="9" t="inlineStr">
        <is>
          <t>علامات تجارية جديدة (ساحة درب)</t>
        </is>
      </c>
      <c r="D13" s="27" t="inlineStr">
        <is>
          <t>علامة</t>
        </is>
      </c>
      <c r="E13" s="27" t="inlineStr">
        <is>
          <t>↑</t>
        </is>
      </c>
      <c r="F13" s="28" t="inlineStr">
        <is>
          <t>🟠 مهم</t>
        </is>
      </c>
      <c r="G13" s="29" t="n">
        <v>0.05128</v>
      </c>
      <c r="H13" s="30" t="n">
        <v>6</v>
      </c>
      <c r="I13" s="31" t="inlineStr">
        <is>
          <t>6 علامات</t>
        </is>
      </c>
      <c r="J13" s="32" t="inlineStr">
        <is>
          <t>الابتكار</t>
        </is>
      </c>
      <c r="K13" s="33" t="inlineStr">
        <is>
          <t>ساحات درب</t>
        </is>
      </c>
      <c r="L13" s="28" t="inlineStr">
        <is>
          <t>العمليات الداخلية</t>
        </is>
      </c>
      <c r="M13" s="34" t="n"/>
      <c r="N13" s="16">
        <f>IF($H13="","",IF($M13="","",IF($H13=0,IF($M13&lt;=0,1,0),IF($E13="↓",IFERROR($H13/$M13,0),IFERROR($M13/$H13,0)))))</f>
        <v/>
      </c>
      <c r="O13" s="15">
        <f>IF($N13="","—",IF($N13&gt;=1,"✅ محقق",IF($N13&gt;=0.85,"🟡 قريب","🔴 تحت الهدف")))</f>
        <v/>
      </c>
    </row>
    <row r="14" ht="24" customHeight="1">
      <c r="A14" s="15" t="n">
        <v>11</v>
      </c>
      <c r="B14" s="9" t="inlineStr">
        <is>
          <t>الإبداع والتكامل</t>
        </is>
      </c>
      <c r="C14" s="9" t="inlineStr">
        <is>
          <t>الشراكات الاستراتيجية</t>
        </is>
      </c>
      <c r="D14" s="27" t="inlineStr">
        <is>
          <t>شراكة</t>
        </is>
      </c>
      <c r="E14" s="27" t="inlineStr">
        <is>
          <t>↑</t>
        </is>
      </c>
      <c r="F14" s="28" t="inlineStr">
        <is>
          <t>🟠 مهم</t>
        </is>
      </c>
      <c r="G14" s="29" t="n">
        <v>0.05128</v>
      </c>
      <c r="H14" s="30" t="n">
        <v>5</v>
      </c>
      <c r="I14" s="31" t="inlineStr">
        <is>
          <t>5 شراكات</t>
        </is>
      </c>
      <c r="J14" s="32" t="inlineStr">
        <is>
          <t>الابتكار</t>
        </is>
      </c>
      <c r="K14" s="33" t="inlineStr">
        <is>
          <t>إطلاق مشاريع جديدة</t>
        </is>
      </c>
      <c r="L14" s="28" t="inlineStr">
        <is>
          <t>التعلّم والنمو</t>
        </is>
      </c>
      <c r="M14" s="34" t="n"/>
      <c r="N14" s="16">
        <f>IF($H14="","",IF($M14="","",IF($H14=0,IF($M14&lt;=0,1,0),IF($E14="↓",IFERROR($H14/$M14,0),IFERROR($M14/$H14,0)))))</f>
        <v/>
      </c>
      <c r="O14" s="15">
        <f>IF($N14="","—",IF($N14&gt;=1,"✅ محقق",IF($N14&gt;=0.85,"🟡 قريب","🔴 تحت الهدف")))</f>
        <v/>
      </c>
    </row>
    <row r="15" ht="24" customHeight="1">
      <c r="A15" s="15" t="n">
        <v>12</v>
      </c>
      <c r="B15" s="9" t="inlineStr">
        <is>
          <t>إدارة الأملاك</t>
        </is>
      </c>
      <c r="C15" s="9" t="inlineStr">
        <is>
          <t>نسبة تجديد العقود</t>
        </is>
      </c>
      <c r="D15" s="27" t="inlineStr">
        <is>
          <t>%</t>
        </is>
      </c>
      <c r="E15" s="27" t="inlineStr">
        <is>
          <t>↑</t>
        </is>
      </c>
      <c r="F15" s="28" t="inlineStr">
        <is>
          <t>🔴 رئيسي</t>
        </is>
      </c>
      <c r="G15" s="29" t="n">
        <v>0.07692</v>
      </c>
      <c r="H15" s="29" t="n">
        <v>1</v>
      </c>
      <c r="I15" s="31" t="inlineStr">
        <is>
          <t>100%</t>
        </is>
      </c>
      <c r="J15" s="32" t="inlineStr">
        <is>
          <t>الاستدامة</t>
        </is>
      </c>
      <c r="K15" s="33" t="inlineStr">
        <is>
          <t>منظومة التأجير</t>
        </is>
      </c>
      <c r="L15" s="28" t="inlineStr">
        <is>
          <t>العمليات الداخلية</t>
        </is>
      </c>
      <c r="M15" s="36" t="n"/>
      <c r="N15" s="16">
        <f>IF($H15="","",IF($M15="","",IF($H15=0,IF($M15&lt;=0,1,0),IF($E15="↓",IFERROR($H15/$M15,0),IFERROR($M15/$H15,0)))))</f>
        <v/>
      </c>
      <c r="O15" s="15">
        <f>IF($N15="","—",IF($N15&gt;=1,"✅ محقق",IF($N15&gt;=0.85,"🟡 قريب","🔴 تحت الهدف")))</f>
        <v/>
      </c>
    </row>
    <row r="16" ht="24" customHeight="1">
      <c r="A16" s="15" t="n">
        <v>13</v>
      </c>
      <c r="B16" s="9" t="inlineStr">
        <is>
          <t>تنسيق المشاريع</t>
        </is>
      </c>
      <c r="C16" s="9" t="inlineStr">
        <is>
          <t>متوسط زمن تسليم الوحدة</t>
        </is>
      </c>
      <c r="D16" s="27" t="inlineStr">
        <is>
          <t>يوم</t>
        </is>
      </c>
      <c r="E16" s="27" t="inlineStr">
        <is>
          <t>↓</t>
        </is>
      </c>
      <c r="F16" s="28" t="inlineStr">
        <is>
          <t>🟠 مهم</t>
        </is>
      </c>
      <c r="G16" s="29" t="n">
        <v>0.05128</v>
      </c>
      <c r="H16" s="37" t="n">
        <v>7</v>
      </c>
      <c r="I16" s="31" t="inlineStr">
        <is>
          <t>≤ 7 أيام</t>
        </is>
      </c>
      <c r="J16" s="32" t="inlineStr">
        <is>
          <t>الاستدامة</t>
        </is>
      </c>
      <c r="K16" s="33" t="inlineStr">
        <is>
          <t>جودة التشغيل</t>
        </is>
      </c>
      <c r="L16" s="28" t="inlineStr">
        <is>
          <t>العمليات الداخلية</t>
        </is>
      </c>
      <c r="M16" s="38" t="n"/>
      <c r="N16" s="16">
        <f>IF($H16="","",IF($M16="","",IF($H16=0,IF($M16&lt;=0,1,0),IF($E16="↓",IFERROR($H16/$M16,0),IFERROR($M16/$H16,0)))))</f>
        <v/>
      </c>
      <c r="O16" s="15">
        <f>IF($N16="","—",IF($N16&gt;=1,"✅ محقق",IF($N16&gt;=0.85,"🟡 قريب","🔴 تحت الهدف")))</f>
        <v/>
      </c>
    </row>
    <row r="17" ht="24" customHeight="1">
      <c r="A17" s="15" t="n">
        <v>14</v>
      </c>
      <c r="B17" s="9" t="inlineStr">
        <is>
          <t>تنسيق المشاريع</t>
        </is>
      </c>
      <c r="C17" s="9" t="inlineStr">
        <is>
          <t>نسبة إغلاق الطلبات خلال 3 أسابيع</t>
        </is>
      </c>
      <c r="D17" s="27" t="inlineStr">
        <is>
          <t>%</t>
        </is>
      </c>
      <c r="E17" s="27" t="inlineStr">
        <is>
          <t>↑</t>
        </is>
      </c>
      <c r="F17" s="28" t="inlineStr">
        <is>
          <t>🟠 مهم</t>
        </is>
      </c>
      <c r="G17" s="29" t="n">
        <v>0.05128</v>
      </c>
      <c r="H17" s="29" t="n">
        <v>0.9</v>
      </c>
      <c r="I17" s="31" t="inlineStr">
        <is>
          <t>&gt; 90%</t>
        </is>
      </c>
      <c r="J17" s="32" t="inlineStr">
        <is>
          <t>الاستدامة</t>
        </is>
      </c>
      <c r="K17" s="33" t="inlineStr">
        <is>
          <t>جودة التشغيل</t>
        </is>
      </c>
      <c r="L17" s="28" t="inlineStr">
        <is>
          <t>العمليات الداخلية</t>
        </is>
      </c>
      <c r="M17" s="36" t="n"/>
      <c r="N17" s="16">
        <f>IF($H17="","",IF($M17="","",IF($H17=0,IF($M17&lt;=0,1,0),IF($E17="↓",IFERROR($H17/$M17,0),IFERROR($M17/$H17,0)))))</f>
        <v/>
      </c>
      <c r="O17" s="15">
        <f>IF($N17="","—",IF($N17&gt;=1,"✅ محقق",IF($N17&gt;=0.85,"🟡 قريب","🔴 تحت الهدف")))</f>
        <v/>
      </c>
    </row>
    <row r="18" ht="24" customHeight="1">
      <c r="A18" s="15" t="n">
        <v>15</v>
      </c>
      <c r="B18" s="9" t="inlineStr">
        <is>
          <t>الجودة والاستدامة</t>
        </is>
      </c>
      <c r="C18" s="9" t="inlineStr">
        <is>
          <t>استدامة المستأجرين (لم يُنهَ مبكراً)</t>
        </is>
      </c>
      <c r="D18" s="27" t="inlineStr">
        <is>
          <t>%</t>
        </is>
      </c>
      <c r="E18" s="27" t="inlineStr">
        <is>
          <t>↑</t>
        </is>
      </c>
      <c r="F18" s="28" t="inlineStr">
        <is>
          <t>🟠 مهم</t>
        </is>
      </c>
      <c r="G18" s="29" t="n">
        <v>0.05128</v>
      </c>
      <c r="H18" s="29" t="n">
        <v>0.8</v>
      </c>
      <c r="I18" s="31" t="inlineStr">
        <is>
          <t>≥ 80%</t>
        </is>
      </c>
      <c r="J18" s="32" t="inlineStr">
        <is>
          <t>الاستدامة</t>
        </is>
      </c>
      <c r="K18" s="33" t="inlineStr">
        <is>
          <t>تعزيز تجربة العملاء</t>
        </is>
      </c>
      <c r="L18" s="28" t="inlineStr">
        <is>
          <t>العملاء</t>
        </is>
      </c>
      <c r="M18" s="36" t="n"/>
      <c r="N18" s="16">
        <f>IF($H18="","",IF($M18="","",IF($H18=0,IF($M18&lt;=0,1,0),IF($E18="↓",IFERROR($H18/$M18,0),IFERROR($M18/$H18,0)))))</f>
        <v/>
      </c>
      <c r="O18" s="15">
        <f>IF($N18="","—",IF($N18&gt;=1,"✅ محقق",IF($N18&gt;=0.85,"🟡 قريب","🔴 تحت الهدف")))</f>
        <v/>
      </c>
    </row>
    <row r="19" ht="24" customHeight="1">
      <c r="A19" s="15" t="n">
        <v>16</v>
      </c>
      <c r="B19" s="9" t="inlineStr">
        <is>
          <t>الجودة والاستدامة</t>
        </is>
      </c>
      <c r="C19" s="9" t="inlineStr">
        <is>
          <t>معدل رضا المستأجرين (استبيان ربعي)</t>
        </is>
      </c>
      <c r="D19" s="27" t="inlineStr">
        <is>
          <t>%</t>
        </is>
      </c>
      <c r="E19" s="27" t="inlineStr">
        <is>
          <t>↑</t>
        </is>
      </c>
      <c r="F19" s="28" t="inlineStr">
        <is>
          <t>🔴 رئيسي</t>
        </is>
      </c>
      <c r="G19" s="29" t="n">
        <v>0.07692</v>
      </c>
      <c r="H19" s="29" t="n">
        <v>0.9</v>
      </c>
      <c r="I19" s="31" t="inlineStr">
        <is>
          <t>≥ 90%</t>
        </is>
      </c>
      <c r="J19" s="32" t="inlineStr">
        <is>
          <t>الاستدامة</t>
        </is>
      </c>
      <c r="K19" s="33" t="inlineStr">
        <is>
          <t>تعزيز تجربة العملاء</t>
        </is>
      </c>
      <c r="L19" s="28" t="inlineStr">
        <is>
          <t>العملاء</t>
        </is>
      </c>
      <c r="M19" s="36" t="n"/>
      <c r="N19" s="16">
        <f>IF($H19="","",IF($M19="","",IF($H19=0,IF($M19&lt;=0,1,0),IF($E19="↓",IFERROR($H19/$M19,0),IFERROR($M19/$H19,0)))))</f>
        <v/>
      </c>
      <c r="O19" s="15">
        <f>IF($N19="","—",IF($N19&gt;=1,"✅ محقق",IF($N19&gt;=0.85,"🟡 قريب","🔴 تحت الهدف")))</f>
        <v/>
      </c>
    </row>
  </sheetData>
  <autoFilter ref="A3:O19"/>
  <mergeCells count="2">
    <mergeCell ref="A1:O1"/>
    <mergeCell ref="A2:O2"/>
  </mergeCells>
  <dataValidations count="1">
    <dataValidation sqref="M4 M5 M6 M7 M8 M9 M10 M11 M12 M13 M14 M15 M16 M17 M18 M19" showDropDown="0" showInputMessage="0" showErrorMessage="0" allowBlank="1" type="decimal" operator="greaterThanOrEqual">
      <formula1>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2"/>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4" t="inlineStr">
        <is>
          <t>إدارة التقنية الرقمية · مؤشرات الأداء 2026</t>
        </is>
      </c>
    </row>
    <row r="2">
      <c r="A2" s="25" t="inlineStr">
        <is>
          <t>🟩 أدخل «المُحقَّق» · نسبة التحقيق والحالة دلّات حقيقية تُحسب تلقائياً</t>
        </is>
      </c>
    </row>
    <row r="3" ht="28" customHeight="1">
      <c r="A3" s="26" t="inlineStr">
        <is>
          <t>#</t>
        </is>
      </c>
      <c r="B3" s="26" t="inlineStr">
        <is>
          <t>المحور</t>
        </is>
      </c>
      <c r="C3" s="26" t="inlineStr">
        <is>
          <t>المؤشر</t>
        </is>
      </c>
      <c r="D3" s="26" t="inlineStr">
        <is>
          <t>الوحدة</t>
        </is>
      </c>
      <c r="E3" s="26" t="inlineStr">
        <is>
          <t>القطبية</t>
        </is>
      </c>
      <c r="F3" s="26" t="inlineStr">
        <is>
          <t>الأولوية</t>
        </is>
      </c>
      <c r="G3" s="26" t="inlineStr">
        <is>
          <t>الوزن %</t>
        </is>
      </c>
      <c r="H3" s="26" t="inlineStr">
        <is>
          <t>المستهدف</t>
        </is>
      </c>
      <c r="I3" s="26" t="inlineStr">
        <is>
          <t>نص المستهدف</t>
        </is>
      </c>
      <c r="J3" s="26" t="inlineStr">
        <is>
          <t>الركيزة</t>
        </is>
      </c>
      <c r="K3" s="26" t="inlineStr">
        <is>
          <t>المشروع</t>
        </is>
      </c>
      <c r="L3" s="26" t="inlineStr">
        <is>
          <t>منظور BSC</t>
        </is>
      </c>
      <c r="M3" s="26" t="inlineStr">
        <is>
          <t>المُحقَّق</t>
        </is>
      </c>
      <c r="N3" s="26" t="inlineStr">
        <is>
          <t>نسبة التحقيق</t>
        </is>
      </c>
      <c r="O3" s="26" t="inlineStr">
        <is>
          <t>الحالة</t>
        </is>
      </c>
    </row>
    <row r="4" ht="24" customHeight="1">
      <c r="A4" s="15" t="n">
        <v>1</v>
      </c>
      <c r="B4" s="9" t="inlineStr">
        <is>
          <t>أداء المشاريع</t>
        </is>
      </c>
      <c r="C4" s="9" t="inlineStr">
        <is>
          <t>نسبة إنجاز محفظة مشاريع التحول الرقمي</t>
        </is>
      </c>
      <c r="D4" s="27" t="inlineStr">
        <is>
          <t>%</t>
        </is>
      </c>
      <c r="E4" s="27" t="inlineStr">
        <is>
          <t>↑</t>
        </is>
      </c>
      <c r="F4" s="28" t="inlineStr">
        <is>
          <t>🟠 مهم</t>
        </is>
      </c>
      <c r="G4" s="29" t="n">
        <v>0.1</v>
      </c>
      <c r="H4" s="29" t="n">
        <v>1</v>
      </c>
      <c r="I4" s="31" t="inlineStr">
        <is>
          <t>100%</t>
        </is>
      </c>
      <c r="J4" s="32" t="inlineStr">
        <is>
          <t>الابتكار</t>
        </is>
      </c>
      <c r="K4" s="33" t="inlineStr">
        <is>
          <t>التحول التقني</t>
        </is>
      </c>
      <c r="L4" s="28" t="inlineStr">
        <is>
          <t>التعلّم والنمو</t>
        </is>
      </c>
      <c r="M4" s="36" t="n">
        <v>0.06</v>
      </c>
      <c r="N4" s="16">
        <f>IF($H4="","",IF($M4="","",IF($H4=0,IF($M4&lt;=0,1,0),IF($E4="↓",IFERROR($H4/$M4,0),IFERROR($M4/$H4,0)))))</f>
        <v/>
      </c>
      <c r="O4" s="15">
        <f>IF($N4="","—",IF($N4&gt;=1,"✅ محقق",IF($N4&gt;=0.85,"🟡 قريب","🔴 تحت الهدف")))</f>
        <v/>
      </c>
    </row>
    <row r="5" ht="24" customHeight="1">
      <c r="A5" s="15" t="n">
        <v>2</v>
      </c>
      <c r="B5" s="9" t="inlineStr">
        <is>
          <t>أداء المشاريع</t>
        </is>
      </c>
      <c r="C5" s="9" t="inlineStr">
        <is>
          <t>معدل تسليم المشاريع في الموعد المحدد</t>
        </is>
      </c>
      <c r="D5" s="27" t="inlineStr">
        <is>
          <t>%</t>
        </is>
      </c>
      <c r="E5" s="27" t="inlineStr">
        <is>
          <t>↑</t>
        </is>
      </c>
      <c r="F5" s="28" t="inlineStr">
        <is>
          <t>🟠 مهم</t>
        </is>
      </c>
      <c r="G5" s="29" t="n">
        <v>0.1</v>
      </c>
      <c r="H5" s="29" t="n">
        <v>0.9</v>
      </c>
      <c r="I5" s="31" t="inlineStr">
        <is>
          <t>≥ 90%</t>
        </is>
      </c>
      <c r="J5" s="32" t="inlineStr">
        <is>
          <t>الابتكار</t>
        </is>
      </c>
      <c r="K5" s="33" t="inlineStr">
        <is>
          <t>التحول التقني</t>
        </is>
      </c>
      <c r="L5" s="28" t="inlineStr">
        <is>
          <t>العمليات الداخلية</t>
        </is>
      </c>
      <c r="M5" s="36" t="n"/>
      <c r="N5" s="16">
        <f>IF($H5="","",IF($M5="","",IF($H5=0,IF($M5&lt;=0,1,0),IF($E5="↓",IFERROR($H5/$M5,0),IFERROR($M5/$H5,0)))))</f>
        <v/>
      </c>
      <c r="O5" s="15">
        <f>IF($N5="","—",IF($N5&gt;=1,"✅ محقق",IF($N5&gt;=0.85,"🟡 قريب","🔴 تحت الهدف")))</f>
        <v/>
      </c>
    </row>
    <row r="6" ht="24" customHeight="1">
      <c r="A6" s="15" t="n">
        <v>3</v>
      </c>
      <c r="B6" s="9" t="inlineStr">
        <is>
          <t>أداء المشاريع</t>
        </is>
      </c>
      <c r="C6" s="9" t="inlineStr">
        <is>
          <t>نسبة الالتزام بميزانية المشاريع</t>
        </is>
      </c>
      <c r="D6" s="27" t="inlineStr">
        <is>
          <t>%</t>
        </is>
      </c>
      <c r="E6" s="27" t="inlineStr">
        <is>
          <t>↑</t>
        </is>
      </c>
      <c r="F6" s="28" t="inlineStr">
        <is>
          <t>🟠 مهم</t>
        </is>
      </c>
      <c r="G6" s="29" t="n">
        <v>0.1</v>
      </c>
      <c r="H6" s="29" t="n">
        <v>0.95</v>
      </c>
      <c r="I6" s="31" t="inlineStr">
        <is>
          <t>≥ 95%</t>
        </is>
      </c>
      <c r="J6" s="32" t="inlineStr">
        <is>
          <t>الابتكار</t>
        </is>
      </c>
      <c r="K6" s="33" t="inlineStr">
        <is>
          <t>التحول التقني</t>
        </is>
      </c>
      <c r="L6" s="28" t="inlineStr">
        <is>
          <t>العمليات الداخلية</t>
        </is>
      </c>
      <c r="M6" s="36" t="n"/>
      <c r="N6" s="16">
        <f>IF($H6="","",IF($M6="","",IF($H6=0,IF($M6&lt;=0,1,0),IF($E6="↓",IFERROR($H6/$M6,0),IFERROR($M6/$H6,0)))))</f>
        <v/>
      </c>
      <c r="O6" s="15">
        <f>IF($N6="","—",IF($N6&gt;=1,"✅ محقق",IF($N6&gt;=0.85,"🟡 قريب","🔴 تحت الهدف")))</f>
        <v/>
      </c>
    </row>
    <row r="7" ht="24" customHeight="1">
      <c r="A7" s="15" t="n">
        <v>4</v>
      </c>
      <c r="B7" s="9" t="inlineStr">
        <is>
          <t>أداء المشاريع</t>
        </is>
      </c>
      <c r="C7" s="9" t="inlineStr">
        <is>
          <t>نسبة الالتزام بنطاق العمل</t>
        </is>
      </c>
      <c r="D7" s="27" t="inlineStr">
        <is>
          <t>%</t>
        </is>
      </c>
      <c r="E7" s="27" t="inlineStr">
        <is>
          <t>↑</t>
        </is>
      </c>
      <c r="F7" s="28" t="inlineStr">
        <is>
          <t>🟠 مهم</t>
        </is>
      </c>
      <c r="G7" s="29" t="n">
        <v>0.1</v>
      </c>
      <c r="H7" s="29" t="n">
        <v>0.95</v>
      </c>
      <c r="I7" s="31" t="inlineStr">
        <is>
          <t>≥ 95%</t>
        </is>
      </c>
      <c r="J7" s="32" t="inlineStr">
        <is>
          <t>الابتكار</t>
        </is>
      </c>
      <c r="K7" s="33" t="inlineStr">
        <is>
          <t>التحول التقني</t>
        </is>
      </c>
      <c r="L7" s="28" t="inlineStr">
        <is>
          <t>العمليات الداخلية</t>
        </is>
      </c>
      <c r="M7" s="36" t="n"/>
      <c r="N7" s="16">
        <f>IF($H7="","",IF($M7="","",IF($H7=0,IF($M7&lt;=0,1,0),IF($E7="↓",IFERROR($H7/$M7,0),IFERROR($M7/$H7,0)))))</f>
        <v/>
      </c>
      <c r="O7" s="15">
        <f>IF($N7="","—",IF($N7&gt;=1,"✅ محقق",IF($N7&gt;=0.85,"🟡 قريب","🔴 تحت الهدف")))</f>
        <v/>
      </c>
    </row>
    <row r="8" ht="24" customHeight="1">
      <c r="A8" s="15" t="n">
        <v>5</v>
      </c>
      <c r="B8" s="9" t="inlineStr">
        <is>
          <t>الكفاءة التشغيلية</t>
        </is>
      </c>
      <c r="C8" s="9" t="inlineStr">
        <is>
          <t>نسبة تفعيل الأنظمة الأساسية بالمحطات</t>
        </is>
      </c>
      <c r="D8" s="27" t="inlineStr">
        <is>
          <t>%</t>
        </is>
      </c>
      <c r="E8" s="27" t="inlineStr">
        <is>
          <t>↑</t>
        </is>
      </c>
      <c r="F8" s="28" t="inlineStr">
        <is>
          <t>🔴 رئيسي</t>
        </is>
      </c>
      <c r="G8" s="29" t="n">
        <v>0.15</v>
      </c>
      <c r="H8" s="29" t="n">
        <v>1</v>
      </c>
      <c r="I8" s="31" t="inlineStr">
        <is>
          <t>100%</t>
        </is>
      </c>
      <c r="J8" s="32" t="inlineStr">
        <is>
          <t>الاستدامة</t>
        </is>
      </c>
      <c r="K8" s="33" t="inlineStr">
        <is>
          <t>جودة التشغيل</t>
        </is>
      </c>
      <c r="L8" s="28" t="inlineStr">
        <is>
          <t>العمليات الداخلية</t>
        </is>
      </c>
      <c r="M8" s="36" t="n">
        <v>0.33</v>
      </c>
      <c r="N8" s="16">
        <f>IF($H8="","",IF($M8="","",IF($H8=0,IF($M8&lt;=0,1,0),IF($E8="↓",IFERROR($H8/$M8,0),IFERROR($M8/$H8,0)))))</f>
        <v/>
      </c>
      <c r="O8" s="15">
        <f>IF($N8="","—",IF($N8&gt;=1,"✅ محقق",IF($N8&gt;=0.85,"🟡 قريب","🔴 تحت الهدف")))</f>
        <v/>
      </c>
    </row>
    <row r="9" ht="24" customHeight="1">
      <c r="A9" s="15" t="n">
        <v>6</v>
      </c>
      <c r="B9" s="9" t="inlineStr">
        <is>
          <t>الكفاءة التشغيلية</t>
        </is>
      </c>
      <c r="C9" s="9" t="inlineStr">
        <is>
          <t>متوسط جاهزية أنظمة المركز الرئيسي (Uptime)</t>
        </is>
      </c>
      <c r="D9" s="27" t="inlineStr">
        <is>
          <t>%</t>
        </is>
      </c>
      <c r="E9" s="27" t="inlineStr">
        <is>
          <t>↑</t>
        </is>
      </c>
      <c r="F9" s="28" t="inlineStr">
        <is>
          <t>🔴 رئيسي</t>
        </is>
      </c>
      <c r="G9" s="29" t="n">
        <v>0.15</v>
      </c>
      <c r="H9" s="29" t="n">
        <v>0.99</v>
      </c>
      <c r="I9" s="31" t="inlineStr">
        <is>
          <t>≥ 99%</t>
        </is>
      </c>
      <c r="J9" s="32" t="inlineStr">
        <is>
          <t>الاستدامة</t>
        </is>
      </c>
      <c r="K9" s="33" t="inlineStr">
        <is>
          <t>جودة التشغيل</t>
        </is>
      </c>
      <c r="L9" s="28" t="inlineStr">
        <is>
          <t>العمليات الداخلية</t>
        </is>
      </c>
      <c r="M9" s="36" t="n">
        <v>0.9</v>
      </c>
      <c r="N9" s="16">
        <f>IF($H9="","",IF($M9="","",IF($H9=0,IF($M9&lt;=0,1,0),IF($E9="↓",IFERROR($H9/$M9,0),IFERROR($M9/$H9,0)))))</f>
        <v/>
      </c>
      <c r="O9" s="15">
        <f>IF($N9="","—",IF($N9&gt;=1,"✅ محقق",IF($N9&gt;=0.85,"🟡 قريب","🔴 تحت الهدف")))</f>
        <v/>
      </c>
    </row>
    <row r="10" ht="24" customHeight="1">
      <c r="A10" s="15" t="n">
        <v>7</v>
      </c>
      <c r="B10" s="9" t="inlineStr">
        <is>
          <t>الكفاءة التشغيلية</t>
        </is>
      </c>
      <c r="C10" s="9" t="inlineStr">
        <is>
          <t>نسبة الامتثال للأمن السيبراني</t>
        </is>
      </c>
      <c r="D10" s="27" t="inlineStr">
        <is>
          <t>%</t>
        </is>
      </c>
      <c r="E10" s="27" t="inlineStr">
        <is>
          <t>↑</t>
        </is>
      </c>
      <c r="F10" s="28" t="inlineStr">
        <is>
          <t>🟠 مهم</t>
        </is>
      </c>
      <c r="G10" s="29" t="n">
        <v>0.1</v>
      </c>
      <c r="H10" s="29" t="n">
        <v>1</v>
      </c>
      <c r="I10" s="31" t="inlineStr">
        <is>
          <t>100%</t>
        </is>
      </c>
      <c r="J10" s="32" t="inlineStr">
        <is>
          <t>الاستدامة</t>
        </is>
      </c>
      <c r="K10" s="33" t="inlineStr">
        <is>
          <t>جودة التشغيل</t>
        </is>
      </c>
      <c r="L10" s="28" t="inlineStr">
        <is>
          <t>العمليات الداخلية</t>
        </is>
      </c>
      <c r="M10" s="36" t="n">
        <v>0.3</v>
      </c>
      <c r="N10" s="16">
        <f>IF($H10="","",IF($M10="","",IF($H10=0,IF($M10&lt;=0,1,0),IF($E10="↓",IFERROR($H10/$M10,0),IFERROR($M10/$H10,0)))))</f>
        <v/>
      </c>
      <c r="O10" s="15">
        <f>IF($N10="","—",IF($N10&gt;=1,"✅ محقق",IF($N10&gt;=0.85,"🟡 قريب","🔴 تحت الهدف")))</f>
        <v/>
      </c>
    </row>
    <row r="11" ht="24" customHeight="1">
      <c r="A11" s="15" t="n">
        <v>8</v>
      </c>
      <c r="B11" s="9" t="inlineStr">
        <is>
          <t>الكفاءة التشغيلية</t>
        </is>
      </c>
      <c r="C11" s="9" t="inlineStr">
        <is>
          <t>متوسط زمن استجابة الدعم الفني</t>
        </is>
      </c>
      <c r="D11" s="27" t="inlineStr">
        <is>
          <t>ساعة</t>
        </is>
      </c>
      <c r="E11" s="27" t="inlineStr">
        <is>
          <t>↓</t>
        </is>
      </c>
      <c r="F11" s="28" t="inlineStr">
        <is>
          <t>🟠 مهم</t>
        </is>
      </c>
      <c r="G11" s="29" t="n">
        <v>0.1</v>
      </c>
      <c r="H11" s="37" t="n">
        <v>1</v>
      </c>
      <c r="I11" s="31" t="inlineStr">
        <is>
          <t>≤ ساعة</t>
        </is>
      </c>
      <c r="J11" s="32" t="inlineStr">
        <is>
          <t>الاستدامة</t>
        </is>
      </c>
      <c r="K11" s="33" t="inlineStr">
        <is>
          <t>جودة التشغيل</t>
        </is>
      </c>
      <c r="L11" s="28" t="inlineStr">
        <is>
          <t>العمليات الداخلية</t>
        </is>
      </c>
      <c r="M11" s="38" t="n">
        <v>0.8</v>
      </c>
      <c r="N11" s="16">
        <f>IF($H11="","",IF($M11="","",IF($H11=0,IF($M11&lt;=0,1,0),IF($E11="↓",IFERROR($H11/$M11,0),IFERROR($M11/$H11,0)))))</f>
        <v/>
      </c>
      <c r="O11" s="15">
        <f>IF($N11="","—",IF($N11&gt;=1,"✅ محقق",IF($N11&gt;=0.85,"🟡 قريب","🔴 تحت الهدف")))</f>
        <v/>
      </c>
    </row>
    <row r="12" ht="24" customHeight="1">
      <c r="A12" s="15" t="n">
        <v>9</v>
      </c>
      <c r="B12" s="9" t="inlineStr">
        <is>
          <t>الكفاءة التشغيلية</t>
        </is>
      </c>
      <c r="C12" s="9" t="inlineStr">
        <is>
          <t>نسبة التكامل الرقمي (ERP/واثق/الولاء)</t>
        </is>
      </c>
      <c r="D12" s="27" t="inlineStr">
        <is>
          <t>%</t>
        </is>
      </c>
      <c r="E12" s="27" t="inlineStr">
        <is>
          <t>↑</t>
        </is>
      </c>
      <c r="F12" s="28" t="inlineStr">
        <is>
          <t>🟠 مهم</t>
        </is>
      </c>
      <c r="G12" s="29" t="n">
        <v>0.1</v>
      </c>
      <c r="H12" s="29" t="n">
        <v>1</v>
      </c>
      <c r="I12" s="31" t="inlineStr">
        <is>
          <t>100%</t>
        </is>
      </c>
      <c r="J12" s="32" t="inlineStr">
        <is>
          <t>الاستدامة</t>
        </is>
      </c>
      <c r="K12" s="33" t="inlineStr">
        <is>
          <t>جودة التشغيل</t>
        </is>
      </c>
      <c r="L12" s="28" t="inlineStr">
        <is>
          <t>التعلّم والنمو</t>
        </is>
      </c>
      <c r="M12" s="36" t="n">
        <v>0.2</v>
      </c>
      <c r="N12" s="16">
        <f>IF($H12="","",IF($M12="","",IF($H12=0,IF($M12&lt;=0,1,0),IF($E12="↓",IFERROR($H12/$M12,0),IFERROR($M12/$H12,0)))))</f>
        <v/>
      </c>
      <c r="O12" s="15">
        <f>IF($N12="","—",IF($N12&gt;=1,"✅ محقق",IF($N12&gt;=0.85,"🟡 قريب","🔴 تحت الهدف")))</f>
        <v/>
      </c>
    </row>
  </sheetData>
  <autoFilter ref="A3:O12"/>
  <mergeCells count="2">
    <mergeCell ref="A1:O1"/>
    <mergeCell ref="A2:O2"/>
  </mergeCells>
  <dataValidations count="1">
    <dataValidation sqref="M4 M5 M6 M7 M8 M9 M10 M11 M12" showDropDown="0" showInputMessage="0" showErrorMessage="0" allowBlank="1" type="decimal" operator="greaterThanOrEqual">
      <formula1>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20"/>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4" t="inlineStr">
        <is>
          <t>إدارة الموارد البشرية · مؤشرات الأداء 2026</t>
        </is>
      </c>
    </row>
    <row r="2">
      <c r="A2" s="25" t="inlineStr">
        <is>
          <t>🟩 أدخل «المُحقَّق» · نسبة التحقيق والحالة دلّات حقيقية تُحسب تلقائياً</t>
        </is>
      </c>
    </row>
    <row r="3" ht="28" customHeight="1">
      <c r="A3" s="26" t="inlineStr">
        <is>
          <t>#</t>
        </is>
      </c>
      <c r="B3" s="26" t="inlineStr">
        <is>
          <t>المحور</t>
        </is>
      </c>
      <c r="C3" s="26" t="inlineStr">
        <is>
          <t>المؤشر</t>
        </is>
      </c>
      <c r="D3" s="26" t="inlineStr">
        <is>
          <t>الوحدة</t>
        </is>
      </c>
      <c r="E3" s="26" t="inlineStr">
        <is>
          <t>القطبية</t>
        </is>
      </c>
      <c r="F3" s="26" t="inlineStr">
        <is>
          <t>الأولوية</t>
        </is>
      </c>
      <c r="G3" s="26" t="inlineStr">
        <is>
          <t>الوزن %</t>
        </is>
      </c>
      <c r="H3" s="26" t="inlineStr">
        <is>
          <t>المستهدف</t>
        </is>
      </c>
      <c r="I3" s="26" t="inlineStr">
        <is>
          <t>نص المستهدف</t>
        </is>
      </c>
      <c r="J3" s="26" t="inlineStr">
        <is>
          <t>الركيزة</t>
        </is>
      </c>
      <c r="K3" s="26" t="inlineStr">
        <is>
          <t>المشروع</t>
        </is>
      </c>
      <c r="L3" s="26" t="inlineStr">
        <is>
          <t>منظور BSC</t>
        </is>
      </c>
      <c r="M3" s="26" t="inlineStr">
        <is>
          <t>المُحقَّق</t>
        </is>
      </c>
      <c r="N3" s="26" t="inlineStr">
        <is>
          <t>نسبة التحقيق</t>
        </is>
      </c>
      <c r="O3" s="26" t="inlineStr">
        <is>
          <t>الحالة</t>
        </is>
      </c>
    </row>
    <row r="4" ht="24" customHeight="1">
      <c r="A4" s="15" t="n">
        <v>1</v>
      </c>
      <c r="B4" s="9" t="inlineStr">
        <is>
          <t>التوظيف والتوطين</t>
        </is>
      </c>
      <c r="C4" s="9" t="inlineStr">
        <is>
          <t>نسبة السعودة / التوطين</t>
        </is>
      </c>
      <c r="D4" s="27" t="inlineStr">
        <is>
          <t>%</t>
        </is>
      </c>
      <c r="E4" s="27" t="inlineStr">
        <is>
          <t>↑</t>
        </is>
      </c>
      <c r="F4" s="28" t="inlineStr">
        <is>
          <t>🟠 مهم</t>
        </is>
      </c>
      <c r="G4" s="29" t="n">
        <v>0.05405</v>
      </c>
      <c r="H4" s="27" t="inlineStr"/>
      <c r="I4" s="31" t="inlineStr">
        <is>
          <t>أخضر مرتفع (حسب الوزارة)</t>
        </is>
      </c>
      <c r="J4" s="32" t="inlineStr">
        <is>
          <t>الاستدامة</t>
        </is>
      </c>
      <c r="K4" s="33" t="inlineStr">
        <is>
          <t>الاستثمار في الموظفين</t>
        </is>
      </c>
      <c r="L4" s="28" t="inlineStr">
        <is>
          <t>التعلّم والنمو</t>
        </is>
      </c>
      <c r="M4" s="36" t="n"/>
      <c r="N4" s="16">
        <f>IF($H4="","",IF($M4="","",IF($H4=0,IF($M4&lt;=0,1,0),IF($E4="↓",IFERROR($H4/$M4,0),IFERROR($M4/$H4,0)))))</f>
        <v/>
      </c>
      <c r="O4" s="15">
        <f>IF($N4="","—",IF($N4&gt;=1,"✅ محقق",IF($N4&gt;=0.85,"🟡 قريب","🔴 تحت الهدف")))</f>
        <v/>
      </c>
    </row>
    <row r="5" ht="24" customHeight="1">
      <c r="A5" s="15" t="n">
        <v>2</v>
      </c>
      <c r="B5" s="9" t="inlineStr">
        <is>
          <t>التوظيف والتوطين</t>
        </is>
      </c>
      <c r="C5" s="9" t="inlineStr">
        <is>
          <t>الارتقاء بآليات اختيار المرشحين</t>
        </is>
      </c>
      <c r="D5" s="27" t="inlineStr">
        <is>
          <t>%</t>
        </is>
      </c>
      <c r="E5" s="27" t="inlineStr">
        <is>
          <t>↑</t>
        </is>
      </c>
      <c r="F5" s="28" t="inlineStr">
        <is>
          <t>🟠 مهم</t>
        </is>
      </c>
      <c r="G5" s="29" t="n">
        <v>0.05405</v>
      </c>
      <c r="H5" s="29" t="n">
        <v>1</v>
      </c>
      <c r="I5" s="31" t="inlineStr">
        <is>
          <t>100%</t>
        </is>
      </c>
      <c r="J5" s="32" t="inlineStr">
        <is>
          <t>الاستدامة</t>
        </is>
      </c>
      <c r="K5" s="33" t="inlineStr">
        <is>
          <t>الاستثمار في الموظفين</t>
        </is>
      </c>
      <c r="L5" s="28" t="inlineStr">
        <is>
          <t>العمليات الداخلية</t>
        </is>
      </c>
      <c r="M5" s="36" t="n"/>
      <c r="N5" s="16">
        <f>IF($H5="","",IF($M5="","",IF($H5=0,IF($M5&lt;=0,1,0),IF($E5="↓",IFERROR($H5/$M5,0),IFERROR($M5/$H5,0)))))</f>
        <v/>
      </c>
      <c r="O5" s="15">
        <f>IF($N5="","—",IF($N5&gt;=1,"✅ محقق",IF($N5&gt;=0.85,"🟡 قريب","🔴 تحت الهدف")))</f>
        <v/>
      </c>
    </row>
    <row r="6" ht="24" customHeight="1">
      <c r="A6" s="15" t="n">
        <v>3</v>
      </c>
      <c r="B6" s="9" t="inlineStr">
        <is>
          <t>التوظيف والتوطين</t>
        </is>
      </c>
      <c r="C6" s="9" t="inlineStr">
        <is>
          <t>نسبة شغل الشواغر خلال 30 يوم</t>
        </is>
      </c>
      <c r="D6" s="27" t="inlineStr">
        <is>
          <t>%</t>
        </is>
      </c>
      <c r="E6" s="27" t="inlineStr">
        <is>
          <t>↑</t>
        </is>
      </c>
      <c r="F6" s="28" t="inlineStr">
        <is>
          <t>🟠 مهم</t>
        </is>
      </c>
      <c r="G6" s="29" t="n">
        <v>0.05405</v>
      </c>
      <c r="H6" s="29" t="n">
        <v>0.85</v>
      </c>
      <c r="I6" s="31" t="inlineStr">
        <is>
          <t>≥ 85%</t>
        </is>
      </c>
      <c r="J6" s="32" t="inlineStr">
        <is>
          <t>الاستدامة</t>
        </is>
      </c>
      <c r="K6" s="33" t="inlineStr">
        <is>
          <t>الاستثمار في الموظفين</t>
        </is>
      </c>
      <c r="L6" s="28" t="inlineStr">
        <is>
          <t>العمليات الداخلية</t>
        </is>
      </c>
      <c r="M6" s="36" t="n"/>
      <c r="N6" s="16">
        <f>IF($H6="","",IF($M6="","",IF($H6=0,IF($M6&lt;=0,1,0),IF($E6="↓",IFERROR($H6/$M6,0),IFERROR($M6/$H6,0)))))</f>
        <v/>
      </c>
      <c r="O6" s="15">
        <f>IF($N6="","—",IF($N6&gt;=1,"✅ محقق",IF($N6&gt;=0.85,"🟡 قريب","🔴 تحت الهدف")))</f>
        <v/>
      </c>
    </row>
    <row r="7" ht="24" customHeight="1">
      <c r="A7" s="15" t="n">
        <v>4</v>
      </c>
      <c r="B7" s="9" t="inlineStr">
        <is>
          <t>الاستبقاء</t>
        </is>
      </c>
      <c r="C7" s="9" t="inlineStr">
        <is>
          <t>معدل استبقاء الموظفين (Retention)</t>
        </is>
      </c>
      <c r="D7" s="27" t="inlineStr">
        <is>
          <t>%</t>
        </is>
      </c>
      <c r="E7" s="27" t="inlineStr">
        <is>
          <t>↑</t>
        </is>
      </c>
      <c r="F7" s="28" t="inlineStr">
        <is>
          <t>🔴 رئيسي</t>
        </is>
      </c>
      <c r="G7" s="29" t="n">
        <v>0.08108</v>
      </c>
      <c r="H7" s="29" t="n">
        <v>0.9</v>
      </c>
      <c r="I7" s="31" t="inlineStr">
        <is>
          <t>≥ 90%</t>
        </is>
      </c>
      <c r="J7" s="32" t="inlineStr">
        <is>
          <t>الاستدامة</t>
        </is>
      </c>
      <c r="K7" s="33" t="inlineStr">
        <is>
          <t>الاستثمار في الموظفين</t>
        </is>
      </c>
      <c r="L7" s="28" t="inlineStr">
        <is>
          <t>التعلّم والنمو</t>
        </is>
      </c>
      <c r="M7" s="36" t="n"/>
      <c r="N7" s="16">
        <f>IF($H7="","",IF($M7="","",IF($H7=0,IF($M7&lt;=0,1,0),IF($E7="↓",IFERROR($H7/$M7,0),IFERROR($M7/$H7,0)))))</f>
        <v/>
      </c>
      <c r="O7" s="15">
        <f>IF($N7="","—",IF($N7&gt;=1,"✅ محقق",IF($N7&gt;=0.85,"🟡 قريب","🔴 تحت الهدف")))</f>
        <v/>
      </c>
    </row>
    <row r="8" ht="24" customHeight="1">
      <c r="A8" s="15" t="n">
        <v>5</v>
      </c>
      <c r="B8" s="9" t="inlineStr">
        <is>
          <t>الاستبقاء</t>
        </is>
      </c>
      <c r="C8" s="9" t="inlineStr">
        <is>
          <t>معدل دوران الموظفين (Turnover)</t>
        </is>
      </c>
      <c r="D8" s="27" t="inlineStr">
        <is>
          <t>%</t>
        </is>
      </c>
      <c r="E8" s="27" t="inlineStr">
        <is>
          <t>↓</t>
        </is>
      </c>
      <c r="F8" s="28" t="inlineStr">
        <is>
          <t>🟠 مهم</t>
        </is>
      </c>
      <c r="G8" s="29" t="n">
        <v>0.05405</v>
      </c>
      <c r="H8" s="29" t="n">
        <v>0.1</v>
      </c>
      <c r="I8" s="31" t="inlineStr">
        <is>
          <t>≤ 10%</t>
        </is>
      </c>
      <c r="J8" s="32" t="inlineStr">
        <is>
          <t>الاستدامة</t>
        </is>
      </c>
      <c r="K8" s="33" t="inlineStr">
        <is>
          <t>الاستثمار في الموظفين</t>
        </is>
      </c>
      <c r="L8" s="28" t="inlineStr">
        <is>
          <t>التعلّم والنمو</t>
        </is>
      </c>
      <c r="M8" s="36" t="n"/>
      <c r="N8" s="16">
        <f>IF($H8="","",IF($M8="","",IF($H8=0,IF($M8&lt;=0,1,0),IF($E8="↓",IFERROR($H8/$M8,0),IFERROR($M8/$H8,0)))))</f>
        <v/>
      </c>
      <c r="O8" s="15">
        <f>IF($N8="","—",IF($N8&gt;=1,"✅ محقق",IF($N8&gt;=0.85,"🟡 قريب","🔴 تحت الهدف")))</f>
        <v/>
      </c>
    </row>
    <row r="9" ht="24" customHeight="1">
      <c r="A9" s="15" t="n">
        <v>6</v>
      </c>
      <c r="B9" s="9" t="inlineStr">
        <is>
          <t>التدريب والتطوير</t>
        </is>
      </c>
      <c r="C9" s="9" t="inlineStr">
        <is>
          <t>عدد الدورات الإدارية المنعقدة</t>
        </is>
      </c>
      <c r="D9" s="27" t="inlineStr">
        <is>
          <t>دورة</t>
        </is>
      </c>
      <c r="E9" s="27" t="inlineStr">
        <is>
          <t>↑</t>
        </is>
      </c>
      <c r="F9" s="28" t="inlineStr">
        <is>
          <t>🔴 رئيسي</t>
        </is>
      </c>
      <c r="G9" s="29" t="n">
        <v>0.08108</v>
      </c>
      <c r="H9" s="30" t="n">
        <v>6</v>
      </c>
      <c r="I9" s="31" t="inlineStr">
        <is>
          <t>6 دورات</t>
        </is>
      </c>
      <c r="J9" s="32" t="inlineStr">
        <is>
          <t>الاستدامة</t>
        </is>
      </c>
      <c r="K9" s="33" t="inlineStr">
        <is>
          <t>الاستثمار في الموظفين</t>
        </is>
      </c>
      <c r="L9" s="28" t="inlineStr">
        <is>
          <t>العمليات الداخلية</t>
        </is>
      </c>
      <c r="M9" s="34" t="n"/>
      <c r="N9" s="16">
        <f>IF($H9="","",IF($M9="","",IF($H9=0,IF($M9&lt;=0,1,0),IF($E9="↓",IFERROR($H9/$M9,0),IFERROR($M9/$H9,0)))))</f>
        <v/>
      </c>
      <c r="O9" s="15">
        <f>IF($N9="","—",IF($N9&gt;=1,"✅ محقق",IF($N9&gt;=0.85,"🟡 قريب","🔴 تحت الهدف")))</f>
        <v/>
      </c>
    </row>
    <row r="10" ht="24" customHeight="1">
      <c r="A10" s="15" t="n">
        <v>7</v>
      </c>
      <c r="B10" s="9" t="inlineStr">
        <is>
          <t>التدريب والتطوير</t>
        </is>
      </c>
      <c r="C10" s="9" t="inlineStr">
        <is>
          <t>متوسط ساعات التدريب لكل موظف</t>
        </is>
      </c>
      <c r="D10" s="27" t="inlineStr">
        <is>
          <t>ساعة</t>
        </is>
      </c>
      <c r="E10" s="27" t="inlineStr">
        <is>
          <t>↑</t>
        </is>
      </c>
      <c r="F10" s="28" t="inlineStr">
        <is>
          <t>🟠 مهم</t>
        </is>
      </c>
      <c r="G10" s="29" t="n">
        <v>0.05405</v>
      </c>
      <c r="H10" s="37" t="n">
        <v>40</v>
      </c>
      <c r="I10" s="31" t="inlineStr">
        <is>
          <t>≥ 40 ساعة</t>
        </is>
      </c>
      <c r="J10" s="32" t="inlineStr">
        <is>
          <t>الاستدامة</t>
        </is>
      </c>
      <c r="K10" s="33" t="inlineStr">
        <is>
          <t>الاستثمار في الموظفين</t>
        </is>
      </c>
      <c r="L10" s="28" t="inlineStr">
        <is>
          <t>التعلّم والنمو</t>
        </is>
      </c>
      <c r="M10" s="38" t="n"/>
      <c r="N10" s="16">
        <f>IF($H10="","",IF($M10="","",IF($H10=0,IF($M10&lt;=0,1,0),IF($E10="↓",IFERROR($H10/$M10,0),IFERROR($M10/$H10,0)))))</f>
        <v/>
      </c>
      <c r="O10" s="15">
        <f>IF($N10="","—",IF($N10&gt;=1,"✅ محقق",IF($N10&gt;=0.85,"🟡 قريب","🔴 تحت الهدف")))</f>
        <v/>
      </c>
    </row>
    <row r="11" ht="24" customHeight="1">
      <c r="A11" s="15" t="n">
        <v>8</v>
      </c>
      <c r="B11" s="9" t="inlineStr">
        <is>
          <t>التدريب والتطوير</t>
        </is>
      </c>
      <c r="C11" s="9" t="inlineStr">
        <is>
          <t>نسبة الموظفين المشمولين بخطة تطوير</t>
        </is>
      </c>
      <c r="D11" s="27" t="inlineStr">
        <is>
          <t>%</t>
        </is>
      </c>
      <c r="E11" s="27" t="inlineStr">
        <is>
          <t>↑</t>
        </is>
      </c>
      <c r="F11" s="28" t="inlineStr">
        <is>
          <t>🟠 مهم</t>
        </is>
      </c>
      <c r="G11" s="29" t="n">
        <v>0.05405</v>
      </c>
      <c r="H11" s="29" t="n">
        <v>0.8</v>
      </c>
      <c r="I11" s="31" t="inlineStr">
        <is>
          <t>≥ 80%</t>
        </is>
      </c>
      <c r="J11" s="32" t="inlineStr">
        <is>
          <t>الاستدامة</t>
        </is>
      </c>
      <c r="K11" s="33" t="inlineStr">
        <is>
          <t>الاستثمار في الموظفين</t>
        </is>
      </c>
      <c r="L11" s="28" t="inlineStr">
        <is>
          <t>التعلّم والنمو</t>
        </is>
      </c>
      <c r="M11" s="36" t="n"/>
      <c r="N11" s="16">
        <f>IF($H11="","",IF($M11="","",IF($H11=0,IF($M11&lt;=0,1,0),IF($E11="↓",IFERROR($H11/$M11,0),IFERROR($M11/$H11,0)))))</f>
        <v/>
      </c>
      <c r="O11" s="15">
        <f>IF($N11="","—",IF($N11&gt;=1,"✅ محقق",IF($N11&gt;=0.85,"🟡 قريب","🔴 تحت الهدف")))</f>
        <v/>
      </c>
    </row>
    <row r="12" ht="24" customHeight="1">
      <c r="A12" s="15" t="n">
        <v>9</v>
      </c>
      <c r="B12" s="9" t="inlineStr">
        <is>
          <t>الرضا والثقافة</t>
        </is>
      </c>
      <c r="C12" s="9" t="inlineStr">
        <is>
          <t>مؤشر رضا الموظفين (eNPS)</t>
        </is>
      </c>
      <c r="D12" s="27" t="inlineStr">
        <is>
          <t>نقطة</t>
        </is>
      </c>
      <c r="E12" s="27" t="inlineStr">
        <is>
          <t>↑</t>
        </is>
      </c>
      <c r="F12" s="28" t="inlineStr">
        <is>
          <t>🔴 رئيسي</t>
        </is>
      </c>
      <c r="G12" s="29" t="n">
        <v>0.08108</v>
      </c>
      <c r="H12" s="37" t="n">
        <v>30</v>
      </c>
      <c r="I12" s="31" t="inlineStr">
        <is>
          <t>≥ 30</t>
        </is>
      </c>
      <c r="J12" s="32" t="inlineStr">
        <is>
          <t>الاستدامة</t>
        </is>
      </c>
      <c r="K12" s="33" t="inlineStr">
        <is>
          <t>الاستثمار في الموظفين</t>
        </is>
      </c>
      <c r="L12" s="28" t="inlineStr">
        <is>
          <t>التعلّم والنمو</t>
        </is>
      </c>
      <c r="M12" s="38" t="n"/>
      <c r="N12" s="16">
        <f>IF($H12="","",IF($M12="","",IF($H12=0,IF($M12&lt;=0,1,0),IF($E12="↓",IFERROR($H12/$M12,0),IFERROR($M12/$H12,0)))))</f>
        <v/>
      </c>
      <c r="O12" s="15">
        <f>IF($N12="","—",IF($N12&gt;=1,"✅ محقق",IF($N12&gt;=0.85,"🟡 قريب","🔴 تحت الهدف")))</f>
        <v/>
      </c>
    </row>
    <row r="13" ht="24" customHeight="1">
      <c r="A13" s="15" t="n">
        <v>10</v>
      </c>
      <c r="B13" s="9" t="inlineStr">
        <is>
          <t>الرضا والثقافة</t>
        </is>
      </c>
      <c r="C13" s="9" t="inlineStr">
        <is>
          <t>تحسين مستوى الرضا الوظيفي</t>
        </is>
      </c>
      <c r="D13" s="27" t="inlineStr">
        <is>
          <t>%</t>
        </is>
      </c>
      <c r="E13" s="27" t="inlineStr">
        <is>
          <t>↑</t>
        </is>
      </c>
      <c r="F13" s="28" t="inlineStr">
        <is>
          <t>🔴 رئيسي</t>
        </is>
      </c>
      <c r="G13" s="29" t="n">
        <v>0.08108</v>
      </c>
      <c r="H13" s="27" t="inlineStr"/>
      <c r="I13" s="31" t="inlineStr">
        <is>
          <t>مستهدف سنوي</t>
        </is>
      </c>
      <c r="J13" s="32" t="inlineStr">
        <is>
          <t>الاستدامة</t>
        </is>
      </c>
      <c r="K13" s="33" t="inlineStr">
        <is>
          <t>الاستثمار في الموظفين</t>
        </is>
      </c>
      <c r="L13" s="28" t="inlineStr">
        <is>
          <t>العملاء</t>
        </is>
      </c>
      <c r="M13" s="36" t="n"/>
      <c r="N13" s="16">
        <f>IF($H13="","",IF($M13="","",IF($H13=0,IF($M13&lt;=0,1,0),IF($E13="↓",IFERROR($H13/$M13,0),IFERROR($M13/$H13,0)))))</f>
        <v/>
      </c>
      <c r="O13" s="15">
        <f>IF($N13="","—",IF($N13&gt;=1,"✅ محقق",IF($N13&gt;=0.85,"🟡 قريب","🔴 تحت الهدف")))</f>
        <v/>
      </c>
    </row>
    <row r="14" ht="24" customHeight="1">
      <c r="A14" s="15" t="n">
        <v>11</v>
      </c>
      <c r="B14" s="9" t="inlineStr">
        <is>
          <t>الرضا والثقافة</t>
        </is>
      </c>
      <c r="C14" s="9" t="inlineStr">
        <is>
          <t>ترسيخ القيم والثقافة المؤسسية</t>
        </is>
      </c>
      <c r="D14" s="27" t="inlineStr">
        <is>
          <t>%</t>
        </is>
      </c>
      <c r="E14" s="27" t="inlineStr">
        <is>
          <t>↑</t>
        </is>
      </c>
      <c r="F14" s="28" t="inlineStr">
        <is>
          <t>🟠 مهم</t>
        </is>
      </c>
      <c r="G14" s="29" t="n">
        <v>0.05405</v>
      </c>
      <c r="H14" s="29" t="n">
        <v>1</v>
      </c>
      <c r="I14" s="31" t="inlineStr">
        <is>
          <t>100%</t>
        </is>
      </c>
      <c r="J14" s="32" t="inlineStr">
        <is>
          <t>الاستدامة</t>
        </is>
      </c>
      <c r="K14" s="33" t="inlineStr">
        <is>
          <t>الاستثمار في الموظفين</t>
        </is>
      </c>
      <c r="L14" s="28" t="inlineStr">
        <is>
          <t>العمليات الداخلية</t>
        </is>
      </c>
      <c r="M14" s="36" t="n"/>
      <c r="N14" s="16">
        <f>IF($H14="","",IF($M14="","",IF($H14=0,IF($M14&lt;=0,1,0),IF($E14="↓",IFERROR($H14/$M14,0),IFERROR($M14/$H14,0)))))</f>
        <v/>
      </c>
      <c r="O14" s="15">
        <f>IF($N14="","—",IF($N14&gt;=1,"✅ محقق",IF($N14&gt;=0.85,"🟡 قريب","🔴 تحت الهدف")))</f>
        <v/>
      </c>
    </row>
    <row r="15" ht="24" customHeight="1">
      <c r="A15" s="15" t="n">
        <v>12</v>
      </c>
      <c r="B15" s="9" t="inlineStr">
        <is>
          <t>الأتمتة والتوثيق</t>
        </is>
      </c>
      <c r="C15" s="9" t="inlineStr">
        <is>
          <t>نسبة أتمتة عمليات الموارد البشرية</t>
        </is>
      </c>
      <c r="D15" s="27" t="inlineStr">
        <is>
          <t>%</t>
        </is>
      </c>
      <c r="E15" s="27" t="inlineStr">
        <is>
          <t>↑</t>
        </is>
      </c>
      <c r="F15" s="28" t="inlineStr">
        <is>
          <t>🟠 مهم</t>
        </is>
      </c>
      <c r="G15" s="29" t="n">
        <v>0.05405</v>
      </c>
      <c r="H15" s="29" t="n">
        <v>1</v>
      </c>
      <c r="I15" s="31" t="inlineStr">
        <is>
          <t>100%</t>
        </is>
      </c>
      <c r="J15" s="32" t="inlineStr">
        <is>
          <t>الابتكار</t>
        </is>
      </c>
      <c r="K15" s="33" t="inlineStr">
        <is>
          <t>التحول التقني</t>
        </is>
      </c>
      <c r="L15" s="28" t="inlineStr">
        <is>
          <t>التعلّم والنمو</t>
        </is>
      </c>
      <c r="M15" s="36" t="n"/>
      <c r="N15" s="16">
        <f>IF($H15="","",IF($M15="","",IF($H15=0,IF($M15&lt;=0,1,0),IF($E15="↓",IFERROR($H15/$M15,0),IFERROR($M15/$H15,0)))))</f>
        <v/>
      </c>
      <c r="O15" s="15">
        <f>IF($N15="","—",IF($N15&gt;=1,"✅ محقق",IF($N15&gt;=0.85,"🟡 قريب","🔴 تحت الهدف")))</f>
        <v/>
      </c>
    </row>
    <row r="16" ht="24" customHeight="1">
      <c r="A16" s="15" t="n">
        <v>13</v>
      </c>
      <c r="B16" s="9" t="inlineStr">
        <is>
          <t>الأتمتة والتوثيق</t>
        </is>
      </c>
      <c r="C16" s="9" t="inlineStr">
        <is>
          <t>نسبة توثيق أنظمة العمل</t>
        </is>
      </c>
      <c r="D16" s="27" t="inlineStr">
        <is>
          <t>%</t>
        </is>
      </c>
      <c r="E16" s="27" t="inlineStr">
        <is>
          <t>↑</t>
        </is>
      </c>
      <c r="F16" s="28" t="inlineStr">
        <is>
          <t>🟡 متابعة</t>
        </is>
      </c>
      <c r="G16" s="29" t="n">
        <v>0.02703</v>
      </c>
      <c r="H16" s="29" t="n">
        <v>0.8</v>
      </c>
      <c r="I16" s="31" t="inlineStr">
        <is>
          <t>≥ 80%</t>
        </is>
      </c>
      <c r="J16" s="32" t="inlineStr">
        <is>
          <t>الاستدامة</t>
        </is>
      </c>
      <c r="K16" s="33" t="inlineStr">
        <is>
          <t>جودة التشغيل</t>
        </is>
      </c>
      <c r="L16" s="28" t="inlineStr">
        <is>
          <t>العمليات الداخلية</t>
        </is>
      </c>
      <c r="M16" s="36" t="n"/>
      <c r="N16" s="16">
        <f>IF($H16="","",IF($M16="","",IF($H16=0,IF($M16&lt;=0,1,0),IF($E16="↓",IFERROR($H16/$M16,0),IFERROR($M16/$H16,0)))))</f>
        <v/>
      </c>
      <c r="O16" s="15">
        <f>IF($N16="","—",IF($N16&gt;=1,"✅ محقق",IF($N16&gt;=0.85,"🟡 قريب","🔴 تحت الهدف")))</f>
        <v/>
      </c>
    </row>
    <row r="17" ht="24" customHeight="1">
      <c r="A17" s="15" t="n">
        <v>14</v>
      </c>
      <c r="B17" s="9" t="inlineStr">
        <is>
          <t>الأتمتة والتوثيق</t>
        </is>
      </c>
      <c r="C17" s="9" t="inlineStr">
        <is>
          <t>ترسيخ الأنظمة الإدارية</t>
        </is>
      </c>
      <c r="D17" s="27" t="inlineStr">
        <is>
          <t>%</t>
        </is>
      </c>
      <c r="E17" s="27" t="inlineStr">
        <is>
          <t>↑</t>
        </is>
      </c>
      <c r="F17" s="28" t="inlineStr">
        <is>
          <t>🟠 مهم</t>
        </is>
      </c>
      <c r="G17" s="29" t="n">
        <v>0.05405</v>
      </c>
      <c r="H17" s="29" t="n">
        <v>0.8</v>
      </c>
      <c r="I17" s="31" t="inlineStr">
        <is>
          <t>≥ 80%</t>
        </is>
      </c>
      <c r="J17" s="32" t="inlineStr">
        <is>
          <t>الاستدامة</t>
        </is>
      </c>
      <c r="K17" s="33" t="inlineStr">
        <is>
          <t>جودة التشغيل</t>
        </is>
      </c>
      <c r="L17" s="28" t="inlineStr">
        <is>
          <t>العمليات الداخلية</t>
        </is>
      </c>
      <c r="M17" s="36" t="n"/>
      <c r="N17" s="16">
        <f>IF($H17="","",IF($M17="","",IF($H17=0,IF($M17&lt;=0,1,0),IF($E17="↓",IFERROR($H17/$M17,0),IFERROR($M17/$H17,0)))))</f>
        <v/>
      </c>
      <c r="O17" s="15">
        <f>IF($N17="","—",IF($N17&gt;=1,"✅ محقق",IF($N17&gt;=0.85,"🟡 قريب","🔴 تحت الهدف")))</f>
        <v/>
      </c>
    </row>
    <row r="18" ht="24" customHeight="1">
      <c r="A18" s="15" t="n">
        <v>15</v>
      </c>
      <c r="B18" s="9" t="inlineStr">
        <is>
          <t>الهيكلة</t>
        </is>
      </c>
      <c r="C18" s="9" t="inlineStr">
        <is>
          <t>اعتماد الهيكل التنظيمي</t>
        </is>
      </c>
      <c r="D18" s="27" t="inlineStr">
        <is>
          <t>%</t>
        </is>
      </c>
      <c r="E18" s="27" t="inlineStr">
        <is>
          <t>↑</t>
        </is>
      </c>
      <c r="F18" s="28" t="inlineStr">
        <is>
          <t>🟠 مهم</t>
        </is>
      </c>
      <c r="G18" s="29" t="n">
        <v>0.05405</v>
      </c>
      <c r="H18" s="29" t="n">
        <v>1</v>
      </c>
      <c r="I18" s="31" t="inlineStr">
        <is>
          <t>100%</t>
        </is>
      </c>
      <c r="J18" s="32" t="inlineStr">
        <is>
          <t>الاستدامة</t>
        </is>
      </c>
      <c r="K18" s="33" t="inlineStr">
        <is>
          <t>جودة التشغيل</t>
        </is>
      </c>
      <c r="L18" s="28" t="inlineStr">
        <is>
          <t>العمليات الداخلية</t>
        </is>
      </c>
      <c r="M18" s="36" t="n"/>
      <c r="N18" s="16">
        <f>IF($H18="","",IF($M18="","",IF($H18=0,IF($M18&lt;=0,1,0),IF($E18="↓",IFERROR($H18/$M18,0),IFERROR($M18/$H18,0)))))</f>
        <v/>
      </c>
      <c r="O18" s="15">
        <f>IF($N18="","—",IF($N18&gt;=1,"✅ محقق",IF($N18&gt;=0.85,"🟡 قريب","🔴 تحت الهدف")))</f>
        <v/>
      </c>
    </row>
    <row r="19" ht="24" customHeight="1">
      <c r="A19" s="15" t="n">
        <v>16</v>
      </c>
      <c r="B19" s="9" t="inlineStr">
        <is>
          <t>الهيكلة</t>
        </is>
      </c>
      <c r="C19" s="9" t="inlineStr">
        <is>
          <t>اكتمال الأوصاف الوظيفية (+KPI)</t>
        </is>
      </c>
      <c r="D19" s="27" t="inlineStr">
        <is>
          <t>%</t>
        </is>
      </c>
      <c r="E19" s="27" t="inlineStr">
        <is>
          <t>↑</t>
        </is>
      </c>
      <c r="F19" s="28" t="inlineStr">
        <is>
          <t>🟠 مهم</t>
        </is>
      </c>
      <c r="G19" s="29" t="n">
        <v>0.05405</v>
      </c>
      <c r="H19" s="29" t="n">
        <v>1</v>
      </c>
      <c r="I19" s="31" t="inlineStr">
        <is>
          <t>100%</t>
        </is>
      </c>
      <c r="J19" s="32" t="inlineStr">
        <is>
          <t>الاستدامة</t>
        </is>
      </c>
      <c r="K19" s="33" t="inlineStr">
        <is>
          <t>جودة التشغيل</t>
        </is>
      </c>
      <c r="L19" s="28" t="inlineStr">
        <is>
          <t>العمليات الداخلية</t>
        </is>
      </c>
      <c r="M19" s="36" t="n"/>
      <c r="N19" s="16">
        <f>IF($H19="","",IF($M19="","",IF($H19=0,IF($M19&lt;=0,1,0),IF($E19="↓",IFERROR($H19/$M19,0),IFERROR($M19/$H19,0)))))</f>
        <v/>
      </c>
      <c r="O19" s="15">
        <f>IF($N19="","—",IF($N19&gt;=1,"✅ محقق",IF($N19&gt;=0.85,"🟡 قريب","🔴 تحت الهدف")))</f>
        <v/>
      </c>
    </row>
    <row r="20" ht="24" customHeight="1">
      <c r="A20" s="15" t="n">
        <v>17</v>
      </c>
      <c r="B20" s="9" t="inlineStr">
        <is>
          <t>الأداء</t>
        </is>
      </c>
      <c r="C20" s="9" t="inlineStr">
        <is>
          <t>نسبة إنجاز تقييمات الأداء في موعدها</t>
        </is>
      </c>
      <c r="D20" s="27" t="inlineStr">
        <is>
          <t>%</t>
        </is>
      </c>
      <c r="E20" s="27" t="inlineStr">
        <is>
          <t>↑</t>
        </is>
      </c>
      <c r="F20" s="28" t="inlineStr">
        <is>
          <t>🟠 مهم</t>
        </is>
      </c>
      <c r="G20" s="29" t="n">
        <v>0.05405</v>
      </c>
      <c r="H20" s="29" t="n">
        <v>1</v>
      </c>
      <c r="I20" s="31" t="inlineStr">
        <is>
          <t>100%</t>
        </is>
      </c>
      <c r="J20" s="32" t="inlineStr">
        <is>
          <t>الاستدامة</t>
        </is>
      </c>
      <c r="K20" s="33" t="inlineStr">
        <is>
          <t>الاستثمار في الموظفين</t>
        </is>
      </c>
      <c r="L20" s="28" t="inlineStr">
        <is>
          <t>العمليات الداخلية</t>
        </is>
      </c>
      <c r="M20" s="36" t="n"/>
      <c r="N20" s="16">
        <f>IF($H20="","",IF($M20="","",IF($H20=0,IF($M20&lt;=0,1,0),IF($E20="↓",IFERROR($H20/$M20,0),IFERROR($M20/$H20,0)))))</f>
        <v/>
      </c>
      <c r="O20" s="15">
        <f>IF($N20="","—",IF($N20&gt;=1,"✅ محقق",IF($N20&gt;=0.85,"🟡 قريب","🔴 تحت الهدف")))</f>
        <v/>
      </c>
    </row>
  </sheetData>
  <autoFilter ref="A3:O20"/>
  <mergeCells count="2">
    <mergeCell ref="A1:O1"/>
    <mergeCell ref="A2:O2"/>
  </mergeCells>
  <dataValidations count="1">
    <dataValidation sqref="M4 M5 M6 M7 M8 M9 M10 M11 M12 M13 M14 M15 M16 M17 M18 M19 M20" showDropDown="0" showInputMessage="0" showErrorMessage="0" allowBlank="1" type="decimal" operator="greaterThanOrEqual">
      <formula1>0</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8"/>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4" t="inlineStr">
        <is>
          <t>إدارة التسويق · مؤشرات الأداء 2026</t>
        </is>
      </c>
    </row>
    <row r="2">
      <c r="A2" s="25" t="inlineStr">
        <is>
          <t>🟩 أدخل «المُحقَّق» · نسبة التحقيق والحالة دلّات حقيقية تُحسب تلقائياً</t>
        </is>
      </c>
    </row>
    <row r="3" ht="28" customHeight="1">
      <c r="A3" s="26" t="inlineStr">
        <is>
          <t>#</t>
        </is>
      </c>
      <c r="B3" s="26" t="inlineStr">
        <is>
          <t>المحور</t>
        </is>
      </c>
      <c r="C3" s="26" t="inlineStr">
        <is>
          <t>المؤشر</t>
        </is>
      </c>
      <c r="D3" s="26" t="inlineStr">
        <is>
          <t>الوحدة</t>
        </is>
      </c>
      <c r="E3" s="26" t="inlineStr">
        <is>
          <t>القطبية</t>
        </is>
      </c>
      <c r="F3" s="26" t="inlineStr">
        <is>
          <t>الأولوية</t>
        </is>
      </c>
      <c r="G3" s="26" t="inlineStr">
        <is>
          <t>الوزن %</t>
        </is>
      </c>
      <c r="H3" s="26" t="inlineStr">
        <is>
          <t>المستهدف</t>
        </is>
      </c>
      <c r="I3" s="26" t="inlineStr">
        <is>
          <t>نص المستهدف</t>
        </is>
      </c>
      <c r="J3" s="26" t="inlineStr">
        <is>
          <t>الركيزة</t>
        </is>
      </c>
      <c r="K3" s="26" t="inlineStr">
        <is>
          <t>المشروع</t>
        </is>
      </c>
      <c r="L3" s="26" t="inlineStr">
        <is>
          <t>منظور BSC</t>
        </is>
      </c>
      <c r="M3" s="26" t="inlineStr">
        <is>
          <t>المُحقَّق</t>
        </is>
      </c>
      <c r="N3" s="26" t="inlineStr">
        <is>
          <t>نسبة التحقيق</t>
        </is>
      </c>
      <c r="O3" s="26" t="inlineStr">
        <is>
          <t>الحالة</t>
        </is>
      </c>
    </row>
    <row r="4" ht="24" customHeight="1">
      <c r="A4" s="15" t="n">
        <v>1</v>
      </c>
      <c r="B4" s="9" t="inlineStr">
        <is>
          <t>الإدارة العامة</t>
        </is>
      </c>
      <c r="C4" s="9" t="inlineStr">
        <is>
          <t>الوصول الكلي (Total Reach)</t>
        </is>
      </c>
      <c r="D4" s="27" t="inlineStr">
        <is>
          <t>وصول</t>
        </is>
      </c>
      <c r="E4" s="27" t="inlineStr">
        <is>
          <t>↑</t>
        </is>
      </c>
      <c r="F4" s="28" t="inlineStr">
        <is>
          <t>🔴 رئيسي</t>
        </is>
      </c>
      <c r="G4" s="29" t="n">
        <v>0.08333</v>
      </c>
      <c r="H4" s="30" t="n">
        <v>50000000</v>
      </c>
      <c r="I4" s="31" t="inlineStr">
        <is>
          <t>50م وصول</t>
        </is>
      </c>
      <c r="J4" s="32" t="inlineStr">
        <is>
          <t>النمو</t>
        </is>
      </c>
      <c r="K4" s="33" t="inlineStr">
        <is>
          <t>زيادة وصول العملاء</t>
        </is>
      </c>
      <c r="L4" s="28" t="inlineStr">
        <is>
          <t>العملاء</t>
        </is>
      </c>
      <c r="M4" s="34" t="n">
        <v>5000000</v>
      </c>
      <c r="N4" s="16">
        <f>IF($H4="","",IF($M4="","",IF($H4=0,IF($M4&lt;=0,1,0),IF($E4="↓",IFERROR($H4/$M4,0),IFERROR($M4/$H4,0)))))</f>
        <v/>
      </c>
      <c r="O4" s="15">
        <f>IF($N4="","—",IF($N4&gt;=1,"✅ محقق",IF($N4&gt;=0.85,"🟡 قريب","🔴 تحت الهدف")))</f>
        <v/>
      </c>
    </row>
    <row r="5" ht="24" customHeight="1">
      <c r="A5" s="15" t="n">
        <v>2</v>
      </c>
      <c r="B5" s="9" t="inlineStr">
        <is>
          <t>الإدارة العامة</t>
        </is>
      </c>
      <c r="C5" s="9" t="inlineStr">
        <is>
          <t>عملاء تجاريون جدد</t>
        </is>
      </c>
      <c r="D5" s="27" t="inlineStr">
        <is>
          <t>عميل</t>
        </is>
      </c>
      <c r="E5" s="27" t="inlineStr">
        <is>
          <t>↑</t>
        </is>
      </c>
      <c r="F5" s="28" t="inlineStr">
        <is>
          <t>🟠 مهم</t>
        </is>
      </c>
      <c r="G5" s="29" t="n">
        <v>0.05556</v>
      </c>
      <c r="H5" s="30" t="n">
        <v>200</v>
      </c>
      <c r="I5" s="31" t="inlineStr">
        <is>
          <t>200 عميل</t>
        </is>
      </c>
      <c r="J5" s="32" t="inlineStr">
        <is>
          <t>النمو</t>
        </is>
      </c>
      <c r="K5" s="33" t="inlineStr">
        <is>
          <t>زيادة وصول العملاء</t>
        </is>
      </c>
      <c r="L5" s="28" t="inlineStr">
        <is>
          <t>العملاء</t>
        </is>
      </c>
      <c r="M5" s="34" t="n">
        <v>1</v>
      </c>
      <c r="N5" s="16">
        <f>IF($H5="","",IF($M5="","",IF($H5=0,IF($M5&lt;=0,1,0),IF($E5="↓",IFERROR($H5/$M5,0),IFERROR($M5/$H5,0)))))</f>
        <v/>
      </c>
      <c r="O5" s="15">
        <f>IF($N5="","—",IF($N5&gt;=1,"✅ محقق",IF($N5&gt;=0.85,"🟡 قريب","🔴 تحت الهدف")))</f>
        <v/>
      </c>
    </row>
    <row r="6" ht="24" customHeight="1">
      <c r="A6" s="15" t="n">
        <v>3</v>
      </c>
      <c r="B6" s="9" t="inlineStr">
        <is>
          <t>الفريق الإبداعي</t>
        </is>
      </c>
      <c r="C6" s="9" t="inlineStr">
        <is>
          <t>إجمالي المتابعين (كل المنصات)</t>
        </is>
      </c>
      <c r="D6" s="27" t="inlineStr">
        <is>
          <t>متابع</t>
        </is>
      </c>
      <c r="E6" s="27" t="inlineStr">
        <is>
          <t>↑</t>
        </is>
      </c>
      <c r="F6" s="28" t="inlineStr">
        <is>
          <t>🔴 رئيسي</t>
        </is>
      </c>
      <c r="G6" s="29" t="n">
        <v>0.08333</v>
      </c>
      <c r="H6" s="30" t="n">
        <v>380000</v>
      </c>
      <c r="I6" s="31" t="inlineStr">
        <is>
          <t>380ك متابع</t>
        </is>
      </c>
      <c r="J6" s="32" t="inlineStr">
        <is>
          <t>النمو</t>
        </is>
      </c>
      <c r="K6" s="33" t="inlineStr">
        <is>
          <t>زيادة وصول العملاء</t>
        </is>
      </c>
      <c r="L6" s="28" t="inlineStr">
        <is>
          <t>العمليات الداخلية</t>
        </is>
      </c>
      <c r="M6" s="34" t="n">
        <v>253000</v>
      </c>
      <c r="N6" s="16">
        <f>IF($H6="","",IF($M6="","",IF($H6=0,IF($M6&lt;=0,1,0),IF($E6="↓",IFERROR($H6/$M6,0),IFERROR($M6/$H6,0)))))</f>
        <v/>
      </c>
      <c r="O6" s="15">
        <f>IF($N6="","—",IF($N6&gt;=1,"✅ محقق",IF($N6&gt;=0.85,"🟡 قريب","🔴 تحت الهدف")))</f>
        <v/>
      </c>
    </row>
    <row r="7" ht="24" customHeight="1">
      <c r="A7" s="15" t="n">
        <v>4</v>
      </c>
      <c r="B7" s="9" t="inlineStr">
        <is>
          <t>الفريق الإبداعي</t>
        </is>
      </c>
      <c r="C7" s="9" t="inlineStr">
        <is>
          <t>معدل التفاعل (Engagement)</t>
        </is>
      </c>
      <c r="D7" s="27" t="inlineStr">
        <is>
          <t>%</t>
        </is>
      </c>
      <c r="E7" s="27" t="inlineStr">
        <is>
          <t>↑</t>
        </is>
      </c>
      <c r="F7" s="28" t="inlineStr">
        <is>
          <t>🔴 رئيسي</t>
        </is>
      </c>
      <c r="G7" s="29" t="n">
        <v>0.08333</v>
      </c>
      <c r="H7" s="29" t="n">
        <v>0.5</v>
      </c>
      <c r="I7" s="31" t="inlineStr">
        <is>
          <t>50%</t>
        </is>
      </c>
      <c r="J7" s="32" t="inlineStr">
        <is>
          <t>النمو</t>
        </is>
      </c>
      <c r="K7" s="33" t="inlineStr">
        <is>
          <t>زيادة وصول العملاء</t>
        </is>
      </c>
      <c r="L7" s="28" t="inlineStr">
        <is>
          <t>العمليات الداخلية</t>
        </is>
      </c>
      <c r="M7" s="36" t="n">
        <v>0</v>
      </c>
      <c r="N7" s="16">
        <f>IF($H7="","",IF($M7="","",IF($H7=0,IF($M7&lt;=0,1,0),IF($E7="↓",IFERROR($H7/$M7,0),IFERROR($M7/$H7,0)))))</f>
        <v/>
      </c>
      <c r="O7" s="15">
        <f>IF($N7="","—",IF($N7&gt;=1,"✅ محقق",IF($N7&gt;=0.85,"🟡 قريب","🔴 تحت الهدف")))</f>
        <v/>
      </c>
    </row>
    <row r="8" ht="24" customHeight="1">
      <c r="A8" s="15" t="n">
        <v>5</v>
      </c>
      <c r="B8" s="9" t="inlineStr">
        <is>
          <t>الحملات التسويقية</t>
        </is>
      </c>
      <c r="C8" s="9" t="inlineStr">
        <is>
          <t>حملات تسويقية منجزة</t>
        </is>
      </c>
      <c r="D8" s="27" t="inlineStr">
        <is>
          <t>حملة</t>
        </is>
      </c>
      <c r="E8" s="27" t="inlineStr">
        <is>
          <t>↑</t>
        </is>
      </c>
      <c r="F8" s="28" t="inlineStr">
        <is>
          <t>🟠 مهم</t>
        </is>
      </c>
      <c r="G8" s="29" t="n">
        <v>0.05556</v>
      </c>
      <c r="H8" s="30" t="n">
        <v>48</v>
      </c>
      <c r="I8" s="31" t="inlineStr">
        <is>
          <t>48 حملة</t>
        </is>
      </c>
      <c r="J8" s="32" t="inlineStr">
        <is>
          <t>النمو</t>
        </is>
      </c>
      <c r="K8" s="33" t="inlineStr">
        <is>
          <t>زيادة وصول العملاء</t>
        </is>
      </c>
      <c r="L8" s="28" t="inlineStr">
        <is>
          <t>العمليات الداخلية</t>
        </is>
      </c>
      <c r="M8" s="34" t="n">
        <v>11</v>
      </c>
      <c r="N8" s="16">
        <f>IF($H8="","",IF($M8="","",IF($H8=0,IF($M8&lt;=0,1,0),IF($E8="↓",IFERROR($H8/$M8,0),IFERROR($M8/$H8,0)))))</f>
        <v/>
      </c>
      <c r="O8" s="15">
        <f>IF($N8="","—",IF($N8&gt;=1,"✅ محقق",IF($N8&gt;=0.85,"🟡 قريب","🔴 تحت الهدف")))</f>
        <v/>
      </c>
    </row>
    <row r="9" ht="24" customHeight="1">
      <c r="A9" s="15" t="n">
        <v>6</v>
      </c>
      <c r="B9" s="9" t="inlineStr">
        <is>
          <t>الحملات التسويقية</t>
        </is>
      </c>
      <c r="C9" s="9" t="inlineStr">
        <is>
          <t>تحويل الفرص إلى عقود</t>
        </is>
      </c>
      <c r="D9" s="27" t="inlineStr">
        <is>
          <t>%</t>
        </is>
      </c>
      <c r="E9" s="27" t="inlineStr">
        <is>
          <t>↑</t>
        </is>
      </c>
      <c r="F9" s="28" t="inlineStr">
        <is>
          <t>🔴 رئيسي</t>
        </is>
      </c>
      <c r="G9" s="29" t="n">
        <v>0.08333</v>
      </c>
      <c r="H9" s="29" t="n">
        <v>0.25</v>
      </c>
      <c r="I9" s="31" t="inlineStr">
        <is>
          <t>25%</t>
        </is>
      </c>
      <c r="J9" s="32" t="inlineStr">
        <is>
          <t>النمو</t>
        </is>
      </c>
      <c r="K9" s="33" t="inlineStr">
        <is>
          <t>زيادة وصول العملاء</t>
        </is>
      </c>
      <c r="L9" s="28" t="inlineStr">
        <is>
          <t>العمليات الداخلية</t>
        </is>
      </c>
      <c r="M9" s="36" t="n">
        <v>0.17</v>
      </c>
      <c r="N9" s="16">
        <f>IF($H9="","",IF($M9="","",IF($H9=0,IF($M9&lt;=0,1,0),IF($E9="↓",IFERROR($H9/$M9,0),IFERROR($M9/$H9,0)))))</f>
        <v/>
      </c>
      <c r="O9" s="15">
        <f>IF($N9="","—",IF($N9&gt;=1,"✅ محقق",IF($N9&gt;=0.85,"🟡 قريب","🔴 تحت الهدف")))</f>
        <v/>
      </c>
    </row>
    <row r="10" ht="24" customHeight="1">
      <c r="A10" s="15" t="n">
        <v>7</v>
      </c>
      <c r="B10" s="9" t="inlineStr">
        <is>
          <t>الحملات التسويقية</t>
        </is>
      </c>
      <c r="C10" s="9" t="inlineStr">
        <is>
          <t>نسبة المبيعات لكل حملة</t>
        </is>
      </c>
      <c r="D10" s="27" t="inlineStr">
        <is>
          <t>%</t>
        </is>
      </c>
      <c r="E10" s="27" t="inlineStr">
        <is>
          <t>↑</t>
        </is>
      </c>
      <c r="F10" s="28" t="inlineStr">
        <is>
          <t>🔴 رئيسي</t>
        </is>
      </c>
      <c r="G10" s="29" t="n">
        <v>0.08333</v>
      </c>
      <c r="H10" s="29" t="n">
        <v>1</v>
      </c>
      <c r="I10" s="31" t="inlineStr">
        <is>
          <t>100%</t>
        </is>
      </c>
      <c r="J10" s="32" t="inlineStr">
        <is>
          <t>النمو</t>
        </is>
      </c>
      <c r="K10" s="33" t="inlineStr">
        <is>
          <t>زيادة وصول العملاء</t>
        </is>
      </c>
      <c r="L10" s="28" t="inlineStr">
        <is>
          <t>مالي</t>
        </is>
      </c>
      <c r="M10" s="36" t="n">
        <v>0.16</v>
      </c>
      <c r="N10" s="16">
        <f>IF($H10="","",IF($M10="","",IF($H10=0,IF($M10&lt;=0,1,0),IF($E10="↓",IFERROR($H10/$M10,0),IFERROR($M10/$H10,0)))))</f>
        <v/>
      </c>
      <c r="O10" s="15">
        <f>IF($N10="","—",IF($N10&gt;=1,"✅ محقق",IF($N10&gt;=0.85,"🟡 قريب","🔴 تحت الهدف")))</f>
        <v/>
      </c>
    </row>
    <row r="11" ht="24" customHeight="1">
      <c r="A11" s="15" t="n">
        <v>8</v>
      </c>
      <c r="B11" s="9" t="inlineStr">
        <is>
          <t>الدعاية والإعلان</t>
        </is>
      </c>
      <c r="C11" s="9" t="inlineStr">
        <is>
          <t>نسبة التزام الهوية البصرية</t>
        </is>
      </c>
      <c r="D11" s="27" t="inlineStr">
        <is>
          <t>%</t>
        </is>
      </c>
      <c r="E11" s="27" t="inlineStr">
        <is>
          <t>↑</t>
        </is>
      </c>
      <c r="F11" s="28" t="inlineStr">
        <is>
          <t>🔴 رئيسي</t>
        </is>
      </c>
      <c r="G11" s="29" t="n">
        <v>0.08333</v>
      </c>
      <c r="H11" s="29" t="n">
        <v>1</v>
      </c>
      <c r="I11" s="31" t="inlineStr">
        <is>
          <t>100%</t>
        </is>
      </c>
      <c r="J11" s="32" t="inlineStr">
        <is>
          <t>الابتكار</t>
        </is>
      </c>
      <c r="K11" s="33" t="inlineStr">
        <is>
          <t>تطوير التصاميم والهوية</t>
        </is>
      </c>
      <c r="L11" s="28" t="inlineStr">
        <is>
          <t>التعلّم والنمو</t>
        </is>
      </c>
      <c r="M11" s="36" t="n">
        <v>0.1</v>
      </c>
      <c r="N11" s="16">
        <f>IF($H11="","",IF($M11="","",IF($H11=0,IF($M11&lt;=0,1,0),IF($E11="↓",IFERROR($H11/$M11,0),IFERROR($M11/$H11,0)))))</f>
        <v/>
      </c>
      <c r="O11" s="15">
        <f>IF($N11="","—",IF($N11&gt;=1,"✅ محقق",IF($N11&gt;=0.85,"🟡 قريب","🔴 تحت الهدف")))</f>
        <v/>
      </c>
    </row>
    <row r="12" ht="24" customHeight="1">
      <c r="A12" s="15" t="n">
        <v>9</v>
      </c>
      <c r="B12" s="9" t="inlineStr">
        <is>
          <t>العلاقات والشراكات</t>
        </is>
      </c>
      <c r="C12" s="9" t="inlineStr">
        <is>
          <t>وصول العلاقات العامة (PR)</t>
        </is>
      </c>
      <c r="D12" s="27" t="inlineStr">
        <is>
          <t>وصول</t>
        </is>
      </c>
      <c r="E12" s="27" t="inlineStr">
        <is>
          <t>↑</t>
        </is>
      </c>
      <c r="F12" s="28" t="inlineStr">
        <is>
          <t>🟠 مهم</t>
        </is>
      </c>
      <c r="G12" s="29" t="n">
        <v>0.05556</v>
      </c>
      <c r="H12" s="30" t="n">
        <v>7000000</v>
      </c>
      <c r="I12" s="31" t="inlineStr">
        <is>
          <t>7م وصول</t>
        </is>
      </c>
      <c r="J12" s="32" t="inlineStr">
        <is>
          <t>النمو</t>
        </is>
      </c>
      <c r="K12" s="33" t="inlineStr">
        <is>
          <t>زيادة وصول العملاء</t>
        </is>
      </c>
      <c r="L12" s="28" t="inlineStr">
        <is>
          <t>العملاء</t>
        </is>
      </c>
      <c r="M12" s="34" t="n">
        <v>1500000</v>
      </c>
      <c r="N12" s="16">
        <f>IF($H12="","",IF($M12="","",IF($H12=0,IF($M12&lt;=0,1,0),IF($E12="↓",IFERROR($H12/$M12,0),IFERROR($M12/$H12,0)))))</f>
        <v/>
      </c>
      <c r="O12" s="15">
        <f>IF($N12="","—",IF($N12&gt;=1,"✅ محقق",IF($N12&gt;=0.85,"🟡 قريب","🔴 تحت الهدف")))</f>
        <v/>
      </c>
    </row>
    <row r="13" ht="24" customHeight="1">
      <c r="A13" s="15" t="n">
        <v>10</v>
      </c>
      <c r="B13" s="9" t="inlineStr">
        <is>
          <t>العلاقات والشراكات</t>
        </is>
      </c>
      <c r="C13" s="9" t="inlineStr">
        <is>
          <t>عدد المعارض بالسنة</t>
        </is>
      </c>
      <c r="D13" s="27" t="inlineStr">
        <is>
          <t>معرض</t>
        </is>
      </c>
      <c r="E13" s="27" t="inlineStr">
        <is>
          <t>↑</t>
        </is>
      </c>
      <c r="F13" s="28" t="inlineStr">
        <is>
          <t>🟠 مهم</t>
        </is>
      </c>
      <c r="G13" s="29" t="n">
        <v>0.05556</v>
      </c>
      <c r="H13" s="30" t="n">
        <v>3</v>
      </c>
      <c r="I13" s="31" t="inlineStr">
        <is>
          <t>3 معارض</t>
        </is>
      </c>
      <c r="J13" s="32" t="inlineStr">
        <is>
          <t>الابتكار</t>
        </is>
      </c>
      <c r="K13" s="33" t="inlineStr">
        <is>
          <t>إطلاق مشاريع جديدة</t>
        </is>
      </c>
      <c r="L13" s="28" t="inlineStr">
        <is>
          <t>العمليات الداخلية</t>
        </is>
      </c>
      <c r="M13" s="34" t="n">
        <v>0</v>
      </c>
      <c r="N13" s="16">
        <f>IF($H13="","",IF($M13="","",IF($H13=0,IF($M13&lt;=0,1,0),IF($E13="↓",IFERROR($H13/$M13,0),IFERROR($M13/$H13,0)))))</f>
        <v/>
      </c>
      <c r="O13" s="15">
        <f>IF($N13="","—",IF($N13&gt;=1,"✅ محقق",IF($N13&gt;=0.85,"🟡 قريب","🔴 تحت الهدف")))</f>
        <v/>
      </c>
    </row>
    <row r="14" ht="24" customHeight="1">
      <c r="A14" s="15" t="n">
        <v>11</v>
      </c>
      <c r="B14" s="9" t="inlineStr">
        <is>
          <t>العلاقات والشراكات</t>
        </is>
      </c>
      <c r="C14" s="9" t="inlineStr">
        <is>
          <t>اتفاقيات استراتيجية</t>
        </is>
      </c>
      <c r="D14" s="27" t="inlineStr">
        <is>
          <t>اتفاقية</t>
        </is>
      </c>
      <c r="E14" s="27" t="inlineStr">
        <is>
          <t>↑</t>
        </is>
      </c>
      <c r="F14" s="28" t="inlineStr">
        <is>
          <t>🟠 مهم</t>
        </is>
      </c>
      <c r="G14" s="29" t="n">
        <v>0.05556</v>
      </c>
      <c r="H14" s="30" t="n">
        <v>3</v>
      </c>
      <c r="I14" s="31" t="inlineStr">
        <is>
          <t>3 اتفاقيات</t>
        </is>
      </c>
      <c r="J14" s="32" t="inlineStr">
        <is>
          <t>الابتكار</t>
        </is>
      </c>
      <c r="K14" s="33" t="inlineStr">
        <is>
          <t>إطلاق مشاريع جديدة</t>
        </is>
      </c>
      <c r="L14" s="28" t="inlineStr">
        <is>
          <t>العمليات الداخلية</t>
        </is>
      </c>
      <c r="M14" s="34" t="n">
        <v>0</v>
      </c>
      <c r="N14" s="16">
        <f>IF($H14="","",IF($M14="","",IF($H14=0,IF($M14&lt;=0,1,0),IF($E14="↓",IFERROR($H14/$M14,0),IFERROR($M14/$H14,0)))))</f>
        <v/>
      </c>
      <c r="O14" s="15">
        <f>IF($N14="","—",IF($N14&gt;=1,"✅ محقق",IF($N14&gt;=0.85,"🟡 قريب","🔴 تحت الهدف")))</f>
        <v/>
      </c>
    </row>
    <row r="15" ht="24" customHeight="1">
      <c r="A15" s="15" t="n">
        <v>12</v>
      </c>
      <c r="B15" s="9" t="inlineStr">
        <is>
          <t>خدمة العملاء والدعم</t>
        </is>
      </c>
      <c r="C15" s="9" t="inlineStr">
        <is>
          <t>تقييم خرائط قوقل</t>
        </is>
      </c>
      <c r="D15" s="27" t="inlineStr">
        <is>
          <t>نجمة/5</t>
        </is>
      </c>
      <c r="E15" s="27" t="inlineStr">
        <is>
          <t>↑</t>
        </is>
      </c>
      <c r="F15" s="28" t="inlineStr">
        <is>
          <t>🟠 مهم</t>
        </is>
      </c>
      <c r="G15" s="29" t="n">
        <v>0.05556</v>
      </c>
      <c r="H15" s="37" t="n">
        <v>4.7</v>
      </c>
      <c r="I15" s="31" t="inlineStr">
        <is>
          <t>4.7 ⭐</t>
        </is>
      </c>
      <c r="J15" s="32" t="inlineStr">
        <is>
          <t>الاستدامة</t>
        </is>
      </c>
      <c r="K15" s="33" t="inlineStr">
        <is>
          <t>تعزيز تجربة العملاء</t>
        </is>
      </c>
      <c r="L15" s="28" t="inlineStr">
        <is>
          <t>العملاء</t>
        </is>
      </c>
      <c r="M15" s="38" t="n">
        <v>4</v>
      </c>
      <c r="N15" s="16">
        <f>IF($H15="","",IF($M15="","",IF($H15=0,IF($M15&lt;=0,1,0),IF($E15="↓",IFERROR($H15/$M15,0),IFERROR($M15/$H15,0)))))</f>
        <v/>
      </c>
      <c r="O15" s="15">
        <f>IF($N15="","—",IF($N15&gt;=1,"✅ محقق",IF($N15&gt;=0.85,"🟡 قريب","🔴 تحت الهدف")))</f>
        <v/>
      </c>
    </row>
    <row r="16" ht="24" customHeight="1">
      <c r="A16" s="15" t="n">
        <v>13</v>
      </c>
      <c r="B16" s="9" t="inlineStr">
        <is>
          <t>خدمة العملاء والدعم</t>
        </is>
      </c>
      <c r="C16" s="9" t="inlineStr">
        <is>
          <t>معدل خفض الشكاوى</t>
        </is>
      </c>
      <c r="D16" s="27" t="inlineStr">
        <is>
          <t>%</t>
        </is>
      </c>
      <c r="E16" s="27" t="inlineStr">
        <is>
          <t>↑</t>
        </is>
      </c>
      <c r="F16" s="28" t="inlineStr">
        <is>
          <t>🟠 مهم</t>
        </is>
      </c>
      <c r="G16" s="29" t="n">
        <v>0.05556</v>
      </c>
      <c r="H16" s="29" t="n">
        <v>0.3</v>
      </c>
      <c r="I16" s="31" t="inlineStr">
        <is>
          <t>30%</t>
        </is>
      </c>
      <c r="J16" s="32" t="inlineStr">
        <is>
          <t>الاستدامة</t>
        </is>
      </c>
      <c r="K16" s="33" t="inlineStr">
        <is>
          <t>تعزيز تجربة العملاء</t>
        </is>
      </c>
      <c r="L16" s="28" t="inlineStr">
        <is>
          <t>العملاء</t>
        </is>
      </c>
      <c r="M16" s="36" t="n">
        <v>0.21</v>
      </c>
      <c r="N16" s="16">
        <f>IF($H16="","",IF($M16="","",IF($H16=0,IF($M16&lt;=0,1,0),IF($E16="↓",IFERROR($H16/$M16,0),IFERROR($M16/$H16,0)))))</f>
        <v/>
      </c>
      <c r="O16" s="15">
        <f>IF($N16="","—",IF($N16&gt;=1,"✅ محقق",IF($N16&gt;=0.85,"🟡 قريب","🔴 تحت الهدف")))</f>
        <v/>
      </c>
    </row>
    <row r="17" ht="24" customHeight="1">
      <c r="A17" s="15" t="n">
        <v>14</v>
      </c>
      <c r="B17" s="9" t="inlineStr">
        <is>
          <t>تطبيق تانكي</t>
        </is>
      </c>
      <c r="C17" s="9" t="inlineStr">
        <is>
          <t>وصول محتوى تطبيق تانكي</t>
        </is>
      </c>
      <c r="D17" s="27" t="inlineStr">
        <is>
          <t>وصول</t>
        </is>
      </c>
      <c r="E17" s="27" t="inlineStr">
        <is>
          <t>↑</t>
        </is>
      </c>
      <c r="F17" s="28" t="inlineStr">
        <is>
          <t>🟠 مهم</t>
        </is>
      </c>
      <c r="G17" s="29" t="n">
        <v>0.05556</v>
      </c>
      <c r="H17" s="30" t="n">
        <v>1000000</v>
      </c>
      <c r="I17" s="31" t="inlineStr">
        <is>
          <t>1م وصول</t>
        </is>
      </c>
      <c r="J17" s="32" t="inlineStr">
        <is>
          <t>الابتكار</t>
        </is>
      </c>
      <c r="K17" s="33" t="inlineStr">
        <is>
          <t>تطبيق «تانكي»</t>
        </is>
      </c>
      <c r="L17" s="28" t="inlineStr">
        <is>
          <t>العملاء</t>
        </is>
      </c>
      <c r="M17" s="34" t="n"/>
      <c r="N17" s="16">
        <f>IF($H17="","",IF($M17="","",IF($H17=0,IF($M17&lt;=0,1,0),IF($E17="↓",IFERROR($H17/$M17,0),IFERROR($M17/$H17,0)))))</f>
        <v/>
      </c>
      <c r="O17" s="15">
        <f>IF($N17="","—",IF($N17&gt;=1,"✅ محقق",IF($N17&gt;=0.85,"🟡 قريب","🔴 تحت الهدف")))</f>
        <v/>
      </c>
    </row>
    <row r="18" ht="24" customHeight="1">
      <c r="A18" s="15" t="n">
        <v>15</v>
      </c>
      <c r="B18" s="9" t="inlineStr">
        <is>
          <t>تطبيق تانكي</t>
        </is>
      </c>
      <c r="C18" s="9" t="inlineStr">
        <is>
          <t>مشاركات تطبيق تانكي</t>
        </is>
      </c>
      <c r="D18" s="27" t="inlineStr">
        <is>
          <t>مشاركة</t>
        </is>
      </c>
      <c r="E18" s="27" t="inlineStr">
        <is>
          <t>↑</t>
        </is>
      </c>
      <c r="F18" s="28" t="inlineStr">
        <is>
          <t>🟠 مهم</t>
        </is>
      </c>
      <c r="G18" s="29" t="n">
        <v>0.05556</v>
      </c>
      <c r="H18" s="30" t="n">
        <v>250</v>
      </c>
      <c r="I18" s="31" t="inlineStr">
        <is>
          <t>250 مشاركة</t>
        </is>
      </c>
      <c r="J18" s="32" t="inlineStr">
        <is>
          <t>الابتكار</t>
        </is>
      </c>
      <c r="K18" s="33" t="inlineStr">
        <is>
          <t>تطبيق «تانكي»</t>
        </is>
      </c>
      <c r="L18" s="28" t="inlineStr">
        <is>
          <t>العمليات الداخلية</t>
        </is>
      </c>
      <c r="M18" s="34" t="n"/>
      <c r="N18" s="16">
        <f>IF($H18="","",IF($M18="","",IF($H18=0,IF($M18&lt;=0,1,0),IF($E18="↓",IFERROR($H18/$M18,0),IFERROR($M18/$H18,0)))))</f>
        <v/>
      </c>
      <c r="O18" s="15">
        <f>IF($N18="","—",IF($N18&gt;=1,"✅ محقق",IF($N18&gt;=0.85,"🟡 قريب","🔴 تحت الهدف")))</f>
        <v/>
      </c>
    </row>
  </sheetData>
  <autoFilter ref="A3:O18"/>
  <mergeCells count="2">
    <mergeCell ref="A1:O1"/>
    <mergeCell ref="A2:O2"/>
  </mergeCells>
  <dataValidations count="1">
    <dataValidation sqref="M4 M5 M6 M7 M8 M9 M10 M11 M12 M13 M14 M15 M16 M17 M18" showDropDown="0" showInputMessage="0" showErrorMessage="0" allowBlank="1" type="decimal" operator="greaterThanOrEqual">
      <formula1>0</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17"/>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4" t="inlineStr">
        <is>
          <t>إدارة الجودة · مؤشرات الأداء 2026</t>
        </is>
      </c>
    </row>
    <row r="2">
      <c r="A2" s="25" t="inlineStr">
        <is>
          <t>🟩 أدخل «المُحقَّق» · نسبة التحقيق والحالة دلّات حقيقية تُحسب تلقائياً</t>
        </is>
      </c>
    </row>
    <row r="3" ht="28" customHeight="1">
      <c r="A3" s="26" t="inlineStr">
        <is>
          <t>#</t>
        </is>
      </c>
      <c r="B3" s="26" t="inlineStr">
        <is>
          <t>المحور</t>
        </is>
      </c>
      <c r="C3" s="26" t="inlineStr">
        <is>
          <t>المؤشر</t>
        </is>
      </c>
      <c r="D3" s="26" t="inlineStr">
        <is>
          <t>الوحدة</t>
        </is>
      </c>
      <c r="E3" s="26" t="inlineStr">
        <is>
          <t>القطبية</t>
        </is>
      </c>
      <c r="F3" s="26" t="inlineStr">
        <is>
          <t>الأولوية</t>
        </is>
      </c>
      <c r="G3" s="26" t="inlineStr">
        <is>
          <t>الوزن %</t>
        </is>
      </c>
      <c r="H3" s="26" t="inlineStr">
        <is>
          <t>المستهدف</t>
        </is>
      </c>
      <c r="I3" s="26" t="inlineStr">
        <is>
          <t>نص المستهدف</t>
        </is>
      </c>
      <c r="J3" s="26" t="inlineStr">
        <is>
          <t>الركيزة</t>
        </is>
      </c>
      <c r="K3" s="26" t="inlineStr">
        <is>
          <t>المشروع</t>
        </is>
      </c>
      <c r="L3" s="26" t="inlineStr">
        <is>
          <t>منظور BSC</t>
        </is>
      </c>
      <c r="M3" s="26" t="inlineStr">
        <is>
          <t>المُحقَّق</t>
        </is>
      </c>
      <c r="N3" s="26" t="inlineStr">
        <is>
          <t>نسبة التحقيق</t>
        </is>
      </c>
      <c r="O3" s="26" t="inlineStr">
        <is>
          <t>الحالة</t>
        </is>
      </c>
    </row>
    <row r="4" ht="24" customHeight="1">
      <c r="A4" s="15" t="n">
        <v>1</v>
      </c>
      <c r="B4" s="9" t="inlineStr">
        <is>
          <t>مخاطر الجودة</t>
        </is>
      </c>
      <c r="C4" s="9" t="inlineStr">
        <is>
          <t>نسبة المحطات الحرجة</t>
        </is>
      </c>
      <c r="D4" s="27" t="inlineStr">
        <is>
          <t>%</t>
        </is>
      </c>
      <c r="E4" s="27" t="inlineStr">
        <is>
          <t>↓</t>
        </is>
      </c>
      <c r="F4" s="28" t="inlineStr">
        <is>
          <t>🔴 رئيسي</t>
        </is>
      </c>
      <c r="G4" s="29" t="n">
        <v>0.10345</v>
      </c>
      <c r="H4" s="29" t="n">
        <v>0.05</v>
      </c>
      <c r="I4" s="31" t="inlineStr">
        <is>
          <t>&lt; 5%</t>
        </is>
      </c>
      <c r="J4" s="32" t="inlineStr">
        <is>
          <t>الاستدامة</t>
        </is>
      </c>
      <c r="K4" s="33" t="inlineStr">
        <is>
          <t>جودة التشغيل</t>
        </is>
      </c>
      <c r="L4" s="28" t="inlineStr">
        <is>
          <t>العمليات الداخلية</t>
        </is>
      </c>
      <c r="M4" s="36" t="n"/>
      <c r="N4" s="16">
        <f>IF($H4="","",IF($M4="","",IF($H4=0,IF($M4&lt;=0,1,0),IF($E4="↓",IFERROR($H4/$M4,0),IFERROR($M4/$H4,0)))))</f>
        <v/>
      </c>
      <c r="O4" s="15">
        <f>IF($N4="","—",IF($N4&gt;=1,"✅ محقق",IF($N4&gt;=0.85,"🟡 قريب","🔴 تحت الهدف")))</f>
        <v/>
      </c>
    </row>
    <row r="5" ht="24" customHeight="1">
      <c r="A5" s="15" t="n">
        <v>2</v>
      </c>
      <c r="B5" s="9" t="inlineStr">
        <is>
          <t>جودة الوقود</t>
        </is>
      </c>
      <c r="C5" s="9" t="inlineStr">
        <is>
          <t>نسبة مطابقة جودة الوقود</t>
        </is>
      </c>
      <c r="D5" s="27" t="inlineStr">
        <is>
          <t>%</t>
        </is>
      </c>
      <c r="E5" s="27" t="inlineStr">
        <is>
          <t>↑</t>
        </is>
      </c>
      <c r="F5" s="28" t="inlineStr">
        <is>
          <t>🟠 مهم</t>
        </is>
      </c>
      <c r="G5" s="29" t="n">
        <v>0.06897</v>
      </c>
      <c r="H5" s="29" t="n">
        <v>0.995</v>
      </c>
      <c r="I5" s="31" t="inlineStr">
        <is>
          <t>99.5%</t>
        </is>
      </c>
      <c r="J5" s="32" t="inlineStr">
        <is>
          <t>الاستدامة</t>
        </is>
      </c>
      <c r="K5" s="33" t="inlineStr">
        <is>
          <t>جودة التشغيل</t>
        </is>
      </c>
      <c r="L5" s="28" t="inlineStr">
        <is>
          <t>العمليات الداخلية</t>
        </is>
      </c>
      <c r="M5" s="36" t="n"/>
      <c r="N5" s="16">
        <f>IF($H5="","",IF($M5="","",IF($H5=0,IF($M5&lt;=0,1,0),IF($E5="↓",IFERROR($H5/$M5,0),IFERROR($M5/$H5,0)))))</f>
        <v/>
      </c>
      <c r="O5" s="15">
        <f>IF($N5="","—",IF($N5&gt;=1,"✅ محقق",IF($N5&gt;=0.85,"🟡 قريب","🔴 تحت الهدف")))</f>
        <v/>
      </c>
    </row>
    <row r="6" ht="24" customHeight="1">
      <c r="A6" s="15" t="n">
        <v>3</v>
      </c>
      <c r="B6" s="9" t="inlineStr">
        <is>
          <t>معالجة وتصحيح</t>
        </is>
      </c>
      <c r="C6" s="9" t="inlineStr">
        <is>
          <t>نسبة إغلاق الملاحظات في الوقت المحدد</t>
        </is>
      </c>
      <c r="D6" s="27" t="inlineStr">
        <is>
          <t>%</t>
        </is>
      </c>
      <c r="E6" s="27" t="inlineStr">
        <is>
          <t>↑</t>
        </is>
      </c>
      <c r="F6" s="28" t="inlineStr">
        <is>
          <t>🟠 مهم</t>
        </is>
      </c>
      <c r="G6" s="29" t="n">
        <v>0.06897</v>
      </c>
      <c r="H6" s="29" t="n">
        <v>0.9</v>
      </c>
      <c r="I6" s="31" t="inlineStr">
        <is>
          <t>≥ 90%</t>
        </is>
      </c>
      <c r="J6" s="32" t="inlineStr">
        <is>
          <t>الاستدامة</t>
        </is>
      </c>
      <c r="K6" s="33" t="inlineStr">
        <is>
          <t>جودة التشغيل</t>
        </is>
      </c>
      <c r="L6" s="28" t="inlineStr">
        <is>
          <t>العمليات الداخلية</t>
        </is>
      </c>
      <c r="M6" s="36" t="n"/>
      <c r="N6" s="16">
        <f>IF($H6="","",IF($M6="","",IF($H6=0,IF($M6&lt;=0,1,0),IF($E6="↓",IFERROR($H6/$M6,0),IFERROR($M6/$H6,0)))))</f>
        <v/>
      </c>
      <c r="O6" s="15">
        <f>IF($N6="","—",IF($N6&gt;=1,"✅ محقق",IF($N6&gt;=0.85,"🟡 قريب","🔴 تحت الهدف")))</f>
        <v/>
      </c>
    </row>
    <row r="7" ht="24" customHeight="1">
      <c r="A7" s="15" t="n">
        <v>4</v>
      </c>
      <c r="B7" s="9" t="inlineStr">
        <is>
          <t>تحسين ووقاية</t>
        </is>
      </c>
      <c r="C7" s="9" t="inlineStr">
        <is>
          <t>نسبة فعالية الإجراءات التصحيحية</t>
        </is>
      </c>
      <c r="D7" s="27" t="inlineStr">
        <is>
          <t>%</t>
        </is>
      </c>
      <c r="E7" s="27" t="inlineStr">
        <is>
          <t>↑</t>
        </is>
      </c>
      <c r="F7" s="28" t="inlineStr">
        <is>
          <t>🟠 مهم</t>
        </is>
      </c>
      <c r="G7" s="29" t="n">
        <v>0.06897</v>
      </c>
      <c r="H7" s="29" t="n">
        <v>0.85</v>
      </c>
      <c r="I7" s="31" t="inlineStr">
        <is>
          <t>≥ 85%</t>
        </is>
      </c>
      <c r="J7" s="32" t="inlineStr">
        <is>
          <t>الاستدامة</t>
        </is>
      </c>
      <c r="K7" s="33" t="inlineStr">
        <is>
          <t>جودة التشغيل</t>
        </is>
      </c>
      <c r="L7" s="28" t="inlineStr">
        <is>
          <t>العمليات الداخلية</t>
        </is>
      </c>
      <c r="M7" s="36" t="n"/>
      <c r="N7" s="16">
        <f>IF($H7="","",IF($M7="","",IF($H7=0,IF($M7&lt;=0,1,0),IF($E7="↓",IFERROR($H7/$M7,0),IFERROR($M7/$H7,0)))))</f>
        <v/>
      </c>
      <c r="O7" s="15">
        <f>IF($N7="","—",IF($N7&gt;=1,"✅ محقق",IF($N7&gt;=0.85,"🟡 قريب","🔴 تحت الهدف")))</f>
        <v/>
      </c>
    </row>
    <row r="8" ht="24" customHeight="1">
      <c r="A8" s="15" t="n">
        <v>5</v>
      </c>
      <c r="B8" s="9" t="inlineStr">
        <is>
          <t>منع التكرار</t>
        </is>
      </c>
      <c r="C8" s="9" t="inlineStr">
        <is>
          <t>نسبة تكرار الملاحظات</t>
        </is>
      </c>
      <c r="D8" s="27" t="inlineStr">
        <is>
          <t>%</t>
        </is>
      </c>
      <c r="E8" s="27" t="inlineStr">
        <is>
          <t>↓</t>
        </is>
      </c>
      <c r="F8" s="28" t="inlineStr">
        <is>
          <t>🟠 مهم</t>
        </is>
      </c>
      <c r="G8" s="29" t="n">
        <v>0.06897</v>
      </c>
      <c r="H8" s="29" t="n">
        <v>0.1</v>
      </c>
      <c r="I8" s="31" t="inlineStr">
        <is>
          <t>&lt; 10%</t>
        </is>
      </c>
      <c r="J8" s="32" t="inlineStr">
        <is>
          <t>الاستدامة</t>
        </is>
      </c>
      <c r="K8" s="33" t="inlineStr">
        <is>
          <t>جودة التشغيل</t>
        </is>
      </c>
      <c r="L8" s="28" t="inlineStr">
        <is>
          <t>العمليات الداخلية</t>
        </is>
      </c>
      <c r="M8" s="36" t="n"/>
      <c r="N8" s="16">
        <f>IF($H8="","",IF($M8="","",IF($H8=0,IF($M8&lt;=0,1,0),IF($E8="↓",IFERROR($H8/$M8,0),IFERROR($M8/$H8,0)))))</f>
        <v/>
      </c>
      <c r="O8" s="15">
        <f>IF($N8="","—",IF($N8&gt;=1,"✅ محقق",IF($N8&gt;=0.85,"🟡 قريب","🔴 تحت الهدف")))</f>
        <v/>
      </c>
    </row>
    <row r="9" ht="24" customHeight="1">
      <c r="A9" s="15" t="n">
        <v>6</v>
      </c>
      <c r="B9" s="9" t="inlineStr">
        <is>
          <t>تفتيش وتدقيق</t>
        </is>
      </c>
      <c r="C9" s="9" t="inlineStr">
        <is>
          <t>نسبة تنفيذ خطة التفتيش والتدقيق</t>
        </is>
      </c>
      <c r="D9" s="27" t="inlineStr">
        <is>
          <t>%</t>
        </is>
      </c>
      <c r="E9" s="27" t="inlineStr">
        <is>
          <t>↑</t>
        </is>
      </c>
      <c r="F9" s="28" t="inlineStr">
        <is>
          <t>🟠 مهم</t>
        </is>
      </c>
      <c r="G9" s="29" t="n">
        <v>0.06897</v>
      </c>
      <c r="H9" s="29" t="n">
        <v>0.95</v>
      </c>
      <c r="I9" s="31" t="inlineStr">
        <is>
          <t>≥ 95%</t>
        </is>
      </c>
      <c r="J9" s="32" t="inlineStr">
        <is>
          <t>الاستدامة</t>
        </is>
      </c>
      <c r="K9" s="33" t="inlineStr">
        <is>
          <t>جودة التشغيل</t>
        </is>
      </c>
      <c r="L9" s="28" t="inlineStr">
        <is>
          <t>العمليات الداخلية</t>
        </is>
      </c>
      <c r="M9" s="36" t="n"/>
      <c r="N9" s="16">
        <f>IF($H9="","",IF($M9="","",IF($H9=0,IF($M9&lt;=0,1,0),IF($E9="↓",IFERROR($H9/$M9,0),IFERROR($M9/$H9,0)))))</f>
        <v/>
      </c>
      <c r="O9" s="15">
        <f>IF($N9="","—",IF($N9&gt;=1,"✅ محقق",IF($N9&gt;=0.85,"🟡 قريب","🔴 تحت الهدف")))</f>
        <v/>
      </c>
    </row>
    <row r="10" ht="24" customHeight="1">
      <c r="A10" s="15" t="n">
        <v>7</v>
      </c>
      <c r="B10" s="9" t="inlineStr">
        <is>
          <t>حوكمة الجودة</t>
        </is>
      </c>
      <c r="C10" s="9" t="inlineStr">
        <is>
          <t>نسبة جاهزية نظام إدارة الجودة QMS</t>
        </is>
      </c>
      <c r="D10" s="27" t="inlineStr">
        <is>
          <t>%</t>
        </is>
      </c>
      <c r="E10" s="27" t="inlineStr">
        <is>
          <t>↑</t>
        </is>
      </c>
      <c r="F10" s="28" t="inlineStr">
        <is>
          <t>🔴 رئيسي</t>
        </is>
      </c>
      <c r="G10" s="29" t="n">
        <v>0.10345</v>
      </c>
      <c r="H10" s="29" t="n">
        <v>0.9</v>
      </c>
      <c r="I10" s="31" t="inlineStr">
        <is>
          <t>80% ← 90%</t>
        </is>
      </c>
      <c r="J10" s="32" t="inlineStr">
        <is>
          <t>الاستدامة</t>
        </is>
      </c>
      <c r="K10" s="33" t="inlineStr">
        <is>
          <t>جودة التشغيل</t>
        </is>
      </c>
      <c r="L10" s="28" t="inlineStr">
        <is>
          <t>العمليات الداخلية</t>
        </is>
      </c>
      <c r="M10" s="36" t="n"/>
      <c r="N10" s="16">
        <f>IF($H10="","",IF($M10="","",IF($H10=0,IF($M10&lt;=0,1,0),IF($E10="↓",IFERROR($H10/$M10,0),IFERROR($M10/$H10,0)))))</f>
        <v/>
      </c>
      <c r="O10" s="15">
        <f>IF($N10="","—",IF($N10&gt;=1,"✅ محقق",IF($N10&gt;=0.85,"🟡 قريب","🔴 تحت الهدف")))</f>
        <v/>
      </c>
    </row>
    <row r="11" ht="24" customHeight="1">
      <c r="A11" s="15" t="n">
        <v>8</v>
      </c>
      <c r="B11" s="9" t="inlineStr">
        <is>
          <t>مخاطر الجودة</t>
        </is>
      </c>
      <c r="C11" s="9" t="inlineStr">
        <is>
          <t>عدد مخاطر الجودة الحرجة المفتوحة</t>
        </is>
      </c>
      <c r="D11" s="27" t="inlineStr">
        <is>
          <t>خطر</t>
        </is>
      </c>
      <c r="E11" s="27" t="inlineStr">
        <is>
          <t>↓</t>
        </is>
      </c>
      <c r="F11" s="28" t="inlineStr">
        <is>
          <t>🟠 مهم</t>
        </is>
      </c>
      <c r="G11" s="29" t="n">
        <v>0.06897</v>
      </c>
      <c r="H11" s="30" t="n">
        <v>0</v>
      </c>
      <c r="I11" s="31" t="inlineStr">
        <is>
          <t>صفر</t>
        </is>
      </c>
      <c r="J11" s="32" t="inlineStr">
        <is>
          <t>الاستدامة</t>
        </is>
      </c>
      <c r="K11" s="33" t="inlineStr">
        <is>
          <t>جودة التشغيل</t>
        </is>
      </c>
      <c r="L11" s="28" t="inlineStr">
        <is>
          <t>العمليات الداخلية</t>
        </is>
      </c>
      <c r="M11" s="34" t="n"/>
      <c r="N11" s="16">
        <f>IF($H11="","",IF($M11="","",IF($H11=0,IF($M11&lt;=0,1,0),IF($E11="↓",IFERROR($H11/$M11,0),IFERROR($M11/$H11,0)))))</f>
        <v/>
      </c>
      <c r="O11" s="15">
        <f>IF($N11="","—",IF($N11&gt;=1,"✅ محقق",IF($N11&gt;=0.85,"🟡 قريب","🔴 تحت الهدف")))</f>
        <v/>
      </c>
    </row>
    <row r="12" ht="24" customHeight="1">
      <c r="A12" s="15" t="n">
        <v>9</v>
      </c>
      <c r="B12" s="9" t="inlineStr">
        <is>
          <t>مخاطر الجودة</t>
        </is>
      </c>
      <c r="C12" s="9" t="inlineStr">
        <is>
          <t>نسبة إغلاق مخاطر الجودة في الوقت المحدد</t>
        </is>
      </c>
      <c r="D12" s="27" t="inlineStr">
        <is>
          <t>%</t>
        </is>
      </c>
      <c r="E12" s="27" t="inlineStr">
        <is>
          <t>↑</t>
        </is>
      </c>
      <c r="F12" s="28" t="inlineStr">
        <is>
          <t>🟠 مهم</t>
        </is>
      </c>
      <c r="G12" s="29" t="n">
        <v>0.06897</v>
      </c>
      <c r="H12" s="29" t="n">
        <v>0.9</v>
      </c>
      <c r="I12" s="31" t="inlineStr">
        <is>
          <t>≥ 90%</t>
        </is>
      </c>
      <c r="J12" s="32" t="inlineStr">
        <is>
          <t>الاستدامة</t>
        </is>
      </c>
      <c r="K12" s="33" t="inlineStr">
        <is>
          <t>جودة التشغيل</t>
        </is>
      </c>
      <c r="L12" s="28" t="inlineStr">
        <is>
          <t>العمليات الداخلية</t>
        </is>
      </c>
      <c r="M12" s="36" t="n"/>
      <c r="N12" s="16">
        <f>IF($H12="","",IF($M12="","",IF($H12=0,IF($M12&lt;=0,1,0),IF($E12="↓",IFERROR($H12/$M12,0),IFERROR($M12/$H12,0)))))</f>
        <v/>
      </c>
      <c r="O12" s="15">
        <f>IF($N12="","—",IF($N12&gt;=1,"✅ محقق",IF($N12&gt;=0.85,"🟡 قريب","🔴 تحت الهدف")))</f>
        <v/>
      </c>
    </row>
    <row r="13" ht="24" customHeight="1">
      <c r="A13" s="15" t="n">
        <v>10</v>
      </c>
      <c r="B13" s="9" t="inlineStr">
        <is>
          <t>تجربة العميل</t>
        </is>
      </c>
      <c r="C13" s="9" t="inlineStr">
        <is>
          <t>نسبة انخفاض الشكاوى المتكررة ذات العلاقة بالجودة</t>
        </is>
      </c>
      <c r="D13" s="27" t="inlineStr">
        <is>
          <t>%</t>
        </is>
      </c>
      <c r="E13" s="27" t="inlineStr">
        <is>
          <t>↑</t>
        </is>
      </c>
      <c r="F13" s="28" t="inlineStr">
        <is>
          <t>🟠 مهم</t>
        </is>
      </c>
      <c r="G13" s="29" t="n">
        <v>0.06897</v>
      </c>
      <c r="H13" s="29" t="n">
        <v>0.15</v>
      </c>
      <c r="I13" s="31" t="inlineStr">
        <is>
          <t>انخفاض 15% ربعياً</t>
        </is>
      </c>
      <c r="J13" s="32" t="inlineStr">
        <is>
          <t>الاستدامة</t>
        </is>
      </c>
      <c r="K13" s="33" t="inlineStr">
        <is>
          <t>تعزيز تجربة العملاء</t>
        </is>
      </c>
      <c r="L13" s="28" t="inlineStr">
        <is>
          <t>العملاء</t>
        </is>
      </c>
      <c r="M13" s="36" t="n"/>
      <c r="N13" s="16">
        <f>IF($H13="","",IF($M13="","",IF($H13=0,IF($M13&lt;=0,1,0),IF($E13="↓",IFERROR($H13/$M13,0),IFERROR($M13/$H13,0)))))</f>
        <v/>
      </c>
      <c r="O13" s="15">
        <f>IF($N13="","—",IF($N13&gt;=1,"✅ محقق",IF($N13&gt;=0.85,"🟡 قريب","🔴 تحت الهدف")))</f>
        <v/>
      </c>
    </row>
    <row r="14" ht="24" customHeight="1">
      <c r="A14" s="15" t="n">
        <v>11</v>
      </c>
      <c r="B14" s="9" t="inlineStr">
        <is>
          <t>الجودة الإدارية</t>
        </is>
      </c>
      <c r="C14" s="9" t="inlineStr">
        <is>
          <t>نسبة اكتمال وتحديث الإجراءات المعتمدة</t>
        </is>
      </c>
      <c r="D14" s="27" t="inlineStr">
        <is>
          <t>%</t>
        </is>
      </c>
      <c r="E14" s="27" t="inlineStr">
        <is>
          <t>↑</t>
        </is>
      </c>
      <c r="F14" s="28" t="inlineStr">
        <is>
          <t>🟡 متابعة</t>
        </is>
      </c>
      <c r="G14" s="29" t="n">
        <v>0.03448</v>
      </c>
      <c r="H14" s="29" t="n">
        <v>0.95</v>
      </c>
      <c r="I14" s="31" t="inlineStr">
        <is>
          <t>≥ 95%</t>
        </is>
      </c>
      <c r="J14" s="32" t="inlineStr">
        <is>
          <t>الاستدامة</t>
        </is>
      </c>
      <c r="K14" s="33" t="inlineStr">
        <is>
          <t>جودة التشغيل</t>
        </is>
      </c>
      <c r="L14" s="28" t="inlineStr">
        <is>
          <t>العمليات الداخلية</t>
        </is>
      </c>
      <c r="M14" s="36" t="n"/>
      <c r="N14" s="16">
        <f>IF($H14="","",IF($M14="","",IF($H14=0,IF($M14&lt;=0,1,0),IF($E14="↓",IFERROR($H14/$M14,0),IFERROR($M14/$H14,0)))))</f>
        <v/>
      </c>
      <c r="O14" s="15">
        <f>IF($N14="","—",IF($N14&gt;=1,"✅ محقق",IF($N14&gt;=0.85,"🟡 قريب","🔴 تحت الهدف")))</f>
        <v/>
      </c>
    </row>
    <row r="15" ht="24" customHeight="1">
      <c r="A15" s="15" t="n">
        <v>12</v>
      </c>
      <c r="B15" s="9" t="inlineStr">
        <is>
          <t>توثيق وحوكمة</t>
        </is>
      </c>
      <c r="C15" s="9" t="inlineStr">
        <is>
          <t>نسبة اكتمال سجلات الجودة</t>
        </is>
      </c>
      <c r="D15" s="27" t="inlineStr">
        <is>
          <t>%</t>
        </is>
      </c>
      <c r="E15" s="27" t="inlineStr">
        <is>
          <t>↑</t>
        </is>
      </c>
      <c r="F15" s="28" t="inlineStr">
        <is>
          <t>🟠 مهم</t>
        </is>
      </c>
      <c r="G15" s="29" t="n">
        <v>0.06897</v>
      </c>
      <c r="H15" s="29" t="n">
        <v>0.95</v>
      </c>
      <c r="I15" s="31" t="inlineStr">
        <is>
          <t>≥ 95%</t>
        </is>
      </c>
      <c r="J15" s="32" t="inlineStr">
        <is>
          <t>الاستدامة</t>
        </is>
      </c>
      <c r="K15" s="33" t="inlineStr">
        <is>
          <t>جودة التشغيل</t>
        </is>
      </c>
      <c r="L15" s="28" t="inlineStr">
        <is>
          <t>العمليات الداخلية</t>
        </is>
      </c>
      <c r="M15" s="36" t="n"/>
      <c r="N15" s="16">
        <f>IF($H15="","",IF($M15="","",IF($H15=0,IF($M15&lt;=0,1,0),IF($E15="↓",IFERROR($H15/$M15,0),IFERROR($M15/$H15,0)))))</f>
        <v/>
      </c>
      <c r="O15" s="15">
        <f>IF($N15="","—",IF($N15&gt;=1,"✅ محقق",IF($N15&gt;=0.85,"🟡 قريب","🔴 تحت الهدف")))</f>
        <v/>
      </c>
    </row>
    <row r="16" ht="24" customHeight="1">
      <c r="A16" s="15" t="n">
        <v>13</v>
      </c>
      <c r="B16" s="9" t="inlineStr">
        <is>
          <t>الابتكار والرقمنة</t>
        </is>
      </c>
      <c r="C16" s="9" t="inlineStr">
        <is>
          <t>نسبة رقمنة عمليات الجودة</t>
        </is>
      </c>
      <c r="D16" s="27" t="inlineStr">
        <is>
          <t>%</t>
        </is>
      </c>
      <c r="E16" s="27" t="inlineStr">
        <is>
          <t>↑</t>
        </is>
      </c>
      <c r="F16" s="28" t="inlineStr">
        <is>
          <t>🟠 مهم</t>
        </is>
      </c>
      <c r="G16" s="29" t="n">
        <v>0.06897</v>
      </c>
      <c r="H16" s="29" t="n">
        <v>0.8</v>
      </c>
      <c r="I16" s="31" t="inlineStr">
        <is>
          <t>≥ 80%</t>
        </is>
      </c>
      <c r="J16" s="32" t="inlineStr">
        <is>
          <t>الابتكار</t>
        </is>
      </c>
      <c r="K16" s="33" t="inlineStr">
        <is>
          <t>التحول التقني</t>
        </is>
      </c>
      <c r="L16" s="28" t="inlineStr">
        <is>
          <t>العمليات الداخلية</t>
        </is>
      </c>
      <c r="M16" s="36" t="n"/>
      <c r="N16" s="16">
        <f>IF($H16="","",IF($M16="","",IF($H16=0,IF($M16&lt;=0,1,0),IF($E16="↓",IFERROR($H16/$M16,0),IFERROR($M16/$H16,0)))))</f>
        <v/>
      </c>
      <c r="O16" s="15">
        <f>IF($N16="","—",IF($N16&gt;=1,"✅ محقق",IF($N16&gt;=0.85,"🟡 قريب","🔴 تحت الهدف")))</f>
        <v/>
      </c>
    </row>
    <row r="17" ht="24" customHeight="1">
      <c r="A17" s="15" t="n">
        <v>14</v>
      </c>
      <c r="B17" s="9" t="inlineStr">
        <is>
          <t>التحسين المستمر</t>
        </is>
      </c>
      <c r="C17" s="9" t="inlineStr">
        <is>
          <t>عدد مبادرات التحسين المؤثرة</t>
        </is>
      </c>
      <c r="D17" s="27" t="inlineStr">
        <is>
          <t>مبادرة</t>
        </is>
      </c>
      <c r="E17" s="27" t="inlineStr">
        <is>
          <t>↑</t>
        </is>
      </c>
      <c r="F17" s="28" t="inlineStr">
        <is>
          <t>🟠 مهم</t>
        </is>
      </c>
      <c r="G17" s="29" t="n">
        <v>0.06897</v>
      </c>
      <c r="H17" s="30" t="n">
        <v>8</v>
      </c>
      <c r="I17" s="31" t="inlineStr">
        <is>
          <t>≥ 8 سنوياً (2 ربعياً)</t>
        </is>
      </c>
      <c r="J17" s="32" t="inlineStr">
        <is>
          <t>الاستدامة</t>
        </is>
      </c>
      <c r="K17" s="33" t="inlineStr">
        <is>
          <t>جودة التشغيل</t>
        </is>
      </c>
      <c r="L17" s="28" t="inlineStr">
        <is>
          <t>العمليات الداخلية</t>
        </is>
      </c>
      <c r="M17" s="34" t="n"/>
      <c r="N17" s="16">
        <f>IF($H17="","",IF($M17="","",IF($H17=0,IF($M17&lt;=0,1,0),IF($E17="↓",IFERROR($H17/$M17,0),IFERROR($M17/$H17,0)))))</f>
        <v/>
      </c>
      <c r="O17" s="15">
        <f>IF($N17="","—",IF($N17&gt;=1,"✅ محقق",IF($N17&gt;=0.85,"🟡 قريب","🔴 تحت الهدف")))</f>
        <v/>
      </c>
    </row>
  </sheetData>
  <autoFilter ref="A3:O17"/>
  <mergeCells count="2">
    <mergeCell ref="A1:O1"/>
    <mergeCell ref="A2:O2"/>
  </mergeCells>
  <dataValidations count="1">
    <dataValidation sqref="M4 M5 M6 M7 M8 M9 M10 M11 M12 M13 M14 M15 M16 M17" showDropDown="0" showInputMessage="0" showErrorMessage="0" allowBlank="1" type="decimal" operator="greaterThanOrEqual">
      <formula1>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1"/>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4" t="inlineStr">
        <is>
          <t>إدارة الإدارة القانونية · مؤشرات الأداء 2026</t>
        </is>
      </c>
    </row>
    <row r="2">
      <c r="A2" s="25" t="inlineStr">
        <is>
          <t>🟩 أدخل «المُحقَّق» · نسبة التحقيق والحالة دلّات حقيقية تُحسب تلقائياً</t>
        </is>
      </c>
    </row>
    <row r="3" ht="28" customHeight="1">
      <c r="A3" s="26" t="inlineStr">
        <is>
          <t>#</t>
        </is>
      </c>
      <c r="B3" s="26" t="inlineStr">
        <is>
          <t>المحور</t>
        </is>
      </c>
      <c r="C3" s="26" t="inlineStr">
        <is>
          <t>المؤشر</t>
        </is>
      </c>
      <c r="D3" s="26" t="inlineStr">
        <is>
          <t>الوحدة</t>
        </is>
      </c>
      <c r="E3" s="26" t="inlineStr">
        <is>
          <t>القطبية</t>
        </is>
      </c>
      <c r="F3" s="26" t="inlineStr">
        <is>
          <t>الأولوية</t>
        </is>
      </c>
      <c r="G3" s="26" t="inlineStr">
        <is>
          <t>الوزن %</t>
        </is>
      </c>
      <c r="H3" s="26" t="inlineStr">
        <is>
          <t>المستهدف</t>
        </is>
      </c>
      <c r="I3" s="26" t="inlineStr">
        <is>
          <t>نص المستهدف</t>
        </is>
      </c>
      <c r="J3" s="26" t="inlineStr">
        <is>
          <t>الركيزة</t>
        </is>
      </c>
      <c r="K3" s="26" t="inlineStr">
        <is>
          <t>المشروع</t>
        </is>
      </c>
      <c r="L3" s="26" t="inlineStr">
        <is>
          <t>منظور BSC</t>
        </is>
      </c>
      <c r="M3" s="26" t="inlineStr">
        <is>
          <t>المُحقَّق</t>
        </is>
      </c>
      <c r="N3" s="26" t="inlineStr">
        <is>
          <t>نسبة التحقيق</t>
        </is>
      </c>
      <c r="O3" s="26" t="inlineStr">
        <is>
          <t>الحالة</t>
        </is>
      </c>
    </row>
    <row r="4" ht="24" customHeight="1">
      <c r="A4" s="15" t="n">
        <v>1</v>
      </c>
      <c r="B4" s="9" t="inlineStr">
        <is>
          <t>أعمال العقود</t>
        </is>
      </c>
      <c r="C4" s="9" t="inlineStr">
        <is>
          <t>نسبة العقود المُراجَعة قانونياً قبل التوقيع</t>
        </is>
      </c>
      <c r="D4" s="27" t="inlineStr">
        <is>
          <t>%</t>
        </is>
      </c>
      <c r="E4" s="27" t="inlineStr">
        <is>
          <t>↑</t>
        </is>
      </c>
      <c r="F4" s="28" t="inlineStr">
        <is>
          <t>🔴 رئيسي</t>
        </is>
      </c>
      <c r="G4" s="29" t="n">
        <v>0.15</v>
      </c>
      <c r="H4" s="29" t="n">
        <v>1</v>
      </c>
      <c r="I4" s="31" t="inlineStr">
        <is>
          <t>100%</t>
        </is>
      </c>
      <c r="J4" s="32" t="inlineStr">
        <is>
          <t>الاستدامة</t>
        </is>
      </c>
      <c r="K4" s="33" t="inlineStr">
        <is>
          <t>جودة التشغيل</t>
        </is>
      </c>
      <c r="L4" s="28" t="inlineStr">
        <is>
          <t>العمليات الداخلية</t>
        </is>
      </c>
      <c r="M4" s="36" t="n"/>
      <c r="N4" s="16">
        <f>IF($H4="","",IF($M4="","",IF($H4=0,IF($M4&lt;=0,1,0),IF($E4="↓",IFERROR($H4/$M4,0),IFERROR($M4/$H4,0)))))</f>
        <v/>
      </c>
      <c r="O4" s="15">
        <f>IF($N4="","—",IF($N4&gt;=1,"✅ محقق",IF($N4&gt;=0.85,"🟡 قريب","🔴 تحت الهدف")))</f>
        <v/>
      </c>
    </row>
    <row r="5" ht="24" customHeight="1">
      <c r="A5" s="15" t="n">
        <v>2</v>
      </c>
      <c r="B5" s="9" t="inlineStr">
        <is>
          <t>أعمال العقود</t>
        </is>
      </c>
      <c r="C5" s="9" t="inlineStr">
        <is>
          <t>متوسط زمن صياغة ومراجعة العقد</t>
        </is>
      </c>
      <c r="D5" s="27" t="inlineStr">
        <is>
          <t>يوم</t>
        </is>
      </c>
      <c r="E5" s="27" t="inlineStr">
        <is>
          <t>↓</t>
        </is>
      </c>
      <c r="F5" s="28" t="inlineStr">
        <is>
          <t>🔴 رئيسي</t>
        </is>
      </c>
      <c r="G5" s="29" t="n">
        <v>0.15</v>
      </c>
      <c r="H5" s="37" t="n">
        <v>3</v>
      </c>
      <c r="I5" s="31" t="inlineStr">
        <is>
          <t>≤ 3 أيام</t>
        </is>
      </c>
      <c r="J5" s="32" t="inlineStr">
        <is>
          <t>الاستدامة</t>
        </is>
      </c>
      <c r="K5" s="33" t="inlineStr">
        <is>
          <t>جودة التشغيل</t>
        </is>
      </c>
      <c r="L5" s="28" t="inlineStr">
        <is>
          <t>العمليات الداخلية</t>
        </is>
      </c>
      <c r="M5" s="38" t="n"/>
      <c r="N5" s="16">
        <f>IF($H5="","",IF($M5="","",IF($H5=0,IF($M5&lt;=0,1,0),IF($E5="↓",IFERROR($H5/$M5,0),IFERROR($M5/$H5,0)))))</f>
        <v/>
      </c>
      <c r="O5" s="15">
        <f>IF($N5="","—",IF($N5&gt;=1,"✅ محقق",IF($N5&gt;=0.85,"🟡 قريب","🔴 تحت الهدف")))</f>
        <v/>
      </c>
    </row>
    <row r="6" ht="24" customHeight="1">
      <c r="A6" s="15" t="n">
        <v>3</v>
      </c>
      <c r="B6" s="9" t="inlineStr">
        <is>
          <t>أعمال العقود</t>
        </is>
      </c>
      <c r="C6" s="9" t="inlineStr">
        <is>
          <t>نسبة العقود الخالية من الملاحظات والمخاطر القانونية</t>
        </is>
      </c>
      <c r="D6" s="27" t="inlineStr">
        <is>
          <t>%</t>
        </is>
      </c>
      <c r="E6" s="27" t="inlineStr">
        <is>
          <t>↑</t>
        </is>
      </c>
      <c r="F6" s="28" t="inlineStr">
        <is>
          <t>🔴 رئيسي</t>
        </is>
      </c>
      <c r="G6" s="29" t="n">
        <v>0.15</v>
      </c>
      <c r="H6" s="29" t="n">
        <v>0.95</v>
      </c>
      <c r="I6" s="31" t="inlineStr">
        <is>
          <t>≥ 95%</t>
        </is>
      </c>
      <c r="J6" s="32" t="inlineStr">
        <is>
          <t>الاستدامة</t>
        </is>
      </c>
      <c r="K6" s="33" t="inlineStr">
        <is>
          <t>جودة التشغيل</t>
        </is>
      </c>
      <c r="L6" s="28" t="inlineStr">
        <is>
          <t>العمليات الداخلية</t>
        </is>
      </c>
      <c r="M6" s="36" t="n"/>
      <c r="N6" s="16">
        <f>IF($H6="","",IF($M6="","",IF($H6=0,IF($M6&lt;=0,1,0),IF($E6="↓",IFERROR($H6/$M6,0),IFERROR($M6/$H6,0)))))</f>
        <v/>
      </c>
      <c r="O6" s="15">
        <f>IF($N6="","—",IF($N6&gt;=1,"✅ محقق",IF($N6&gt;=0.85,"🟡 قريب","🔴 تحت الهدف")))</f>
        <v/>
      </c>
    </row>
    <row r="7" ht="24" customHeight="1">
      <c r="A7" s="15" t="n">
        <v>4</v>
      </c>
      <c r="B7" s="9" t="inlineStr">
        <is>
          <t>أعمال القضايا</t>
        </is>
      </c>
      <c r="C7" s="9" t="inlineStr">
        <is>
          <t>نسبة القضايا المُغلقة لصالح الشركة</t>
        </is>
      </c>
      <c r="D7" s="27" t="inlineStr">
        <is>
          <t>%</t>
        </is>
      </c>
      <c r="E7" s="27" t="inlineStr">
        <is>
          <t>↑</t>
        </is>
      </c>
      <c r="F7" s="28" t="inlineStr">
        <is>
          <t>🟠 مهم</t>
        </is>
      </c>
      <c r="G7" s="29" t="n">
        <v>0.1</v>
      </c>
      <c r="H7" s="29" t="n">
        <v>0.8</v>
      </c>
      <c r="I7" s="31" t="inlineStr">
        <is>
          <t>≥ 80%</t>
        </is>
      </c>
      <c r="J7" s="32" t="inlineStr">
        <is>
          <t>الاستدامة</t>
        </is>
      </c>
      <c r="K7" s="33" t="inlineStr">
        <is>
          <t>جودة التشغيل</t>
        </is>
      </c>
      <c r="L7" s="28" t="inlineStr">
        <is>
          <t>العمليات الداخلية</t>
        </is>
      </c>
      <c r="M7" s="36" t="n"/>
      <c r="N7" s="16">
        <f>IF($H7="","",IF($M7="","",IF($H7=0,IF($M7&lt;=0,1,0),IF($E7="↓",IFERROR($H7/$M7,0),IFERROR($M7/$H7,0)))))</f>
        <v/>
      </c>
      <c r="O7" s="15">
        <f>IF($N7="","—",IF($N7&gt;=1,"✅ محقق",IF($N7&gt;=0.85,"🟡 قريب","🔴 تحت الهدف")))</f>
        <v/>
      </c>
    </row>
    <row r="8" ht="24" customHeight="1">
      <c r="A8" s="15" t="n">
        <v>5</v>
      </c>
      <c r="B8" s="9" t="inlineStr">
        <is>
          <t>أعمال القضايا</t>
        </is>
      </c>
      <c r="C8" s="9" t="inlineStr">
        <is>
          <t>نسبة تقديم المذكرات والردود في المواعيد النظامية</t>
        </is>
      </c>
      <c r="D8" s="27" t="inlineStr">
        <is>
          <t>%</t>
        </is>
      </c>
      <c r="E8" s="27" t="inlineStr">
        <is>
          <t>↑</t>
        </is>
      </c>
      <c r="F8" s="28" t="inlineStr">
        <is>
          <t>🟠 مهم</t>
        </is>
      </c>
      <c r="G8" s="29" t="n">
        <v>0.1</v>
      </c>
      <c r="H8" s="29" t="n">
        <v>1</v>
      </c>
      <c r="I8" s="31" t="inlineStr">
        <is>
          <t>100%</t>
        </is>
      </c>
      <c r="J8" s="32" t="inlineStr">
        <is>
          <t>الاستدامة</t>
        </is>
      </c>
      <c r="K8" s="33" t="inlineStr">
        <is>
          <t>جودة التشغيل</t>
        </is>
      </c>
      <c r="L8" s="28" t="inlineStr">
        <is>
          <t>العمليات الداخلية</t>
        </is>
      </c>
      <c r="M8" s="36" t="n"/>
      <c r="N8" s="16">
        <f>IF($H8="","",IF($M8="","",IF($H8=0,IF($M8&lt;=0,1,0),IF($E8="↓",IFERROR($H8/$M8,0),IFERROR($M8/$H8,0)))))</f>
        <v/>
      </c>
      <c r="O8" s="15">
        <f>IF($N8="","—",IF($N8&gt;=1,"✅ محقق",IF($N8&gt;=0.85,"🟡 قريب","🔴 تحت الهدف")))</f>
        <v/>
      </c>
    </row>
    <row r="9" ht="24" customHeight="1">
      <c r="A9" s="15" t="n">
        <v>6</v>
      </c>
      <c r="B9" s="9" t="inlineStr">
        <is>
          <t>أعمال القضايا</t>
        </is>
      </c>
      <c r="C9" s="9" t="inlineStr">
        <is>
          <t>متوسط زمن إعداد المذكرة القانونية</t>
        </is>
      </c>
      <c r="D9" s="27" t="inlineStr">
        <is>
          <t>يوم</t>
        </is>
      </c>
      <c r="E9" s="27" t="inlineStr">
        <is>
          <t>↓</t>
        </is>
      </c>
      <c r="F9" s="28" t="inlineStr">
        <is>
          <t>🟠 مهم</t>
        </is>
      </c>
      <c r="G9" s="29" t="n">
        <v>0.1</v>
      </c>
      <c r="H9" s="37" t="n">
        <v>5</v>
      </c>
      <c r="I9" s="31" t="inlineStr">
        <is>
          <t>≤ 5 أيام</t>
        </is>
      </c>
      <c r="J9" s="32" t="inlineStr">
        <is>
          <t>الاستدامة</t>
        </is>
      </c>
      <c r="K9" s="33" t="inlineStr">
        <is>
          <t>جودة التشغيل</t>
        </is>
      </c>
      <c r="L9" s="28" t="inlineStr">
        <is>
          <t>العمليات الداخلية</t>
        </is>
      </c>
      <c r="M9" s="38" t="n"/>
      <c r="N9" s="16">
        <f>IF($H9="","",IF($M9="","",IF($H9=0,IF($M9&lt;=0,1,0),IF($E9="↓",IFERROR($H9/$M9,0),IFERROR($M9/$H9,0)))))</f>
        <v/>
      </c>
      <c r="O9" s="15">
        <f>IF($N9="","—",IF($N9&gt;=1,"✅ محقق",IF($N9&gt;=0.85,"🟡 قريب","🔴 تحت الهدف")))</f>
        <v/>
      </c>
    </row>
    <row r="10" ht="24" customHeight="1">
      <c r="A10" s="15" t="n">
        <v>7</v>
      </c>
      <c r="B10" s="9" t="inlineStr">
        <is>
          <t>الاستشارات القانونية</t>
        </is>
      </c>
      <c r="C10" s="9" t="inlineStr">
        <is>
          <t>نسبة الاستشارات المُنجزة ضمن المدة المستهدفة (SLA)</t>
        </is>
      </c>
      <c r="D10" s="27" t="inlineStr">
        <is>
          <t>%</t>
        </is>
      </c>
      <c r="E10" s="27" t="inlineStr">
        <is>
          <t>↑</t>
        </is>
      </c>
      <c r="F10" s="28" t="inlineStr">
        <is>
          <t>🟠 مهم</t>
        </is>
      </c>
      <c r="G10" s="29" t="n">
        <v>0.1</v>
      </c>
      <c r="H10" s="29" t="n">
        <v>0.9</v>
      </c>
      <c r="I10" s="31" t="inlineStr">
        <is>
          <t>≥ 90%</t>
        </is>
      </c>
      <c r="J10" s="32" t="inlineStr">
        <is>
          <t>الاستدامة</t>
        </is>
      </c>
      <c r="K10" s="33" t="inlineStr">
        <is>
          <t>جودة التشغيل</t>
        </is>
      </c>
      <c r="L10" s="28" t="inlineStr">
        <is>
          <t>العمليات الداخلية</t>
        </is>
      </c>
      <c r="M10" s="36" t="n"/>
      <c r="N10" s="16">
        <f>IF($H10="","",IF($M10="","",IF($H10=0,IF($M10&lt;=0,1,0),IF($E10="↓",IFERROR($H10/$M10,0),IFERROR($M10/$H10,0)))))</f>
        <v/>
      </c>
      <c r="O10" s="15">
        <f>IF($N10="","—",IF($N10&gt;=1,"✅ محقق",IF($N10&gt;=0.85,"🟡 قريب","🔴 تحت الهدف")))</f>
        <v/>
      </c>
    </row>
    <row r="11" ht="24" customHeight="1">
      <c r="A11" s="15" t="n">
        <v>8</v>
      </c>
      <c r="B11" s="9" t="inlineStr">
        <is>
          <t>الاستشارات القانونية</t>
        </is>
      </c>
      <c r="C11" s="9" t="inlineStr">
        <is>
          <t>مستوى رضا الإدارات عن الدعم القانوني</t>
        </is>
      </c>
      <c r="D11" s="27" t="inlineStr">
        <is>
          <t>%</t>
        </is>
      </c>
      <c r="E11" s="27" t="inlineStr">
        <is>
          <t>↑</t>
        </is>
      </c>
      <c r="F11" s="28" t="inlineStr">
        <is>
          <t>🔴 رئيسي</t>
        </is>
      </c>
      <c r="G11" s="29" t="n">
        <v>0.15</v>
      </c>
      <c r="H11" s="29" t="n">
        <v>0.85</v>
      </c>
      <c r="I11" s="31" t="inlineStr">
        <is>
          <t>≥ 85%</t>
        </is>
      </c>
      <c r="J11" s="32" t="inlineStr">
        <is>
          <t>الاستدامة</t>
        </is>
      </c>
      <c r="K11" s="33" t="inlineStr">
        <is>
          <t>جودة التشغيل</t>
        </is>
      </c>
      <c r="L11" s="28" t="inlineStr">
        <is>
          <t>العملاء</t>
        </is>
      </c>
      <c r="M11" s="36" t="n"/>
      <c r="N11" s="16">
        <f>IF($H11="","",IF($M11="","",IF($H11=0,IF($M11&lt;=0,1,0),IF($E11="↓",IFERROR($H11/$M11,0),IFERROR($M11/$H11,0)))))</f>
        <v/>
      </c>
      <c r="O11" s="15">
        <f>IF($N11="","—",IF($N11&gt;=1,"✅ محقق",IF($N11&gt;=0.85,"🟡 قريب","🔴 تحت الهدف")))</f>
        <v/>
      </c>
    </row>
  </sheetData>
  <autoFilter ref="A3:O11"/>
  <mergeCells count="2">
    <mergeCell ref="A1:O1"/>
    <mergeCell ref="A2:O2"/>
  </mergeCells>
  <dataValidations count="1">
    <dataValidation sqref="M4 M5 M6 M7 M8 M9 M10 M11" showDropDown="0" showInputMessage="0" showErrorMessage="0" allowBlank="1" type="decimal" operator="greaterThanOrEqual">
      <formula1>0</formula1>
    </dataValidation>
  </dataValidations>
  <pageMargins left="0.75" right="0.75" top="1" bottom="1" header="0.5" footer="0.5"/>
</worksheet>
</file>

<file path=xl/worksheets/sheet13.xml><?xml version="1.0" encoding="utf-8"?>
<worksheet xmlns="http://schemas.openxmlformats.org/spreadsheetml/2006/main">
  <sheetPr>
    <tabColor rgb="00C00000"/>
    <outlinePr summaryBelow="1" summaryRight="1"/>
    <pageSetUpPr/>
  </sheetPr>
  <dimension ref="A1:O11"/>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39" t="inlineStr">
        <is>
          <t>الإدارة المالية · مؤشرات الأداء 2026</t>
        </is>
      </c>
    </row>
    <row r="2" ht="22" customHeight="1">
      <c r="A2" s="40" t="inlineStr">
        <is>
          <t>⛔ فارغة — لم تُعتمد مؤشرات الإدارة المالية بعد (القالب جاهز للتعبئة عند الاعتماد)</t>
        </is>
      </c>
    </row>
    <row r="3" ht="28" customHeight="1">
      <c r="A3" s="41" t="inlineStr">
        <is>
          <t>#</t>
        </is>
      </c>
      <c r="B3" s="41" t="inlineStr">
        <is>
          <t>المحور</t>
        </is>
      </c>
      <c r="C3" s="41" t="inlineStr">
        <is>
          <t>المؤشر</t>
        </is>
      </c>
      <c r="D3" s="41" t="inlineStr">
        <is>
          <t>الوحدة</t>
        </is>
      </c>
      <c r="E3" s="41" t="inlineStr">
        <is>
          <t>القطبية</t>
        </is>
      </c>
      <c r="F3" s="41" t="inlineStr">
        <is>
          <t>الأولوية</t>
        </is>
      </c>
      <c r="G3" s="41" t="inlineStr">
        <is>
          <t>الوزن %</t>
        </is>
      </c>
      <c r="H3" s="41" t="inlineStr">
        <is>
          <t>المستهدف</t>
        </is>
      </c>
      <c r="I3" s="41" t="inlineStr">
        <is>
          <t>نص المستهدف</t>
        </is>
      </c>
      <c r="J3" s="41" t="inlineStr">
        <is>
          <t>الركيزة</t>
        </is>
      </c>
      <c r="K3" s="41" t="inlineStr">
        <is>
          <t>المشروع</t>
        </is>
      </c>
      <c r="L3" s="41" t="inlineStr">
        <is>
          <t>منظور BSC</t>
        </is>
      </c>
      <c r="M3" s="41" t="inlineStr">
        <is>
          <t>المُحقَّق</t>
        </is>
      </c>
      <c r="N3" s="41" t="inlineStr">
        <is>
          <t>نسبة التحقيق</t>
        </is>
      </c>
      <c r="O3" s="41" t="inlineStr">
        <is>
          <t>الحالة</t>
        </is>
      </c>
    </row>
    <row r="4" ht="24" customHeight="1">
      <c r="A4" s="23" t="n">
        <v>1</v>
      </c>
      <c r="B4" s="42" t="n"/>
      <c r="C4" s="43" t="inlineStr">
        <is>
          <t>— بانتظار اعتماد المؤشر —</t>
        </is>
      </c>
      <c r="D4" s="42" t="n"/>
      <c r="E4" s="42" t="n"/>
      <c r="F4" s="42" t="n"/>
      <c r="G4" s="42" t="n"/>
      <c r="H4" s="42" t="n"/>
      <c r="I4" s="42" t="n"/>
      <c r="J4" s="42" t="n"/>
      <c r="K4" s="42" t="n"/>
      <c r="L4" s="42" t="n"/>
      <c r="M4" s="42" t="n"/>
      <c r="N4" s="42" t="n"/>
      <c r="O4" s="42" t="n"/>
    </row>
    <row r="5" ht="24" customHeight="1">
      <c r="A5" s="23" t="n">
        <v>2</v>
      </c>
      <c r="B5" s="42" t="n"/>
      <c r="C5" s="43" t="inlineStr">
        <is>
          <t>— بانتظار اعتماد المؤشر —</t>
        </is>
      </c>
      <c r="D5" s="42" t="n"/>
      <c r="E5" s="42" t="n"/>
      <c r="F5" s="42" t="n"/>
      <c r="G5" s="42" t="n"/>
      <c r="H5" s="42" t="n"/>
      <c r="I5" s="42" t="n"/>
      <c r="J5" s="42" t="n"/>
      <c r="K5" s="42" t="n"/>
      <c r="L5" s="42" t="n"/>
      <c r="M5" s="42" t="n"/>
      <c r="N5" s="42" t="n"/>
      <c r="O5" s="42" t="n"/>
    </row>
    <row r="6" ht="24" customHeight="1">
      <c r="A6" s="23" t="n">
        <v>3</v>
      </c>
      <c r="B6" s="42" t="n"/>
      <c r="C6" s="43" t="inlineStr">
        <is>
          <t>— بانتظار اعتماد المؤشر —</t>
        </is>
      </c>
      <c r="D6" s="42" t="n"/>
      <c r="E6" s="42" t="n"/>
      <c r="F6" s="42" t="n"/>
      <c r="G6" s="42" t="n"/>
      <c r="H6" s="42" t="n"/>
      <c r="I6" s="42" t="n"/>
      <c r="J6" s="42" t="n"/>
      <c r="K6" s="42" t="n"/>
      <c r="L6" s="42" t="n"/>
      <c r="M6" s="42" t="n"/>
      <c r="N6" s="42" t="n"/>
      <c r="O6" s="42" t="n"/>
    </row>
    <row r="7" ht="24" customHeight="1">
      <c r="A7" s="23" t="n">
        <v>4</v>
      </c>
      <c r="B7" s="42" t="n"/>
      <c r="C7" s="43" t="inlineStr">
        <is>
          <t>— بانتظار اعتماد المؤشر —</t>
        </is>
      </c>
      <c r="D7" s="42" t="n"/>
      <c r="E7" s="42" t="n"/>
      <c r="F7" s="42" t="n"/>
      <c r="G7" s="42" t="n"/>
      <c r="H7" s="42" t="n"/>
      <c r="I7" s="42" t="n"/>
      <c r="J7" s="42" t="n"/>
      <c r="K7" s="42" t="n"/>
      <c r="L7" s="42" t="n"/>
      <c r="M7" s="42" t="n"/>
      <c r="N7" s="42" t="n"/>
      <c r="O7" s="42" t="n"/>
    </row>
    <row r="8" ht="24" customHeight="1">
      <c r="A8" s="23" t="n">
        <v>5</v>
      </c>
      <c r="B8" s="42" t="n"/>
      <c r="C8" s="43" t="inlineStr">
        <is>
          <t>— بانتظار اعتماد المؤشر —</t>
        </is>
      </c>
      <c r="D8" s="42" t="n"/>
      <c r="E8" s="42" t="n"/>
      <c r="F8" s="42" t="n"/>
      <c r="G8" s="42" t="n"/>
      <c r="H8" s="42" t="n"/>
      <c r="I8" s="42" t="n"/>
      <c r="J8" s="42" t="n"/>
      <c r="K8" s="42" t="n"/>
      <c r="L8" s="42" t="n"/>
      <c r="M8" s="42" t="n"/>
      <c r="N8" s="42" t="n"/>
      <c r="O8" s="42" t="n"/>
    </row>
    <row r="9" ht="24" customHeight="1">
      <c r="A9" s="23" t="n">
        <v>6</v>
      </c>
      <c r="B9" s="42" t="n"/>
      <c r="C9" s="43" t="inlineStr">
        <is>
          <t>— بانتظار اعتماد المؤشر —</t>
        </is>
      </c>
      <c r="D9" s="42" t="n"/>
      <c r="E9" s="42" t="n"/>
      <c r="F9" s="42" t="n"/>
      <c r="G9" s="42" t="n"/>
      <c r="H9" s="42" t="n"/>
      <c r="I9" s="42" t="n"/>
      <c r="J9" s="42" t="n"/>
      <c r="K9" s="42" t="n"/>
      <c r="L9" s="42" t="n"/>
      <c r="M9" s="42" t="n"/>
      <c r="N9" s="42" t="n"/>
      <c r="O9" s="42" t="n"/>
    </row>
    <row r="10" ht="24" customHeight="1">
      <c r="A10" s="23" t="n">
        <v>7</v>
      </c>
      <c r="B10" s="42" t="n"/>
      <c r="C10" s="43" t="inlineStr">
        <is>
          <t>— بانتظار اعتماد المؤشر —</t>
        </is>
      </c>
      <c r="D10" s="42" t="n"/>
      <c r="E10" s="42" t="n"/>
      <c r="F10" s="42" t="n"/>
      <c r="G10" s="42" t="n"/>
      <c r="H10" s="42" t="n"/>
      <c r="I10" s="42" t="n"/>
      <c r="J10" s="42" t="n"/>
      <c r="K10" s="42" t="n"/>
      <c r="L10" s="42" t="n"/>
      <c r="M10" s="42" t="n"/>
      <c r="N10" s="42" t="n"/>
      <c r="O10" s="42" t="n"/>
    </row>
    <row r="11" ht="24" customHeight="1">
      <c r="A11" s="23" t="n">
        <v>8</v>
      </c>
      <c r="B11" s="42" t="n"/>
      <c r="C11" s="43" t="inlineStr">
        <is>
          <t>— بانتظار اعتماد المؤشر —</t>
        </is>
      </c>
      <c r="D11" s="42" t="n"/>
      <c r="E11" s="42" t="n"/>
      <c r="F11" s="42" t="n"/>
      <c r="G11" s="42" t="n"/>
      <c r="H11" s="42" t="n"/>
      <c r="I11" s="42" t="n"/>
      <c r="J11" s="42" t="n"/>
      <c r="K11" s="42" t="n"/>
      <c r="L11" s="42" t="n"/>
      <c r="M11" s="42" t="n"/>
      <c r="N11" s="42" t="n"/>
      <c r="O11" s="42" t="n"/>
    </row>
  </sheetData>
  <mergeCells count="2">
    <mergeCell ref="A1:O1"/>
    <mergeCell ref="A2:O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49"/>
  <sheetViews>
    <sheetView showGridLines="0" rightToLeft="1" workbookViewId="0">
      <selection activeCell="A1" sqref="A1"/>
    </sheetView>
  </sheetViews>
  <sheetFormatPr baseColWidth="8" defaultRowHeight="15"/>
  <cols>
    <col width="4" customWidth="1" min="1" max="1"/>
    <col width="20" customWidth="1" min="2" max="2"/>
    <col width="40" customWidth="1" min="3" max="3"/>
    <col width="10" customWidth="1" min="4" max="4"/>
    <col width="12" customWidth="1" min="5" max="5"/>
    <col width="10" customWidth="1" min="6" max="6"/>
    <col width="14" customWidth="1" min="7" max="7"/>
    <col width="30" customWidth="1" min="8" max="8"/>
  </cols>
  <sheetData>
    <row r="1" ht="24" customHeight="1">
      <c r="A1" s="44" t="inlineStr">
        <is>
          <t>سجل مشاريع الشركة — لكل إدارة مشاريعها (نسبة الإنجاز = المنجز ÷ الكمية)</t>
        </is>
      </c>
    </row>
    <row r="2">
      <c r="A2" s="2" t="inlineStr">
        <is>
          <t>#</t>
        </is>
      </c>
      <c r="B2" s="2" t="inlineStr">
        <is>
          <t>الإدارة</t>
        </is>
      </c>
      <c r="C2" s="2" t="inlineStr">
        <is>
          <t>المشروع</t>
        </is>
      </c>
      <c r="D2" s="2" t="inlineStr">
        <is>
          <t>الكمية</t>
        </is>
      </c>
      <c r="E2" s="2" t="inlineStr">
        <is>
          <t>نوع الكمية</t>
        </is>
      </c>
      <c r="F2" s="2" t="inlineStr">
        <is>
          <t>المنجز</t>
        </is>
      </c>
      <c r="G2" s="2" t="inlineStr">
        <is>
          <t>نسبة الإنجاز</t>
        </is>
      </c>
      <c r="H2" s="2" t="inlineStr">
        <is>
          <t>المؤشر المرتبط</t>
        </is>
      </c>
    </row>
    <row r="3">
      <c r="A3" s="45" t="inlineStr">
        <is>
          <t>▾ مشاريع إدارة التقنية</t>
        </is>
      </c>
    </row>
    <row r="4" ht="22" customHeight="1">
      <c r="A4" s="15" t="n">
        <v>1</v>
      </c>
      <c r="B4" s="14" t="inlineStr">
        <is>
          <t>إدارة التقنية</t>
        </is>
      </c>
      <c r="C4" s="9" t="inlineStr">
        <is>
          <t>نظام أتمتة الكاش (Cash-In)</t>
        </is>
      </c>
      <c r="D4" s="27" t="n">
        <v>164</v>
      </c>
      <c r="E4" s="27" t="inlineStr">
        <is>
          <t>محطة</t>
        </is>
      </c>
      <c r="F4" s="46" t="n">
        <v>59</v>
      </c>
      <c r="G4" s="16">
        <f>IFERROR(F4/D4,0)</f>
        <v/>
      </c>
      <c r="H4" s="47" t="inlineStr">
        <is>
          <t>نسبة إنجاز محفظة مشاريع التحول الرقمي</t>
        </is>
      </c>
    </row>
    <row r="5" ht="22" customHeight="1">
      <c r="A5" s="15" t="n">
        <v>2</v>
      </c>
      <c r="B5" s="14" t="inlineStr">
        <is>
          <t>إدارة التقنية</t>
        </is>
      </c>
      <c r="C5" s="9" t="inlineStr">
        <is>
          <t>D365 FNO — المرحلة الأولى</t>
        </is>
      </c>
      <c r="D5" s="27" t="n">
        <v>5</v>
      </c>
      <c r="E5" s="27" t="inlineStr">
        <is>
          <t>وحدة</t>
        </is>
      </c>
      <c r="F5" s="46" t="n">
        <v>3.5</v>
      </c>
      <c r="G5" s="16">
        <f>IFERROR(F5/D5,0)</f>
        <v/>
      </c>
      <c r="H5" s="47" t="inlineStr">
        <is>
          <t>نسبة إنجاز محفظة مشاريع التحول الرقمي</t>
        </is>
      </c>
    </row>
    <row r="6" ht="22" customHeight="1">
      <c r="A6" s="15" t="n">
        <v>3</v>
      </c>
      <c r="B6" s="14" t="inlineStr">
        <is>
          <t>إدارة التقنية</t>
        </is>
      </c>
      <c r="C6" s="9" t="inlineStr">
        <is>
          <t>D365 FNO — المرحلة الثانية</t>
        </is>
      </c>
      <c r="D6" s="27" t="n">
        <v>4</v>
      </c>
      <c r="E6" s="27" t="inlineStr">
        <is>
          <t>وحدة</t>
        </is>
      </c>
      <c r="F6" s="46" t="n">
        <v>0</v>
      </c>
      <c r="G6" s="16">
        <f>IFERROR(F6/D6,0)</f>
        <v/>
      </c>
      <c r="H6" s="47" t="inlineStr">
        <is>
          <t>نسبة إنجاز محفظة مشاريع التحول الرقمي</t>
        </is>
      </c>
    </row>
    <row r="7" ht="22" customHeight="1">
      <c r="A7" s="15" t="n">
        <v>4</v>
      </c>
      <c r="B7" s="14" t="inlineStr">
        <is>
          <t>إدارة التقنية</t>
        </is>
      </c>
      <c r="C7" s="9" t="inlineStr">
        <is>
          <t>D365 FNO — المرحلة الثالثة</t>
        </is>
      </c>
      <c r="D7" s="27" t="n">
        <v>2</v>
      </c>
      <c r="E7" s="27" t="inlineStr">
        <is>
          <t>وحدة</t>
        </is>
      </c>
      <c r="F7" s="46" t="n">
        <v>0</v>
      </c>
      <c r="G7" s="16">
        <f>IFERROR(F7/D7,0)</f>
        <v/>
      </c>
      <c r="H7" s="47" t="inlineStr">
        <is>
          <t>نسبة إنجاز محفظة مشاريع التحول الرقمي</t>
        </is>
      </c>
    </row>
    <row r="8" ht="22" customHeight="1">
      <c r="A8" s="15" t="n">
        <v>5</v>
      </c>
      <c r="B8" s="14" t="inlineStr">
        <is>
          <t>إدارة التقنية</t>
        </is>
      </c>
      <c r="C8" s="9" t="inlineStr">
        <is>
          <t>تطبيق الامتياز مع واثق</t>
        </is>
      </c>
      <c r="D8" s="27" t="n">
        <v>1</v>
      </c>
      <c r="E8" s="27" t="inlineStr">
        <is>
          <t>تطبيق</t>
        </is>
      </c>
      <c r="F8" s="46" t="n">
        <v>0</v>
      </c>
      <c r="G8" s="16">
        <f>IFERROR(F8/D8,0)</f>
        <v/>
      </c>
      <c r="H8" s="47" t="inlineStr">
        <is>
          <t>نسبة إنجاز محفظة مشاريع التحول الرقمي</t>
        </is>
      </c>
    </row>
    <row r="9" ht="22" customHeight="1">
      <c r="A9" s="15" t="n">
        <v>6</v>
      </c>
      <c r="B9" s="14" t="inlineStr">
        <is>
          <t>إدارة التقنية</t>
        </is>
      </c>
      <c r="C9" s="9" t="inlineStr">
        <is>
          <t>ربط المحطات بوزارة الطاقة (ATJ)</t>
        </is>
      </c>
      <c r="D9" s="27" t="n">
        <v>164</v>
      </c>
      <c r="E9" s="27" t="inlineStr">
        <is>
          <t>محطة</t>
        </is>
      </c>
      <c r="F9" s="46" t="n">
        <v>0</v>
      </c>
      <c r="G9" s="16">
        <f>IFERROR(F9/D9,0)</f>
        <v/>
      </c>
      <c r="H9" s="47" t="inlineStr">
        <is>
          <t>نسبة إنجاز محفظة مشاريع التحول الرقمي</t>
        </is>
      </c>
    </row>
    <row r="10" ht="22" customHeight="1">
      <c r="A10" s="15" t="n">
        <v>7</v>
      </c>
      <c r="B10" s="14" t="inlineStr">
        <is>
          <t>إدارة التقنية</t>
        </is>
      </c>
      <c r="C10" s="9" t="inlineStr">
        <is>
          <t>ربط الكاميرات بالمركز الرئيسي</t>
        </is>
      </c>
      <c r="D10" s="27" t="n">
        <v>164</v>
      </c>
      <c r="E10" s="27" t="inlineStr">
        <is>
          <t>محطة</t>
        </is>
      </c>
      <c r="F10" s="46" t="n">
        <v>0</v>
      </c>
      <c r="G10" s="16">
        <f>IFERROR(F10/D10,0)</f>
        <v/>
      </c>
      <c r="H10" s="47" t="inlineStr">
        <is>
          <t>نسبة إنجاز محفظة مشاريع التحول الرقمي</t>
        </is>
      </c>
    </row>
    <row r="11" ht="22" customHeight="1">
      <c r="A11" s="15" t="n">
        <v>8</v>
      </c>
      <c r="B11" s="14" t="inlineStr">
        <is>
          <t>إدارة التقنية</t>
        </is>
      </c>
      <c r="C11" s="9" t="inlineStr">
        <is>
          <t>تطبيق الولاء (تانكي) في المحطات</t>
        </is>
      </c>
      <c r="D11" s="27" t="n">
        <v>164</v>
      </c>
      <c r="E11" s="27" t="inlineStr">
        <is>
          <t>محطة</t>
        </is>
      </c>
      <c r="F11" s="46" t="n">
        <v>0</v>
      </c>
      <c r="G11" s="16">
        <f>IFERROR(F11/D11,0)</f>
        <v/>
      </c>
      <c r="H11" s="47" t="inlineStr">
        <is>
          <t>نسبة إنجاز محفظة مشاريع التحول الرقمي</t>
        </is>
      </c>
    </row>
    <row r="12" ht="22" customHeight="1">
      <c r="A12" s="15" t="n">
        <v>9</v>
      </c>
      <c r="B12" s="14" t="inlineStr">
        <is>
          <t>إدارة التقنية</t>
        </is>
      </c>
      <c r="C12" s="9" t="inlineStr">
        <is>
          <t>منصة Tatin السحابية</t>
        </is>
      </c>
      <c r="D12" s="27" t="n">
        <v>164</v>
      </c>
      <c r="E12" s="27" t="inlineStr">
        <is>
          <t>محطة</t>
        </is>
      </c>
      <c r="F12" s="46" t="n">
        <v>2</v>
      </c>
      <c r="G12" s="16">
        <f>IFERROR(F12/D12,0)</f>
        <v/>
      </c>
      <c r="H12" s="47" t="inlineStr">
        <is>
          <t>نسبة إنجاز محفظة مشاريع التحول الرقمي</t>
        </is>
      </c>
    </row>
    <row r="13" ht="22" customHeight="1">
      <c r="A13" s="15" t="n">
        <v>10</v>
      </c>
      <c r="B13" s="14" t="inlineStr">
        <is>
          <t>إدارة التقنية</t>
        </is>
      </c>
      <c r="C13" s="9" t="inlineStr">
        <is>
          <t>إدارة العمليات بالذكاء الاصطناعي</t>
        </is>
      </c>
      <c r="D13" s="27" t="n">
        <v>164</v>
      </c>
      <c r="E13" s="27" t="inlineStr">
        <is>
          <t>محطة</t>
        </is>
      </c>
      <c r="F13" s="46" t="n">
        <v>0</v>
      </c>
      <c r="G13" s="16">
        <f>IFERROR(F13/D13,0)</f>
        <v/>
      </c>
      <c r="H13" s="47" t="inlineStr">
        <is>
          <t>نسبة إنجاز محفظة مشاريع التحول الرقمي</t>
        </is>
      </c>
    </row>
    <row r="14">
      <c r="A14" s="48" t="inlineStr">
        <is>
          <t>▾ مشاريع الإدارة التنفيذية</t>
        </is>
      </c>
    </row>
    <row r="15">
      <c r="A15" s="7" t="n"/>
      <c r="B15" s="14" t="inlineStr">
        <is>
          <t>الإدارة التنفيذية</t>
        </is>
      </c>
      <c r="C15" s="49" t="n"/>
      <c r="D15" s="49" t="n"/>
      <c r="E15" s="49" t="n"/>
      <c r="F15" s="49" t="n"/>
      <c r="G15" s="16">
        <f>IFERROR(F15/D15,0)</f>
        <v/>
      </c>
      <c r="H15" s="7" t="n"/>
    </row>
    <row r="16">
      <c r="A16" s="7" t="n"/>
      <c r="B16" s="14" t="inlineStr">
        <is>
          <t>الإدارة التنفيذية</t>
        </is>
      </c>
      <c r="C16" s="49" t="n"/>
      <c r="D16" s="49" t="n"/>
      <c r="E16" s="49" t="n"/>
      <c r="F16" s="49" t="n"/>
      <c r="G16" s="16">
        <f>IFERROR(F16/D16,0)</f>
        <v/>
      </c>
      <c r="H16" s="7" t="n"/>
    </row>
    <row r="17">
      <c r="A17" s="7" t="n"/>
      <c r="B17" s="14" t="inlineStr">
        <is>
          <t>الإدارة التنفيذية</t>
        </is>
      </c>
      <c r="C17" s="49" t="n"/>
      <c r="D17" s="49" t="n"/>
      <c r="E17" s="49" t="n"/>
      <c r="F17" s="49" t="n"/>
      <c r="G17" s="16">
        <f>IFERROR(F17/D17,0)</f>
        <v/>
      </c>
      <c r="H17" s="7" t="n"/>
    </row>
    <row r="18">
      <c r="A18" s="48" t="inlineStr">
        <is>
          <t>▾ مشاريع الامتياز التجاري</t>
        </is>
      </c>
    </row>
    <row r="19">
      <c r="A19" s="7" t="n"/>
      <c r="B19" s="14" t="inlineStr">
        <is>
          <t>الامتياز التجاري</t>
        </is>
      </c>
      <c r="C19" s="49" t="n"/>
      <c r="D19" s="49" t="n"/>
      <c r="E19" s="49" t="n"/>
      <c r="F19" s="49" t="n"/>
      <c r="G19" s="16">
        <f>IFERROR(F19/D19,0)</f>
        <v/>
      </c>
      <c r="H19" s="7" t="n"/>
    </row>
    <row r="20">
      <c r="A20" s="7" t="n"/>
      <c r="B20" s="14" t="inlineStr">
        <is>
          <t>الامتياز التجاري</t>
        </is>
      </c>
      <c r="C20" s="49" t="n"/>
      <c r="D20" s="49" t="n"/>
      <c r="E20" s="49" t="n"/>
      <c r="F20" s="49" t="n"/>
      <c r="G20" s="16">
        <f>IFERROR(F20/D20,0)</f>
        <v/>
      </c>
      <c r="H20" s="7" t="n"/>
    </row>
    <row r="21">
      <c r="A21" s="7" t="n"/>
      <c r="B21" s="14" t="inlineStr">
        <is>
          <t>الامتياز التجاري</t>
        </is>
      </c>
      <c r="C21" s="49" t="n"/>
      <c r="D21" s="49" t="n"/>
      <c r="E21" s="49" t="n"/>
      <c r="F21" s="49" t="n"/>
      <c r="G21" s="16">
        <f>IFERROR(F21/D21,0)</f>
        <v/>
      </c>
      <c r="H21" s="7" t="n"/>
    </row>
    <row r="22">
      <c r="A22" s="48" t="inlineStr">
        <is>
          <t>▾ مشاريع التشغيل والمحطات</t>
        </is>
      </c>
    </row>
    <row r="23">
      <c r="A23" s="7" t="n"/>
      <c r="B23" s="14" t="inlineStr">
        <is>
          <t>التشغيل والمحطات</t>
        </is>
      </c>
      <c r="C23" s="49" t="n"/>
      <c r="D23" s="49" t="n"/>
      <c r="E23" s="49" t="n"/>
      <c r="F23" s="49" t="n"/>
      <c r="G23" s="16">
        <f>IFERROR(F23/D23,0)</f>
        <v/>
      </c>
      <c r="H23" s="7" t="n"/>
    </row>
    <row r="24">
      <c r="A24" s="7" t="n"/>
      <c r="B24" s="14" t="inlineStr">
        <is>
          <t>التشغيل والمحطات</t>
        </is>
      </c>
      <c r="C24" s="49" t="n"/>
      <c r="D24" s="49" t="n"/>
      <c r="E24" s="49" t="n"/>
      <c r="F24" s="49" t="n"/>
      <c r="G24" s="16">
        <f>IFERROR(F24/D24,0)</f>
        <v/>
      </c>
      <c r="H24" s="7" t="n"/>
    </row>
    <row r="25">
      <c r="A25" s="7" t="n"/>
      <c r="B25" s="14" t="inlineStr">
        <is>
          <t>التشغيل والمحطات</t>
        </is>
      </c>
      <c r="C25" s="49" t="n"/>
      <c r="D25" s="49" t="n"/>
      <c r="E25" s="49" t="n"/>
      <c r="F25" s="49" t="n"/>
      <c r="G25" s="16">
        <f>IFERROR(F25/D25,0)</f>
        <v/>
      </c>
      <c r="H25" s="7" t="n"/>
    </row>
    <row r="26">
      <c r="A26" s="48" t="inlineStr">
        <is>
          <t>▾ مشاريع الاستثمار</t>
        </is>
      </c>
    </row>
    <row r="27">
      <c r="A27" s="7" t="n"/>
      <c r="B27" s="14" t="inlineStr">
        <is>
          <t>الاستثمار</t>
        </is>
      </c>
      <c r="C27" s="49" t="n"/>
      <c r="D27" s="49" t="n"/>
      <c r="E27" s="49" t="n"/>
      <c r="F27" s="49" t="n"/>
      <c r="G27" s="16">
        <f>IFERROR(F27/D27,0)</f>
        <v/>
      </c>
      <c r="H27" s="7" t="n"/>
    </row>
    <row r="28">
      <c r="A28" s="7" t="n"/>
      <c r="B28" s="14" t="inlineStr">
        <is>
          <t>الاستثمار</t>
        </is>
      </c>
      <c r="C28" s="49" t="n"/>
      <c r="D28" s="49" t="n"/>
      <c r="E28" s="49" t="n"/>
      <c r="F28" s="49" t="n"/>
      <c r="G28" s="16">
        <f>IFERROR(F28/D28,0)</f>
        <v/>
      </c>
      <c r="H28" s="7" t="n"/>
    </row>
    <row r="29">
      <c r="A29" s="7" t="n"/>
      <c r="B29" s="14" t="inlineStr">
        <is>
          <t>الاستثمار</t>
        </is>
      </c>
      <c r="C29" s="49" t="n"/>
      <c r="D29" s="49" t="n"/>
      <c r="E29" s="49" t="n"/>
      <c r="F29" s="49" t="n"/>
      <c r="G29" s="16">
        <f>IFERROR(F29/D29,0)</f>
        <v/>
      </c>
      <c r="H29" s="7" t="n"/>
    </row>
    <row r="30">
      <c r="A30" s="48" t="inlineStr">
        <is>
          <t>▾ مشاريع العقار</t>
        </is>
      </c>
    </row>
    <row r="31">
      <c r="A31" s="7" t="n"/>
      <c r="B31" s="14" t="inlineStr">
        <is>
          <t>العقار</t>
        </is>
      </c>
      <c r="C31" s="49" t="n"/>
      <c r="D31" s="49" t="n"/>
      <c r="E31" s="49" t="n"/>
      <c r="F31" s="49" t="n"/>
      <c r="G31" s="16">
        <f>IFERROR(F31/D31,0)</f>
        <v/>
      </c>
      <c r="H31" s="7" t="n"/>
    </row>
    <row r="32">
      <c r="A32" s="7" t="n"/>
      <c r="B32" s="14" t="inlineStr">
        <is>
          <t>العقار</t>
        </is>
      </c>
      <c r="C32" s="49" t="n"/>
      <c r="D32" s="49" t="n"/>
      <c r="E32" s="49" t="n"/>
      <c r="F32" s="49" t="n"/>
      <c r="G32" s="16">
        <f>IFERROR(F32/D32,0)</f>
        <v/>
      </c>
      <c r="H32" s="7" t="n"/>
    </row>
    <row r="33">
      <c r="A33" s="7" t="n"/>
      <c r="B33" s="14" t="inlineStr">
        <is>
          <t>العقار</t>
        </is>
      </c>
      <c r="C33" s="49" t="n"/>
      <c r="D33" s="49" t="n"/>
      <c r="E33" s="49" t="n"/>
      <c r="F33" s="49" t="n"/>
      <c r="G33" s="16">
        <f>IFERROR(F33/D33,0)</f>
        <v/>
      </c>
      <c r="H33" s="7" t="n"/>
    </row>
    <row r="34">
      <c r="A34" s="48" t="inlineStr">
        <is>
          <t>▾ مشاريع الموارد البشرية</t>
        </is>
      </c>
    </row>
    <row r="35">
      <c r="A35" s="7" t="n"/>
      <c r="B35" s="14" t="inlineStr">
        <is>
          <t>الموارد البشرية</t>
        </is>
      </c>
      <c r="C35" s="49" t="n"/>
      <c r="D35" s="49" t="n"/>
      <c r="E35" s="49" t="n"/>
      <c r="F35" s="49" t="n"/>
      <c r="G35" s="16">
        <f>IFERROR(F35/D35,0)</f>
        <v/>
      </c>
      <c r="H35" s="7" t="n"/>
    </row>
    <row r="36">
      <c r="A36" s="7" t="n"/>
      <c r="B36" s="14" t="inlineStr">
        <is>
          <t>الموارد البشرية</t>
        </is>
      </c>
      <c r="C36" s="49" t="n"/>
      <c r="D36" s="49" t="n"/>
      <c r="E36" s="49" t="n"/>
      <c r="F36" s="49" t="n"/>
      <c r="G36" s="16">
        <f>IFERROR(F36/D36,0)</f>
        <v/>
      </c>
      <c r="H36" s="7" t="n"/>
    </row>
    <row r="37">
      <c r="A37" s="7" t="n"/>
      <c r="B37" s="14" t="inlineStr">
        <is>
          <t>الموارد البشرية</t>
        </is>
      </c>
      <c r="C37" s="49" t="n"/>
      <c r="D37" s="49" t="n"/>
      <c r="E37" s="49" t="n"/>
      <c r="F37" s="49" t="n"/>
      <c r="G37" s="16">
        <f>IFERROR(F37/D37,0)</f>
        <v/>
      </c>
      <c r="H37" s="7" t="n"/>
    </row>
    <row r="38">
      <c r="A38" s="48" t="inlineStr">
        <is>
          <t>▾ مشاريع التسويق</t>
        </is>
      </c>
    </row>
    <row r="39">
      <c r="A39" s="7" t="n"/>
      <c r="B39" s="14" t="inlineStr">
        <is>
          <t>التسويق</t>
        </is>
      </c>
      <c r="C39" s="49" t="n"/>
      <c r="D39" s="49" t="n"/>
      <c r="E39" s="49" t="n"/>
      <c r="F39" s="49" t="n"/>
      <c r="G39" s="16">
        <f>IFERROR(F39/D39,0)</f>
        <v/>
      </c>
      <c r="H39" s="7" t="n"/>
    </row>
    <row r="40">
      <c r="A40" s="7" t="n"/>
      <c r="B40" s="14" t="inlineStr">
        <is>
          <t>التسويق</t>
        </is>
      </c>
      <c r="C40" s="49" t="n"/>
      <c r="D40" s="49" t="n"/>
      <c r="E40" s="49" t="n"/>
      <c r="F40" s="49" t="n"/>
      <c r="G40" s="16">
        <f>IFERROR(F40/D40,0)</f>
        <v/>
      </c>
      <c r="H40" s="7" t="n"/>
    </row>
    <row r="41">
      <c r="A41" s="7" t="n"/>
      <c r="B41" s="14" t="inlineStr">
        <is>
          <t>التسويق</t>
        </is>
      </c>
      <c r="C41" s="49" t="n"/>
      <c r="D41" s="49" t="n"/>
      <c r="E41" s="49" t="n"/>
      <c r="F41" s="49" t="n"/>
      <c r="G41" s="16">
        <f>IFERROR(F41/D41,0)</f>
        <v/>
      </c>
      <c r="H41" s="7" t="n"/>
    </row>
    <row r="42">
      <c r="A42" s="48" t="inlineStr">
        <is>
          <t>▾ مشاريع الجودة</t>
        </is>
      </c>
    </row>
    <row r="43">
      <c r="A43" s="7" t="n"/>
      <c r="B43" s="14" t="inlineStr">
        <is>
          <t>الجودة</t>
        </is>
      </c>
      <c r="C43" s="49" t="n"/>
      <c r="D43" s="49" t="n"/>
      <c r="E43" s="49" t="n"/>
      <c r="F43" s="49" t="n"/>
      <c r="G43" s="16">
        <f>IFERROR(F43/D43,0)</f>
        <v/>
      </c>
      <c r="H43" s="7" t="n"/>
    </row>
    <row r="44">
      <c r="A44" s="7" t="n"/>
      <c r="B44" s="14" t="inlineStr">
        <is>
          <t>الجودة</t>
        </is>
      </c>
      <c r="C44" s="49" t="n"/>
      <c r="D44" s="49" t="n"/>
      <c r="E44" s="49" t="n"/>
      <c r="F44" s="49" t="n"/>
      <c r="G44" s="16">
        <f>IFERROR(F44/D44,0)</f>
        <v/>
      </c>
      <c r="H44" s="7" t="n"/>
    </row>
    <row r="45">
      <c r="A45" s="7" t="n"/>
      <c r="B45" s="14" t="inlineStr">
        <is>
          <t>الجودة</t>
        </is>
      </c>
      <c r="C45" s="49" t="n"/>
      <c r="D45" s="49" t="n"/>
      <c r="E45" s="49" t="n"/>
      <c r="F45" s="49" t="n"/>
      <c r="G45" s="16">
        <f>IFERROR(F45/D45,0)</f>
        <v/>
      </c>
      <c r="H45" s="7" t="n"/>
    </row>
    <row r="46">
      <c r="A46" s="48" t="inlineStr">
        <is>
          <t>▾ مشاريع الإدارة القانونية</t>
        </is>
      </c>
    </row>
    <row r="47">
      <c r="A47" s="7" t="n"/>
      <c r="B47" s="14" t="inlineStr">
        <is>
          <t>الإدارة القانونية</t>
        </is>
      </c>
      <c r="C47" s="49" t="n"/>
      <c r="D47" s="49" t="n"/>
      <c r="E47" s="49" t="n"/>
      <c r="F47" s="49" t="n"/>
      <c r="G47" s="16">
        <f>IFERROR(F47/D47,0)</f>
        <v/>
      </c>
      <c r="H47" s="7" t="n"/>
    </row>
    <row r="48">
      <c r="A48" s="7" t="n"/>
      <c r="B48" s="14" t="inlineStr">
        <is>
          <t>الإدارة القانونية</t>
        </is>
      </c>
      <c r="C48" s="49" t="n"/>
      <c r="D48" s="49" t="n"/>
      <c r="E48" s="49" t="n"/>
      <c r="F48" s="49" t="n"/>
      <c r="G48" s="16">
        <f>IFERROR(F48/D48,0)</f>
        <v/>
      </c>
      <c r="H48" s="7" t="n"/>
    </row>
    <row r="49">
      <c r="A49" s="7" t="n"/>
      <c r="B49" s="14" t="inlineStr">
        <is>
          <t>الإدارة القانونية</t>
        </is>
      </c>
      <c r="C49" s="49" t="n"/>
      <c r="D49" s="49" t="n"/>
      <c r="E49" s="49" t="n"/>
      <c r="F49" s="49" t="n"/>
      <c r="G49" s="16">
        <f>IFERROR(F49/D49,0)</f>
        <v/>
      </c>
      <c r="H49" s="7" t="n"/>
    </row>
  </sheetData>
  <mergeCells count="11">
    <mergeCell ref="A18:H18"/>
    <mergeCell ref="A3:H3"/>
    <mergeCell ref="A26:H26"/>
    <mergeCell ref="A30:H30"/>
    <mergeCell ref="A38:H38"/>
    <mergeCell ref="A42:H42"/>
    <mergeCell ref="A14:H14"/>
    <mergeCell ref="A1:H1"/>
    <mergeCell ref="A46:H46"/>
    <mergeCell ref="A22:H22"/>
    <mergeCell ref="A34:H3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66"/>
  <sheetViews>
    <sheetView showGridLines="0" rightToLeft="1" workbookViewId="0">
      <selection activeCell="A1" sqref="A1"/>
    </sheetView>
  </sheetViews>
  <sheetFormatPr baseColWidth="8" defaultRowHeight="15"/>
  <cols>
    <col width="4" customWidth="1" min="1" max="1"/>
    <col width="20" customWidth="1" min="2" max="2"/>
    <col width="42" customWidth="1" min="3" max="3"/>
    <col width="16" customWidth="1" min="4" max="4"/>
    <col width="24" customWidth="1" min="5" max="5"/>
    <col width="16" customWidth="1" min="6" max="6"/>
    <col width="12" customWidth="1" min="7" max="7"/>
    <col width="14" customWidth="1" min="8" max="8"/>
    <col width="10" customWidth="1" min="9" max="9"/>
  </cols>
  <sheetData>
    <row r="1">
      <c r="A1" s="26" t="inlineStr">
        <is>
          <t>#</t>
        </is>
      </c>
      <c r="B1" s="26" t="inlineStr">
        <is>
          <t>الإدارة</t>
        </is>
      </c>
      <c r="C1" s="26" t="inlineStr">
        <is>
          <t>المؤشر</t>
        </is>
      </c>
      <c r="D1" s="26" t="inlineStr">
        <is>
          <t>الركيزة</t>
        </is>
      </c>
      <c r="E1" s="26" t="inlineStr">
        <is>
          <t>المشروع</t>
        </is>
      </c>
      <c r="F1" s="26" t="inlineStr">
        <is>
          <t>منظور BSC</t>
        </is>
      </c>
      <c r="G1" s="26" t="inlineStr">
        <is>
          <t>نسبة التحقيق</t>
        </is>
      </c>
      <c r="H1" s="26" t="inlineStr">
        <is>
          <t>الحالة</t>
        </is>
      </c>
      <c r="I1" s="26" t="inlineStr">
        <is>
          <t>الوزن</t>
        </is>
      </c>
    </row>
    <row r="2">
      <c r="A2" s="28" t="n">
        <v>1</v>
      </c>
      <c r="B2" s="50" t="inlineStr">
        <is>
          <t>الإدارة التنفيذية</t>
        </is>
      </c>
      <c r="C2" s="50">
        <f>'الإدارة التنفيذية'!C4</f>
        <v/>
      </c>
      <c r="D2" s="28">
        <f>'الإدارة التنفيذية'!J4</f>
        <v/>
      </c>
      <c r="E2" s="50">
        <f>'الإدارة التنفيذية'!K4</f>
        <v/>
      </c>
      <c r="F2" s="28">
        <f>'الإدارة التنفيذية'!L4</f>
        <v/>
      </c>
      <c r="G2" s="51">
        <f>'الإدارة التنفيذية'!N4</f>
        <v/>
      </c>
      <c r="H2" s="28">
        <f>'الإدارة التنفيذية'!O4</f>
        <v/>
      </c>
      <c r="I2" s="52">
        <f>'الإدارة التنفيذية'!G4</f>
        <v/>
      </c>
    </row>
    <row r="3">
      <c r="A3" s="28" t="n">
        <v>2</v>
      </c>
      <c r="B3" s="50" t="inlineStr">
        <is>
          <t>الإدارة التنفيذية</t>
        </is>
      </c>
      <c r="C3" s="50">
        <f>'الإدارة التنفيذية'!C5</f>
        <v/>
      </c>
      <c r="D3" s="28">
        <f>'الإدارة التنفيذية'!J5</f>
        <v/>
      </c>
      <c r="E3" s="50">
        <f>'الإدارة التنفيذية'!K5</f>
        <v/>
      </c>
      <c r="F3" s="28">
        <f>'الإدارة التنفيذية'!L5</f>
        <v/>
      </c>
      <c r="G3" s="51">
        <f>'الإدارة التنفيذية'!N5</f>
        <v/>
      </c>
      <c r="H3" s="28">
        <f>'الإدارة التنفيذية'!O5</f>
        <v/>
      </c>
      <c r="I3" s="52">
        <f>'الإدارة التنفيذية'!G5</f>
        <v/>
      </c>
    </row>
    <row r="4">
      <c r="A4" s="28" t="n">
        <v>3</v>
      </c>
      <c r="B4" s="50" t="inlineStr">
        <is>
          <t>الإدارة التنفيذية</t>
        </is>
      </c>
      <c r="C4" s="50">
        <f>'الإدارة التنفيذية'!C6</f>
        <v/>
      </c>
      <c r="D4" s="28">
        <f>'الإدارة التنفيذية'!J6</f>
        <v/>
      </c>
      <c r="E4" s="50">
        <f>'الإدارة التنفيذية'!K6</f>
        <v/>
      </c>
      <c r="F4" s="28">
        <f>'الإدارة التنفيذية'!L6</f>
        <v/>
      </c>
      <c r="G4" s="51">
        <f>'الإدارة التنفيذية'!N6</f>
        <v/>
      </c>
      <c r="H4" s="28">
        <f>'الإدارة التنفيذية'!O6</f>
        <v/>
      </c>
      <c r="I4" s="52">
        <f>'الإدارة التنفيذية'!G6</f>
        <v/>
      </c>
    </row>
    <row r="5">
      <c r="A5" s="28" t="n">
        <v>4</v>
      </c>
      <c r="B5" s="50" t="inlineStr">
        <is>
          <t>الإدارة التنفيذية</t>
        </is>
      </c>
      <c r="C5" s="50">
        <f>'الإدارة التنفيذية'!C7</f>
        <v/>
      </c>
      <c r="D5" s="28">
        <f>'الإدارة التنفيذية'!J7</f>
        <v/>
      </c>
      <c r="E5" s="50">
        <f>'الإدارة التنفيذية'!K7</f>
        <v/>
      </c>
      <c r="F5" s="28">
        <f>'الإدارة التنفيذية'!L7</f>
        <v/>
      </c>
      <c r="G5" s="51">
        <f>'الإدارة التنفيذية'!N7</f>
        <v/>
      </c>
      <c r="H5" s="28">
        <f>'الإدارة التنفيذية'!O7</f>
        <v/>
      </c>
      <c r="I5" s="52">
        <f>'الإدارة التنفيذية'!G7</f>
        <v/>
      </c>
    </row>
    <row r="6">
      <c r="A6" s="28" t="n">
        <v>5</v>
      </c>
      <c r="B6" s="50" t="inlineStr">
        <is>
          <t>الإدارة التنفيذية</t>
        </is>
      </c>
      <c r="C6" s="50">
        <f>'الإدارة التنفيذية'!C8</f>
        <v/>
      </c>
      <c r="D6" s="28">
        <f>'الإدارة التنفيذية'!J8</f>
        <v/>
      </c>
      <c r="E6" s="50">
        <f>'الإدارة التنفيذية'!K8</f>
        <v/>
      </c>
      <c r="F6" s="28">
        <f>'الإدارة التنفيذية'!L8</f>
        <v/>
      </c>
      <c r="G6" s="51">
        <f>'الإدارة التنفيذية'!N8</f>
        <v/>
      </c>
      <c r="H6" s="28">
        <f>'الإدارة التنفيذية'!O8</f>
        <v/>
      </c>
      <c r="I6" s="52">
        <f>'الإدارة التنفيذية'!G8</f>
        <v/>
      </c>
    </row>
    <row r="7">
      <c r="A7" s="28" t="n">
        <v>6</v>
      </c>
      <c r="B7" s="50" t="inlineStr">
        <is>
          <t>الإدارة التنفيذية</t>
        </is>
      </c>
      <c r="C7" s="50">
        <f>'الإدارة التنفيذية'!C9</f>
        <v/>
      </c>
      <c r="D7" s="28">
        <f>'الإدارة التنفيذية'!J9</f>
        <v/>
      </c>
      <c r="E7" s="50">
        <f>'الإدارة التنفيذية'!K9</f>
        <v/>
      </c>
      <c r="F7" s="28">
        <f>'الإدارة التنفيذية'!L9</f>
        <v/>
      </c>
      <c r="G7" s="51">
        <f>'الإدارة التنفيذية'!N9</f>
        <v/>
      </c>
      <c r="H7" s="28">
        <f>'الإدارة التنفيذية'!O9</f>
        <v/>
      </c>
      <c r="I7" s="52">
        <f>'الإدارة التنفيذية'!G9</f>
        <v/>
      </c>
    </row>
    <row r="8">
      <c r="A8" s="28" t="n">
        <v>7</v>
      </c>
      <c r="B8" s="50" t="inlineStr">
        <is>
          <t>الإدارة التنفيذية</t>
        </is>
      </c>
      <c r="C8" s="50">
        <f>'الإدارة التنفيذية'!C10</f>
        <v/>
      </c>
      <c r="D8" s="28">
        <f>'الإدارة التنفيذية'!J10</f>
        <v/>
      </c>
      <c r="E8" s="50">
        <f>'الإدارة التنفيذية'!K10</f>
        <v/>
      </c>
      <c r="F8" s="28">
        <f>'الإدارة التنفيذية'!L10</f>
        <v/>
      </c>
      <c r="G8" s="51">
        <f>'الإدارة التنفيذية'!N10</f>
        <v/>
      </c>
      <c r="H8" s="28">
        <f>'الإدارة التنفيذية'!O10</f>
        <v/>
      </c>
      <c r="I8" s="52">
        <f>'الإدارة التنفيذية'!G10</f>
        <v/>
      </c>
    </row>
    <row r="9">
      <c r="A9" s="28" t="n">
        <v>8</v>
      </c>
      <c r="B9" s="50" t="inlineStr">
        <is>
          <t>الإدارة التنفيذية</t>
        </is>
      </c>
      <c r="C9" s="50">
        <f>'الإدارة التنفيذية'!C11</f>
        <v/>
      </c>
      <c r="D9" s="28">
        <f>'الإدارة التنفيذية'!J11</f>
        <v/>
      </c>
      <c r="E9" s="50">
        <f>'الإدارة التنفيذية'!K11</f>
        <v/>
      </c>
      <c r="F9" s="28">
        <f>'الإدارة التنفيذية'!L11</f>
        <v/>
      </c>
      <c r="G9" s="51">
        <f>'الإدارة التنفيذية'!N11</f>
        <v/>
      </c>
      <c r="H9" s="28">
        <f>'الإدارة التنفيذية'!O11</f>
        <v/>
      </c>
      <c r="I9" s="52">
        <f>'الإدارة التنفيذية'!G11</f>
        <v/>
      </c>
    </row>
    <row r="10">
      <c r="A10" s="28" t="n">
        <v>9</v>
      </c>
      <c r="B10" s="50" t="inlineStr">
        <is>
          <t>الإدارة التنفيذية</t>
        </is>
      </c>
      <c r="C10" s="50">
        <f>'الإدارة التنفيذية'!C12</f>
        <v/>
      </c>
      <c r="D10" s="28">
        <f>'الإدارة التنفيذية'!J12</f>
        <v/>
      </c>
      <c r="E10" s="50">
        <f>'الإدارة التنفيذية'!K12</f>
        <v/>
      </c>
      <c r="F10" s="28">
        <f>'الإدارة التنفيذية'!L12</f>
        <v/>
      </c>
      <c r="G10" s="51">
        <f>'الإدارة التنفيذية'!N12</f>
        <v/>
      </c>
      <c r="H10" s="28">
        <f>'الإدارة التنفيذية'!O12</f>
        <v/>
      </c>
      <c r="I10" s="52">
        <f>'الإدارة التنفيذية'!G12</f>
        <v/>
      </c>
    </row>
    <row r="11">
      <c r="A11" s="28" t="n">
        <v>10</v>
      </c>
      <c r="B11" s="50" t="inlineStr">
        <is>
          <t>الإدارة التنفيذية</t>
        </is>
      </c>
      <c r="C11" s="50">
        <f>'الإدارة التنفيذية'!C13</f>
        <v/>
      </c>
      <c r="D11" s="28">
        <f>'الإدارة التنفيذية'!J13</f>
        <v/>
      </c>
      <c r="E11" s="50">
        <f>'الإدارة التنفيذية'!K13</f>
        <v/>
      </c>
      <c r="F11" s="28">
        <f>'الإدارة التنفيذية'!L13</f>
        <v/>
      </c>
      <c r="G11" s="51">
        <f>'الإدارة التنفيذية'!N13</f>
        <v/>
      </c>
      <c r="H11" s="28">
        <f>'الإدارة التنفيذية'!O13</f>
        <v/>
      </c>
      <c r="I11" s="52">
        <f>'الإدارة التنفيذية'!G13</f>
        <v/>
      </c>
    </row>
    <row r="12">
      <c r="A12" s="28" t="n">
        <v>11</v>
      </c>
      <c r="B12" s="50" t="inlineStr">
        <is>
          <t>الامتياز التجاري</t>
        </is>
      </c>
      <c r="C12" s="50">
        <f>'الامتياز التجاري'!C4</f>
        <v/>
      </c>
      <c r="D12" s="28">
        <f>'الامتياز التجاري'!J4</f>
        <v/>
      </c>
      <c r="E12" s="50">
        <f>'الامتياز التجاري'!K4</f>
        <v/>
      </c>
      <c r="F12" s="28">
        <f>'الامتياز التجاري'!L4</f>
        <v/>
      </c>
      <c r="G12" s="51">
        <f>'الامتياز التجاري'!N4</f>
        <v/>
      </c>
      <c r="H12" s="28">
        <f>'الامتياز التجاري'!O4</f>
        <v/>
      </c>
      <c r="I12" s="52">
        <f>'الامتياز التجاري'!G4</f>
        <v/>
      </c>
    </row>
    <row r="13">
      <c r="A13" s="28" t="n">
        <v>12</v>
      </c>
      <c r="B13" s="50" t="inlineStr">
        <is>
          <t>الامتياز التجاري</t>
        </is>
      </c>
      <c r="C13" s="50">
        <f>'الامتياز التجاري'!C5</f>
        <v/>
      </c>
      <c r="D13" s="28">
        <f>'الامتياز التجاري'!J5</f>
        <v/>
      </c>
      <c r="E13" s="50">
        <f>'الامتياز التجاري'!K5</f>
        <v/>
      </c>
      <c r="F13" s="28">
        <f>'الامتياز التجاري'!L5</f>
        <v/>
      </c>
      <c r="G13" s="51">
        <f>'الامتياز التجاري'!N5</f>
        <v/>
      </c>
      <c r="H13" s="28">
        <f>'الامتياز التجاري'!O5</f>
        <v/>
      </c>
      <c r="I13" s="52">
        <f>'الامتياز التجاري'!G5</f>
        <v/>
      </c>
    </row>
    <row r="14">
      <c r="A14" s="28" t="n">
        <v>13</v>
      </c>
      <c r="B14" s="50" t="inlineStr">
        <is>
          <t>الامتياز التجاري</t>
        </is>
      </c>
      <c r="C14" s="50">
        <f>'الامتياز التجاري'!C6</f>
        <v/>
      </c>
      <c r="D14" s="28">
        <f>'الامتياز التجاري'!J6</f>
        <v/>
      </c>
      <c r="E14" s="50">
        <f>'الامتياز التجاري'!K6</f>
        <v/>
      </c>
      <c r="F14" s="28">
        <f>'الامتياز التجاري'!L6</f>
        <v/>
      </c>
      <c r="G14" s="51">
        <f>'الامتياز التجاري'!N6</f>
        <v/>
      </c>
      <c r="H14" s="28">
        <f>'الامتياز التجاري'!O6</f>
        <v/>
      </c>
      <c r="I14" s="52">
        <f>'الامتياز التجاري'!G6</f>
        <v/>
      </c>
    </row>
    <row r="15">
      <c r="A15" s="28" t="n">
        <v>14</v>
      </c>
      <c r="B15" s="50" t="inlineStr">
        <is>
          <t>الامتياز التجاري</t>
        </is>
      </c>
      <c r="C15" s="50">
        <f>'الامتياز التجاري'!C7</f>
        <v/>
      </c>
      <c r="D15" s="28">
        <f>'الامتياز التجاري'!J7</f>
        <v/>
      </c>
      <c r="E15" s="50">
        <f>'الامتياز التجاري'!K7</f>
        <v/>
      </c>
      <c r="F15" s="28">
        <f>'الامتياز التجاري'!L7</f>
        <v/>
      </c>
      <c r="G15" s="51">
        <f>'الامتياز التجاري'!N7</f>
        <v/>
      </c>
      <c r="H15" s="28">
        <f>'الامتياز التجاري'!O7</f>
        <v/>
      </c>
      <c r="I15" s="52">
        <f>'الامتياز التجاري'!G7</f>
        <v/>
      </c>
    </row>
    <row r="16">
      <c r="A16" s="28" t="n">
        <v>15</v>
      </c>
      <c r="B16" s="50" t="inlineStr">
        <is>
          <t>الامتياز التجاري</t>
        </is>
      </c>
      <c r="C16" s="50">
        <f>'الامتياز التجاري'!C8</f>
        <v/>
      </c>
      <c r="D16" s="28">
        <f>'الامتياز التجاري'!J8</f>
        <v/>
      </c>
      <c r="E16" s="50">
        <f>'الامتياز التجاري'!K8</f>
        <v/>
      </c>
      <c r="F16" s="28">
        <f>'الامتياز التجاري'!L8</f>
        <v/>
      </c>
      <c r="G16" s="51">
        <f>'الامتياز التجاري'!N8</f>
        <v/>
      </c>
      <c r="H16" s="28">
        <f>'الامتياز التجاري'!O8</f>
        <v/>
      </c>
      <c r="I16" s="52">
        <f>'الامتياز التجاري'!G8</f>
        <v/>
      </c>
    </row>
    <row r="17">
      <c r="A17" s="28" t="n">
        <v>16</v>
      </c>
      <c r="B17" s="50" t="inlineStr">
        <is>
          <t>الامتياز التجاري</t>
        </is>
      </c>
      <c r="C17" s="50">
        <f>'الامتياز التجاري'!C9</f>
        <v/>
      </c>
      <c r="D17" s="28">
        <f>'الامتياز التجاري'!J9</f>
        <v/>
      </c>
      <c r="E17" s="50">
        <f>'الامتياز التجاري'!K9</f>
        <v/>
      </c>
      <c r="F17" s="28">
        <f>'الامتياز التجاري'!L9</f>
        <v/>
      </c>
      <c r="G17" s="51">
        <f>'الامتياز التجاري'!N9</f>
        <v/>
      </c>
      <c r="H17" s="28">
        <f>'الامتياز التجاري'!O9</f>
        <v/>
      </c>
      <c r="I17" s="52">
        <f>'الامتياز التجاري'!G9</f>
        <v/>
      </c>
    </row>
    <row r="18">
      <c r="A18" s="28" t="n">
        <v>17</v>
      </c>
      <c r="B18" s="50" t="inlineStr">
        <is>
          <t>الامتياز التجاري</t>
        </is>
      </c>
      <c r="C18" s="50">
        <f>'الامتياز التجاري'!C10</f>
        <v/>
      </c>
      <c r="D18" s="28">
        <f>'الامتياز التجاري'!J10</f>
        <v/>
      </c>
      <c r="E18" s="50">
        <f>'الامتياز التجاري'!K10</f>
        <v/>
      </c>
      <c r="F18" s="28">
        <f>'الامتياز التجاري'!L10</f>
        <v/>
      </c>
      <c r="G18" s="51">
        <f>'الامتياز التجاري'!N10</f>
        <v/>
      </c>
      <c r="H18" s="28">
        <f>'الامتياز التجاري'!O10</f>
        <v/>
      </c>
      <c r="I18" s="52">
        <f>'الامتياز التجاري'!G10</f>
        <v/>
      </c>
    </row>
    <row r="19">
      <c r="A19" s="28" t="n">
        <v>18</v>
      </c>
      <c r="B19" s="50" t="inlineStr">
        <is>
          <t>الامتياز التجاري</t>
        </is>
      </c>
      <c r="C19" s="50">
        <f>'الامتياز التجاري'!C11</f>
        <v/>
      </c>
      <c r="D19" s="28">
        <f>'الامتياز التجاري'!J11</f>
        <v/>
      </c>
      <c r="E19" s="50">
        <f>'الامتياز التجاري'!K11</f>
        <v/>
      </c>
      <c r="F19" s="28">
        <f>'الامتياز التجاري'!L11</f>
        <v/>
      </c>
      <c r="G19" s="51">
        <f>'الامتياز التجاري'!N11</f>
        <v/>
      </c>
      <c r="H19" s="28">
        <f>'الامتياز التجاري'!O11</f>
        <v/>
      </c>
      <c r="I19" s="52">
        <f>'الامتياز التجاري'!G11</f>
        <v/>
      </c>
    </row>
    <row r="20">
      <c r="A20" s="28" t="n">
        <v>19</v>
      </c>
      <c r="B20" s="50" t="inlineStr">
        <is>
          <t>الامتياز التجاري</t>
        </is>
      </c>
      <c r="C20" s="50">
        <f>'الامتياز التجاري'!C12</f>
        <v/>
      </c>
      <c r="D20" s="28">
        <f>'الامتياز التجاري'!J12</f>
        <v/>
      </c>
      <c r="E20" s="50">
        <f>'الامتياز التجاري'!K12</f>
        <v/>
      </c>
      <c r="F20" s="28">
        <f>'الامتياز التجاري'!L12</f>
        <v/>
      </c>
      <c r="G20" s="51">
        <f>'الامتياز التجاري'!N12</f>
        <v/>
      </c>
      <c r="H20" s="28">
        <f>'الامتياز التجاري'!O12</f>
        <v/>
      </c>
      <c r="I20" s="52">
        <f>'الامتياز التجاري'!G12</f>
        <v/>
      </c>
    </row>
    <row r="21">
      <c r="A21" s="28" t="n">
        <v>20</v>
      </c>
      <c r="B21" s="50" t="inlineStr">
        <is>
          <t>الامتياز التجاري</t>
        </is>
      </c>
      <c r="C21" s="50">
        <f>'الامتياز التجاري'!C13</f>
        <v/>
      </c>
      <c r="D21" s="28">
        <f>'الامتياز التجاري'!J13</f>
        <v/>
      </c>
      <c r="E21" s="50">
        <f>'الامتياز التجاري'!K13</f>
        <v/>
      </c>
      <c r="F21" s="28">
        <f>'الامتياز التجاري'!L13</f>
        <v/>
      </c>
      <c r="G21" s="51">
        <f>'الامتياز التجاري'!N13</f>
        <v/>
      </c>
      <c r="H21" s="28">
        <f>'الامتياز التجاري'!O13</f>
        <v/>
      </c>
      <c r="I21" s="52">
        <f>'الامتياز التجاري'!G13</f>
        <v/>
      </c>
    </row>
    <row r="22">
      <c r="A22" s="28" t="n">
        <v>21</v>
      </c>
      <c r="B22" s="50" t="inlineStr">
        <is>
          <t>الامتياز التجاري</t>
        </is>
      </c>
      <c r="C22" s="50">
        <f>'الامتياز التجاري'!C14</f>
        <v/>
      </c>
      <c r="D22" s="28">
        <f>'الامتياز التجاري'!J14</f>
        <v/>
      </c>
      <c r="E22" s="50">
        <f>'الامتياز التجاري'!K14</f>
        <v/>
      </c>
      <c r="F22" s="28">
        <f>'الامتياز التجاري'!L14</f>
        <v/>
      </c>
      <c r="G22" s="51">
        <f>'الامتياز التجاري'!N14</f>
        <v/>
      </c>
      <c r="H22" s="28">
        <f>'الامتياز التجاري'!O14</f>
        <v/>
      </c>
      <c r="I22" s="52">
        <f>'الامتياز التجاري'!G14</f>
        <v/>
      </c>
    </row>
    <row r="23">
      <c r="A23" s="28" t="n">
        <v>22</v>
      </c>
      <c r="B23" s="50" t="inlineStr">
        <is>
          <t>الامتياز التجاري</t>
        </is>
      </c>
      <c r="C23" s="50">
        <f>'الامتياز التجاري'!C15</f>
        <v/>
      </c>
      <c r="D23" s="28">
        <f>'الامتياز التجاري'!J15</f>
        <v/>
      </c>
      <c r="E23" s="50">
        <f>'الامتياز التجاري'!K15</f>
        <v/>
      </c>
      <c r="F23" s="28">
        <f>'الامتياز التجاري'!L15</f>
        <v/>
      </c>
      <c r="G23" s="51">
        <f>'الامتياز التجاري'!N15</f>
        <v/>
      </c>
      <c r="H23" s="28">
        <f>'الامتياز التجاري'!O15</f>
        <v/>
      </c>
      <c r="I23" s="52">
        <f>'الامتياز التجاري'!G15</f>
        <v/>
      </c>
    </row>
    <row r="24">
      <c r="A24" s="28" t="n">
        <v>23</v>
      </c>
      <c r="B24" s="50" t="inlineStr">
        <is>
          <t>الامتياز التجاري</t>
        </is>
      </c>
      <c r="C24" s="50">
        <f>'الامتياز التجاري'!C16</f>
        <v/>
      </c>
      <c r="D24" s="28">
        <f>'الامتياز التجاري'!J16</f>
        <v/>
      </c>
      <c r="E24" s="50">
        <f>'الامتياز التجاري'!K16</f>
        <v/>
      </c>
      <c r="F24" s="28">
        <f>'الامتياز التجاري'!L16</f>
        <v/>
      </c>
      <c r="G24" s="51">
        <f>'الامتياز التجاري'!N16</f>
        <v/>
      </c>
      <c r="H24" s="28">
        <f>'الامتياز التجاري'!O16</f>
        <v/>
      </c>
      <c r="I24" s="52">
        <f>'الامتياز التجاري'!G16</f>
        <v/>
      </c>
    </row>
    <row r="25">
      <c r="A25" s="28" t="n">
        <v>24</v>
      </c>
      <c r="B25" s="50" t="inlineStr">
        <is>
          <t>الامتياز التجاري</t>
        </is>
      </c>
      <c r="C25" s="50">
        <f>'الامتياز التجاري'!C17</f>
        <v/>
      </c>
      <c r="D25" s="28">
        <f>'الامتياز التجاري'!J17</f>
        <v/>
      </c>
      <c r="E25" s="50">
        <f>'الامتياز التجاري'!K17</f>
        <v/>
      </c>
      <c r="F25" s="28">
        <f>'الامتياز التجاري'!L17</f>
        <v/>
      </c>
      <c r="G25" s="51">
        <f>'الامتياز التجاري'!N17</f>
        <v/>
      </c>
      <c r="H25" s="28">
        <f>'الامتياز التجاري'!O17</f>
        <v/>
      </c>
      <c r="I25" s="52">
        <f>'الامتياز التجاري'!G17</f>
        <v/>
      </c>
    </row>
    <row r="26">
      <c r="A26" s="28" t="n">
        <v>25</v>
      </c>
      <c r="B26" s="50" t="inlineStr">
        <is>
          <t>الامتياز التجاري</t>
        </is>
      </c>
      <c r="C26" s="50">
        <f>'الامتياز التجاري'!C18</f>
        <v/>
      </c>
      <c r="D26" s="28">
        <f>'الامتياز التجاري'!J18</f>
        <v/>
      </c>
      <c r="E26" s="50">
        <f>'الامتياز التجاري'!K18</f>
        <v/>
      </c>
      <c r="F26" s="28">
        <f>'الامتياز التجاري'!L18</f>
        <v/>
      </c>
      <c r="G26" s="51">
        <f>'الامتياز التجاري'!N18</f>
        <v/>
      </c>
      <c r="H26" s="28">
        <f>'الامتياز التجاري'!O18</f>
        <v/>
      </c>
      <c r="I26" s="52">
        <f>'الامتياز التجاري'!G18</f>
        <v/>
      </c>
    </row>
    <row r="27">
      <c r="A27" s="28" t="n">
        <v>26</v>
      </c>
      <c r="B27" s="50" t="inlineStr">
        <is>
          <t>الامتياز التجاري</t>
        </is>
      </c>
      <c r="C27" s="50">
        <f>'الامتياز التجاري'!C19</f>
        <v/>
      </c>
      <c r="D27" s="28">
        <f>'الامتياز التجاري'!J19</f>
        <v/>
      </c>
      <c r="E27" s="50">
        <f>'الامتياز التجاري'!K19</f>
        <v/>
      </c>
      <c r="F27" s="28">
        <f>'الامتياز التجاري'!L19</f>
        <v/>
      </c>
      <c r="G27" s="51">
        <f>'الامتياز التجاري'!N19</f>
        <v/>
      </c>
      <c r="H27" s="28">
        <f>'الامتياز التجاري'!O19</f>
        <v/>
      </c>
      <c r="I27" s="52">
        <f>'الامتياز التجاري'!G19</f>
        <v/>
      </c>
    </row>
    <row r="28">
      <c r="A28" s="28" t="n">
        <v>27</v>
      </c>
      <c r="B28" s="50" t="inlineStr">
        <is>
          <t>الامتياز التجاري</t>
        </is>
      </c>
      <c r="C28" s="50">
        <f>'الامتياز التجاري'!C20</f>
        <v/>
      </c>
      <c r="D28" s="28">
        <f>'الامتياز التجاري'!J20</f>
        <v/>
      </c>
      <c r="E28" s="50">
        <f>'الامتياز التجاري'!K20</f>
        <v/>
      </c>
      <c r="F28" s="28">
        <f>'الامتياز التجاري'!L20</f>
        <v/>
      </c>
      <c r="G28" s="51">
        <f>'الامتياز التجاري'!N20</f>
        <v/>
      </c>
      <c r="H28" s="28">
        <f>'الامتياز التجاري'!O20</f>
        <v/>
      </c>
      <c r="I28" s="52">
        <f>'الامتياز التجاري'!G20</f>
        <v/>
      </c>
    </row>
    <row r="29">
      <c r="A29" s="28" t="n">
        <v>28</v>
      </c>
      <c r="B29" s="50" t="inlineStr">
        <is>
          <t>الامتياز التجاري</t>
        </is>
      </c>
      <c r="C29" s="50">
        <f>'الامتياز التجاري'!C21</f>
        <v/>
      </c>
      <c r="D29" s="28">
        <f>'الامتياز التجاري'!J21</f>
        <v/>
      </c>
      <c r="E29" s="50">
        <f>'الامتياز التجاري'!K21</f>
        <v/>
      </c>
      <c r="F29" s="28">
        <f>'الامتياز التجاري'!L21</f>
        <v/>
      </c>
      <c r="G29" s="51">
        <f>'الامتياز التجاري'!N21</f>
        <v/>
      </c>
      <c r="H29" s="28">
        <f>'الامتياز التجاري'!O21</f>
        <v/>
      </c>
      <c r="I29" s="52">
        <f>'الامتياز التجاري'!G21</f>
        <v/>
      </c>
    </row>
    <row r="30">
      <c r="A30" s="28" t="n">
        <v>29</v>
      </c>
      <c r="B30" s="50" t="inlineStr">
        <is>
          <t>الامتياز التجاري</t>
        </is>
      </c>
      <c r="C30" s="50">
        <f>'الامتياز التجاري'!C22</f>
        <v/>
      </c>
      <c r="D30" s="28">
        <f>'الامتياز التجاري'!J22</f>
        <v/>
      </c>
      <c r="E30" s="50">
        <f>'الامتياز التجاري'!K22</f>
        <v/>
      </c>
      <c r="F30" s="28">
        <f>'الامتياز التجاري'!L22</f>
        <v/>
      </c>
      <c r="G30" s="51">
        <f>'الامتياز التجاري'!N22</f>
        <v/>
      </c>
      <c r="H30" s="28">
        <f>'الامتياز التجاري'!O22</f>
        <v/>
      </c>
      <c r="I30" s="52">
        <f>'الامتياز التجاري'!G22</f>
        <v/>
      </c>
    </row>
    <row r="31">
      <c r="A31" s="28" t="n">
        <v>30</v>
      </c>
      <c r="B31" s="50" t="inlineStr">
        <is>
          <t>الامتياز التجاري</t>
        </is>
      </c>
      <c r="C31" s="50">
        <f>'الامتياز التجاري'!C23</f>
        <v/>
      </c>
      <c r="D31" s="28">
        <f>'الامتياز التجاري'!J23</f>
        <v/>
      </c>
      <c r="E31" s="50">
        <f>'الامتياز التجاري'!K23</f>
        <v/>
      </c>
      <c r="F31" s="28">
        <f>'الامتياز التجاري'!L23</f>
        <v/>
      </c>
      <c r="G31" s="51">
        <f>'الامتياز التجاري'!N23</f>
        <v/>
      </c>
      <c r="H31" s="28">
        <f>'الامتياز التجاري'!O23</f>
        <v/>
      </c>
      <c r="I31" s="52">
        <f>'الامتياز التجاري'!G23</f>
        <v/>
      </c>
    </row>
    <row r="32">
      <c r="A32" s="28" t="n">
        <v>31</v>
      </c>
      <c r="B32" s="50" t="inlineStr">
        <is>
          <t>الامتياز التجاري</t>
        </is>
      </c>
      <c r="C32" s="50">
        <f>'الامتياز التجاري'!C24</f>
        <v/>
      </c>
      <c r="D32" s="28">
        <f>'الامتياز التجاري'!J24</f>
        <v/>
      </c>
      <c r="E32" s="50">
        <f>'الامتياز التجاري'!K24</f>
        <v/>
      </c>
      <c r="F32" s="28">
        <f>'الامتياز التجاري'!L24</f>
        <v/>
      </c>
      <c r="G32" s="51">
        <f>'الامتياز التجاري'!N24</f>
        <v/>
      </c>
      <c r="H32" s="28">
        <f>'الامتياز التجاري'!O24</f>
        <v/>
      </c>
      <c r="I32" s="52">
        <f>'الامتياز التجاري'!G24</f>
        <v/>
      </c>
    </row>
    <row r="33">
      <c r="A33" s="28" t="n">
        <v>32</v>
      </c>
      <c r="B33" s="50" t="inlineStr">
        <is>
          <t>الامتياز التجاري</t>
        </is>
      </c>
      <c r="C33" s="50">
        <f>'الامتياز التجاري'!C25</f>
        <v/>
      </c>
      <c r="D33" s="28">
        <f>'الامتياز التجاري'!J25</f>
        <v/>
      </c>
      <c r="E33" s="50">
        <f>'الامتياز التجاري'!K25</f>
        <v/>
      </c>
      <c r="F33" s="28">
        <f>'الامتياز التجاري'!L25</f>
        <v/>
      </c>
      <c r="G33" s="51">
        <f>'الامتياز التجاري'!N25</f>
        <v/>
      </c>
      <c r="H33" s="28">
        <f>'الامتياز التجاري'!O25</f>
        <v/>
      </c>
      <c r="I33" s="52">
        <f>'الامتياز التجاري'!G25</f>
        <v/>
      </c>
    </row>
    <row r="34">
      <c r="A34" s="28" t="n">
        <v>33</v>
      </c>
      <c r="B34" s="50" t="inlineStr">
        <is>
          <t>الامتياز التجاري</t>
        </is>
      </c>
      <c r="C34" s="50">
        <f>'الامتياز التجاري'!C26</f>
        <v/>
      </c>
      <c r="D34" s="28">
        <f>'الامتياز التجاري'!J26</f>
        <v/>
      </c>
      <c r="E34" s="50">
        <f>'الامتياز التجاري'!K26</f>
        <v/>
      </c>
      <c r="F34" s="28">
        <f>'الامتياز التجاري'!L26</f>
        <v/>
      </c>
      <c r="G34" s="51">
        <f>'الامتياز التجاري'!N26</f>
        <v/>
      </c>
      <c r="H34" s="28">
        <f>'الامتياز التجاري'!O26</f>
        <v/>
      </c>
      <c r="I34" s="52">
        <f>'الامتياز التجاري'!G26</f>
        <v/>
      </c>
    </row>
    <row r="35">
      <c r="A35" s="28" t="n">
        <v>34</v>
      </c>
      <c r="B35" s="50" t="inlineStr">
        <is>
          <t>الامتياز التجاري</t>
        </is>
      </c>
      <c r="C35" s="50">
        <f>'الامتياز التجاري'!C27</f>
        <v/>
      </c>
      <c r="D35" s="28">
        <f>'الامتياز التجاري'!J27</f>
        <v/>
      </c>
      <c r="E35" s="50">
        <f>'الامتياز التجاري'!K27</f>
        <v/>
      </c>
      <c r="F35" s="28">
        <f>'الامتياز التجاري'!L27</f>
        <v/>
      </c>
      <c r="G35" s="51">
        <f>'الامتياز التجاري'!N27</f>
        <v/>
      </c>
      <c r="H35" s="28">
        <f>'الامتياز التجاري'!O27</f>
        <v/>
      </c>
      <c r="I35" s="52">
        <f>'الامتياز التجاري'!G27</f>
        <v/>
      </c>
    </row>
    <row r="36">
      <c r="A36" s="28" t="n">
        <v>35</v>
      </c>
      <c r="B36" s="50" t="inlineStr">
        <is>
          <t>الامتياز التجاري</t>
        </is>
      </c>
      <c r="C36" s="50">
        <f>'الامتياز التجاري'!C28</f>
        <v/>
      </c>
      <c r="D36" s="28">
        <f>'الامتياز التجاري'!J28</f>
        <v/>
      </c>
      <c r="E36" s="50">
        <f>'الامتياز التجاري'!K28</f>
        <v/>
      </c>
      <c r="F36" s="28">
        <f>'الامتياز التجاري'!L28</f>
        <v/>
      </c>
      <c r="G36" s="51">
        <f>'الامتياز التجاري'!N28</f>
        <v/>
      </c>
      <c r="H36" s="28">
        <f>'الامتياز التجاري'!O28</f>
        <v/>
      </c>
      <c r="I36" s="52">
        <f>'الامتياز التجاري'!G28</f>
        <v/>
      </c>
    </row>
    <row r="37">
      <c r="A37" s="28" t="n">
        <v>36</v>
      </c>
      <c r="B37" s="50" t="inlineStr">
        <is>
          <t>الامتياز التجاري</t>
        </is>
      </c>
      <c r="C37" s="50">
        <f>'الامتياز التجاري'!C29</f>
        <v/>
      </c>
      <c r="D37" s="28">
        <f>'الامتياز التجاري'!J29</f>
        <v/>
      </c>
      <c r="E37" s="50">
        <f>'الامتياز التجاري'!K29</f>
        <v/>
      </c>
      <c r="F37" s="28">
        <f>'الامتياز التجاري'!L29</f>
        <v/>
      </c>
      <c r="G37" s="51">
        <f>'الامتياز التجاري'!N29</f>
        <v/>
      </c>
      <c r="H37" s="28">
        <f>'الامتياز التجاري'!O29</f>
        <v/>
      </c>
      <c r="I37" s="52">
        <f>'الامتياز التجاري'!G29</f>
        <v/>
      </c>
    </row>
    <row r="38">
      <c r="A38" s="28" t="n">
        <v>37</v>
      </c>
      <c r="B38" s="50" t="inlineStr">
        <is>
          <t>الامتياز التجاري</t>
        </is>
      </c>
      <c r="C38" s="50">
        <f>'الامتياز التجاري'!C30</f>
        <v/>
      </c>
      <c r="D38" s="28">
        <f>'الامتياز التجاري'!J30</f>
        <v/>
      </c>
      <c r="E38" s="50">
        <f>'الامتياز التجاري'!K30</f>
        <v/>
      </c>
      <c r="F38" s="28">
        <f>'الامتياز التجاري'!L30</f>
        <v/>
      </c>
      <c r="G38" s="51">
        <f>'الامتياز التجاري'!N30</f>
        <v/>
      </c>
      <c r="H38" s="28">
        <f>'الامتياز التجاري'!O30</f>
        <v/>
      </c>
      <c r="I38" s="52">
        <f>'الامتياز التجاري'!G30</f>
        <v/>
      </c>
    </row>
    <row r="39">
      <c r="A39" s="28" t="n">
        <v>38</v>
      </c>
      <c r="B39" s="50" t="inlineStr">
        <is>
          <t>الامتياز التجاري</t>
        </is>
      </c>
      <c r="C39" s="50">
        <f>'الامتياز التجاري'!C31</f>
        <v/>
      </c>
      <c r="D39" s="28">
        <f>'الامتياز التجاري'!J31</f>
        <v/>
      </c>
      <c r="E39" s="50">
        <f>'الامتياز التجاري'!K31</f>
        <v/>
      </c>
      <c r="F39" s="28">
        <f>'الامتياز التجاري'!L31</f>
        <v/>
      </c>
      <c r="G39" s="51">
        <f>'الامتياز التجاري'!N31</f>
        <v/>
      </c>
      <c r="H39" s="28">
        <f>'الامتياز التجاري'!O31</f>
        <v/>
      </c>
      <c r="I39" s="52">
        <f>'الامتياز التجاري'!G31</f>
        <v/>
      </c>
    </row>
    <row r="40">
      <c r="A40" s="28" t="n">
        <v>39</v>
      </c>
      <c r="B40" s="50" t="inlineStr">
        <is>
          <t>الامتياز التجاري</t>
        </is>
      </c>
      <c r="C40" s="50">
        <f>'الامتياز التجاري'!C32</f>
        <v/>
      </c>
      <c r="D40" s="28">
        <f>'الامتياز التجاري'!J32</f>
        <v/>
      </c>
      <c r="E40" s="50">
        <f>'الامتياز التجاري'!K32</f>
        <v/>
      </c>
      <c r="F40" s="28">
        <f>'الامتياز التجاري'!L32</f>
        <v/>
      </c>
      <c r="G40" s="51">
        <f>'الامتياز التجاري'!N32</f>
        <v/>
      </c>
      <c r="H40" s="28">
        <f>'الامتياز التجاري'!O32</f>
        <v/>
      </c>
      <c r="I40" s="52">
        <f>'الامتياز التجاري'!G32</f>
        <v/>
      </c>
    </row>
    <row r="41">
      <c r="A41" s="28" t="n">
        <v>40</v>
      </c>
      <c r="B41" s="50" t="inlineStr">
        <is>
          <t>الامتياز التجاري</t>
        </is>
      </c>
      <c r="C41" s="50">
        <f>'الامتياز التجاري'!C33</f>
        <v/>
      </c>
      <c r="D41" s="28">
        <f>'الامتياز التجاري'!J33</f>
        <v/>
      </c>
      <c r="E41" s="50">
        <f>'الامتياز التجاري'!K33</f>
        <v/>
      </c>
      <c r="F41" s="28">
        <f>'الامتياز التجاري'!L33</f>
        <v/>
      </c>
      <c r="G41" s="51">
        <f>'الامتياز التجاري'!N33</f>
        <v/>
      </c>
      <c r="H41" s="28">
        <f>'الامتياز التجاري'!O33</f>
        <v/>
      </c>
      <c r="I41" s="52">
        <f>'الامتياز التجاري'!G33</f>
        <v/>
      </c>
    </row>
    <row r="42">
      <c r="A42" s="28" t="n">
        <v>41</v>
      </c>
      <c r="B42" s="50" t="inlineStr">
        <is>
          <t>الامتياز التجاري</t>
        </is>
      </c>
      <c r="C42" s="50">
        <f>'الامتياز التجاري'!C34</f>
        <v/>
      </c>
      <c r="D42" s="28">
        <f>'الامتياز التجاري'!J34</f>
        <v/>
      </c>
      <c r="E42" s="50">
        <f>'الامتياز التجاري'!K34</f>
        <v/>
      </c>
      <c r="F42" s="28">
        <f>'الامتياز التجاري'!L34</f>
        <v/>
      </c>
      <c r="G42" s="51">
        <f>'الامتياز التجاري'!N34</f>
        <v/>
      </c>
      <c r="H42" s="28">
        <f>'الامتياز التجاري'!O34</f>
        <v/>
      </c>
      <c r="I42" s="52">
        <f>'الامتياز التجاري'!G34</f>
        <v/>
      </c>
    </row>
    <row r="43">
      <c r="A43" s="28" t="n">
        <v>42</v>
      </c>
      <c r="B43" s="50" t="inlineStr">
        <is>
          <t>الامتياز التجاري</t>
        </is>
      </c>
      <c r="C43" s="50">
        <f>'الامتياز التجاري'!C35</f>
        <v/>
      </c>
      <c r="D43" s="28">
        <f>'الامتياز التجاري'!J35</f>
        <v/>
      </c>
      <c r="E43" s="50">
        <f>'الامتياز التجاري'!K35</f>
        <v/>
      </c>
      <c r="F43" s="28">
        <f>'الامتياز التجاري'!L35</f>
        <v/>
      </c>
      <c r="G43" s="51">
        <f>'الامتياز التجاري'!N35</f>
        <v/>
      </c>
      <c r="H43" s="28">
        <f>'الامتياز التجاري'!O35</f>
        <v/>
      </c>
      <c r="I43" s="52">
        <f>'الامتياز التجاري'!G35</f>
        <v/>
      </c>
    </row>
    <row r="44">
      <c r="A44" s="28" t="n">
        <v>43</v>
      </c>
      <c r="B44" s="50" t="inlineStr">
        <is>
          <t>الامتياز التجاري</t>
        </is>
      </c>
      <c r="C44" s="50">
        <f>'الامتياز التجاري'!C36</f>
        <v/>
      </c>
      <c r="D44" s="28">
        <f>'الامتياز التجاري'!J36</f>
        <v/>
      </c>
      <c r="E44" s="50">
        <f>'الامتياز التجاري'!K36</f>
        <v/>
      </c>
      <c r="F44" s="28">
        <f>'الامتياز التجاري'!L36</f>
        <v/>
      </c>
      <c r="G44" s="51">
        <f>'الامتياز التجاري'!N36</f>
        <v/>
      </c>
      <c r="H44" s="28">
        <f>'الامتياز التجاري'!O36</f>
        <v/>
      </c>
      <c r="I44" s="52">
        <f>'الامتياز التجاري'!G36</f>
        <v/>
      </c>
    </row>
    <row r="45">
      <c r="A45" s="28" t="n">
        <v>44</v>
      </c>
      <c r="B45" s="50" t="inlineStr">
        <is>
          <t>الامتياز التجاري</t>
        </is>
      </c>
      <c r="C45" s="50">
        <f>'الامتياز التجاري'!C37</f>
        <v/>
      </c>
      <c r="D45" s="28">
        <f>'الامتياز التجاري'!J37</f>
        <v/>
      </c>
      <c r="E45" s="50">
        <f>'الامتياز التجاري'!K37</f>
        <v/>
      </c>
      <c r="F45" s="28">
        <f>'الامتياز التجاري'!L37</f>
        <v/>
      </c>
      <c r="G45" s="51">
        <f>'الامتياز التجاري'!N37</f>
        <v/>
      </c>
      <c r="H45" s="28">
        <f>'الامتياز التجاري'!O37</f>
        <v/>
      </c>
      <c r="I45" s="52">
        <f>'الامتياز التجاري'!G37</f>
        <v/>
      </c>
    </row>
    <row r="46">
      <c r="A46" s="28" t="n">
        <v>45</v>
      </c>
      <c r="B46" s="50" t="inlineStr">
        <is>
          <t>الامتياز التجاري</t>
        </is>
      </c>
      <c r="C46" s="50">
        <f>'الامتياز التجاري'!C38</f>
        <v/>
      </c>
      <c r="D46" s="28">
        <f>'الامتياز التجاري'!J38</f>
        <v/>
      </c>
      <c r="E46" s="50">
        <f>'الامتياز التجاري'!K38</f>
        <v/>
      </c>
      <c r="F46" s="28">
        <f>'الامتياز التجاري'!L38</f>
        <v/>
      </c>
      <c r="G46" s="51">
        <f>'الامتياز التجاري'!N38</f>
        <v/>
      </c>
      <c r="H46" s="28">
        <f>'الامتياز التجاري'!O38</f>
        <v/>
      </c>
      <c r="I46" s="52">
        <f>'الامتياز التجاري'!G38</f>
        <v/>
      </c>
    </row>
    <row r="47">
      <c r="A47" s="28" t="n">
        <v>46</v>
      </c>
      <c r="B47" s="50" t="inlineStr">
        <is>
          <t>الامتياز التجاري</t>
        </is>
      </c>
      <c r="C47" s="50">
        <f>'الامتياز التجاري'!C39</f>
        <v/>
      </c>
      <c r="D47" s="28">
        <f>'الامتياز التجاري'!J39</f>
        <v/>
      </c>
      <c r="E47" s="50">
        <f>'الامتياز التجاري'!K39</f>
        <v/>
      </c>
      <c r="F47" s="28">
        <f>'الامتياز التجاري'!L39</f>
        <v/>
      </c>
      <c r="G47" s="51">
        <f>'الامتياز التجاري'!N39</f>
        <v/>
      </c>
      <c r="H47" s="28">
        <f>'الامتياز التجاري'!O39</f>
        <v/>
      </c>
      <c r="I47" s="52">
        <f>'الامتياز التجاري'!G39</f>
        <v/>
      </c>
    </row>
    <row r="48">
      <c r="A48" s="28" t="n">
        <v>47</v>
      </c>
      <c r="B48" s="50" t="inlineStr">
        <is>
          <t>التشغيل والمحطات</t>
        </is>
      </c>
      <c r="C48" s="50">
        <f>'التشغيل والمحطات'!C4</f>
        <v/>
      </c>
      <c r="D48" s="28">
        <f>'التشغيل والمحطات'!J4</f>
        <v/>
      </c>
      <c r="E48" s="50">
        <f>'التشغيل والمحطات'!K4</f>
        <v/>
      </c>
      <c r="F48" s="28">
        <f>'التشغيل والمحطات'!L4</f>
        <v/>
      </c>
      <c r="G48" s="51">
        <f>'التشغيل والمحطات'!N4</f>
        <v/>
      </c>
      <c r="H48" s="28">
        <f>'التشغيل والمحطات'!O4</f>
        <v/>
      </c>
      <c r="I48" s="52">
        <f>'التشغيل والمحطات'!G4</f>
        <v/>
      </c>
    </row>
    <row r="49">
      <c r="A49" s="28" t="n">
        <v>48</v>
      </c>
      <c r="B49" s="50" t="inlineStr">
        <is>
          <t>التشغيل والمحطات</t>
        </is>
      </c>
      <c r="C49" s="50">
        <f>'التشغيل والمحطات'!C5</f>
        <v/>
      </c>
      <c r="D49" s="28">
        <f>'التشغيل والمحطات'!J5</f>
        <v/>
      </c>
      <c r="E49" s="50">
        <f>'التشغيل والمحطات'!K5</f>
        <v/>
      </c>
      <c r="F49" s="28">
        <f>'التشغيل والمحطات'!L5</f>
        <v/>
      </c>
      <c r="G49" s="51">
        <f>'التشغيل والمحطات'!N5</f>
        <v/>
      </c>
      <c r="H49" s="28">
        <f>'التشغيل والمحطات'!O5</f>
        <v/>
      </c>
      <c r="I49" s="52">
        <f>'التشغيل والمحطات'!G5</f>
        <v/>
      </c>
    </row>
    <row r="50">
      <c r="A50" s="28" t="n">
        <v>49</v>
      </c>
      <c r="B50" s="50" t="inlineStr">
        <is>
          <t>التشغيل والمحطات</t>
        </is>
      </c>
      <c r="C50" s="50">
        <f>'التشغيل والمحطات'!C6</f>
        <v/>
      </c>
      <c r="D50" s="28">
        <f>'التشغيل والمحطات'!J6</f>
        <v/>
      </c>
      <c r="E50" s="50">
        <f>'التشغيل والمحطات'!K6</f>
        <v/>
      </c>
      <c r="F50" s="28">
        <f>'التشغيل والمحطات'!L6</f>
        <v/>
      </c>
      <c r="G50" s="51">
        <f>'التشغيل والمحطات'!N6</f>
        <v/>
      </c>
      <c r="H50" s="28">
        <f>'التشغيل والمحطات'!O6</f>
        <v/>
      </c>
      <c r="I50" s="52">
        <f>'التشغيل والمحطات'!G6</f>
        <v/>
      </c>
    </row>
    <row r="51">
      <c r="A51" s="28" t="n">
        <v>50</v>
      </c>
      <c r="B51" s="50" t="inlineStr">
        <is>
          <t>التشغيل والمحطات</t>
        </is>
      </c>
      <c r="C51" s="50">
        <f>'التشغيل والمحطات'!C7</f>
        <v/>
      </c>
      <c r="D51" s="28">
        <f>'التشغيل والمحطات'!J7</f>
        <v/>
      </c>
      <c r="E51" s="50">
        <f>'التشغيل والمحطات'!K7</f>
        <v/>
      </c>
      <c r="F51" s="28">
        <f>'التشغيل والمحطات'!L7</f>
        <v/>
      </c>
      <c r="G51" s="51">
        <f>'التشغيل والمحطات'!N7</f>
        <v/>
      </c>
      <c r="H51" s="28">
        <f>'التشغيل والمحطات'!O7</f>
        <v/>
      </c>
      <c r="I51" s="52">
        <f>'التشغيل والمحطات'!G7</f>
        <v/>
      </c>
    </row>
    <row r="52">
      <c r="A52" s="28" t="n">
        <v>51</v>
      </c>
      <c r="B52" s="50" t="inlineStr">
        <is>
          <t>التشغيل والمحطات</t>
        </is>
      </c>
      <c r="C52" s="50">
        <f>'التشغيل والمحطات'!C8</f>
        <v/>
      </c>
      <c r="D52" s="28">
        <f>'التشغيل والمحطات'!J8</f>
        <v/>
      </c>
      <c r="E52" s="50">
        <f>'التشغيل والمحطات'!K8</f>
        <v/>
      </c>
      <c r="F52" s="28">
        <f>'التشغيل والمحطات'!L8</f>
        <v/>
      </c>
      <c r="G52" s="51">
        <f>'التشغيل والمحطات'!N8</f>
        <v/>
      </c>
      <c r="H52" s="28">
        <f>'التشغيل والمحطات'!O8</f>
        <v/>
      </c>
      <c r="I52" s="52">
        <f>'التشغيل والمحطات'!G8</f>
        <v/>
      </c>
    </row>
    <row r="53">
      <c r="A53" s="28" t="n">
        <v>52</v>
      </c>
      <c r="B53" s="50" t="inlineStr">
        <is>
          <t>التشغيل والمحطات</t>
        </is>
      </c>
      <c r="C53" s="50">
        <f>'التشغيل والمحطات'!C9</f>
        <v/>
      </c>
      <c r="D53" s="28">
        <f>'التشغيل والمحطات'!J9</f>
        <v/>
      </c>
      <c r="E53" s="50">
        <f>'التشغيل والمحطات'!K9</f>
        <v/>
      </c>
      <c r="F53" s="28">
        <f>'التشغيل والمحطات'!L9</f>
        <v/>
      </c>
      <c r="G53" s="51">
        <f>'التشغيل والمحطات'!N9</f>
        <v/>
      </c>
      <c r="H53" s="28">
        <f>'التشغيل والمحطات'!O9</f>
        <v/>
      </c>
      <c r="I53" s="52">
        <f>'التشغيل والمحطات'!G9</f>
        <v/>
      </c>
    </row>
    <row r="54">
      <c r="A54" s="28" t="n">
        <v>53</v>
      </c>
      <c r="B54" s="50" t="inlineStr">
        <is>
          <t>التشغيل والمحطات</t>
        </is>
      </c>
      <c r="C54" s="50">
        <f>'التشغيل والمحطات'!C10</f>
        <v/>
      </c>
      <c r="D54" s="28">
        <f>'التشغيل والمحطات'!J10</f>
        <v/>
      </c>
      <c r="E54" s="50">
        <f>'التشغيل والمحطات'!K10</f>
        <v/>
      </c>
      <c r="F54" s="28">
        <f>'التشغيل والمحطات'!L10</f>
        <v/>
      </c>
      <c r="G54" s="51">
        <f>'التشغيل والمحطات'!N10</f>
        <v/>
      </c>
      <c r="H54" s="28">
        <f>'التشغيل والمحطات'!O10</f>
        <v/>
      </c>
      <c r="I54" s="52">
        <f>'التشغيل والمحطات'!G10</f>
        <v/>
      </c>
    </row>
    <row r="55">
      <c r="A55" s="28" t="n">
        <v>54</v>
      </c>
      <c r="B55" s="50" t="inlineStr">
        <is>
          <t>التشغيل والمحطات</t>
        </is>
      </c>
      <c r="C55" s="50">
        <f>'التشغيل والمحطات'!C11</f>
        <v/>
      </c>
      <c r="D55" s="28">
        <f>'التشغيل والمحطات'!J11</f>
        <v/>
      </c>
      <c r="E55" s="50">
        <f>'التشغيل والمحطات'!K11</f>
        <v/>
      </c>
      <c r="F55" s="28">
        <f>'التشغيل والمحطات'!L11</f>
        <v/>
      </c>
      <c r="G55" s="51">
        <f>'التشغيل والمحطات'!N11</f>
        <v/>
      </c>
      <c r="H55" s="28">
        <f>'التشغيل والمحطات'!O11</f>
        <v/>
      </c>
      <c r="I55" s="52">
        <f>'التشغيل والمحطات'!G11</f>
        <v/>
      </c>
    </row>
    <row r="56">
      <c r="A56" s="28" t="n">
        <v>55</v>
      </c>
      <c r="B56" s="50" t="inlineStr">
        <is>
          <t>التشغيل والمحطات</t>
        </is>
      </c>
      <c r="C56" s="50">
        <f>'التشغيل والمحطات'!C12</f>
        <v/>
      </c>
      <c r="D56" s="28">
        <f>'التشغيل والمحطات'!J12</f>
        <v/>
      </c>
      <c r="E56" s="50">
        <f>'التشغيل والمحطات'!K12</f>
        <v/>
      </c>
      <c r="F56" s="28">
        <f>'التشغيل والمحطات'!L12</f>
        <v/>
      </c>
      <c r="G56" s="51">
        <f>'التشغيل والمحطات'!N12</f>
        <v/>
      </c>
      <c r="H56" s="28">
        <f>'التشغيل والمحطات'!O12</f>
        <v/>
      </c>
      <c r="I56" s="52">
        <f>'التشغيل والمحطات'!G12</f>
        <v/>
      </c>
    </row>
    <row r="57">
      <c r="A57" s="28" t="n">
        <v>56</v>
      </c>
      <c r="B57" s="50" t="inlineStr">
        <is>
          <t>التشغيل والمحطات</t>
        </is>
      </c>
      <c r="C57" s="50">
        <f>'التشغيل والمحطات'!C13</f>
        <v/>
      </c>
      <c r="D57" s="28">
        <f>'التشغيل والمحطات'!J13</f>
        <v/>
      </c>
      <c r="E57" s="50">
        <f>'التشغيل والمحطات'!K13</f>
        <v/>
      </c>
      <c r="F57" s="28">
        <f>'التشغيل والمحطات'!L13</f>
        <v/>
      </c>
      <c r="G57" s="51">
        <f>'التشغيل والمحطات'!N13</f>
        <v/>
      </c>
      <c r="H57" s="28">
        <f>'التشغيل والمحطات'!O13</f>
        <v/>
      </c>
      <c r="I57" s="52">
        <f>'التشغيل والمحطات'!G13</f>
        <v/>
      </c>
    </row>
    <row r="58">
      <c r="A58" s="28" t="n">
        <v>57</v>
      </c>
      <c r="B58" s="50" t="inlineStr">
        <is>
          <t>التشغيل والمحطات</t>
        </is>
      </c>
      <c r="C58" s="50">
        <f>'التشغيل والمحطات'!C14</f>
        <v/>
      </c>
      <c r="D58" s="28">
        <f>'التشغيل والمحطات'!J14</f>
        <v/>
      </c>
      <c r="E58" s="50">
        <f>'التشغيل والمحطات'!K14</f>
        <v/>
      </c>
      <c r="F58" s="28">
        <f>'التشغيل والمحطات'!L14</f>
        <v/>
      </c>
      <c r="G58" s="51">
        <f>'التشغيل والمحطات'!N14</f>
        <v/>
      </c>
      <c r="H58" s="28">
        <f>'التشغيل والمحطات'!O14</f>
        <v/>
      </c>
      <c r="I58" s="52">
        <f>'التشغيل والمحطات'!G14</f>
        <v/>
      </c>
    </row>
    <row r="59">
      <c r="A59" s="28" t="n">
        <v>58</v>
      </c>
      <c r="B59" s="50" t="inlineStr">
        <is>
          <t>التشغيل والمحطات</t>
        </is>
      </c>
      <c r="C59" s="50">
        <f>'التشغيل والمحطات'!C15</f>
        <v/>
      </c>
      <c r="D59" s="28">
        <f>'التشغيل والمحطات'!J15</f>
        <v/>
      </c>
      <c r="E59" s="50">
        <f>'التشغيل والمحطات'!K15</f>
        <v/>
      </c>
      <c r="F59" s="28">
        <f>'التشغيل والمحطات'!L15</f>
        <v/>
      </c>
      <c r="G59" s="51">
        <f>'التشغيل والمحطات'!N15</f>
        <v/>
      </c>
      <c r="H59" s="28">
        <f>'التشغيل والمحطات'!O15</f>
        <v/>
      </c>
      <c r="I59" s="52">
        <f>'التشغيل والمحطات'!G15</f>
        <v/>
      </c>
    </row>
    <row r="60">
      <c r="A60" s="28" t="n">
        <v>59</v>
      </c>
      <c r="B60" s="50" t="inlineStr">
        <is>
          <t>التشغيل والمحطات</t>
        </is>
      </c>
      <c r="C60" s="50">
        <f>'التشغيل والمحطات'!C16</f>
        <v/>
      </c>
      <c r="D60" s="28">
        <f>'التشغيل والمحطات'!J16</f>
        <v/>
      </c>
      <c r="E60" s="50">
        <f>'التشغيل والمحطات'!K16</f>
        <v/>
      </c>
      <c r="F60" s="28">
        <f>'التشغيل والمحطات'!L16</f>
        <v/>
      </c>
      <c r="G60" s="51">
        <f>'التشغيل والمحطات'!N16</f>
        <v/>
      </c>
      <c r="H60" s="28">
        <f>'التشغيل والمحطات'!O16</f>
        <v/>
      </c>
      <c r="I60" s="52">
        <f>'التشغيل والمحطات'!G16</f>
        <v/>
      </c>
    </row>
    <row r="61">
      <c r="A61" s="28" t="n">
        <v>60</v>
      </c>
      <c r="B61" s="50" t="inlineStr">
        <is>
          <t>التشغيل والمحطات</t>
        </is>
      </c>
      <c r="C61" s="50">
        <f>'التشغيل والمحطات'!C17</f>
        <v/>
      </c>
      <c r="D61" s="28">
        <f>'التشغيل والمحطات'!J17</f>
        <v/>
      </c>
      <c r="E61" s="50">
        <f>'التشغيل والمحطات'!K17</f>
        <v/>
      </c>
      <c r="F61" s="28">
        <f>'التشغيل والمحطات'!L17</f>
        <v/>
      </c>
      <c r="G61" s="51">
        <f>'التشغيل والمحطات'!N17</f>
        <v/>
      </c>
      <c r="H61" s="28">
        <f>'التشغيل والمحطات'!O17</f>
        <v/>
      </c>
      <c r="I61" s="52">
        <f>'التشغيل والمحطات'!G17</f>
        <v/>
      </c>
    </row>
    <row r="62">
      <c r="A62" s="28" t="n">
        <v>61</v>
      </c>
      <c r="B62" s="50" t="inlineStr">
        <is>
          <t>التشغيل والمحطات</t>
        </is>
      </c>
      <c r="C62" s="50">
        <f>'التشغيل والمحطات'!C18</f>
        <v/>
      </c>
      <c r="D62" s="28">
        <f>'التشغيل والمحطات'!J18</f>
        <v/>
      </c>
      <c r="E62" s="50">
        <f>'التشغيل والمحطات'!K18</f>
        <v/>
      </c>
      <c r="F62" s="28">
        <f>'التشغيل والمحطات'!L18</f>
        <v/>
      </c>
      <c r="G62" s="51">
        <f>'التشغيل والمحطات'!N18</f>
        <v/>
      </c>
      <c r="H62" s="28">
        <f>'التشغيل والمحطات'!O18</f>
        <v/>
      </c>
      <c r="I62" s="52">
        <f>'التشغيل والمحطات'!G18</f>
        <v/>
      </c>
    </row>
    <row r="63">
      <c r="A63" s="28" t="n">
        <v>62</v>
      </c>
      <c r="B63" s="50" t="inlineStr">
        <is>
          <t>التشغيل والمحطات</t>
        </is>
      </c>
      <c r="C63" s="50">
        <f>'التشغيل والمحطات'!C19</f>
        <v/>
      </c>
      <c r="D63" s="28">
        <f>'التشغيل والمحطات'!J19</f>
        <v/>
      </c>
      <c r="E63" s="50">
        <f>'التشغيل والمحطات'!K19</f>
        <v/>
      </c>
      <c r="F63" s="28">
        <f>'التشغيل والمحطات'!L19</f>
        <v/>
      </c>
      <c r="G63" s="51">
        <f>'التشغيل والمحطات'!N19</f>
        <v/>
      </c>
      <c r="H63" s="28">
        <f>'التشغيل والمحطات'!O19</f>
        <v/>
      </c>
      <c r="I63" s="52">
        <f>'التشغيل والمحطات'!G19</f>
        <v/>
      </c>
    </row>
    <row r="64">
      <c r="A64" s="28" t="n">
        <v>63</v>
      </c>
      <c r="B64" s="50" t="inlineStr">
        <is>
          <t>الاستثمار</t>
        </is>
      </c>
      <c r="C64" s="50">
        <f>'الاستثمار'!C4</f>
        <v/>
      </c>
      <c r="D64" s="28">
        <f>'الاستثمار'!J4</f>
        <v/>
      </c>
      <c r="E64" s="50">
        <f>'الاستثمار'!K4</f>
        <v/>
      </c>
      <c r="F64" s="28">
        <f>'الاستثمار'!L4</f>
        <v/>
      </c>
      <c r="G64" s="51">
        <f>'الاستثمار'!N4</f>
        <v/>
      </c>
      <c r="H64" s="28">
        <f>'الاستثمار'!O4</f>
        <v/>
      </c>
      <c r="I64" s="52">
        <f>'الاستثمار'!G4</f>
        <v/>
      </c>
    </row>
    <row r="65">
      <c r="A65" s="28" t="n">
        <v>64</v>
      </c>
      <c r="B65" s="50" t="inlineStr">
        <is>
          <t>الاستثمار</t>
        </is>
      </c>
      <c r="C65" s="50">
        <f>'الاستثمار'!C5</f>
        <v/>
      </c>
      <c r="D65" s="28">
        <f>'الاستثمار'!J5</f>
        <v/>
      </c>
      <c r="E65" s="50">
        <f>'الاستثمار'!K5</f>
        <v/>
      </c>
      <c r="F65" s="28">
        <f>'الاستثمار'!L5</f>
        <v/>
      </c>
      <c r="G65" s="51">
        <f>'الاستثمار'!N5</f>
        <v/>
      </c>
      <c r="H65" s="28">
        <f>'الاستثمار'!O5</f>
        <v/>
      </c>
      <c r="I65" s="52">
        <f>'الاستثمار'!G5</f>
        <v/>
      </c>
    </row>
    <row r="66">
      <c r="A66" s="28" t="n">
        <v>65</v>
      </c>
      <c r="B66" s="50" t="inlineStr">
        <is>
          <t>الاستثمار</t>
        </is>
      </c>
      <c r="C66" s="50">
        <f>'الاستثمار'!C6</f>
        <v/>
      </c>
      <c r="D66" s="28">
        <f>'الاستثمار'!J6</f>
        <v/>
      </c>
      <c r="E66" s="50">
        <f>'الاستثمار'!K6</f>
        <v/>
      </c>
      <c r="F66" s="28">
        <f>'الاستثمار'!L6</f>
        <v/>
      </c>
      <c r="G66" s="51">
        <f>'الاستثمار'!N6</f>
        <v/>
      </c>
      <c r="H66" s="28">
        <f>'الاستثمار'!O6</f>
        <v/>
      </c>
      <c r="I66" s="52">
        <f>'الاستثمار'!G6</f>
        <v/>
      </c>
    </row>
    <row r="67">
      <c r="A67" s="28" t="n">
        <v>66</v>
      </c>
      <c r="B67" s="50" t="inlineStr">
        <is>
          <t>الاستثمار</t>
        </is>
      </c>
      <c r="C67" s="50">
        <f>'الاستثمار'!C7</f>
        <v/>
      </c>
      <c r="D67" s="28">
        <f>'الاستثمار'!J7</f>
        <v/>
      </c>
      <c r="E67" s="50">
        <f>'الاستثمار'!K7</f>
        <v/>
      </c>
      <c r="F67" s="28">
        <f>'الاستثمار'!L7</f>
        <v/>
      </c>
      <c r="G67" s="51">
        <f>'الاستثمار'!N7</f>
        <v/>
      </c>
      <c r="H67" s="28">
        <f>'الاستثمار'!O7</f>
        <v/>
      </c>
      <c r="I67" s="52">
        <f>'الاستثمار'!G7</f>
        <v/>
      </c>
    </row>
    <row r="68">
      <c r="A68" s="28" t="n">
        <v>67</v>
      </c>
      <c r="B68" s="50" t="inlineStr">
        <is>
          <t>الاستثمار</t>
        </is>
      </c>
      <c r="C68" s="50">
        <f>'الاستثمار'!C8</f>
        <v/>
      </c>
      <c r="D68" s="28">
        <f>'الاستثمار'!J8</f>
        <v/>
      </c>
      <c r="E68" s="50">
        <f>'الاستثمار'!K8</f>
        <v/>
      </c>
      <c r="F68" s="28">
        <f>'الاستثمار'!L8</f>
        <v/>
      </c>
      <c r="G68" s="51">
        <f>'الاستثمار'!N8</f>
        <v/>
      </c>
      <c r="H68" s="28">
        <f>'الاستثمار'!O8</f>
        <v/>
      </c>
      <c r="I68" s="52">
        <f>'الاستثمار'!G8</f>
        <v/>
      </c>
    </row>
    <row r="69">
      <c r="A69" s="28" t="n">
        <v>68</v>
      </c>
      <c r="B69" s="50" t="inlineStr">
        <is>
          <t>الاستثمار</t>
        </is>
      </c>
      <c r="C69" s="50">
        <f>'الاستثمار'!C9</f>
        <v/>
      </c>
      <c r="D69" s="28">
        <f>'الاستثمار'!J9</f>
        <v/>
      </c>
      <c r="E69" s="50">
        <f>'الاستثمار'!K9</f>
        <v/>
      </c>
      <c r="F69" s="28">
        <f>'الاستثمار'!L9</f>
        <v/>
      </c>
      <c r="G69" s="51">
        <f>'الاستثمار'!N9</f>
        <v/>
      </c>
      <c r="H69" s="28">
        <f>'الاستثمار'!O9</f>
        <v/>
      </c>
      <c r="I69" s="52">
        <f>'الاستثمار'!G9</f>
        <v/>
      </c>
    </row>
    <row r="70">
      <c r="A70" s="28" t="n">
        <v>69</v>
      </c>
      <c r="B70" s="50" t="inlineStr">
        <is>
          <t>الاستثمار</t>
        </is>
      </c>
      <c r="C70" s="50">
        <f>'الاستثمار'!C10</f>
        <v/>
      </c>
      <c r="D70" s="28">
        <f>'الاستثمار'!J10</f>
        <v/>
      </c>
      <c r="E70" s="50">
        <f>'الاستثمار'!K10</f>
        <v/>
      </c>
      <c r="F70" s="28">
        <f>'الاستثمار'!L10</f>
        <v/>
      </c>
      <c r="G70" s="51">
        <f>'الاستثمار'!N10</f>
        <v/>
      </c>
      <c r="H70" s="28">
        <f>'الاستثمار'!O10</f>
        <v/>
      </c>
      <c r="I70" s="52">
        <f>'الاستثمار'!G10</f>
        <v/>
      </c>
    </row>
    <row r="71">
      <c r="A71" s="28" t="n">
        <v>70</v>
      </c>
      <c r="B71" s="50" t="inlineStr">
        <is>
          <t>الاستثمار</t>
        </is>
      </c>
      <c r="C71" s="50">
        <f>'الاستثمار'!C11</f>
        <v/>
      </c>
      <c r="D71" s="28">
        <f>'الاستثمار'!J11</f>
        <v/>
      </c>
      <c r="E71" s="50">
        <f>'الاستثمار'!K11</f>
        <v/>
      </c>
      <c r="F71" s="28">
        <f>'الاستثمار'!L11</f>
        <v/>
      </c>
      <c r="G71" s="51">
        <f>'الاستثمار'!N11</f>
        <v/>
      </c>
      <c r="H71" s="28">
        <f>'الاستثمار'!O11</f>
        <v/>
      </c>
      <c r="I71" s="52">
        <f>'الاستثمار'!G11</f>
        <v/>
      </c>
    </row>
    <row r="72">
      <c r="A72" s="28" t="n">
        <v>71</v>
      </c>
      <c r="B72" s="50" t="inlineStr">
        <is>
          <t>الاستثمار</t>
        </is>
      </c>
      <c r="C72" s="50">
        <f>'الاستثمار'!C12</f>
        <v/>
      </c>
      <c r="D72" s="28">
        <f>'الاستثمار'!J12</f>
        <v/>
      </c>
      <c r="E72" s="50">
        <f>'الاستثمار'!K12</f>
        <v/>
      </c>
      <c r="F72" s="28">
        <f>'الاستثمار'!L12</f>
        <v/>
      </c>
      <c r="G72" s="51">
        <f>'الاستثمار'!N12</f>
        <v/>
      </c>
      <c r="H72" s="28">
        <f>'الاستثمار'!O12</f>
        <v/>
      </c>
      <c r="I72" s="52">
        <f>'الاستثمار'!G12</f>
        <v/>
      </c>
    </row>
    <row r="73">
      <c r="A73" s="28" t="n">
        <v>72</v>
      </c>
      <c r="B73" s="50" t="inlineStr">
        <is>
          <t>الاستثمار</t>
        </is>
      </c>
      <c r="C73" s="50">
        <f>'الاستثمار'!C13</f>
        <v/>
      </c>
      <c r="D73" s="28">
        <f>'الاستثمار'!J13</f>
        <v/>
      </c>
      <c r="E73" s="50">
        <f>'الاستثمار'!K13</f>
        <v/>
      </c>
      <c r="F73" s="28">
        <f>'الاستثمار'!L13</f>
        <v/>
      </c>
      <c r="G73" s="51">
        <f>'الاستثمار'!N13</f>
        <v/>
      </c>
      <c r="H73" s="28">
        <f>'الاستثمار'!O13</f>
        <v/>
      </c>
      <c r="I73" s="52">
        <f>'الاستثمار'!G13</f>
        <v/>
      </c>
    </row>
    <row r="74">
      <c r="A74" s="28" t="n">
        <v>73</v>
      </c>
      <c r="B74" s="50" t="inlineStr">
        <is>
          <t>الاستثمار</t>
        </is>
      </c>
      <c r="C74" s="50">
        <f>'الاستثمار'!C14</f>
        <v/>
      </c>
      <c r="D74" s="28">
        <f>'الاستثمار'!J14</f>
        <v/>
      </c>
      <c r="E74" s="50">
        <f>'الاستثمار'!K14</f>
        <v/>
      </c>
      <c r="F74" s="28">
        <f>'الاستثمار'!L14</f>
        <v/>
      </c>
      <c r="G74" s="51">
        <f>'الاستثمار'!N14</f>
        <v/>
      </c>
      <c r="H74" s="28">
        <f>'الاستثمار'!O14</f>
        <v/>
      </c>
      <c r="I74" s="52">
        <f>'الاستثمار'!G14</f>
        <v/>
      </c>
    </row>
    <row r="75">
      <c r="A75" s="28" t="n">
        <v>74</v>
      </c>
      <c r="B75" s="50" t="inlineStr">
        <is>
          <t>الاستثمار</t>
        </is>
      </c>
      <c r="C75" s="50">
        <f>'الاستثمار'!C15</f>
        <v/>
      </c>
      <c r="D75" s="28">
        <f>'الاستثمار'!J15</f>
        <v/>
      </c>
      <c r="E75" s="50">
        <f>'الاستثمار'!K15</f>
        <v/>
      </c>
      <c r="F75" s="28">
        <f>'الاستثمار'!L15</f>
        <v/>
      </c>
      <c r="G75" s="51">
        <f>'الاستثمار'!N15</f>
        <v/>
      </c>
      <c r="H75" s="28">
        <f>'الاستثمار'!O15</f>
        <v/>
      </c>
      <c r="I75" s="52">
        <f>'الاستثمار'!G15</f>
        <v/>
      </c>
    </row>
    <row r="76">
      <c r="A76" s="28" t="n">
        <v>75</v>
      </c>
      <c r="B76" s="50" t="inlineStr">
        <is>
          <t>الاستثمار</t>
        </is>
      </c>
      <c r="C76" s="50">
        <f>'الاستثمار'!C16</f>
        <v/>
      </c>
      <c r="D76" s="28">
        <f>'الاستثمار'!J16</f>
        <v/>
      </c>
      <c r="E76" s="50">
        <f>'الاستثمار'!K16</f>
        <v/>
      </c>
      <c r="F76" s="28">
        <f>'الاستثمار'!L16</f>
        <v/>
      </c>
      <c r="G76" s="51">
        <f>'الاستثمار'!N16</f>
        <v/>
      </c>
      <c r="H76" s="28">
        <f>'الاستثمار'!O16</f>
        <v/>
      </c>
      <c r="I76" s="52">
        <f>'الاستثمار'!G16</f>
        <v/>
      </c>
    </row>
    <row r="77">
      <c r="A77" s="28" t="n">
        <v>76</v>
      </c>
      <c r="B77" s="50" t="inlineStr">
        <is>
          <t>الاستثمار</t>
        </is>
      </c>
      <c r="C77" s="50">
        <f>'الاستثمار'!C17</f>
        <v/>
      </c>
      <c r="D77" s="28">
        <f>'الاستثمار'!J17</f>
        <v/>
      </c>
      <c r="E77" s="50">
        <f>'الاستثمار'!K17</f>
        <v/>
      </c>
      <c r="F77" s="28">
        <f>'الاستثمار'!L17</f>
        <v/>
      </c>
      <c r="G77" s="51">
        <f>'الاستثمار'!N17</f>
        <v/>
      </c>
      <c r="H77" s="28">
        <f>'الاستثمار'!O17</f>
        <v/>
      </c>
      <c r="I77" s="52">
        <f>'الاستثمار'!G17</f>
        <v/>
      </c>
    </row>
    <row r="78">
      <c r="A78" s="28" t="n">
        <v>77</v>
      </c>
      <c r="B78" s="50" t="inlineStr">
        <is>
          <t>الاستثمار</t>
        </is>
      </c>
      <c r="C78" s="50">
        <f>'الاستثمار'!C18</f>
        <v/>
      </c>
      <c r="D78" s="28">
        <f>'الاستثمار'!J18</f>
        <v/>
      </c>
      <c r="E78" s="50">
        <f>'الاستثمار'!K18</f>
        <v/>
      </c>
      <c r="F78" s="28">
        <f>'الاستثمار'!L18</f>
        <v/>
      </c>
      <c r="G78" s="51">
        <f>'الاستثمار'!N18</f>
        <v/>
      </c>
      <c r="H78" s="28">
        <f>'الاستثمار'!O18</f>
        <v/>
      </c>
      <c r="I78" s="52">
        <f>'الاستثمار'!G18</f>
        <v/>
      </c>
    </row>
    <row r="79">
      <c r="A79" s="28" t="n">
        <v>78</v>
      </c>
      <c r="B79" s="50" t="inlineStr">
        <is>
          <t>الاستثمار</t>
        </is>
      </c>
      <c r="C79" s="50">
        <f>'الاستثمار'!C19</f>
        <v/>
      </c>
      <c r="D79" s="28">
        <f>'الاستثمار'!J19</f>
        <v/>
      </c>
      <c r="E79" s="50">
        <f>'الاستثمار'!K19</f>
        <v/>
      </c>
      <c r="F79" s="28">
        <f>'الاستثمار'!L19</f>
        <v/>
      </c>
      <c r="G79" s="51">
        <f>'الاستثمار'!N19</f>
        <v/>
      </c>
      <c r="H79" s="28">
        <f>'الاستثمار'!O19</f>
        <v/>
      </c>
      <c r="I79" s="52">
        <f>'الاستثمار'!G19</f>
        <v/>
      </c>
    </row>
    <row r="80">
      <c r="A80" s="28" t="n">
        <v>79</v>
      </c>
      <c r="B80" s="50" t="inlineStr">
        <is>
          <t>الاستثمار</t>
        </is>
      </c>
      <c r="C80" s="50">
        <f>'الاستثمار'!C20</f>
        <v/>
      </c>
      <c r="D80" s="28">
        <f>'الاستثمار'!J20</f>
        <v/>
      </c>
      <c r="E80" s="50">
        <f>'الاستثمار'!K20</f>
        <v/>
      </c>
      <c r="F80" s="28">
        <f>'الاستثمار'!L20</f>
        <v/>
      </c>
      <c r="G80" s="51">
        <f>'الاستثمار'!N20</f>
        <v/>
      </c>
      <c r="H80" s="28">
        <f>'الاستثمار'!O20</f>
        <v/>
      </c>
      <c r="I80" s="52">
        <f>'الاستثمار'!G20</f>
        <v/>
      </c>
    </row>
    <row r="81">
      <c r="A81" s="28" t="n">
        <v>80</v>
      </c>
      <c r="B81" s="50" t="inlineStr">
        <is>
          <t>الاستثمار</t>
        </is>
      </c>
      <c r="C81" s="50">
        <f>'الاستثمار'!C21</f>
        <v/>
      </c>
      <c r="D81" s="28">
        <f>'الاستثمار'!J21</f>
        <v/>
      </c>
      <c r="E81" s="50">
        <f>'الاستثمار'!K21</f>
        <v/>
      </c>
      <c r="F81" s="28">
        <f>'الاستثمار'!L21</f>
        <v/>
      </c>
      <c r="G81" s="51">
        <f>'الاستثمار'!N21</f>
        <v/>
      </c>
      <c r="H81" s="28">
        <f>'الاستثمار'!O21</f>
        <v/>
      </c>
      <c r="I81" s="52">
        <f>'الاستثمار'!G21</f>
        <v/>
      </c>
    </row>
    <row r="82">
      <c r="A82" s="28" t="n">
        <v>81</v>
      </c>
      <c r="B82" s="50" t="inlineStr">
        <is>
          <t>الاستثمار</t>
        </is>
      </c>
      <c r="C82" s="50">
        <f>'الاستثمار'!C22</f>
        <v/>
      </c>
      <c r="D82" s="28">
        <f>'الاستثمار'!J22</f>
        <v/>
      </c>
      <c r="E82" s="50">
        <f>'الاستثمار'!K22</f>
        <v/>
      </c>
      <c r="F82" s="28">
        <f>'الاستثمار'!L22</f>
        <v/>
      </c>
      <c r="G82" s="51">
        <f>'الاستثمار'!N22</f>
        <v/>
      </c>
      <c r="H82" s="28">
        <f>'الاستثمار'!O22</f>
        <v/>
      </c>
      <c r="I82" s="52">
        <f>'الاستثمار'!G22</f>
        <v/>
      </c>
    </row>
    <row r="83">
      <c r="A83" s="28" t="n">
        <v>82</v>
      </c>
      <c r="B83" s="50" t="inlineStr">
        <is>
          <t>الاستثمار</t>
        </is>
      </c>
      <c r="C83" s="50">
        <f>'الاستثمار'!C23</f>
        <v/>
      </c>
      <c r="D83" s="28">
        <f>'الاستثمار'!J23</f>
        <v/>
      </c>
      <c r="E83" s="50">
        <f>'الاستثمار'!K23</f>
        <v/>
      </c>
      <c r="F83" s="28">
        <f>'الاستثمار'!L23</f>
        <v/>
      </c>
      <c r="G83" s="51">
        <f>'الاستثمار'!N23</f>
        <v/>
      </c>
      <c r="H83" s="28">
        <f>'الاستثمار'!O23</f>
        <v/>
      </c>
      <c r="I83" s="52">
        <f>'الاستثمار'!G23</f>
        <v/>
      </c>
    </row>
    <row r="84">
      <c r="A84" s="28" t="n">
        <v>83</v>
      </c>
      <c r="B84" s="50" t="inlineStr">
        <is>
          <t>الاستثمار</t>
        </is>
      </c>
      <c r="C84" s="50">
        <f>'الاستثمار'!C24</f>
        <v/>
      </c>
      <c r="D84" s="28">
        <f>'الاستثمار'!J24</f>
        <v/>
      </c>
      <c r="E84" s="50">
        <f>'الاستثمار'!K24</f>
        <v/>
      </c>
      <c r="F84" s="28">
        <f>'الاستثمار'!L24</f>
        <v/>
      </c>
      <c r="G84" s="51">
        <f>'الاستثمار'!N24</f>
        <v/>
      </c>
      <c r="H84" s="28">
        <f>'الاستثمار'!O24</f>
        <v/>
      </c>
      <c r="I84" s="52">
        <f>'الاستثمار'!G24</f>
        <v/>
      </c>
    </row>
    <row r="85">
      <c r="A85" s="28" t="n">
        <v>84</v>
      </c>
      <c r="B85" s="50" t="inlineStr">
        <is>
          <t>الاستثمار</t>
        </is>
      </c>
      <c r="C85" s="50">
        <f>'الاستثمار'!C25</f>
        <v/>
      </c>
      <c r="D85" s="28">
        <f>'الاستثمار'!J25</f>
        <v/>
      </c>
      <c r="E85" s="50">
        <f>'الاستثمار'!K25</f>
        <v/>
      </c>
      <c r="F85" s="28">
        <f>'الاستثمار'!L25</f>
        <v/>
      </c>
      <c r="G85" s="51">
        <f>'الاستثمار'!N25</f>
        <v/>
      </c>
      <c r="H85" s="28">
        <f>'الاستثمار'!O25</f>
        <v/>
      </c>
      <c r="I85" s="52">
        <f>'الاستثمار'!G25</f>
        <v/>
      </c>
    </row>
    <row r="86">
      <c r="A86" s="28" t="n">
        <v>85</v>
      </c>
      <c r="B86" s="50" t="inlineStr">
        <is>
          <t>الاستثمار</t>
        </is>
      </c>
      <c r="C86" s="50">
        <f>'الاستثمار'!C26</f>
        <v/>
      </c>
      <c r="D86" s="28">
        <f>'الاستثمار'!J26</f>
        <v/>
      </c>
      <c r="E86" s="50">
        <f>'الاستثمار'!K26</f>
        <v/>
      </c>
      <c r="F86" s="28">
        <f>'الاستثمار'!L26</f>
        <v/>
      </c>
      <c r="G86" s="51">
        <f>'الاستثمار'!N26</f>
        <v/>
      </c>
      <c r="H86" s="28">
        <f>'الاستثمار'!O26</f>
        <v/>
      </c>
      <c r="I86" s="52">
        <f>'الاستثمار'!G26</f>
        <v/>
      </c>
    </row>
    <row r="87">
      <c r="A87" s="28" t="n">
        <v>86</v>
      </c>
      <c r="B87" s="50" t="inlineStr">
        <is>
          <t>الاستثمار</t>
        </is>
      </c>
      <c r="C87" s="50">
        <f>'الاستثمار'!C27</f>
        <v/>
      </c>
      <c r="D87" s="28">
        <f>'الاستثمار'!J27</f>
        <v/>
      </c>
      <c r="E87" s="50">
        <f>'الاستثمار'!K27</f>
        <v/>
      </c>
      <c r="F87" s="28">
        <f>'الاستثمار'!L27</f>
        <v/>
      </c>
      <c r="G87" s="51">
        <f>'الاستثمار'!N27</f>
        <v/>
      </c>
      <c r="H87" s="28">
        <f>'الاستثمار'!O27</f>
        <v/>
      </c>
      <c r="I87" s="52">
        <f>'الاستثمار'!G27</f>
        <v/>
      </c>
    </row>
    <row r="88">
      <c r="A88" s="28" t="n">
        <v>87</v>
      </c>
      <c r="B88" s="50" t="inlineStr">
        <is>
          <t>العقار</t>
        </is>
      </c>
      <c r="C88" s="50">
        <f>'العقار'!C4</f>
        <v/>
      </c>
      <c r="D88" s="28">
        <f>'العقار'!J4</f>
        <v/>
      </c>
      <c r="E88" s="50">
        <f>'العقار'!K4</f>
        <v/>
      </c>
      <c r="F88" s="28">
        <f>'العقار'!L4</f>
        <v/>
      </c>
      <c r="G88" s="51">
        <f>'العقار'!N4</f>
        <v/>
      </c>
      <c r="H88" s="28">
        <f>'العقار'!O4</f>
        <v/>
      </c>
      <c r="I88" s="52">
        <f>'العقار'!G4</f>
        <v/>
      </c>
    </row>
    <row r="89">
      <c r="A89" s="28" t="n">
        <v>88</v>
      </c>
      <c r="B89" s="50" t="inlineStr">
        <is>
          <t>العقار</t>
        </is>
      </c>
      <c r="C89" s="50">
        <f>'العقار'!C5</f>
        <v/>
      </c>
      <c r="D89" s="28">
        <f>'العقار'!J5</f>
        <v/>
      </c>
      <c r="E89" s="50">
        <f>'العقار'!K5</f>
        <v/>
      </c>
      <c r="F89" s="28">
        <f>'العقار'!L5</f>
        <v/>
      </c>
      <c r="G89" s="51">
        <f>'العقار'!N5</f>
        <v/>
      </c>
      <c r="H89" s="28">
        <f>'العقار'!O5</f>
        <v/>
      </c>
      <c r="I89" s="52">
        <f>'العقار'!G5</f>
        <v/>
      </c>
    </row>
    <row r="90">
      <c r="A90" s="28" t="n">
        <v>89</v>
      </c>
      <c r="B90" s="50" t="inlineStr">
        <is>
          <t>العقار</t>
        </is>
      </c>
      <c r="C90" s="50">
        <f>'العقار'!C6</f>
        <v/>
      </c>
      <c r="D90" s="28">
        <f>'العقار'!J6</f>
        <v/>
      </c>
      <c r="E90" s="50">
        <f>'العقار'!K6</f>
        <v/>
      </c>
      <c r="F90" s="28">
        <f>'العقار'!L6</f>
        <v/>
      </c>
      <c r="G90" s="51">
        <f>'العقار'!N6</f>
        <v/>
      </c>
      <c r="H90" s="28">
        <f>'العقار'!O6</f>
        <v/>
      </c>
      <c r="I90" s="52">
        <f>'العقار'!G6</f>
        <v/>
      </c>
    </row>
    <row r="91">
      <c r="A91" s="28" t="n">
        <v>90</v>
      </c>
      <c r="B91" s="50" t="inlineStr">
        <is>
          <t>العقار</t>
        </is>
      </c>
      <c r="C91" s="50">
        <f>'العقار'!C7</f>
        <v/>
      </c>
      <c r="D91" s="28">
        <f>'العقار'!J7</f>
        <v/>
      </c>
      <c r="E91" s="50">
        <f>'العقار'!K7</f>
        <v/>
      </c>
      <c r="F91" s="28">
        <f>'العقار'!L7</f>
        <v/>
      </c>
      <c r="G91" s="51">
        <f>'العقار'!N7</f>
        <v/>
      </c>
      <c r="H91" s="28">
        <f>'العقار'!O7</f>
        <v/>
      </c>
      <c r="I91" s="52">
        <f>'العقار'!G7</f>
        <v/>
      </c>
    </row>
    <row r="92">
      <c r="A92" s="28" t="n">
        <v>91</v>
      </c>
      <c r="B92" s="50" t="inlineStr">
        <is>
          <t>العقار</t>
        </is>
      </c>
      <c r="C92" s="50">
        <f>'العقار'!C8</f>
        <v/>
      </c>
      <c r="D92" s="28">
        <f>'العقار'!J8</f>
        <v/>
      </c>
      <c r="E92" s="50">
        <f>'العقار'!K8</f>
        <v/>
      </c>
      <c r="F92" s="28">
        <f>'العقار'!L8</f>
        <v/>
      </c>
      <c r="G92" s="51">
        <f>'العقار'!N8</f>
        <v/>
      </c>
      <c r="H92" s="28">
        <f>'العقار'!O8</f>
        <v/>
      </c>
      <c r="I92" s="52">
        <f>'العقار'!G8</f>
        <v/>
      </c>
    </row>
    <row r="93">
      <c r="A93" s="28" t="n">
        <v>92</v>
      </c>
      <c r="B93" s="50" t="inlineStr">
        <is>
          <t>العقار</t>
        </is>
      </c>
      <c r="C93" s="50">
        <f>'العقار'!C9</f>
        <v/>
      </c>
      <c r="D93" s="28">
        <f>'العقار'!J9</f>
        <v/>
      </c>
      <c r="E93" s="50">
        <f>'العقار'!K9</f>
        <v/>
      </c>
      <c r="F93" s="28">
        <f>'العقار'!L9</f>
        <v/>
      </c>
      <c r="G93" s="51">
        <f>'العقار'!N9</f>
        <v/>
      </c>
      <c r="H93" s="28">
        <f>'العقار'!O9</f>
        <v/>
      </c>
      <c r="I93" s="52">
        <f>'العقار'!G9</f>
        <v/>
      </c>
    </row>
    <row r="94">
      <c r="A94" s="28" t="n">
        <v>93</v>
      </c>
      <c r="B94" s="50" t="inlineStr">
        <is>
          <t>العقار</t>
        </is>
      </c>
      <c r="C94" s="50">
        <f>'العقار'!C10</f>
        <v/>
      </c>
      <c r="D94" s="28">
        <f>'العقار'!J10</f>
        <v/>
      </c>
      <c r="E94" s="50">
        <f>'العقار'!K10</f>
        <v/>
      </c>
      <c r="F94" s="28">
        <f>'العقار'!L10</f>
        <v/>
      </c>
      <c r="G94" s="51">
        <f>'العقار'!N10</f>
        <v/>
      </c>
      <c r="H94" s="28">
        <f>'العقار'!O10</f>
        <v/>
      </c>
      <c r="I94" s="52">
        <f>'العقار'!G10</f>
        <v/>
      </c>
    </row>
    <row r="95">
      <c r="A95" s="28" t="n">
        <v>94</v>
      </c>
      <c r="B95" s="50" t="inlineStr">
        <is>
          <t>العقار</t>
        </is>
      </c>
      <c r="C95" s="50">
        <f>'العقار'!C11</f>
        <v/>
      </c>
      <c r="D95" s="28">
        <f>'العقار'!J11</f>
        <v/>
      </c>
      <c r="E95" s="50">
        <f>'العقار'!K11</f>
        <v/>
      </c>
      <c r="F95" s="28">
        <f>'العقار'!L11</f>
        <v/>
      </c>
      <c r="G95" s="51">
        <f>'العقار'!N11</f>
        <v/>
      </c>
      <c r="H95" s="28">
        <f>'العقار'!O11</f>
        <v/>
      </c>
      <c r="I95" s="52">
        <f>'العقار'!G11</f>
        <v/>
      </c>
    </row>
    <row r="96">
      <c r="A96" s="28" t="n">
        <v>95</v>
      </c>
      <c r="B96" s="50" t="inlineStr">
        <is>
          <t>العقار</t>
        </is>
      </c>
      <c r="C96" s="50">
        <f>'العقار'!C12</f>
        <v/>
      </c>
      <c r="D96" s="28">
        <f>'العقار'!J12</f>
        <v/>
      </c>
      <c r="E96" s="50">
        <f>'العقار'!K12</f>
        <v/>
      </c>
      <c r="F96" s="28">
        <f>'العقار'!L12</f>
        <v/>
      </c>
      <c r="G96" s="51">
        <f>'العقار'!N12</f>
        <v/>
      </c>
      <c r="H96" s="28">
        <f>'العقار'!O12</f>
        <v/>
      </c>
      <c r="I96" s="52">
        <f>'العقار'!G12</f>
        <v/>
      </c>
    </row>
    <row r="97">
      <c r="A97" s="28" t="n">
        <v>96</v>
      </c>
      <c r="B97" s="50" t="inlineStr">
        <is>
          <t>العقار</t>
        </is>
      </c>
      <c r="C97" s="50">
        <f>'العقار'!C13</f>
        <v/>
      </c>
      <c r="D97" s="28">
        <f>'العقار'!J13</f>
        <v/>
      </c>
      <c r="E97" s="50">
        <f>'العقار'!K13</f>
        <v/>
      </c>
      <c r="F97" s="28">
        <f>'العقار'!L13</f>
        <v/>
      </c>
      <c r="G97" s="51">
        <f>'العقار'!N13</f>
        <v/>
      </c>
      <c r="H97" s="28">
        <f>'العقار'!O13</f>
        <v/>
      </c>
      <c r="I97" s="52">
        <f>'العقار'!G13</f>
        <v/>
      </c>
    </row>
    <row r="98">
      <c r="A98" s="28" t="n">
        <v>97</v>
      </c>
      <c r="B98" s="50" t="inlineStr">
        <is>
          <t>العقار</t>
        </is>
      </c>
      <c r="C98" s="50">
        <f>'العقار'!C14</f>
        <v/>
      </c>
      <c r="D98" s="28">
        <f>'العقار'!J14</f>
        <v/>
      </c>
      <c r="E98" s="50">
        <f>'العقار'!K14</f>
        <v/>
      </c>
      <c r="F98" s="28">
        <f>'العقار'!L14</f>
        <v/>
      </c>
      <c r="G98" s="51">
        <f>'العقار'!N14</f>
        <v/>
      </c>
      <c r="H98" s="28">
        <f>'العقار'!O14</f>
        <v/>
      </c>
      <c r="I98" s="52">
        <f>'العقار'!G14</f>
        <v/>
      </c>
    </row>
    <row r="99">
      <c r="A99" s="28" t="n">
        <v>98</v>
      </c>
      <c r="B99" s="50" t="inlineStr">
        <is>
          <t>العقار</t>
        </is>
      </c>
      <c r="C99" s="50">
        <f>'العقار'!C15</f>
        <v/>
      </c>
      <c r="D99" s="28">
        <f>'العقار'!J15</f>
        <v/>
      </c>
      <c r="E99" s="50">
        <f>'العقار'!K15</f>
        <v/>
      </c>
      <c r="F99" s="28">
        <f>'العقار'!L15</f>
        <v/>
      </c>
      <c r="G99" s="51">
        <f>'العقار'!N15</f>
        <v/>
      </c>
      <c r="H99" s="28">
        <f>'العقار'!O15</f>
        <v/>
      </c>
      <c r="I99" s="52">
        <f>'العقار'!G15</f>
        <v/>
      </c>
    </row>
    <row r="100">
      <c r="A100" s="28" t="n">
        <v>99</v>
      </c>
      <c r="B100" s="50" t="inlineStr">
        <is>
          <t>العقار</t>
        </is>
      </c>
      <c r="C100" s="50">
        <f>'العقار'!C16</f>
        <v/>
      </c>
      <c r="D100" s="28">
        <f>'العقار'!J16</f>
        <v/>
      </c>
      <c r="E100" s="50">
        <f>'العقار'!K16</f>
        <v/>
      </c>
      <c r="F100" s="28">
        <f>'العقار'!L16</f>
        <v/>
      </c>
      <c r="G100" s="51">
        <f>'العقار'!N16</f>
        <v/>
      </c>
      <c r="H100" s="28">
        <f>'العقار'!O16</f>
        <v/>
      </c>
      <c r="I100" s="52">
        <f>'العقار'!G16</f>
        <v/>
      </c>
    </row>
    <row r="101">
      <c r="A101" s="28" t="n">
        <v>100</v>
      </c>
      <c r="B101" s="50" t="inlineStr">
        <is>
          <t>العقار</t>
        </is>
      </c>
      <c r="C101" s="50">
        <f>'العقار'!C17</f>
        <v/>
      </c>
      <c r="D101" s="28">
        <f>'العقار'!J17</f>
        <v/>
      </c>
      <c r="E101" s="50">
        <f>'العقار'!K17</f>
        <v/>
      </c>
      <c r="F101" s="28">
        <f>'العقار'!L17</f>
        <v/>
      </c>
      <c r="G101" s="51">
        <f>'العقار'!N17</f>
        <v/>
      </c>
      <c r="H101" s="28">
        <f>'العقار'!O17</f>
        <v/>
      </c>
      <c r="I101" s="52">
        <f>'العقار'!G17</f>
        <v/>
      </c>
    </row>
    <row r="102">
      <c r="A102" s="28" t="n">
        <v>101</v>
      </c>
      <c r="B102" s="50" t="inlineStr">
        <is>
          <t>العقار</t>
        </is>
      </c>
      <c r="C102" s="50">
        <f>'العقار'!C18</f>
        <v/>
      </c>
      <c r="D102" s="28">
        <f>'العقار'!J18</f>
        <v/>
      </c>
      <c r="E102" s="50">
        <f>'العقار'!K18</f>
        <v/>
      </c>
      <c r="F102" s="28">
        <f>'العقار'!L18</f>
        <v/>
      </c>
      <c r="G102" s="51">
        <f>'العقار'!N18</f>
        <v/>
      </c>
      <c r="H102" s="28">
        <f>'العقار'!O18</f>
        <v/>
      </c>
      <c r="I102" s="52">
        <f>'العقار'!G18</f>
        <v/>
      </c>
    </row>
    <row r="103">
      <c r="A103" s="28" t="n">
        <v>102</v>
      </c>
      <c r="B103" s="50" t="inlineStr">
        <is>
          <t>العقار</t>
        </is>
      </c>
      <c r="C103" s="50">
        <f>'العقار'!C19</f>
        <v/>
      </c>
      <c r="D103" s="28">
        <f>'العقار'!J19</f>
        <v/>
      </c>
      <c r="E103" s="50">
        <f>'العقار'!K19</f>
        <v/>
      </c>
      <c r="F103" s="28">
        <f>'العقار'!L19</f>
        <v/>
      </c>
      <c r="G103" s="51">
        <f>'العقار'!N19</f>
        <v/>
      </c>
      <c r="H103" s="28">
        <f>'العقار'!O19</f>
        <v/>
      </c>
      <c r="I103" s="52">
        <f>'العقار'!G19</f>
        <v/>
      </c>
    </row>
    <row r="104">
      <c r="A104" s="28" t="n">
        <v>103</v>
      </c>
      <c r="B104" s="50" t="inlineStr">
        <is>
          <t>التقنية الرقمية</t>
        </is>
      </c>
      <c r="C104" s="50">
        <f>'التقنية الرقمية'!C4</f>
        <v/>
      </c>
      <c r="D104" s="28">
        <f>'التقنية الرقمية'!J4</f>
        <v/>
      </c>
      <c r="E104" s="50">
        <f>'التقنية الرقمية'!K4</f>
        <v/>
      </c>
      <c r="F104" s="28">
        <f>'التقنية الرقمية'!L4</f>
        <v/>
      </c>
      <c r="G104" s="51">
        <f>'التقنية الرقمية'!N4</f>
        <v/>
      </c>
      <c r="H104" s="28">
        <f>'التقنية الرقمية'!O4</f>
        <v/>
      </c>
      <c r="I104" s="52">
        <f>'التقنية الرقمية'!G4</f>
        <v/>
      </c>
    </row>
    <row r="105">
      <c r="A105" s="28" t="n">
        <v>104</v>
      </c>
      <c r="B105" s="50" t="inlineStr">
        <is>
          <t>التقنية الرقمية</t>
        </is>
      </c>
      <c r="C105" s="50">
        <f>'التقنية الرقمية'!C5</f>
        <v/>
      </c>
      <c r="D105" s="28">
        <f>'التقنية الرقمية'!J5</f>
        <v/>
      </c>
      <c r="E105" s="50">
        <f>'التقنية الرقمية'!K5</f>
        <v/>
      </c>
      <c r="F105" s="28">
        <f>'التقنية الرقمية'!L5</f>
        <v/>
      </c>
      <c r="G105" s="51">
        <f>'التقنية الرقمية'!N5</f>
        <v/>
      </c>
      <c r="H105" s="28">
        <f>'التقنية الرقمية'!O5</f>
        <v/>
      </c>
      <c r="I105" s="52">
        <f>'التقنية الرقمية'!G5</f>
        <v/>
      </c>
    </row>
    <row r="106">
      <c r="A106" s="28" t="n">
        <v>105</v>
      </c>
      <c r="B106" s="50" t="inlineStr">
        <is>
          <t>التقنية الرقمية</t>
        </is>
      </c>
      <c r="C106" s="50">
        <f>'التقنية الرقمية'!C6</f>
        <v/>
      </c>
      <c r="D106" s="28">
        <f>'التقنية الرقمية'!J6</f>
        <v/>
      </c>
      <c r="E106" s="50">
        <f>'التقنية الرقمية'!K6</f>
        <v/>
      </c>
      <c r="F106" s="28">
        <f>'التقنية الرقمية'!L6</f>
        <v/>
      </c>
      <c r="G106" s="51">
        <f>'التقنية الرقمية'!N6</f>
        <v/>
      </c>
      <c r="H106" s="28">
        <f>'التقنية الرقمية'!O6</f>
        <v/>
      </c>
      <c r="I106" s="52">
        <f>'التقنية الرقمية'!G6</f>
        <v/>
      </c>
    </row>
    <row r="107">
      <c r="A107" s="28" t="n">
        <v>106</v>
      </c>
      <c r="B107" s="50" t="inlineStr">
        <is>
          <t>التقنية الرقمية</t>
        </is>
      </c>
      <c r="C107" s="50">
        <f>'التقنية الرقمية'!C7</f>
        <v/>
      </c>
      <c r="D107" s="28">
        <f>'التقنية الرقمية'!J7</f>
        <v/>
      </c>
      <c r="E107" s="50">
        <f>'التقنية الرقمية'!K7</f>
        <v/>
      </c>
      <c r="F107" s="28">
        <f>'التقنية الرقمية'!L7</f>
        <v/>
      </c>
      <c r="G107" s="51">
        <f>'التقنية الرقمية'!N7</f>
        <v/>
      </c>
      <c r="H107" s="28">
        <f>'التقنية الرقمية'!O7</f>
        <v/>
      </c>
      <c r="I107" s="52">
        <f>'التقنية الرقمية'!G7</f>
        <v/>
      </c>
    </row>
    <row r="108">
      <c r="A108" s="28" t="n">
        <v>107</v>
      </c>
      <c r="B108" s="50" t="inlineStr">
        <is>
          <t>التقنية الرقمية</t>
        </is>
      </c>
      <c r="C108" s="50">
        <f>'التقنية الرقمية'!C8</f>
        <v/>
      </c>
      <c r="D108" s="28">
        <f>'التقنية الرقمية'!J8</f>
        <v/>
      </c>
      <c r="E108" s="50">
        <f>'التقنية الرقمية'!K8</f>
        <v/>
      </c>
      <c r="F108" s="28">
        <f>'التقنية الرقمية'!L8</f>
        <v/>
      </c>
      <c r="G108" s="51">
        <f>'التقنية الرقمية'!N8</f>
        <v/>
      </c>
      <c r="H108" s="28">
        <f>'التقنية الرقمية'!O8</f>
        <v/>
      </c>
      <c r="I108" s="52">
        <f>'التقنية الرقمية'!G8</f>
        <v/>
      </c>
    </row>
    <row r="109">
      <c r="A109" s="28" t="n">
        <v>108</v>
      </c>
      <c r="B109" s="50" t="inlineStr">
        <is>
          <t>التقنية الرقمية</t>
        </is>
      </c>
      <c r="C109" s="50">
        <f>'التقنية الرقمية'!C9</f>
        <v/>
      </c>
      <c r="D109" s="28">
        <f>'التقنية الرقمية'!J9</f>
        <v/>
      </c>
      <c r="E109" s="50">
        <f>'التقنية الرقمية'!K9</f>
        <v/>
      </c>
      <c r="F109" s="28">
        <f>'التقنية الرقمية'!L9</f>
        <v/>
      </c>
      <c r="G109" s="51">
        <f>'التقنية الرقمية'!N9</f>
        <v/>
      </c>
      <c r="H109" s="28">
        <f>'التقنية الرقمية'!O9</f>
        <v/>
      </c>
      <c r="I109" s="52">
        <f>'التقنية الرقمية'!G9</f>
        <v/>
      </c>
    </row>
    <row r="110">
      <c r="A110" s="28" t="n">
        <v>109</v>
      </c>
      <c r="B110" s="50" t="inlineStr">
        <is>
          <t>التقنية الرقمية</t>
        </is>
      </c>
      <c r="C110" s="50">
        <f>'التقنية الرقمية'!C10</f>
        <v/>
      </c>
      <c r="D110" s="28">
        <f>'التقنية الرقمية'!J10</f>
        <v/>
      </c>
      <c r="E110" s="50">
        <f>'التقنية الرقمية'!K10</f>
        <v/>
      </c>
      <c r="F110" s="28">
        <f>'التقنية الرقمية'!L10</f>
        <v/>
      </c>
      <c r="G110" s="51">
        <f>'التقنية الرقمية'!N10</f>
        <v/>
      </c>
      <c r="H110" s="28">
        <f>'التقنية الرقمية'!O10</f>
        <v/>
      </c>
      <c r="I110" s="52">
        <f>'التقنية الرقمية'!G10</f>
        <v/>
      </c>
    </row>
    <row r="111">
      <c r="A111" s="28" t="n">
        <v>110</v>
      </c>
      <c r="B111" s="50" t="inlineStr">
        <is>
          <t>التقنية الرقمية</t>
        </is>
      </c>
      <c r="C111" s="50">
        <f>'التقنية الرقمية'!C11</f>
        <v/>
      </c>
      <c r="D111" s="28">
        <f>'التقنية الرقمية'!J11</f>
        <v/>
      </c>
      <c r="E111" s="50">
        <f>'التقنية الرقمية'!K11</f>
        <v/>
      </c>
      <c r="F111" s="28">
        <f>'التقنية الرقمية'!L11</f>
        <v/>
      </c>
      <c r="G111" s="51">
        <f>'التقنية الرقمية'!N11</f>
        <v/>
      </c>
      <c r="H111" s="28">
        <f>'التقنية الرقمية'!O11</f>
        <v/>
      </c>
      <c r="I111" s="52">
        <f>'التقنية الرقمية'!G11</f>
        <v/>
      </c>
    </row>
    <row r="112">
      <c r="A112" s="28" t="n">
        <v>111</v>
      </c>
      <c r="B112" s="50" t="inlineStr">
        <is>
          <t>التقنية الرقمية</t>
        </is>
      </c>
      <c r="C112" s="50">
        <f>'التقنية الرقمية'!C12</f>
        <v/>
      </c>
      <c r="D112" s="28">
        <f>'التقنية الرقمية'!J12</f>
        <v/>
      </c>
      <c r="E112" s="50">
        <f>'التقنية الرقمية'!K12</f>
        <v/>
      </c>
      <c r="F112" s="28">
        <f>'التقنية الرقمية'!L12</f>
        <v/>
      </c>
      <c r="G112" s="51">
        <f>'التقنية الرقمية'!N12</f>
        <v/>
      </c>
      <c r="H112" s="28">
        <f>'التقنية الرقمية'!O12</f>
        <v/>
      </c>
      <c r="I112" s="52">
        <f>'التقنية الرقمية'!G12</f>
        <v/>
      </c>
    </row>
    <row r="113">
      <c r="A113" s="28" t="n">
        <v>112</v>
      </c>
      <c r="B113" s="50" t="inlineStr">
        <is>
          <t>الموارد البشرية</t>
        </is>
      </c>
      <c r="C113" s="50">
        <f>'الموارد البشرية'!C4</f>
        <v/>
      </c>
      <c r="D113" s="28">
        <f>'الموارد البشرية'!J4</f>
        <v/>
      </c>
      <c r="E113" s="50">
        <f>'الموارد البشرية'!K4</f>
        <v/>
      </c>
      <c r="F113" s="28">
        <f>'الموارد البشرية'!L4</f>
        <v/>
      </c>
      <c r="G113" s="51">
        <f>'الموارد البشرية'!N4</f>
        <v/>
      </c>
      <c r="H113" s="28">
        <f>'الموارد البشرية'!O4</f>
        <v/>
      </c>
      <c r="I113" s="52">
        <f>'الموارد البشرية'!G4</f>
        <v/>
      </c>
    </row>
    <row r="114">
      <c r="A114" s="28" t="n">
        <v>113</v>
      </c>
      <c r="B114" s="50" t="inlineStr">
        <is>
          <t>الموارد البشرية</t>
        </is>
      </c>
      <c r="C114" s="50">
        <f>'الموارد البشرية'!C5</f>
        <v/>
      </c>
      <c r="D114" s="28">
        <f>'الموارد البشرية'!J5</f>
        <v/>
      </c>
      <c r="E114" s="50">
        <f>'الموارد البشرية'!K5</f>
        <v/>
      </c>
      <c r="F114" s="28">
        <f>'الموارد البشرية'!L5</f>
        <v/>
      </c>
      <c r="G114" s="51">
        <f>'الموارد البشرية'!N5</f>
        <v/>
      </c>
      <c r="H114" s="28">
        <f>'الموارد البشرية'!O5</f>
        <v/>
      </c>
      <c r="I114" s="52">
        <f>'الموارد البشرية'!G5</f>
        <v/>
      </c>
    </row>
    <row r="115">
      <c r="A115" s="28" t="n">
        <v>114</v>
      </c>
      <c r="B115" s="50" t="inlineStr">
        <is>
          <t>الموارد البشرية</t>
        </is>
      </c>
      <c r="C115" s="50">
        <f>'الموارد البشرية'!C6</f>
        <v/>
      </c>
      <c r="D115" s="28">
        <f>'الموارد البشرية'!J6</f>
        <v/>
      </c>
      <c r="E115" s="50">
        <f>'الموارد البشرية'!K6</f>
        <v/>
      </c>
      <c r="F115" s="28">
        <f>'الموارد البشرية'!L6</f>
        <v/>
      </c>
      <c r="G115" s="51">
        <f>'الموارد البشرية'!N6</f>
        <v/>
      </c>
      <c r="H115" s="28">
        <f>'الموارد البشرية'!O6</f>
        <v/>
      </c>
      <c r="I115" s="52">
        <f>'الموارد البشرية'!G6</f>
        <v/>
      </c>
    </row>
    <row r="116">
      <c r="A116" s="28" t="n">
        <v>115</v>
      </c>
      <c r="B116" s="50" t="inlineStr">
        <is>
          <t>الموارد البشرية</t>
        </is>
      </c>
      <c r="C116" s="50">
        <f>'الموارد البشرية'!C7</f>
        <v/>
      </c>
      <c r="D116" s="28">
        <f>'الموارد البشرية'!J7</f>
        <v/>
      </c>
      <c r="E116" s="50">
        <f>'الموارد البشرية'!K7</f>
        <v/>
      </c>
      <c r="F116" s="28">
        <f>'الموارد البشرية'!L7</f>
        <v/>
      </c>
      <c r="G116" s="51">
        <f>'الموارد البشرية'!N7</f>
        <v/>
      </c>
      <c r="H116" s="28">
        <f>'الموارد البشرية'!O7</f>
        <v/>
      </c>
      <c r="I116" s="52">
        <f>'الموارد البشرية'!G7</f>
        <v/>
      </c>
    </row>
    <row r="117">
      <c r="A117" s="28" t="n">
        <v>116</v>
      </c>
      <c r="B117" s="50" t="inlineStr">
        <is>
          <t>الموارد البشرية</t>
        </is>
      </c>
      <c r="C117" s="50">
        <f>'الموارد البشرية'!C8</f>
        <v/>
      </c>
      <c r="D117" s="28">
        <f>'الموارد البشرية'!J8</f>
        <v/>
      </c>
      <c r="E117" s="50">
        <f>'الموارد البشرية'!K8</f>
        <v/>
      </c>
      <c r="F117" s="28">
        <f>'الموارد البشرية'!L8</f>
        <v/>
      </c>
      <c r="G117" s="51">
        <f>'الموارد البشرية'!N8</f>
        <v/>
      </c>
      <c r="H117" s="28">
        <f>'الموارد البشرية'!O8</f>
        <v/>
      </c>
      <c r="I117" s="52">
        <f>'الموارد البشرية'!G8</f>
        <v/>
      </c>
    </row>
    <row r="118">
      <c r="A118" s="28" t="n">
        <v>117</v>
      </c>
      <c r="B118" s="50" t="inlineStr">
        <is>
          <t>الموارد البشرية</t>
        </is>
      </c>
      <c r="C118" s="50">
        <f>'الموارد البشرية'!C9</f>
        <v/>
      </c>
      <c r="D118" s="28">
        <f>'الموارد البشرية'!J9</f>
        <v/>
      </c>
      <c r="E118" s="50">
        <f>'الموارد البشرية'!K9</f>
        <v/>
      </c>
      <c r="F118" s="28">
        <f>'الموارد البشرية'!L9</f>
        <v/>
      </c>
      <c r="G118" s="51">
        <f>'الموارد البشرية'!N9</f>
        <v/>
      </c>
      <c r="H118" s="28">
        <f>'الموارد البشرية'!O9</f>
        <v/>
      </c>
      <c r="I118" s="52">
        <f>'الموارد البشرية'!G9</f>
        <v/>
      </c>
    </row>
    <row r="119">
      <c r="A119" s="28" t="n">
        <v>118</v>
      </c>
      <c r="B119" s="50" t="inlineStr">
        <is>
          <t>الموارد البشرية</t>
        </is>
      </c>
      <c r="C119" s="50">
        <f>'الموارد البشرية'!C10</f>
        <v/>
      </c>
      <c r="D119" s="28">
        <f>'الموارد البشرية'!J10</f>
        <v/>
      </c>
      <c r="E119" s="50">
        <f>'الموارد البشرية'!K10</f>
        <v/>
      </c>
      <c r="F119" s="28">
        <f>'الموارد البشرية'!L10</f>
        <v/>
      </c>
      <c r="G119" s="51">
        <f>'الموارد البشرية'!N10</f>
        <v/>
      </c>
      <c r="H119" s="28">
        <f>'الموارد البشرية'!O10</f>
        <v/>
      </c>
      <c r="I119" s="52">
        <f>'الموارد البشرية'!G10</f>
        <v/>
      </c>
    </row>
    <row r="120">
      <c r="A120" s="28" t="n">
        <v>119</v>
      </c>
      <c r="B120" s="50" t="inlineStr">
        <is>
          <t>الموارد البشرية</t>
        </is>
      </c>
      <c r="C120" s="50">
        <f>'الموارد البشرية'!C11</f>
        <v/>
      </c>
      <c r="D120" s="28">
        <f>'الموارد البشرية'!J11</f>
        <v/>
      </c>
      <c r="E120" s="50">
        <f>'الموارد البشرية'!K11</f>
        <v/>
      </c>
      <c r="F120" s="28">
        <f>'الموارد البشرية'!L11</f>
        <v/>
      </c>
      <c r="G120" s="51">
        <f>'الموارد البشرية'!N11</f>
        <v/>
      </c>
      <c r="H120" s="28">
        <f>'الموارد البشرية'!O11</f>
        <v/>
      </c>
      <c r="I120" s="52">
        <f>'الموارد البشرية'!G11</f>
        <v/>
      </c>
    </row>
    <row r="121">
      <c r="A121" s="28" t="n">
        <v>120</v>
      </c>
      <c r="B121" s="50" t="inlineStr">
        <is>
          <t>الموارد البشرية</t>
        </is>
      </c>
      <c r="C121" s="50">
        <f>'الموارد البشرية'!C12</f>
        <v/>
      </c>
      <c r="D121" s="28">
        <f>'الموارد البشرية'!J12</f>
        <v/>
      </c>
      <c r="E121" s="50">
        <f>'الموارد البشرية'!K12</f>
        <v/>
      </c>
      <c r="F121" s="28">
        <f>'الموارد البشرية'!L12</f>
        <v/>
      </c>
      <c r="G121" s="51">
        <f>'الموارد البشرية'!N12</f>
        <v/>
      </c>
      <c r="H121" s="28">
        <f>'الموارد البشرية'!O12</f>
        <v/>
      </c>
      <c r="I121" s="52">
        <f>'الموارد البشرية'!G12</f>
        <v/>
      </c>
    </row>
    <row r="122">
      <c r="A122" s="28" t="n">
        <v>121</v>
      </c>
      <c r="B122" s="50" t="inlineStr">
        <is>
          <t>الموارد البشرية</t>
        </is>
      </c>
      <c r="C122" s="50">
        <f>'الموارد البشرية'!C13</f>
        <v/>
      </c>
      <c r="D122" s="28">
        <f>'الموارد البشرية'!J13</f>
        <v/>
      </c>
      <c r="E122" s="50">
        <f>'الموارد البشرية'!K13</f>
        <v/>
      </c>
      <c r="F122" s="28">
        <f>'الموارد البشرية'!L13</f>
        <v/>
      </c>
      <c r="G122" s="51">
        <f>'الموارد البشرية'!N13</f>
        <v/>
      </c>
      <c r="H122" s="28">
        <f>'الموارد البشرية'!O13</f>
        <v/>
      </c>
      <c r="I122" s="52">
        <f>'الموارد البشرية'!G13</f>
        <v/>
      </c>
    </row>
    <row r="123">
      <c r="A123" s="28" t="n">
        <v>122</v>
      </c>
      <c r="B123" s="50" t="inlineStr">
        <is>
          <t>الموارد البشرية</t>
        </is>
      </c>
      <c r="C123" s="50">
        <f>'الموارد البشرية'!C14</f>
        <v/>
      </c>
      <c r="D123" s="28">
        <f>'الموارد البشرية'!J14</f>
        <v/>
      </c>
      <c r="E123" s="50">
        <f>'الموارد البشرية'!K14</f>
        <v/>
      </c>
      <c r="F123" s="28">
        <f>'الموارد البشرية'!L14</f>
        <v/>
      </c>
      <c r="G123" s="51">
        <f>'الموارد البشرية'!N14</f>
        <v/>
      </c>
      <c r="H123" s="28">
        <f>'الموارد البشرية'!O14</f>
        <v/>
      </c>
      <c r="I123" s="52">
        <f>'الموارد البشرية'!G14</f>
        <v/>
      </c>
    </row>
    <row r="124">
      <c r="A124" s="28" t="n">
        <v>123</v>
      </c>
      <c r="B124" s="50" t="inlineStr">
        <is>
          <t>الموارد البشرية</t>
        </is>
      </c>
      <c r="C124" s="50">
        <f>'الموارد البشرية'!C15</f>
        <v/>
      </c>
      <c r="D124" s="28">
        <f>'الموارد البشرية'!J15</f>
        <v/>
      </c>
      <c r="E124" s="50">
        <f>'الموارد البشرية'!K15</f>
        <v/>
      </c>
      <c r="F124" s="28">
        <f>'الموارد البشرية'!L15</f>
        <v/>
      </c>
      <c r="G124" s="51">
        <f>'الموارد البشرية'!N15</f>
        <v/>
      </c>
      <c r="H124" s="28">
        <f>'الموارد البشرية'!O15</f>
        <v/>
      </c>
      <c r="I124" s="52">
        <f>'الموارد البشرية'!G15</f>
        <v/>
      </c>
    </row>
    <row r="125">
      <c r="A125" s="28" t="n">
        <v>124</v>
      </c>
      <c r="B125" s="50" t="inlineStr">
        <is>
          <t>الموارد البشرية</t>
        </is>
      </c>
      <c r="C125" s="50">
        <f>'الموارد البشرية'!C16</f>
        <v/>
      </c>
      <c r="D125" s="28">
        <f>'الموارد البشرية'!J16</f>
        <v/>
      </c>
      <c r="E125" s="50">
        <f>'الموارد البشرية'!K16</f>
        <v/>
      </c>
      <c r="F125" s="28">
        <f>'الموارد البشرية'!L16</f>
        <v/>
      </c>
      <c r="G125" s="51">
        <f>'الموارد البشرية'!N16</f>
        <v/>
      </c>
      <c r="H125" s="28">
        <f>'الموارد البشرية'!O16</f>
        <v/>
      </c>
      <c r="I125" s="52">
        <f>'الموارد البشرية'!G16</f>
        <v/>
      </c>
    </row>
    <row r="126">
      <c r="A126" s="28" t="n">
        <v>125</v>
      </c>
      <c r="B126" s="50" t="inlineStr">
        <is>
          <t>الموارد البشرية</t>
        </is>
      </c>
      <c r="C126" s="50">
        <f>'الموارد البشرية'!C17</f>
        <v/>
      </c>
      <c r="D126" s="28">
        <f>'الموارد البشرية'!J17</f>
        <v/>
      </c>
      <c r="E126" s="50">
        <f>'الموارد البشرية'!K17</f>
        <v/>
      </c>
      <c r="F126" s="28">
        <f>'الموارد البشرية'!L17</f>
        <v/>
      </c>
      <c r="G126" s="51">
        <f>'الموارد البشرية'!N17</f>
        <v/>
      </c>
      <c r="H126" s="28">
        <f>'الموارد البشرية'!O17</f>
        <v/>
      </c>
      <c r="I126" s="52">
        <f>'الموارد البشرية'!G17</f>
        <v/>
      </c>
    </row>
    <row r="127">
      <c r="A127" s="28" t="n">
        <v>126</v>
      </c>
      <c r="B127" s="50" t="inlineStr">
        <is>
          <t>الموارد البشرية</t>
        </is>
      </c>
      <c r="C127" s="50">
        <f>'الموارد البشرية'!C18</f>
        <v/>
      </c>
      <c r="D127" s="28">
        <f>'الموارد البشرية'!J18</f>
        <v/>
      </c>
      <c r="E127" s="50">
        <f>'الموارد البشرية'!K18</f>
        <v/>
      </c>
      <c r="F127" s="28">
        <f>'الموارد البشرية'!L18</f>
        <v/>
      </c>
      <c r="G127" s="51">
        <f>'الموارد البشرية'!N18</f>
        <v/>
      </c>
      <c r="H127" s="28">
        <f>'الموارد البشرية'!O18</f>
        <v/>
      </c>
      <c r="I127" s="52">
        <f>'الموارد البشرية'!G18</f>
        <v/>
      </c>
    </row>
    <row r="128">
      <c r="A128" s="28" t="n">
        <v>127</v>
      </c>
      <c r="B128" s="50" t="inlineStr">
        <is>
          <t>الموارد البشرية</t>
        </is>
      </c>
      <c r="C128" s="50">
        <f>'الموارد البشرية'!C19</f>
        <v/>
      </c>
      <c r="D128" s="28">
        <f>'الموارد البشرية'!J19</f>
        <v/>
      </c>
      <c r="E128" s="50">
        <f>'الموارد البشرية'!K19</f>
        <v/>
      </c>
      <c r="F128" s="28">
        <f>'الموارد البشرية'!L19</f>
        <v/>
      </c>
      <c r="G128" s="51">
        <f>'الموارد البشرية'!N19</f>
        <v/>
      </c>
      <c r="H128" s="28">
        <f>'الموارد البشرية'!O19</f>
        <v/>
      </c>
      <c r="I128" s="52">
        <f>'الموارد البشرية'!G19</f>
        <v/>
      </c>
    </row>
    <row r="129">
      <c r="A129" s="28" t="n">
        <v>128</v>
      </c>
      <c r="B129" s="50" t="inlineStr">
        <is>
          <t>الموارد البشرية</t>
        </is>
      </c>
      <c r="C129" s="50">
        <f>'الموارد البشرية'!C20</f>
        <v/>
      </c>
      <c r="D129" s="28">
        <f>'الموارد البشرية'!J20</f>
        <v/>
      </c>
      <c r="E129" s="50">
        <f>'الموارد البشرية'!K20</f>
        <v/>
      </c>
      <c r="F129" s="28">
        <f>'الموارد البشرية'!L20</f>
        <v/>
      </c>
      <c r="G129" s="51">
        <f>'الموارد البشرية'!N20</f>
        <v/>
      </c>
      <c r="H129" s="28">
        <f>'الموارد البشرية'!O20</f>
        <v/>
      </c>
      <c r="I129" s="52">
        <f>'الموارد البشرية'!G20</f>
        <v/>
      </c>
    </row>
    <row r="130">
      <c r="A130" s="28" t="n">
        <v>129</v>
      </c>
      <c r="B130" s="50" t="inlineStr">
        <is>
          <t>التسويق</t>
        </is>
      </c>
      <c r="C130" s="50">
        <f>'التسويق'!C4</f>
        <v/>
      </c>
      <c r="D130" s="28">
        <f>'التسويق'!J4</f>
        <v/>
      </c>
      <c r="E130" s="50">
        <f>'التسويق'!K4</f>
        <v/>
      </c>
      <c r="F130" s="28">
        <f>'التسويق'!L4</f>
        <v/>
      </c>
      <c r="G130" s="51">
        <f>'التسويق'!N4</f>
        <v/>
      </c>
      <c r="H130" s="28">
        <f>'التسويق'!O4</f>
        <v/>
      </c>
      <c r="I130" s="52">
        <f>'التسويق'!G4</f>
        <v/>
      </c>
    </row>
    <row r="131">
      <c r="A131" s="28" t="n">
        <v>130</v>
      </c>
      <c r="B131" s="50" t="inlineStr">
        <is>
          <t>التسويق</t>
        </is>
      </c>
      <c r="C131" s="50">
        <f>'التسويق'!C5</f>
        <v/>
      </c>
      <c r="D131" s="28">
        <f>'التسويق'!J5</f>
        <v/>
      </c>
      <c r="E131" s="50">
        <f>'التسويق'!K5</f>
        <v/>
      </c>
      <c r="F131" s="28">
        <f>'التسويق'!L5</f>
        <v/>
      </c>
      <c r="G131" s="51">
        <f>'التسويق'!N5</f>
        <v/>
      </c>
      <c r="H131" s="28">
        <f>'التسويق'!O5</f>
        <v/>
      </c>
      <c r="I131" s="52">
        <f>'التسويق'!G5</f>
        <v/>
      </c>
    </row>
    <row r="132">
      <c r="A132" s="28" t="n">
        <v>131</v>
      </c>
      <c r="B132" s="50" t="inlineStr">
        <is>
          <t>التسويق</t>
        </is>
      </c>
      <c r="C132" s="50">
        <f>'التسويق'!C6</f>
        <v/>
      </c>
      <c r="D132" s="28">
        <f>'التسويق'!J6</f>
        <v/>
      </c>
      <c r="E132" s="50">
        <f>'التسويق'!K6</f>
        <v/>
      </c>
      <c r="F132" s="28">
        <f>'التسويق'!L6</f>
        <v/>
      </c>
      <c r="G132" s="51">
        <f>'التسويق'!N6</f>
        <v/>
      </c>
      <c r="H132" s="28">
        <f>'التسويق'!O6</f>
        <v/>
      </c>
      <c r="I132" s="52">
        <f>'التسويق'!G6</f>
        <v/>
      </c>
    </row>
    <row r="133">
      <c r="A133" s="28" t="n">
        <v>132</v>
      </c>
      <c r="B133" s="50" t="inlineStr">
        <is>
          <t>التسويق</t>
        </is>
      </c>
      <c r="C133" s="50">
        <f>'التسويق'!C7</f>
        <v/>
      </c>
      <c r="D133" s="28">
        <f>'التسويق'!J7</f>
        <v/>
      </c>
      <c r="E133" s="50">
        <f>'التسويق'!K7</f>
        <v/>
      </c>
      <c r="F133" s="28">
        <f>'التسويق'!L7</f>
        <v/>
      </c>
      <c r="G133" s="51">
        <f>'التسويق'!N7</f>
        <v/>
      </c>
      <c r="H133" s="28">
        <f>'التسويق'!O7</f>
        <v/>
      </c>
      <c r="I133" s="52">
        <f>'التسويق'!G7</f>
        <v/>
      </c>
    </row>
    <row r="134">
      <c r="A134" s="28" t="n">
        <v>133</v>
      </c>
      <c r="B134" s="50" t="inlineStr">
        <is>
          <t>التسويق</t>
        </is>
      </c>
      <c r="C134" s="50">
        <f>'التسويق'!C8</f>
        <v/>
      </c>
      <c r="D134" s="28">
        <f>'التسويق'!J8</f>
        <v/>
      </c>
      <c r="E134" s="50">
        <f>'التسويق'!K8</f>
        <v/>
      </c>
      <c r="F134" s="28">
        <f>'التسويق'!L8</f>
        <v/>
      </c>
      <c r="G134" s="51">
        <f>'التسويق'!N8</f>
        <v/>
      </c>
      <c r="H134" s="28">
        <f>'التسويق'!O8</f>
        <v/>
      </c>
      <c r="I134" s="52">
        <f>'التسويق'!G8</f>
        <v/>
      </c>
    </row>
    <row r="135">
      <c r="A135" s="28" t="n">
        <v>134</v>
      </c>
      <c r="B135" s="50" t="inlineStr">
        <is>
          <t>التسويق</t>
        </is>
      </c>
      <c r="C135" s="50">
        <f>'التسويق'!C9</f>
        <v/>
      </c>
      <c r="D135" s="28">
        <f>'التسويق'!J9</f>
        <v/>
      </c>
      <c r="E135" s="50">
        <f>'التسويق'!K9</f>
        <v/>
      </c>
      <c r="F135" s="28">
        <f>'التسويق'!L9</f>
        <v/>
      </c>
      <c r="G135" s="51">
        <f>'التسويق'!N9</f>
        <v/>
      </c>
      <c r="H135" s="28">
        <f>'التسويق'!O9</f>
        <v/>
      </c>
      <c r="I135" s="52">
        <f>'التسويق'!G9</f>
        <v/>
      </c>
    </row>
    <row r="136">
      <c r="A136" s="28" t="n">
        <v>135</v>
      </c>
      <c r="B136" s="50" t="inlineStr">
        <is>
          <t>التسويق</t>
        </is>
      </c>
      <c r="C136" s="50">
        <f>'التسويق'!C10</f>
        <v/>
      </c>
      <c r="D136" s="28">
        <f>'التسويق'!J10</f>
        <v/>
      </c>
      <c r="E136" s="50">
        <f>'التسويق'!K10</f>
        <v/>
      </c>
      <c r="F136" s="28">
        <f>'التسويق'!L10</f>
        <v/>
      </c>
      <c r="G136" s="51">
        <f>'التسويق'!N10</f>
        <v/>
      </c>
      <c r="H136" s="28">
        <f>'التسويق'!O10</f>
        <v/>
      </c>
      <c r="I136" s="52">
        <f>'التسويق'!G10</f>
        <v/>
      </c>
    </row>
    <row r="137">
      <c r="A137" s="28" t="n">
        <v>136</v>
      </c>
      <c r="B137" s="50" t="inlineStr">
        <is>
          <t>التسويق</t>
        </is>
      </c>
      <c r="C137" s="50">
        <f>'التسويق'!C11</f>
        <v/>
      </c>
      <c r="D137" s="28">
        <f>'التسويق'!J11</f>
        <v/>
      </c>
      <c r="E137" s="50">
        <f>'التسويق'!K11</f>
        <v/>
      </c>
      <c r="F137" s="28">
        <f>'التسويق'!L11</f>
        <v/>
      </c>
      <c r="G137" s="51">
        <f>'التسويق'!N11</f>
        <v/>
      </c>
      <c r="H137" s="28">
        <f>'التسويق'!O11</f>
        <v/>
      </c>
      <c r="I137" s="52">
        <f>'التسويق'!G11</f>
        <v/>
      </c>
    </row>
    <row r="138">
      <c r="A138" s="28" t="n">
        <v>137</v>
      </c>
      <c r="B138" s="50" t="inlineStr">
        <is>
          <t>التسويق</t>
        </is>
      </c>
      <c r="C138" s="50">
        <f>'التسويق'!C12</f>
        <v/>
      </c>
      <c r="D138" s="28">
        <f>'التسويق'!J12</f>
        <v/>
      </c>
      <c r="E138" s="50">
        <f>'التسويق'!K12</f>
        <v/>
      </c>
      <c r="F138" s="28">
        <f>'التسويق'!L12</f>
        <v/>
      </c>
      <c r="G138" s="51">
        <f>'التسويق'!N12</f>
        <v/>
      </c>
      <c r="H138" s="28">
        <f>'التسويق'!O12</f>
        <v/>
      </c>
      <c r="I138" s="52">
        <f>'التسويق'!G12</f>
        <v/>
      </c>
    </row>
    <row r="139">
      <c r="A139" s="28" t="n">
        <v>138</v>
      </c>
      <c r="B139" s="50" t="inlineStr">
        <is>
          <t>التسويق</t>
        </is>
      </c>
      <c r="C139" s="50">
        <f>'التسويق'!C13</f>
        <v/>
      </c>
      <c r="D139" s="28">
        <f>'التسويق'!J13</f>
        <v/>
      </c>
      <c r="E139" s="50">
        <f>'التسويق'!K13</f>
        <v/>
      </c>
      <c r="F139" s="28">
        <f>'التسويق'!L13</f>
        <v/>
      </c>
      <c r="G139" s="51">
        <f>'التسويق'!N13</f>
        <v/>
      </c>
      <c r="H139" s="28">
        <f>'التسويق'!O13</f>
        <v/>
      </c>
      <c r="I139" s="52">
        <f>'التسويق'!G13</f>
        <v/>
      </c>
    </row>
    <row r="140">
      <c r="A140" s="28" t="n">
        <v>139</v>
      </c>
      <c r="B140" s="50" t="inlineStr">
        <is>
          <t>التسويق</t>
        </is>
      </c>
      <c r="C140" s="50">
        <f>'التسويق'!C14</f>
        <v/>
      </c>
      <c r="D140" s="28">
        <f>'التسويق'!J14</f>
        <v/>
      </c>
      <c r="E140" s="50">
        <f>'التسويق'!K14</f>
        <v/>
      </c>
      <c r="F140" s="28">
        <f>'التسويق'!L14</f>
        <v/>
      </c>
      <c r="G140" s="51">
        <f>'التسويق'!N14</f>
        <v/>
      </c>
      <c r="H140" s="28">
        <f>'التسويق'!O14</f>
        <v/>
      </c>
      <c r="I140" s="52">
        <f>'التسويق'!G14</f>
        <v/>
      </c>
    </row>
    <row r="141">
      <c r="A141" s="28" t="n">
        <v>140</v>
      </c>
      <c r="B141" s="50" t="inlineStr">
        <is>
          <t>التسويق</t>
        </is>
      </c>
      <c r="C141" s="50">
        <f>'التسويق'!C15</f>
        <v/>
      </c>
      <c r="D141" s="28">
        <f>'التسويق'!J15</f>
        <v/>
      </c>
      <c r="E141" s="50">
        <f>'التسويق'!K15</f>
        <v/>
      </c>
      <c r="F141" s="28">
        <f>'التسويق'!L15</f>
        <v/>
      </c>
      <c r="G141" s="51">
        <f>'التسويق'!N15</f>
        <v/>
      </c>
      <c r="H141" s="28">
        <f>'التسويق'!O15</f>
        <v/>
      </c>
      <c r="I141" s="52">
        <f>'التسويق'!G15</f>
        <v/>
      </c>
    </row>
    <row r="142">
      <c r="A142" s="28" t="n">
        <v>141</v>
      </c>
      <c r="B142" s="50" t="inlineStr">
        <is>
          <t>التسويق</t>
        </is>
      </c>
      <c r="C142" s="50">
        <f>'التسويق'!C16</f>
        <v/>
      </c>
      <c r="D142" s="28">
        <f>'التسويق'!J16</f>
        <v/>
      </c>
      <c r="E142" s="50">
        <f>'التسويق'!K16</f>
        <v/>
      </c>
      <c r="F142" s="28">
        <f>'التسويق'!L16</f>
        <v/>
      </c>
      <c r="G142" s="51">
        <f>'التسويق'!N16</f>
        <v/>
      </c>
      <c r="H142" s="28">
        <f>'التسويق'!O16</f>
        <v/>
      </c>
      <c r="I142" s="52">
        <f>'التسويق'!G16</f>
        <v/>
      </c>
    </row>
    <row r="143">
      <c r="A143" s="28" t="n">
        <v>142</v>
      </c>
      <c r="B143" s="50" t="inlineStr">
        <is>
          <t>التسويق</t>
        </is>
      </c>
      <c r="C143" s="50">
        <f>'التسويق'!C17</f>
        <v/>
      </c>
      <c r="D143" s="28">
        <f>'التسويق'!J17</f>
        <v/>
      </c>
      <c r="E143" s="50">
        <f>'التسويق'!K17</f>
        <v/>
      </c>
      <c r="F143" s="28">
        <f>'التسويق'!L17</f>
        <v/>
      </c>
      <c r="G143" s="51">
        <f>'التسويق'!N17</f>
        <v/>
      </c>
      <c r="H143" s="28">
        <f>'التسويق'!O17</f>
        <v/>
      </c>
      <c r="I143" s="52">
        <f>'التسويق'!G17</f>
        <v/>
      </c>
    </row>
    <row r="144">
      <c r="A144" s="28" t="n">
        <v>143</v>
      </c>
      <c r="B144" s="50" t="inlineStr">
        <is>
          <t>التسويق</t>
        </is>
      </c>
      <c r="C144" s="50">
        <f>'التسويق'!C18</f>
        <v/>
      </c>
      <c r="D144" s="28">
        <f>'التسويق'!J18</f>
        <v/>
      </c>
      <c r="E144" s="50">
        <f>'التسويق'!K18</f>
        <v/>
      </c>
      <c r="F144" s="28">
        <f>'التسويق'!L18</f>
        <v/>
      </c>
      <c r="G144" s="51">
        <f>'التسويق'!N18</f>
        <v/>
      </c>
      <c r="H144" s="28">
        <f>'التسويق'!O18</f>
        <v/>
      </c>
      <c r="I144" s="52">
        <f>'التسويق'!G18</f>
        <v/>
      </c>
    </row>
    <row r="145">
      <c r="A145" s="28" t="n">
        <v>144</v>
      </c>
      <c r="B145" s="50" t="inlineStr">
        <is>
          <t>الجودة</t>
        </is>
      </c>
      <c r="C145" s="50">
        <f>'الجودة'!C4</f>
        <v/>
      </c>
      <c r="D145" s="28">
        <f>'الجودة'!J4</f>
        <v/>
      </c>
      <c r="E145" s="50">
        <f>'الجودة'!K4</f>
        <v/>
      </c>
      <c r="F145" s="28">
        <f>'الجودة'!L4</f>
        <v/>
      </c>
      <c r="G145" s="51">
        <f>'الجودة'!N4</f>
        <v/>
      </c>
      <c r="H145" s="28">
        <f>'الجودة'!O4</f>
        <v/>
      </c>
      <c r="I145" s="52">
        <f>'الجودة'!G4</f>
        <v/>
      </c>
    </row>
    <row r="146">
      <c r="A146" s="28" t="n">
        <v>145</v>
      </c>
      <c r="B146" s="50" t="inlineStr">
        <is>
          <t>الجودة</t>
        </is>
      </c>
      <c r="C146" s="50">
        <f>'الجودة'!C5</f>
        <v/>
      </c>
      <c r="D146" s="28">
        <f>'الجودة'!J5</f>
        <v/>
      </c>
      <c r="E146" s="50">
        <f>'الجودة'!K5</f>
        <v/>
      </c>
      <c r="F146" s="28">
        <f>'الجودة'!L5</f>
        <v/>
      </c>
      <c r="G146" s="51">
        <f>'الجودة'!N5</f>
        <v/>
      </c>
      <c r="H146" s="28">
        <f>'الجودة'!O5</f>
        <v/>
      </c>
      <c r="I146" s="52">
        <f>'الجودة'!G5</f>
        <v/>
      </c>
    </row>
    <row r="147">
      <c r="A147" s="28" t="n">
        <v>146</v>
      </c>
      <c r="B147" s="50" t="inlineStr">
        <is>
          <t>الجودة</t>
        </is>
      </c>
      <c r="C147" s="50">
        <f>'الجودة'!C6</f>
        <v/>
      </c>
      <c r="D147" s="28">
        <f>'الجودة'!J6</f>
        <v/>
      </c>
      <c r="E147" s="50">
        <f>'الجودة'!K6</f>
        <v/>
      </c>
      <c r="F147" s="28">
        <f>'الجودة'!L6</f>
        <v/>
      </c>
      <c r="G147" s="51">
        <f>'الجودة'!N6</f>
        <v/>
      </c>
      <c r="H147" s="28">
        <f>'الجودة'!O6</f>
        <v/>
      </c>
      <c r="I147" s="52">
        <f>'الجودة'!G6</f>
        <v/>
      </c>
    </row>
    <row r="148">
      <c r="A148" s="28" t="n">
        <v>147</v>
      </c>
      <c r="B148" s="50" t="inlineStr">
        <is>
          <t>الجودة</t>
        </is>
      </c>
      <c r="C148" s="50">
        <f>'الجودة'!C7</f>
        <v/>
      </c>
      <c r="D148" s="28">
        <f>'الجودة'!J7</f>
        <v/>
      </c>
      <c r="E148" s="50">
        <f>'الجودة'!K7</f>
        <v/>
      </c>
      <c r="F148" s="28">
        <f>'الجودة'!L7</f>
        <v/>
      </c>
      <c r="G148" s="51">
        <f>'الجودة'!N7</f>
        <v/>
      </c>
      <c r="H148" s="28">
        <f>'الجودة'!O7</f>
        <v/>
      </c>
      <c r="I148" s="52">
        <f>'الجودة'!G7</f>
        <v/>
      </c>
    </row>
    <row r="149">
      <c r="A149" s="28" t="n">
        <v>148</v>
      </c>
      <c r="B149" s="50" t="inlineStr">
        <is>
          <t>الجودة</t>
        </is>
      </c>
      <c r="C149" s="50">
        <f>'الجودة'!C8</f>
        <v/>
      </c>
      <c r="D149" s="28">
        <f>'الجودة'!J8</f>
        <v/>
      </c>
      <c r="E149" s="50">
        <f>'الجودة'!K8</f>
        <v/>
      </c>
      <c r="F149" s="28">
        <f>'الجودة'!L8</f>
        <v/>
      </c>
      <c r="G149" s="51">
        <f>'الجودة'!N8</f>
        <v/>
      </c>
      <c r="H149" s="28">
        <f>'الجودة'!O8</f>
        <v/>
      </c>
      <c r="I149" s="52">
        <f>'الجودة'!G8</f>
        <v/>
      </c>
    </row>
    <row r="150">
      <c r="A150" s="28" t="n">
        <v>149</v>
      </c>
      <c r="B150" s="50" t="inlineStr">
        <is>
          <t>الجودة</t>
        </is>
      </c>
      <c r="C150" s="50">
        <f>'الجودة'!C9</f>
        <v/>
      </c>
      <c r="D150" s="28">
        <f>'الجودة'!J9</f>
        <v/>
      </c>
      <c r="E150" s="50">
        <f>'الجودة'!K9</f>
        <v/>
      </c>
      <c r="F150" s="28">
        <f>'الجودة'!L9</f>
        <v/>
      </c>
      <c r="G150" s="51">
        <f>'الجودة'!N9</f>
        <v/>
      </c>
      <c r="H150" s="28">
        <f>'الجودة'!O9</f>
        <v/>
      </c>
      <c r="I150" s="52">
        <f>'الجودة'!G9</f>
        <v/>
      </c>
    </row>
    <row r="151">
      <c r="A151" s="28" t="n">
        <v>150</v>
      </c>
      <c r="B151" s="50" t="inlineStr">
        <is>
          <t>الجودة</t>
        </is>
      </c>
      <c r="C151" s="50">
        <f>'الجودة'!C10</f>
        <v/>
      </c>
      <c r="D151" s="28">
        <f>'الجودة'!J10</f>
        <v/>
      </c>
      <c r="E151" s="50">
        <f>'الجودة'!K10</f>
        <v/>
      </c>
      <c r="F151" s="28">
        <f>'الجودة'!L10</f>
        <v/>
      </c>
      <c r="G151" s="51">
        <f>'الجودة'!N10</f>
        <v/>
      </c>
      <c r="H151" s="28">
        <f>'الجودة'!O10</f>
        <v/>
      </c>
      <c r="I151" s="52">
        <f>'الجودة'!G10</f>
        <v/>
      </c>
    </row>
    <row r="152">
      <c r="A152" s="28" t="n">
        <v>151</v>
      </c>
      <c r="B152" s="50" t="inlineStr">
        <is>
          <t>الجودة</t>
        </is>
      </c>
      <c r="C152" s="50">
        <f>'الجودة'!C11</f>
        <v/>
      </c>
      <c r="D152" s="28">
        <f>'الجودة'!J11</f>
        <v/>
      </c>
      <c r="E152" s="50">
        <f>'الجودة'!K11</f>
        <v/>
      </c>
      <c r="F152" s="28">
        <f>'الجودة'!L11</f>
        <v/>
      </c>
      <c r="G152" s="51">
        <f>'الجودة'!N11</f>
        <v/>
      </c>
      <c r="H152" s="28">
        <f>'الجودة'!O11</f>
        <v/>
      </c>
      <c r="I152" s="52">
        <f>'الجودة'!G11</f>
        <v/>
      </c>
    </row>
    <row r="153">
      <c r="A153" s="28" t="n">
        <v>152</v>
      </c>
      <c r="B153" s="50" t="inlineStr">
        <is>
          <t>الجودة</t>
        </is>
      </c>
      <c r="C153" s="50">
        <f>'الجودة'!C12</f>
        <v/>
      </c>
      <c r="D153" s="28">
        <f>'الجودة'!J12</f>
        <v/>
      </c>
      <c r="E153" s="50">
        <f>'الجودة'!K12</f>
        <v/>
      </c>
      <c r="F153" s="28">
        <f>'الجودة'!L12</f>
        <v/>
      </c>
      <c r="G153" s="51">
        <f>'الجودة'!N12</f>
        <v/>
      </c>
      <c r="H153" s="28">
        <f>'الجودة'!O12</f>
        <v/>
      </c>
      <c r="I153" s="52">
        <f>'الجودة'!G12</f>
        <v/>
      </c>
    </row>
    <row r="154">
      <c r="A154" s="28" t="n">
        <v>153</v>
      </c>
      <c r="B154" s="50" t="inlineStr">
        <is>
          <t>الجودة</t>
        </is>
      </c>
      <c r="C154" s="50">
        <f>'الجودة'!C13</f>
        <v/>
      </c>
      <c r="D154" s="28">
        <f>'الجودة'!J13</f>
        <v/>
      </c>
      <c r="E154" s="50">
        <f>'الجودة'!K13</f>
        <v/>
      </c>
      <c r="F154" s="28">
        <f>'الجودة'!L13</f>
        <v/>
      </c>
      <c r="G154" s="51">
        <f>'الجودة'!N13</f>
        <v/>
      </c>
      <c r="H154" s="28">
        <f>'الجودة'!O13</f>
        <v/>
      </c>
      <c r="I154" s="52">
        <f>'الجودة'!G13</f>
        <v/>
      </c>
    </row>
    <row r="155">
      <c r="A155" s="28" t="n">
        <v>154</v>
      </c>
      <c r="B155" s="50" t="inlineStr">
        <is>
          <t>الجودة</t>
        </is>
      </c>
      <c r="C155" s="50">
        <f>'الجودة'!C14</f>
        <v/>
      </c>
      <c r="D155" s="28">
        <f>'الجودة'!J14</f>
        <v/>
      </c>
      <c r="E155" s="50">
        <f>'الجودة'!K14</f>
        <v/>
      </c>
      <c r="F155" s="28">
        <f>'الجودة'!L14</f>
        <v/>
      </c>
      <c r="G155" s="51">
        <f>'الجودة'!N14</f>
        <v/>
      </c>
      <c r="H155" s="28">
        <f>'الجودة'!O14</f>
        <v/>
      </c>
      <c r="I155" s="52">
        <f>'الجودة'!G14</f>
        <v/>
      </c>
    </row>
    <row r="156">
      <c r="A156" s="28" t="n">
        <v>155</v>
      </c>
      <c r="B156" s="50" t="inlineStr">
        <is>
          <t>الجودة</t>
        </is>
      </c>
      <c r="C156" s="50">
        <f>'الجودة'!C15</f>
        <v/>
      </c>
      <c r="D156" s="28">
        <f>'الجودة'!J15</f>
        <v/>
      </c>
      <c r="E156" s="50">
        <f>'الجودة'!K15</f>
        <v/>
      </c>
      <c r="F156" s="28">
        <f>'الجودة'!L15</f>
        <v/>
      </c>
      <c r="G156" s="51">
        <f>'الجودة'!N15</f>
        <v/>
      </c>
      <c r="H156" s="28">
        <f>'الجودة'!O15</f>
        <v/>
      </c>
      <c r="I156" s="52">
        <f>'الجودة'!G15</f>
        <v/>
      </c>
    </row>
    <row r="157">
      <c r="A157" s="28" t="n">
        <v>156</v>
      </c>
      <c r="B157" s="50" t="inlineStr">
        <is>
          <t>الجودة</t>
        </is>
      </c>
      <c r="C157" s="50">
        <f>'الجودة'!C16</f>
        <v/>
      </c>
      <c r="D157" s="28">
        <f>'الجودة'!J16</f>
        <v/>
      </c>
      <c r="E157" s="50">
        <f>'الجودة'!K16</f>
        <v/>
      </c>
      <c r="F157" s="28">
        <f>'الجودة'!L16</f>
        <v/>
      </c>
      <c r="G157" s="51">
        <f>'الجودة'!N16</f>
        <v/>
      </c>
      <c r="H157" s="28">
        <f>'الجودة'!O16</f>
        <v/>
      </c>
      <c r="I157" s="52">
        <f>'الجودة'!G16</f>
        <v/>
      </c>
    </row>
    <row r="158">
      <c r="A158" s="28" t="n">
        <v>157</v>
      </c>
      <c r="B158" s="50" t="inlineStr">
        <is>
          <t>الجودة</t>
        </is>
      </c>
      <c r="C158" s="50">
        <f>'الجودة'!C17</f>
        <v/>
      </c>
      <c r="D158" s="28">
        <f>'الجودة'!J17</f>
        <v/>
      </c>
      <c r="E158" s="50">
        <f>'الجودة'!K17</f>
        <v/>
      </c>
      <c r="F158" s="28">
        <f>'الجودة'!L17</f>
        <v/>
      </c>
      <c r="G158" s="51">
        <f>'الجودة'!N17</f>
        <v/>
      </c>
      <c r="H158" s="28">
        <f>'الجودة'!O17</f>
        <v/>
      </c>
      <c r="I158" s="52">
        <f>'الجودة'!G17</f>
        <v/>
      </c>
    </row>
    <row r="159">
      <c r="A159" s="28" t="n">
        <v>158</v>
      </c>
      <c r="B159" s="50" t="inlineStr">
        <is>
          <t>الإدارة القانونية</t>
        </is>
      </c>
      <c r="C159" s="50">
        <f>'الإدارة القانونية'!C4</f>
        <v/>
      </c>
      <c r="D159" s="28">
        <f>'الإدارة القانونية'!J4</f>
        <v/>
      </c>
      <c r="E159" s="50">
        <f>'الإدارة القانونية'!K4</f>
        <v/>
      </c>
      <c r="F159" s="28">
        <f>'الإدارة القانونية'!L4</f>
        <v/>
      </c>
      <c r="G159" s="51">
        <f>'الإدارة القانونية'!N4</f>
        <v/>
      </c>
      <c r="H159" s="28">
        <f>'الإدارة القانونية'!O4</f>
        <v/>
      </c>
      <c r="I159" s="52">
        <f>'الإدارة القانونية'!G4</f>
        <v/>
      </c>
    </row>
    <row r="160">
      <c r="A160" s="28" t="n">
        <v>159</v>
      </c>
      <c r="B160" s="50" t="inlineStr">
        <is>
          <t>الإدارة القانونية</t>
        </is>
      </c>
      <c r="C160" s="50">
        <f>'الإدارة القانونية'!C5</f>
        <v/>
      </c>
      <c r="D160" s="28">
        <f>'الإدارة القانونية'!J5</f>
        <v/>
      </c>
      <c r="E160" s="50">
        <f>'الإدارة القانونية'!K5</f>
        <v/>
      </c>
      <c r="F160" s="28">
        <f>'الإدارة القانونية'!L5</f>
        <v/>
      </c>
      <c r="G160" s="51">
        <f>'الإدارة القانونية'!N5</f>
        <v/>
      </c>
      <c r="H160" s="28">
        <f>'الإدارة القانونية'!O5</f>
        <v/>
      </c>
      <c r="I160" s="52">
        <f>'الإدارة القانونية'!G5</f>
        <v/>
      </c>
    </row>
    <row r="161">
      <c r="A161" s="28" t="n">
        <v>160</v>
      </c>
      <c r="B161" s="50" t="inlineStr">
        <is>
          <t>الإدارة القانونية</t>
        </is>
      </c>
      <c r="C161" s="50">
        <f>'الإدارة القانونية'!C6</f>
        <v/>
      </c>
      <c r="D161" s="28">
        <f>'الإدارة القانونية'!J6</f>
        <v/>
      </c>
      <c r="E161" s="50">
        <f>'الإدارة القانونية'!K6</f>
        <v/>
      </c>
      <c r="F161" s="28">
        <f>'الإدارة القانونية'!L6</f>
        <v/>
      </c>
      <c r="G161" s="51">
        <f>'الإدارة القانونية'!N6</f>
        <v/>
      </c>
      <c r="H161" s="28">
        <f>'الإدارة القانونية'!O6</f>
        <v/>
      </c>
      <c r="I161" s="52">
        <f>'الإدارة القانونية'!G6</f>
        <v/>
      </c>
    </row>
    <row r="162">
      <c r="A162" s="28" t="n">
        <v>161</v>
      </c>
      <c r="B162" s="50" t="inlineStr">
        <is>
          <t>الإدارة القانونية</t>
        </is>
      </c>
      <c r="C162" s="50">
        <f>'الإدارة القانونية'!C7</f>
        <v/>
      </c>
      <c r="D162" s="28">
        <f>'الإدارة القانونية'!J7</f>
        <v/>
      </c>
      <c r="E162" s="50">
        <f>'الإدارة القانونية'!K7</f>
        <v/>
      </c>
      <c r="F162" s="28">
        <f>'الإدارة القانونية'!L7</f>
        <v/>
      </c>
      <c r="G162" s="51">
        <f>'الإدارة القانونية'!N7</f>
        <v/>
      </c>
      <c r="H162" s="28">
        <f>'الإدارة القانونية'!O7</f>
        <v/>
      </c>
      <c r="I162" s="52">
        <f>'الإدارة القانونية'!G7</f>
        <v/>
      </c>
    </row>
    <row r="163">
      <c r="A163" s="28" t="n">
        <v>162</v>
      </c>
      <c r="B163" s="50" t="inlineStr">
        <is>
          <t>الإدارة القانونية</t>
        </is>
      </c>
      <c r="C163" s="50">
        <f>'الإدارة القانونية'!C8</f>
        <v/>
      </c>
      <c r="D163" s="28">
        <f>'الإدارة القانونية'!J8</f>
        <v/>
      </c>
      <c r="E163" s="50">
        <f>'الإدارة القانونية'!K8</f>
        <v/>
      </c>
      <c r="F163" s="28">
        <f>'الإدارة القانونية'!L8</f>
        <v/>
      </c>
      <c r="G163" s="51">
        <f>'الإدارة القانونية'!N8</f>
        <v/>
      </c>
      <c r="H163" s="28">
        <f>'الإدارة القانونية'!O8</f>
        <v/>
      </c>
      <c r="I163" s="52">
        <f>'الإدارة القانونية'!G8</f>
        <v/>
      </c>
    </row>
    <row r="164">
      <c r="A164" s="28" t="n">
        <v>163</v>
      </c>
      <c r="B164" s="50" t="inlineStr">
        <is>
          <t>الإدارة القانونية</t>
        </is>
      </c>
      <c r="C164" s="50">
        <f>'الإدارة القانونية'!C9</f>
        <v/>
      </c>
      <c r="D164" s="28">
        <f>'الإدارة القانونية'!J9</f>
        <v/>
      </c>
      <c r="E164" s="50">
        <f>'الإدارة القانونية'!K9</f>
        <v/>
      </c>
      <c r="F164" s="28">
        <f>'الإدارة القانونية'!L9</f>
        <v/>
      </c>
      <c r="G164" s="51">
        <f>'الإدارة القانونية'!N9</f>
        <v/>
      </c>
      <c r="H164" s="28">
        <f>'الإدارة القانونية'!O9</f>
        <v/>
      </c>
      <c r="I164" s="52">
        <f>'الإدارة القانونية'!G9</f>
        <v/>
      </c>
    </row>
    <row r="165">
      <c r="A165" s="28" t="n">
        <v>164</v>
      </c>
      <c r="B165" s="50" t="inlineStr">
        <is>
          <t>الإدارة القانونية</t>
        </is>
      </c>
      <c r="C165" s="50">
        <f>'الإدارة القانونية'!C10</f>
        <v/>
      </c>
      <c r="D165" s="28">
        <f>'الإدارة القانونية'!J10</f>
        <v/>
      </c>
      <c r="E165" s="50">
        <f>'الإدارة القانونية'!K10</f>
        <v/>
      </c>
      <c r="F165" s="28">
        <f>'الإدارة القانونية'!L10</f>
        <v/>
      </c>
      <c r="G165" s="51">
        <f>'الإدارة القانونية'!N10</f>
        <v/>
      </c>
      <c r="H165" s="28">
        <f>'الإدارة القانونية'!O10</f>
        <v/>
      </c>
      <c r="I165" s="52">
        <f>'الإدارة القانونية'!G10</f>
        <v/>
      </c>
    </row>
    <row r="166">
      <c r="A166" s="28" t="n">
        <v>165</v>
      </c>
      <c r="B166" s="50" t="inlineStr">
        <is>
          <t>الإدارة القانونية</t>
        </is>
      </c>
      <c r="C166" s="50">
        <f>'الإدارة القانونية'!C11</f>
        <v/>
      </c>
      <c r="D166" s="28">
        <f>'الإدارة القانونية'!J11</f>
        <v/>
      </c>
      <c r="E166" s="50">
        <f>'الإدارة القانونية'!K11</f>
        <v/>
      </c>
      <c r="F166" s="28">
        <f>'الإدارة القانونية'!L11</f>
        <v/>
      </c>
      <c r="G166" s="51">
        <f>'الإدارة القانونية'!N11</f>
        <v/>
      </c>
      <c r="H166" s="28">
        <f>'الإدارة القانونية'!O11</f>
        <v/>
      </c>
      <c r="I166" s="52">
        <f>'الإدارة القانونية'!G11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2026-06-24T06:37:12Z</dcterms:created>
  <dcterms:modified xmlns:dcterms="http://purl.org/dc/terms/" xmlns:xsi="http://www.w3.org/2001/XMLSchema-instance" xsi:type="dcterms:W3CDTF">2026-06-24T06:37:12Z</dcterms:modified>
</cp:coreProperties>
</file>