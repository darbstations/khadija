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سعير الباق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﷼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E07C16"/>
      <sz val="16"/>
    </font>
    <font>
      <name val="Arial"/>
      <color rgb="006D6E70"/>
      <sz val="10"/>
    </font>
    <font>
      <name val="Arial"/>
      <b val="1"/>
      <color rgb="00FFFFFF"/>
      <sz val="12"/>
    </font>
    <font>
      <name val="Arial"/>
      <b val="1"/>
      <color rgb="0026262A"/>
      <sz val="10"/>
    </font>
    <font>
      <name val="Arial"/>
      <b val="1"/>
      <color rgb="0026262A"/>
      <sz val="11"/>
    </font>
    <font>
      <name val="Arial"/>
      <color rgb="0026262A"/>
      <sz val="11"/>
    </font>
    <font>
      <name val="Arial"/>
      <color rgb="006D6E70"/>
      <sz val="9"/>
    </font>
    <font>
      <name val="Arial"/>
      <b val="1"/>
      <color rgb="0026262A"/>
      <sz val="13"/>
    </font>
    <font>
      <name val="Arial"/>
      <b val="1"/>
      <color rgb="00E07C16"/>
      <sz val="13"/>
    </font>
    <font>
      <name val="Arial"/>
      <b val="1"/>
      <color rgb="0026262A"/>
      <sz val="9"/>
    </font>
  </fonts>
  <fills count="8">
    <fill>
      <patternFill/>
    </fill>
    <fill>
      <patternFill patternType="gray125"/>
    </fill>
    <fill>
      <patternFill patternType="solid">
        <fgColor rgb="00E07C16"/>
      </patternFill>
    </fill>
    <fill>
      <patternFill patternType="solid">
        <fgColor rgb="00F3EFEA"/>
      </patternFill>
    </fill>
    <fill>
      <patternFill patternType="solid">
        <fgColor rgb="00FFF4CC"/>
      </patternFill>
    </fill>
    <fill>
      <patternFill patternType="solid">
        <fgColor rgb="00FFFFFF"/>
      </patternFill>
    </fill>
    <fill>
      <patternFill patternType="solid">
        <fgColor rgb="00FCE9D2"/>
      </patternFill>
    </fill>
    <fill>
      <patternFill patternType="solid">
        <fgColor rgb="00E4F2E7"/>
      </patternFill>
    </fill>
  </fills>
  <borders count="5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64" fontId="8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6" customWidth="1" min="4" max="4"/>
    <col width="16" customWidth="1" min="5" max="5"/>
    <col width="15" customWidth="1" min="6" max="6"/>
    <col width="15" customWidth="1" min="7" max="7"/>
  </cols>
  <sheetData>
    <row r="2">
      <c r="B2" s="1" t="inlineStr">
        <is>
          <t>درب · تانكي — نموذج تسعير الباقة</t>
        </is>
      </c>
    </row>
    <row r="3">
      <c r="B3" s="2" t="inlineStr">
        <is>
          <t>باقة بقيمة ٤٩٥ ﷼ · عدّل الخلايا الصفراء وتُحدّث كل النتائج تلقائياً</t>
        </is>
      </c>
    </row>
    <row r="5">
      <c r="B5" s="3" t="inlineStr">
        <is>
          <t>① المدخلات (المحتوى · القيمة · تكلفة الشراء من التاجر)</t>
        </is>
      </c>
    </row>
    <row r="6">
      <c r="B6" s="4" t="inlineStr">
        <is>
          <t>البند</t>
        </is>
      </c>
      <c r="C6" s="4" t="inlineStr">
        <is>
          <t>الكمية</t>
        </is>
      </c>
      <c r="D6" s="4" t="inlineStr">
        <is>
          <t>قيمة التجزئة/وحدة</t>
        </is>
      </c>
      <c r="E6" s="4" t="inlineStr">
        <is>
          <t>تكلفة الشراء/وحدة</t>
        </is>
      </c>
      <c r="F6" s="4" t="inlineStr">
        <is>
          <t>إجمالي القيمة</t>
        </is>
      </c>
      <c r="G6" s="4" t="inlineStr">
        <is>
          <t>إجمالي التكلفة</t>
        </is>
      </c>
    </row>
    <row r="7">
      <c r="B7" s="5" t="inlineStr">
        <is>
          <t>رصيد بنزين</t>
        </is>
      </c>
      <c r="C7" s="6" t="n">
        <v>1</v>
      </c>
      <c r="D7" s="7" t="n">
        <v>250</v>
      </c>
      <c r="E7" s="7" t="n">
        <v>235</v>
      </c>
      <c r="F7" s="8">
        <f>C7*D7</f>
        <v/>
      </c>
      <c r="G7" s="8">
        <f>C7*E7</f>
        <v/>
      </c>
    </row>
    <row r="8">
      <c r="B8" s="5" t="inlineStr">
        <is>
          <t>غسلة داخلي + خارجي</t>
        </is>
      </c>
      <c r="C8" s="6" t="n">
        <v>7</v>
      </c>
      <c r="D8" s="7" t="n">
        <v>30</v>
      </c>
      <c r="E8" s="7" t="n">
        <v>15</v>
      </c>
      <c r="F8" s="8">
        <f>C8*D8</f>
        <v/>
      </c>
      <c r="G8" s="8">
        <f>C8*E8</f>
        <v/>
      </c>
    </row>
    <row r="9">
      <c r="B9" s="5" t="inlineStr">
        <is>
          <t>كوب قهوة</t>
        </is>
      </c>
      <c r="C9" s="6" t="n">
        <v>15</v>
      </c>
      <c r="D9" s="7" t="n">
        <v>18</v>
      </c>
      <c r="E9" s="7" t="n">
        <v>7</v>
      </c>
      <c r="F9" s="8">
        <f>C9*D9</f>
        <v/>
      </c>
      <c r="G9" s="8">
        <f>C9*E9</f>
        <v/>
      </c>
    </row>
    <row r="10">
      <c r="B10" s="9" t="inlineStr">
        <is>
          <t>الإجمالي</t>
        </is>
      </c>
      <c r="C10" s="10" t="inlineStr"/>
      <c r="D10" s="10" t="inlineStr"/>
      <c r="E10" s="10" t="inlineStr"/>
      <c r="F10" s="11">
        <f>SUM(F7:F9)</f>
        <v/>
      </c>
      <c r="G10" s="11">
        <f>SUM(G7:G9)</f>
        <v/>
      </c>
    </row>
    <row r="11">
      <c r="B11" s="12" t="inlineStr">
        <is>
          <t>ملاحظة: تكلفة البنزين ≈ القيمة − هامش الوقود (~٦٪). القهوة والغسلات تكلفتها = سعر شرائك من التاجر.</t>
        </is>
      </c>
    </row>
    <row r="13">
      <c r="B13" s="3" t="inlineStr">
        <is>
          <t>② سعر الباقة للعميل</t>
        </is>
      </c>
      <c r="D13" s="13" t="n">
        <v>495</v>
      </c>
      <c r="E13" s="14" t="n"/>
      <c r="F13" s="2" t="inlineStr">
        <is>
          <t>← عدّله</t>
        </is>
      </c>
    </row>
    <row r="15">
      <c r="B15" s="3" t="inlineStr">
        <is>
          <t>③ النتيجة</t>
        </is>
      </c>
    </row>
    <row r="16">
      <c r="B16" s="15" t="inlineStr">
        <is>
          <t>القيمة الظاهرة للعميل</t>
        </is>
      </c>
      <c r="C16" s="14" t="n"/>
      <c r="D16" s="16">
        <f>F10</f>
        <v/>
      </c>
      <c r="E16" s="14" t="n"/>
      <c r="F16" s="17" t="inlineStr">
        <is>
          <t>إجمالي أسعار التجزئة</t>
        </is>
      </c>
      <c r="G16" s="14" t="n"/>
    </row>
    <row r="17">
      <c r="B17" s="15" t="inlineStr">
        <is>
          <t>سعر الباقة</t>
        </is>
      </c>
      <c r="C17" s="14" t="n"/>
      <c r="D17" s="16">
        <f>D13</f>
        <v/>
      </c>
      <c r="E17" s="14" t="n"/>
      <c r="F17" s="17" t="inlineStr">
        <is>
          <t>ما يدفعه العميل</t>
        </is>
      </c>
      <c r="G17" s="14" t="n"/>
    </row>
    <row r="18">
      <c r="B18" s="18" t="inlineStr">
        <is>
          <t>توفير العميل (﷼)</t>
        </is>
      </c>
      <c r="C18" s="14" t="n"/>
      <c r="D18" s="19">
        <f>F10-D13</f>
        <v/>
      </c>
      <c r="E18" s="14" t="n"/>
      <c r="F18" s="20" t="inlineStr">
        <is>
          <t>القيمة − السعر</t>
        </is>
      </c>
      <c r="G18" s="14" t="n"/>
    </row>
    <row r="19">
      <c r="B19" s="18" t="inlineStr">
        <is>
          <t>نسبة التوفير للعميل</t>
        </is>
      </c>
      <c r="C19" s="14" t="n"/>
      <c r="D19" s="21">
        <f>(F10-D13)/F10</f>
        <v/>
      </c>
      <c r="E19" s="14" t="n"/>
      <c r="F19" s="20" t="inlineStr">
        <is>
          <t>كم يحس أنه وفّر</t>
        </is>
      </c>
      <c r="G19" s="14" t="n"/>
    </row>
    <row r="20">
      <c r="B20" s="15" t="inlineStr">
        <is>
          <t>تكلفة درب الفعلية</t>
        </is>
      </c>
      <c r="C20" s="14" t="n"/>
      <c r="D20" s="16">
        <f>G10</f>
        <v/>
      </c>
      <c r="E20" s="14" t="n"/>
      <c r="F20" s="17" t="inlineStr">
        <is>
          <t>ما تدفعه درب فعلاً</t>
        </is>
      </c>
      <c r="G20" s="14" t="n"/>
    </row>
    <row r="21">
      <c r="B21" s="9" t="inlineStr">
        <is>
          <t>ربح درب (﷼)</t>
        </is>
      </c>
      <c r="C21" s="14" t="n"/>
      <c r="D21" s="22">
        <f>D13-G10</f>
        <v/>
      </c>
      <c r="E21" s="14" t="n"/>
      <c r="F21" s="23" t="inlineStr">
        <is>
          <t>السعر − التكلفة</t>
        </is>
      </c>
      <c r="G21" s="14" t="n"/>
    </row>
    <row r="22">
      <c r="B22" s="9" t="inlineStr">
        <is>
          <t>هامش ربح درب</t>
        </is>
      </c>
      <c r="C22" s="14" t="n"/>
      <c r="D22" s="24">
        <f>(D13-G10)/D13</f>
        <v/>
      </c>
      <c r="E22" s="14" t="n"/>
      <c r="F22" s="23" t="inlineStr">
        <is>
          <t>الربح ÷ السعر</t>
        </is>
      </c>
      <c r="G22" s="14" t="n"/>
    </row>
    <row r="23">
      <c r="B23" s="18" t="inlineStr">
        <is>
          <t>الرصيد المدفوع مقدماً (Float)</t>
        </is>
      </c>
      <c r="C23" s="14" t="n"/>
      <c r="D23" s="25">
        <f>D13</f>
        <v/>
      </c>
      <c r="E23" s="14" t="n"/>
      <c r="F23" s="20" t="inlineStr">
        <is>
          <t>سيولة تجلس عندك</t>
        </is>
      </c>
      <c r="G23" s="14" t="n"/>
    </row>
    <row r="26">
      <c r="B26" s="3" t="inlineStr">
        <is>
          <t>④ حساسية الربح — كم يتغيّر ربحك حسب أسعار شرائك من التجار</t>
        </is>
      </c>
    </row>
    <row r="27">
      <c r="B27" s="26" t="inlineStr">
        <is>
          <t>تكلفة القهوة/كوب ↓ · تكلفة الغسلة →</t>
        </is>
      </c>
      <c r="C27" s="27" t="inlineStr">
        <is>
          <t>غسلة 12 ﷼</t>
        </is>
      </c>
      <c r="D27" s="27" t="inlineStr">
        <is>
          <t>غسلة 15 ﷼</t>
        </is>
      </c>
      <c r="E27" s="27" t="inlineStr">
        <is>
          <t>غسلة 18 ﷼</t>
        </is>
      </c>
    </row>
    <row r="28">
      <c r="B28" s="27" t="inlineStr">
        <is>
          <t>قهوة 5 ﷼</t>
        </is>
      </c>
      <c r="C28" s="28">
        <f>D13-(G7 + C8*12 + C9*5)</f>
        <v/>
      </c>
      <c r="D28" s="28">
        <f>D13-(G7 + C8*15 + C9*5)</f>
        <v/>
      </c>
      <c r="E28" s="28">
        <f>D13-(G7 + C8*18 + C9*5)</f>
        <v/>
      </c>
    </row>
    <row r="29">
      <c r="B29" s="27" t="inlineStr">
        <is>
          <t>قهوة 7 ﷼</t>
        </is>
      </c>
      <c r="C29" s="28">
        <f>D13-(G7 + C8*12 + C9*7)</f>
        <v/>
      </c>
      <c r="D29" s="28">
        <f>D13-(G7 + C8*15 + C9*7)</f>
        <v/>
      </c>
      <c r="E29" s="28">
        <f>D13-(G7 + C8*18 + C9*7)</f>
        <v/>
      </c>
    </row>
    <row r="30">
      <c r="B30" s="27" t="inlineStr">
        <is>
          <t>قهوة 9 ﷼</t>
        </is>
      </c>
      <c r="C30" s="28">
        <f>D13-(G7 + C8*12 + C9*9)</f>
        <v/>
      </c>
      <c r="D30" s="28">
        <f>D13-(G7 + C8*15 + C9*9)</f>
        <v/>
      </c>
      <c r="E30" s="28">
        <f>D13-(G7 + C8*18 + C9*9)</f>
        <v/>
      </c>
    </row>
    <row r="31">
      <c r="B31" s="12" t="inlineStr">
        <is>
          <t>الخلية الوسطى = وضعك الحالي. كل ما فاوضت التاجر على سعر أقل، ارتفع ربحك.</t>
        </is>
      </c>
    </row>
  </sheetData>
  <mergeCells count="34">
    <mergeCell ref="B2:G2"/>
    <mergeCell ref="D20:E20"/>
    <mergeCell ref="B16:C16"/>
    <mergeCell ref="F16:G16"/>
    <mergeCell ref="D19:E19"/>
    <mergeCell ref="F19:G19"/>
    <mergeCell ref="B22:C22"/>
    <mergeCell ref="D22:E22"/>
    <mergeCell ref="B18:C18"/>
    <mergeCell ref="D21:E21"/>
    <mergeCell ref="F21:G21"/>
    <mergeCell ref="B21:C21"/>
    <mergeCell ref="D13:E13"/>
    <mergeCell ref="F20:G20"/>
    <mergeCell ref="F18:G18"/>
    <mergeCell ref="B23:C23"/>
    <mergeCell ref="B17:C17"/>
    <mergeCell ref="D17:E17"/>
    <mergeCell ref="F17:G17"/>
    <mergeCell ref="B15:G15"/>
    <mergeCell ref="B13:C13"/>
    <mergeCell ref="D16:E16"/>
    <mergeCell ref="B5:G5"/>
    <mergeCell ref="B19:C19"/>
    <mergeCell ref="F23:G23"/>
    <mergeCell ref="F22:G22"/>
    <mergeCell ref="B26:G26"/>
    <mergeCell ref="D18:E18"/>
    <mergeCell ref="F13:G13"/>
    <mergeCell ref="B3:G3"/>
    <mergeCell ref="B20:C20"/>
    <mergeCell ref="B31:G31"/>
    <mergeCell ref="D23:E23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2026-08-06T11:57:15Z</dcterms:created>
  <dcterms:modified xmlns:dcterms="http://purl.org/dc/terms/" xmlns:xsi="http://www.w3.org/2001/XMLSchema-instance" xsi:type="dcterms:W3CDTF">2026-08-06T11:57:15Z</dcterms:modified>
</cp:coreProperties>
</file>