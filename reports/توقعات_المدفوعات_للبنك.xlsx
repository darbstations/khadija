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توقعات المدفوعا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 &quot;﷼&quot;"/>
  </numFmts>
  <fonts count="7">
    <font>
      <name val="Calibri"/>
      <family val="2"/>
      <color theme="1"/>
      <sz val="11"/>
      <scheme val="minor"/>
    </font>
    <font>
      <name val="Arial"/>
      <b val="1"/>
      <color rgb="00E07C16"/>
      <sz val="15"/>
    </font>
    <font>
      <name val="Arial"/>
      <color rgb="006D6E70"/>
      <sz val="10"/>
    </font>
    <font>
      <name val="Arial"/>
      <b val="1"/>
      <color rgb="00FFFFFF"/>
      <sz val="12"/>
    </font>
    <font>
      <name val="Arial"/>
      <color rgb="0026262A"/>
      <sz val="11"/>
    </font>
    <font>
      <name val="Arial"/>
      <b val="1"/>
      <color rgb="0026262A"/>
      <sz val="11"/>
    </font>
    <font>
      <name val="Arial"/>
      <color rgb="006D6E70"/>
      <sz val="9"/>
    </font>
  </fonts>
  <fills count="8">
    <fill>
      <patternFill/>
    </fill>
    <fill>
      <patternFill patternType="gray125"/>
    </fill>
    <fill>
      <patternFill patternType="solid">
        <fgColor rgb="00E07C16"/>
      </patternFill>
    </fill>
    <fill>
      <patternFill patternType="solid">
        <fgColor rgb="00FFF4CC"/>
      </patternFill>
    </fill>
    <fill>
      <patternFill patternType="solid">
        <fgColor rgb="00F3EFEA"/>
      </patternFill>
    </fill>
    <fill>
      <patternFill patternType="solid">
        <fgColor rgb="00FCE9D2"/>
      </patternFill>
    </fill>
    <fill>
      <patternFill patternType="solid">
        <fgColor rgb="00E4F2E7"/>
      </patternFill>
    </fill>
    <fill>
      <patternFill patternType="solid">
        <fgColor rgb="00E7F0FA"/>
      </patternFill>
    </fill>
  </fills>
  <borders count="6">
    <border>
      <left/>
      <right/>
      <top/>
      <bottom/>
      <diagonal/>
    </border>
    <border>
      <left style="thin">
        <color rgb="00D9D7D3"/>
      </left>
      <right style="thin">
        <color rgb="00D9D7D3"/>
      </right>
      <top style="thin">
        <color rgb="00D9D7D3"/>
      </top>
      <bottom style="thin">
        <color rgb="00D9D7D3"/>
      </bottom>
    </border>
    <border>
      <left/>
      <right/>
      <top style="thin">
        <color rgb="00D9D7D3"/>
      </top>
      <bottom/>
      <diagonal/>
    </border>
    <border>
      <left/>
      <right style="thin">
        <color rgb="00D9D7D3"/>
      </right>
      <top style="thin">
        <color rgb="00D9D7D3"/>
      </top>
      <bottom/>
      <diagonal/>
    </border>
    <border>
      <left/>
      <right/>
      <top style="thin">
        <color rgb="00D9D7D3"/>
      </top>
      <bottom style="thin">
        <color rgb="00D9D7D3"/>
      </bottom>
      <diagonal/>
    </border>
    <border>
      <left/>
      <right style="thin">
        <color rgb="00D9D7D3"/>
      </right>
      <top style="thin">
        <color rgb="00D9D7D3"/>
      </top>
      <bottom style="thin">
        <color rgb="00D9D7D3"/>
      </bottom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0" applyAlignment="1" pivotButton="0" quotePrefix="0" xfId="0">
      <alignment horizontal="right" vertical="center"/>
    </xf>
    <xf numFmtId="0" fontId="2" fillId="0" borderId="0" applyAlignment="1" pivotButton="0" quotePrefix="0" xfId="0">
      <alignment horizontal="right" vertical="center"/>
    </xf>
    <xf numFmtId="0" fontId="3" fillId="2" borderId="0" applyAlignment="1" pivotButton="0" quotePrefix="0" xfId="0">
      <alignment horizontal="right" vertical="center"/>
    </xf>
    <xf numFmtId="0" fontId="4" fillId="0" borderId="1" applyAlignment="1" pivotButton="0" quotePrefix="0" xfId="0">
      <alignment horizontal="right" vertical="center"/>
    </xf>
    <xf numFmtId="164" fontId="4" fillId="3" borderId="1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9" fontId="4" fillId="3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/>
    </xf>
    <xf numFmtId="3" fontId="4" fillId="3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right" vertical="center"/>
    </xf>
    <xf numFmtId="164" fontId="5" fillId="4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right" vertical="center"/>
    </xf>
    <xf numFmtId="164" fontId="5" fillId="5" borderId="1" applyAlignment="1" pivotButton="0" quotePrefix="0" xfId="0">
      <alignment horizontal="center" vertical="center"/>
    </xf>
    <xf numFmtId="0" fontId="5" fillId="6" borderId="1" applyAlignment="1" pivotButton="0" quotePrefix="0" xfId="0">
      <alignment horizontal="right" vertical="center"/>
    </xf>
    <xf numFmtId="164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right" vertical="center"/>
    </xf>
    <xf numFmtId="3" fontId="5" fillId="7" borderId="1" applyAlignment="1" pivotButton="0" quotePrefix="0" xfId="0">
      <alignment horizontal="center" vertical="center"/>
    </xf>
    <xf numFmtId="0" fontId="6" fillId="0" borderId="0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F23"/>
  <sheetViews>
    <sheetView showGridLines="0" rightToLeft="1" workbookViewId="0">
      <selection activeCell="A1" sqref="A1"/>
    </sheetView>
  </sheetViews>
  <sheetFormatPr baseColWidth="8" defaultRowHeight="15"/>
  <cols>
    <col width="3" customWidth="1" min="1" max="1"/>
    <col width="34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2">
      <c r="B2" s="1" t="inlineStr">
        <is>
          <t>درب — توقعات مبيعات التطبيق على كل المحطات (لبوابة الدفع)</t>
        </is>
      </c>
    </row>
    <row r="3">
      <c r="B3" s="2" t="inlineStr">
        <is>
          <t>أرقام توقعية · عدّل الأصفر فقط</t>
        </is>
      </c>
    </row>
    <row r="5">
      <c r="B5" s="3" t="inlineStr">
        <is>
          <t>① الثوابت</t>
        </is>
      </c>
    </row>
    <row r="6">
      <c r="B6" s="4" t="inlineStr">
        <is>
          <t>متوسط مبيعات المحطة / شهر (وقود+خدمات) ﷼</t>
        </is>
      </c>
      <c r="C6" s="5" t="n">
        <v>200000</v>
      </c>
      <c r="D6" s="6" t="n"/>
      <c r="E6" s="6" t="n"/>
      <c r="F6" s="7" t="n"/>
    </row>
    <row r="7">
      <c r="B7" s="4" t="inlineStr">
        <is>
          <t>حصة مدى من القيمة</t>
        </is>
      </c>
      <c r="C7" s="8" t="n">
        <v>0.75</v>
      </c>
      <c r="D7" s="6" t="n"/>
      <c r="E7" s="6" t="n"/>
      <c r="F7" s="7" t="n"/>
    </row>
    <row r="8">
      <c r="B8" s="4" t="inlineStr">
        <is>
          <t>متوسط قيمة عملية مدى (﷼)</t>
        </is>
      </c>
      <c r="C8" s="5" t="n">
        <v>120</v>
      </c>
      <c r="D8" s="6" t="n"/>
      <c r="E8" s="6" t="n"/>
      <c r="F8" s="7" t="n"/>
    </row>
    <row r="9">
      <c r="B9" s="4" t="inlineStr">
        <is>
          <t>متوسط قيمة عملية فيزا (﷼)</t>
        </is>
      </c>
      <c r="C9" s="5" t="n">
        <v>180</v>
      </c>
      <c r="D9" s="6" t="n"/>
      <c r="E9" s="6" t="n"/>
      <c r="F9" s="7" t="n"/>
    </row>
    <row r="11">
      <c r="B11" s="3" t="inlineStr">
        <is>
          <t>② سيناريوهات النمو (3 سنوات)</t>
        </is>
      </c>
    </row>
    <row r="12">
      <c r="B12" s="9" t="inlineStr">
        <is>
          <t>البند</t>
        </is>
      </c>
      <c r="C12" s="7" t="n"/>
      <c r="D12" s="9" t="inlineStr">
        <is>
          <t>السنة 1</t>
        </is>
      </c>
      <c r="E12" s="9" t="inlineStr">
        <is>
          <t>السنة 2</t>
        </is>
      </c>
      <c r="F12" s="9" t="inlineStr">
        <is>
          <t>السنة 3</t>
        </is>
      </c>
    </row>
    <row r="13">
      <c r="B13" s="4" t="inlineStr">
        <is>
          <t>عدد المحطات</t>
        </is>
      </c>
      <c r="C13" s="7" t="n"/>
      <c r="D13" s="10" t="n">
        <v>173</v>
      </c>
      <c r="E13" s="10" t="n">
        <v>200</v>
      </c>
      <c r="F13" s="10" t="n">
        <v>230</v>
      </c>
    </row>
    <row r="14">
      <c r="B14" s="4" t="inlineStr">
        <is>
          <t>نسبة المبيعات عبر التطبيق</t>
        </is>
      </c>
      <c r="C14" s="7" t="n"/>
      <c r="D14" s="8" t="n">
        <v>0.4</v>
      </c>
      <c r="E14" s="8" t="n">
        <v>0.55</v>
      </c>
      <c r="F14" s="8" t="n">
        <v>0.7</v>
      </c>
    </row>
    <row r="15">
      <c r="B15" s="11" t="inlineStr">
        <is>
          <t>مبيعات المحطات السنوية (﷼)</t>
        </is>
      </c>
      <c r="C15" s="7" t="n"/>
      <c r="D15" s="12">
        <f>D13*C6*12</f>
        <v/>
      </c>
      <c r="E15" s="12">
        <f>E13*C6*12</f>
        <v/>
      </c>
      <c r="F15" s="12">
        <f>F13*C6*12</f>
        <v/>
      </c>
    </row>
    <row r="16">
      <c r="B16" s="13" t="inlineStr">
        <is>
          <t>مبيعات التطبيق السنوية (﷼)</t>
        </is>
      </c>
      <c r="C16" s="7" t="n"/>
      <c r="D16" s="14">
        <f>D13*C6*12*D14</f>
        <v/>
      </c>
      <c r="E16" s="14">
        <f>E13*C6*12*E14</f>
        <v/>
      </c>
      <c r="F16" s="14">
        <f>F13*C6*12*F14</f>
        <v/>
      </c>
    </row>
    <row r="17">
      <c r="B17" s="15" t="inlineStr">
        <is>
          <t>— منها مدى (﷼)</t>
        </is>
      </c>
      <c r="C17" s="7" t="n"/>
      <c r="D17" s="16">
        <f>D16*C7</f>
        <v/>
      </c>
      <c r="E17" s="16">
        <f>E16*C7</f>
        <v/>
      </c>
      <c r="F17" s="16">
        <f>F16*C7</f>
        <v/>
      </c>
    </row>
    <row r="18">
      <c r="B18" s="15" t="inlineStr">
        <is>
          <t>— منها فيزا (﷼)</t>
        </is>
      </c>
      <c r="C18" s="7" t="n"/>
      <c r="D18" s="16">
        <f>D16*(1-C7)</f>
        <v/>
      </c>
      <c r="E18" s="16">
        <f>E16*(1-C7)</f>
        <v/>
      </c>
      <c r="F18" s="16">
        <f>F16*(1-C7)</f>
        <v/>
      </c>
    </row>
    <row r="19">
      <c r="B19" s="17" t="inlineStr">
        <is>
          <t>عدد عمليات مدى</t>
        </is>
      </c>
      <c r="C19" s="7" t="n"/>
      <c r="D19" s="18">
        <f>(D16*C7)/C8</f>
        <v/>
      </c>
      <c r="E19" s="18">
        <f>(E16*C7)/C8</f>
        <v/>
      </c>
      <c r="F19" s="18">
        <f>(F16*C7)/C8</f>
        <v/>
      </c>
    </row>
    <row r="20">
      <c r="B20" s="17" t="inlineStr">
        <is>
          <t>عدد عمليات فيزا</t>
        </is>
      </c>
      <c r="C20" s="7" t="n"/>
      <c r="D20" s="18">
        <f>(D16*(1-C7))/C9</f>
        <v/>
      </c>
      <c r="E20" s="18">
        <f>(E16*(1-C7))/C9</f>
        <v/>
      </c>
      <c r="F20" s="18">
        <f>(F16*(1-C7))/C9</f>
        <v/>
      </c>
    </row>
    <row r="21">
      <c r="B21" s="17" t="inlineStr">
        <is>
          <t>إجمالي العمليات</t>
        </is>
      </c>
      <c r="C21" s="7" t="n"/>
      <c r="D21" s="18">
        <f>D19+D20</f>
        <v/>
      </c>
      <c r="E21" s="18">
        <f>E19+E20</f>
        <v/>
      </c>
      <c r="F21" s="18">
        <f>F19+F20</f>
        <v/>
      </c>
    </row>
    <row r="23">
      <c r="B23" s="19" t="inlineStr">
        <is>
          <t>الأصفر = مُدخلات تعدّلينها (محطات + نسبة اعتماد لكل سنة). الباقي يُحسب تلقائياً. مدى أرخص رسوماً — وجّه الدفع لمدى.</t>
        </is>
      </c>
    </row>
  </sheetData>
  <mergeCells count="19">
    <mergeCell ref="B16:C16"/>
    <mergeCell ref="C8:F8"/>
    <mergeCell ref="B3:F3"/>
    <mergeCell ref="C7:F7"/>
    <mergeCell ref="B18:C18"/>
    <mergeCell ref="B12:C12"/>
    <mergeCell ref="B21:C21"/>
    <mergeCell ref="B2:F2"/>
    <mergeCell ref="B11:F11"/>
    <mergeCell ref="C6:F6"/>
    <mergeCell ref="B14:C14"/>
    <mergeCell ref="B23:F23"/>
    <mergeCell ref="B17:C17"/>
    <mergeCell ref="B13:C13"/>
    <mergeCell ref="B19:C19"/>
    <mergeCell ref="C9:F9"/>
    <mergeCell ref="B15:C15"/>
    <mergeCell ref="B20:C20"/>
    <mergeCell ref="B5:F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2026-09-20T13:52:55Z</dcterms:created>
  <dcterms:modified xsi:type="dcterms:W3CDTF">2026-09-20T13:52:55Z</dcterms:modified>
</cp:coreProperties>
</file>