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وقعات المدفوعا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﷼&quot;"/>
  </numFmts>
  <fonts count="7">
    <font>
      <name val="Calibri"/>
      <family val="2"/>
      <color theme="1"/>
      <sz val="11"/>
      <scheme val="minor"/>
    </font>
    <font>
      <name val="Arial"/>
      <b val="1"/>
      <color rgb="00E07C16"/>
      <sz val="15"/>
    </font>
    <font>
      <name val="Arial"/>
      <color rgb="006D6E70"/>
      <sz val="10"/>
    </font>
    <font>
      <name val="Arial"/>
      <b val="1"/>
      <color rgb="00FFFFFF"/>
      <sz val="12"/>
    </font>
    <font>
      <name val="Arial"/>
      <color rgb="0026262A"/>
      <sz val="11"/>
    </font>
    <font>
      <name val="Arial"/>
      <b val="1"/>
      <color rgb="0026262A"/>
      <sz val="11"/>
    </font>
    <font>
      <name val="Arial"/>
      <color rgb="006D6E70"/>
      <sz val="9"/>
    </font>
  </fonts>
  <fills count="8">
    <fill>
      <patternFill/>
    </fill>
    <fill>
      <patternFill patternType="gray125"/>
    </fill>
    <fill>
      <patternFill patternType="solid">
        <fgColor rgb="00E07C16"/>
      </patternFill>
    </fill>
    <fill>
      <patternFill patternType="solid">
        <fgColor rgb="00FFF4CC"/>
      </patternFill>
    </fill>
    <fill>
      <patternFill patternType="solid">
        <fgColor rgb="00F3EFEA"/>
      </patternFill>
    </fill>
    <fill>
      <patternFill patternType="solid">
        <fgColor rgb="00FCE9D2"/>
      </patternFill>
    </fill>
    <fill>
      <patternFill patternType="solid">
        <fgColor rgb="00E4F2E7"/>
      </patternFill>
    </fill>
    <fill>
      <patternFill patternType="solid">
        <fgColor rgb="00E7F0FA"/>
      </patternFill>
    </fill>
  </fills>
  <borders count="6">
    <border>
      <left/>
      <right/>
      <top/>
      <bottom/>
      <diagonal/>
    </border>
    <border>
      <left style="thin">
        <color rgb="00D9D7D3"/>
      </left>
      <right style="thin">
        <color rgb="00D9D7D3"/>
      </right>
      <top style="thin">
        <color rgb="00D9D7D3"/>
      </top>
      <bottom style="thin">
        <color rgb="00D9D7D3"/>
      </bottom>
    </border>
    <border>
      <left/>
      <right/>
      <top style="thin">
        <color rgb="00D9D7D3"/>
      </top>
      <bottom/>
      <diagonal/>
    </border>
    <border>
      <left/>
      <right style="thin">
        <color rgb="00D9D7D3"/>
      </right>
      <top style="thin">
        <color rgb="00D9D7D3"/>
      </top>
      <bottom/>
      <diagonal/>
    </border>
    <border>
      <left/>
      <right/>
      <top style="thin">
        <color rgb="00D9D7D3"/>
      </top>
      <bottom style="thin">
        <color rgb="00D9D7D3"/>
      </bottom>
      <diagonal/>
    </border>
    <border>
      <left/>
      <right style="thin">
        <color rgb="00D9D7D3"/>
      </right>
      <top style="thin">
        <color rgb="00D9D7D3"/>
      </top>
      <bottom style="thin">
        <color rgb="00D9D7D3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9" fontId="4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2">
      <c r="B2" s="1" t="inlineStr">
        <is>
          <t>درب — توقعات مبيعات التطبيق على كل المحطات (لبوابة الدفع)</t>
        </is>
      </c>
    </row>
    <row r="3">
      <c r="B3" s="2" t="inlineStr">
        <is>
          <t>مبنية على مبيعات المحطة الفعلية (تقرير Q2 2026) · افتراضات خبير معتمدة</t>
        </is>
      </c>
    </row>
    <row r="5">
      <c r="B5" s="3" t="inlineStr">
        <is>
          <t>① الثوابت</t>
        </is>
      </c>
    </row>
    <row r="6">
      <c r="B6" s="4" t="inlineStr">
        <is>
          <t>حصة مدى من القيمة</t>
        </is>
      </c>
      <c r="C6" s="5" t="n">
        <v>0.75</v>
      </c>
      <c r="D6" s="6" t="n"/>
      <c r="E6" s="6" t="n"/>
      <c r="F6" s="7" t="n"/>
    </row>
    <row r="7">
      <c r="B7" s="4" t="inlineStr">
        <is>
          <t>متوسط قيمة عملية مدى (﷼)</t>
        </is>
      </c>
      <c r="C7" s="8" t="n">
        <v>120</v>
      </c>
      <c r="D7" s="6" t="n"/>
      <c r="E7" s="6" t="n"/>
      <c r="F7" s="7" t="n"/>
    </row>
    <row r="8">
      <c r="B8" s="4" t="inlineStr">
        <is>
          <t>متوسط قيمة عملية فيزا (﷼)</t>
        </is>
      </c>
      <c r="C8" s="8" t="n">
        <v>180</v>
      </c>
      <c r="D8" s="6" t="n"/>
      <c r="E8" s="6" t="n"/>
      <c r="F8" s="7" t="n"/>
    </row>
    <row r="10">
      <c r="B10" s="3" t="inlineStr">
        <is>
          <t>② سيناريوهات النمو (3 سنوات)</t>
        </is>
      </c>
    </row>
    <row r="11">
      <c r="B11" s="9" t="inlineStr">
        <is>
          <t>المُدخلات</t>
        </is>
      </c>
      <c r="C11" s="7" t="n"/>
      <c r="D11" s="9" t="inlineStr">
        <is>
          <t>السنة 1</t>
        </is>
      </c>
      <c r="E11" s="9" t="inlineStr">
        <is>
          <t>السنة 2</t>
        </is>
      </c>
      <c r="F11" s="9" t="inlineStr">
        <is>
          <t>السنة 3</t>
        </is>
      </c>
    </row>
    <row r="12">
      <c r="B12" s="4" t="inlineStr">
        <is>
          <t>عدد المحطات</t>
        </is>
      </c>
      <c r="C12" s="7" t="n"/>
      <c r="D12" s="10" t="n">
        <v>200</v>
      </c>
      <c r="E12" s="10" t="n">
        <v>350</v>
      </c>
      <c r="F12" s="10" t="n">
        <v>500</v>
      </c>
    </row>
    <row r="13">
      <c r="B13" s="4" t="inlineStr">
        <is>
          <t>متوسط مبيعات المحطة / شهر (﷼)</t>
        </is>
      </c>
      <c r="C13" s="7" t="n"/>
      <c r="D13" s="8" t="n">
        <v>1000000</v>
      </c>
      <c r="E13" s="8" t="n">
        <v>850000</v>
      </c>
      <c r="F13" s="8" t="n">
        <v>750000</v>
      </c>
    </row>
    <row r="14">
      <c r="B14" s="4" t="inlineStr">
        <is>
          <t>نسبة المبيعات عبر التطبيق</t>
        </is>
      </c>
      <c r="C14" s="7" t="n"/>
      <c r="D14" s="5" t="n">
        <v>0.3</v>
      </c>
      <c r="E14" s="5" t="n">
        <v>0.45</v>
      </c>
      <c r="F14" s="5" t="n">
        <v>0.6</v>
      </c>
    </row>
    <row r="15">
      <c r="B15" s="11" t="inlineStr">
        <is>
          <t>مبيعات المحطات السنوية (﷼)</t>
        </is>
      </c>
      <c r="C15" s="7" t="n"/>
      <c r="D15" s="12">
        <f>D12*D13*12</f>
        <v/>
      </c>
      <c r="E15" s="12">
        <f>E12*E13*12</f>
        <v/>
      </c>
      <c r="F15" s="12">
        <f>F12*F13*12</f>
        <v/>
      </c>
    </row>
    <row r="16">
      <c r="B16" s="13" t="inlineStr">
        <is>
          <t>مبيعات التطبيق السنوية (﷼)</t>
        </is>
      </c>
      <c r="C16" s="7" t="n"/>
      <c r="D16" s="14">
        <f>D12*D13*12*D14</f>
        <v/>
      </c>
      <c r="E16" s="14">
        <f>E12*E13*12*E14</f>
        <v/>
      </c>
      <c r="F16" s="14">
        <f>F12*F13*12*F14</f>
        <v/>
      </c>
    </row>
    <row r="17">
      <c r="B17" s="15" t="inlineStr">
        <is>
          <t>— منها مدى (﷼)</t>
        </is>
      </c>
      <c r="C17" s="7" t="n"/>
      <c r="D17" s="16">
        <f>D16*C6</f>
        <v/>
      </c>
      <c r="E17" s="16">
        <f>E16*C6</f>
        <v/>
      </c>
      <c r="F17" s="16">
        <f>F16*C6</f>
        <v/>
      </c>
    </row>
    <row r="18">
      <c r="B18" s="15" t="inlineStr">
        <is>
          <t>— منها فيزا (﷼)</t>
        </is>
      </c>
      <c r="C18" s="7" t="n"/>
      <c r="D18" s="16">
        <f>D16*(1-C6)</f>
        <v/>
      </c>
      <c r="E18" s="16">
        <f>E16*(1-C6)</f>
        <v/>
      </c>
      <c r="F18" s="16">
        <f>F16*(1-C6)</f>
        <v/>
      </c>
    </row>
    <row r="19">
      <c r="B19" s="17" t="inlineStr">
        <is>
          <t>عدد عمليات مدى</t>
        </is>
      </c>
      <c r="C19" s="7" t="n"/>
      <c r="D19" s="18">
        <f>(D16*C6)/C7</f>
        <v/>
      </c>
      <c r="E19" s="18">
        <f>(E16*C6)/C7</f>
        <v/>
      </c>
      <c r="F19" s="18">
        <f>(F16*C6)/C7</f>
        <v/>
      </c>
    </row>
    <row r="20">
      <c r="B20" s="17" t="inlineStr">
        <is>
          <t>عدد عمليات فيزا</t>
        </is>
      </c>
      <c r="C20" s="7" t="n"/>
      <c r="D20" s="18">
        <f>(D16*(1-C6))/C8</f>
        <v/>
      </c>
      <c r="E20" s="18">
        <f>(E16*(1-C6))/C8</f>
        <v/>
      </c>
      <c r="F20" s="18">
        <f>(F16*(1-C6))/C8</f>
        <v/>
      </c>
    </row>
    <row r="21">
      <c r="B21" s="17" t="inlineStr">
        <is>
          <t>إجمالي العمليات</t>
        </is>
      </c>
      <c r="C21" s="7" t="n"/>
      <c r="D21" s="18">
        <f>D19+D20</f>
        <v/>
      </c>
      <c r="E21" s="18">
        <f>E19+E20</f>
        <v/>
      </c>
      <c r="F21" s="18">
        <f>F19+F20</f>
        <v/>
      </c>
    </row>
    <row r="23">
      <c r="B23" s="19" t="inlineStr">
        <is>
          <t>الافتراضات (خبير): مبيعات المحطة تتناقص مع التوسّع (إضافة محطات أصغر)؛ نسبة الدفع عبر التطبيق تنمو تدريجياً. المصدر: تقرير Q2 2026 (~1.24م للمحطات المشغّلة الكبرى).</t>
        </is>
      </c>
    </row>
  </sheetData>
  <mergeCells count="19">
    <mergeCell ref="B16:C16"/>
    <mergeCell ref="C8:F8"/>
    <mergeCell ref="B3:F3"/>
    <mergeCell ref="C7:F7"/>
    <mergeCell ref="B18:C18"/>
    <mergeCell ref="B12:C12"/>
    <mergeCell ref="B21:C21"/>
    <mergeCell ref="B2:F2"/>
    <mergeCell ref="B11:C11"/>
    <mergeCell ref="C6:F6"/>
    <mergeCell ref="B14:C14"/>
    <mergeCell ref="B23:F23"/>
    <mergeCell ref="B17:C17"/>
    <mergeCell ref="B13:C13"/>
    <mergeCell ref="B10:F10"/>
    <mergeCell ref="B19:C19"/>
    <mergeCell ref="B15:C15"/>
    <mergeCell ref="B20:C20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2026-09-20T14:07:18Z</dcterms:created>
  <dcterms:modified xsi:type="dcterms:W3CDTF">2026-09-20T14:07:18Z</dcterms:modified>
</cp:coreProperties>
</file>