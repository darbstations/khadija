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وقعات المدفو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﷼&quot;"/>
  </numFmts>
  <fonts count="7">
    <font>
      <name val="Calibri"/>
      <family val="2"/>
      <color theme="1"/>
      <sz val="11"/>
      <scheme val="minor"/>
    </font>
    <font>
      <name val="Arial"/>
      <b val="1"/>
      <color rgb="00E07C16"/>
      <sz val="15"/>
    </font>
    <font>
      <name val="Arial"/>
      <color rgb="006D6E70"/>
      <sz val="10"/>
    </font>
    <font>
      <name val="Arial"/>
      <b val="1"/>
      <color rgb="00FFFFFF"/>
      <sz val="12"/>
    </font>
    <font>
      <name val="Arial"/>
      <b val="1"/>
      <color rgb="0026262A"/>
      <sz val="11"/>
    </font>
    <font>
      <name val="Arial"/>
      <color rgb="0026262A"/>
      <sz val="11"/>
    </font>
    <font>
      <name val="Arial"/>
      <color rgb="006D6E70"/>
      <sz val="9"/>
    </font>
  </fonts>
  <fills count="8">
    <fill>
      <patternFill/>
    </fill>
    <fill>
      <patternFill patternType="gray125"/>
    </fill>
    <fill>
      <patternFill patternType="solid">
        <fgColor rgb="00E07C16"/>
      </patternFill>
    </fill>
    <fill>
      <patternFill patternType="solid">
        <fgColor rgb="00F3EFEA"/>
      </patternFill>
    </fill>
    <fill>
      <patternFill patternType="solid">
        <fgColor rgb="00FFF4CC"/>
      </patternFill>
    </fill>
    <fill>
      <patternFill patternType="solid">
        <fgColor rgb="00FCE9D2"/>
      </patternFill>
    </fill>
    <fill>
      <patternFill patternType="solid">
        <fgColor rgb="00E4F2E7"/>
      </patternFill>
    </fill>
    <fill>
      <patternFill patternType="solid">
        <fgColor rgb="00E7F0FA"/>
      </patternFill>
    </fill>
  </fills>
  <borders count="5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درب — توقعات مبيعات التطبيق على كل المحطات (لبوابة الدفع)</t>
        </is>
      </c>
    </row>
    <row r="3">
      <c r="B3" s="2" t="inlineStr">
        <is>
          <t>مبنية على مبيعات المحطة الفعلية (تقرير Q2 2026) · افتراضات خبير معتمدة</t>
        </is>
      </c>
    </row>
    <row r="5">
      <c r="B5" s="3" t="inlineStr">
        <is>
          <t>سيناريوهات النمو (3 سنوات)</t>
        </is>
      </c>
    </row>
    <row r="6">
      <c r="B6" s="4" t="inlineStr">
        <is>
          <t>المُدخلات</t>
        </is>
      </c>
      <c r="C6" s="5" t="n"/>
      <c r="D6" s="4" t="inlineStr">
        <is>
          <t>السنة 1</t>
        </is>
      </c>
      <c r="E6" s="4" t="inlineStr">
        <is>
          <t>السنة 2</t>
        </is>
      </c>
      <c r="F6" s="4" t="inlineStr">
        <is>
          <t>السنة 3</t>
        </is>
      </c>
    </row>
    <row r="7">
      <c r="B7" s="6" t="inlineStr">
        <is>
          <t>عدد المحطات</t>
        </is>
      </c>
      <c r="C7" s="5" t="n"/>
      <c r="D7" s="7" t="n">
        <v>200</v>
      </c>
      <c r="E7" s="7" t="n">
        <v>350</v>
      </c>
      <c r="F7" s="7" t="n">
        <v>500</v>
      </c>
    </row>
    <row r="8">
      <c r="B8" s="6" t="inlineStr">
        <is>
          <t>متوسط مبيعات المحطة / شهر (﷼)</t>
        </is>
      </c>
      <c r="C8" s="5" t="n"/>
      <c r="D8" s="8" t="n">
        <v>1000000</v>
      </c>
      <c r="E8" s="8" t="n">
        <v>850000</v>
      </c>
      <c r="F8" s="8" t="n">
        <v>750000</v>
      </c>
    </row>
    <row r="9">
      <c r="B9" s="6" t="inlineStr">
        <is>
          <t>نسبة المبيعات عبر التطبيق</t>
        </is>
      </c>
      <c r="C9" s="5" t="n"/>
      <c r="D9" s="9" t="n">
        <v>0.3</v>
      </c>
      <c r="E9" s="9" t="n">
        <v>0.45</v>
      </c>
      <c r="F9" s="9" t="n">
        <v>0.6</v>
      </c>
    </row>
    <row r="10">
      <c r="B10" s="10" t="inlineStr">
        <is>
          <t>مبيعات المحطات السنوية (﷼)</t>
        </is>
      </c>
      <c r="C10" s="5" t="n"/>
      <c r="D10" s="11">
        <f>D7*D8*12</f>
        <v/>
      </c>
      <c r="E10" s="11">
        <f>E7*E8*12</f>
        <v/>
      </c>
      <c r="F10" s="11">
        <f>F7*F8*12</f>
        <v/>
      </c>
    </row>
    <row r="11">
      <c r="B11" s="12" t="inlineStr">
        <is>
          <t>مبيعات التطبيق السنوية (﷼)</t>
        </is>
      </c>
      <c r="C11" s="5" t="n"/>
      <c r="D11" s="13">
        <f>D7*D8*12*D9</f>
        <v/>
      </c>
      <c r="E11" s="13">
        <f>E7*E8*12*E9</f>
        <v/>
      </c>
      <c r="F11" s="13">
        <f>F7*F8*12*F9</f>
        <v/>
      </c>
    </row>
    <row r="12">
      <c r="B12" s="14" t="inlineStr">
        <is>
          <t>— منها مدى (﷼)</t>
        </is>
      </c>
      <c r="C12" s="5" t="n"/>
      <c r="D12" s="15">
        <f>D11*0.75</f>
        <v/>
      </c>
      <c r="E12" s="15">
        <f>E11*0.75</f>
        <v/>
      </c>
      <c r="F12" s="15">
        <f>F11*0.75</f>
        <v/>
      </c>
    </row>
    <row r="13">
      <c r="B13" s="14" t="inlineStr">
        <is>
          <t>— منها فيزا (﷼)</t>
        </is>
      </c>
      <c r="C13" s="5" t="n"/>
      <c r="D13" s="15">
        <f>D11*0.25</f>
        <v/>
      </c>
      <c r="E13" s="15">
        <f>E11*0.25</f>
        <v/>
      </c>
      <c r="F13" s="15">
        <f>F11*0.25</f>
        <v/>
      </c>
    </row>
    <row r="14">
      <c r="B14" s="16" t="inlineStr">
        <is>
          <t>عدد عمليات مدى</t>
        </is>
      </c>
      <c r="C14" s="5" t="n"/>
      <c r="D14" s="17">
        <f>(D11*0.75)/120</f>
        <v/>
      </c>
      <c r="E14" s="17">
        <f>(E11*0.75)/120</f>
        <v/>
      </c>
      <c r="F14" s="17">
        <f>(F11*0.75)/120</f>
        <v/>
      </c>
    </row>
    <row r="15">
      <c r="B15" s="16" t="inlineStr">
        <is>
          <t>عدد عمليات فيزا</t>
        </is>
      </c>
      <c r="C15" s="5" t="n"/>
      <c r="D15" s="17">
        <f>(D11*0.25)/180</f>
        <v/>
      </c>
      <c r="E15" s="17">
        <f>(E11*0.25)/180</f>
        <v/>
      </c>
      <c r="F15" s="17">
        <f>(F11*0.25)/180</f>
        <v/>
      </c>
    </row>
    <row r="16">
      <c r="B16" s="16" t="inlineStr">
        <is>
          <t>إجمالي العمليات</t>
        </is>
      </c>
      <c r="C16" s="5" t="n"/>
      <c r="D16" s="17">
        <f>D14+D15</f>
        <v/>
      </c>
      <c r="E16" s="17">
        <f>E14+E15</f>
        <v/>
      </c>
      <c r="F16" s="17">
        <f>F14+F15</f>
        <v/>
      </c>
    </row>
    <row r="18">
      <c r="B18" s="18" t="inlineStr">
        <is>
          <t>الأصفر = مُدخلات قابلة للتعديل. الافتراضات الثابتة: مدى 75% من القيمة · متوسط تذكرة مدى 120 ﷼ / فيزا 180 ﷼ (مدمجة في المعادلات). المصدر: تقرير Q2 2026.</t>
        </is>
      </c>
    </row>
  </sheetData>
  <mergeCells count="15">
    <mergeCell ref="B13:C13"/>
    <mergeCell ref="B6:C6"/>
    <mergeCell ref="B16:C16"/>
    <mergeCell ref="B15:C15"/>
    <mergeCell ref="B7:C7"/>
    <mergeCell ref="B2:F2"/>
    <mergeCell ref="B11:C11"/>
    <mergeCell ref="B3:F3"/>
    <mergeCell ref="B5:F5"/>
    <mergeCell ref="B10:C10"/>
    <mergeCell ref="B14:C14"/>
    <mergeCell ref="B9:C9"/>
    <mergeCell ref="B8:C8"/>
    <mergeCell ref="B18:F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2026-09-20T14:17:01Z</dcterms:created>
  <dcterms:modified xsi:type="dcterms:W3CDTF">2026-09-20T14:17:01Z</dcterms:modified>
</cp:coreProperties>
</file>