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توقعات المدفوعا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﷼&quot;"/>
  </numFmts>
  <fonts count="7">
    <font>
      <name val="Calibri"/>
      <family val="2"/>
      <color theme="1"/>
      <sz val="11"/>
      <scheme val="minor"/>
    </font>
    <font>
      <name val="Arial"/>
      <b val="1"/>
      <color rgb="00E07C16"/>
      <sz val="15"/>
    </font>
    <font>
      <name val="Arial"/>
      <color rgb="006D6E70"/>
      <sz val="10"/>
    </font>
    <font>
      <name val="Arial"/>
      <b val="1"/>
      <color rgb="00FFFFFF"/>
      <sz val="12"/>
    </font>
    <font>
      <name val="Arial"/>
      <color rgb="0026262A"/>
      <sz val="11"/>
    </font>
    <font>
      <name val="Arial"/>
      <b val="1"/>
      <color rgb="0026262A"/>
      <sz val="11"/>
    </font>
    <font>
      <name val="Arial"/>
      <color rgb="006D6E70"/>
      <sz val="9"/>
    </font>
  </fonts>
  <fills count="8">
    <fill>
      <patternFill/>
    </fill>
    <fill>
      <patternFill patternType="gray125"/>
    </fill>
    <fill>
      <patternFill patternType="solid">
        <fgColor rgb="00E07C16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FCE9D2"/>
      </patternFill>
    </fill>
    <fill>
      <patternFill patternType="solid">
        <fgColor rgb="00F3EFEA"/>
      </patternFill>
    </fill>
    <fill>
      <patternFill patternType="solid">
        <fgColor rgb="00E4F2E7"/>
      </patternFill>
    </fill>
  </fills>
  <borders count="5">
    <border>
      <left/>
      <right/>
      <top/>
      <bottom/>
      <diagonal/>
    </border>
    <border>
      <left style="thin">
        <color rgb="00D9D7D3"/>
      </left>
      <right style="thin">
        <color rgb="00D9D7D3"/>
      </right>
      <top style="thin">
        <color rgb="00D9D7D3"/>
      </top>
      <bottom style="thin">
        <color rgb="00D9D7D3"/>
      </bottom>
    </border>
    <border>
      <left/>
      <right/>
      <top style="thin">
        <color rgb="00D9D7D3"/>
      </top>
      <bottom/>
      <diagonal/>
    </border>
    <border>
      <left/>
      <right style="thin">
        <color rgb="00D9D7D3"/>
      </right>
      <top style="thin">
        <color rgb="00D9D7D3"/>
      </top>
      <bottom/>
      <diagonal/>
    </border>
    <border>
      <left/>
      <right style="thin">
        <color rgb="00D9D7D3"/>
      </right>
      <top style="thin">
        <color rgb="00D9D7D3"/>
      </top>
      <bottom style="thin">
        <color rgb="00D9D7D3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center" vertical="center"/>
    </xf>
    <xf numFmtId="0" fontId="0" fillId="0" borderId="4" pivotButton="0" quotePrefix="0" xfId="0"/>
    <xf numFmtId="164" fontId="4" fillId="3" borderId="1" applyAlignment="1" pivotButton="0" quotePrefix="0" xfId="0">
      <alignment horizontal="center" vertical="center"/>
    </xf>
    <xf numFmtId="9" fontId="4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9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8" customWidth="1" min="3" max="3"/>
    <col width="16" customWidth="1" min="4" max="4"/>
    <col width="16" customWidth="1" min="5" max="5"/>
  </cols>
  <sheetData>
    <row r="2">
      <c r="B2" s="1" t="inlineStr">
        <is>
          <t>درب — توقعات المبيعات وعدد العمليات (لبوابة الدفع)</t>
        </is>
      </c>
    </row>
    <row r="3">
      <c r="B3" s="2" t="inlineStr">
        <is>
          <t>أرقام توقعية · عدّل الأصفر فقط</t>
        </is>
      </c>
    </row>
    <row r="5">
      <c r="B5" s="3" t="inlineStr">
        <is>
          <t>① المدخلات (توقعاتك)</t>
        </is>
      </c>
    </row>
    <row r="6">
      <c r="B6" s="4" t="inlineStr">
        <is>
          <t>عدد العملاء النشطين المتوقع (السنة 1)</t>
        </is>
      </c>
      <c r="C6" s="5" t="n">
        <v>60000</v>
      </c>
      <c r="D6" s="6" t="n"/>
    </row>
    <row r="7">
      <c r="B7" s="4" t="inlineStr">
        <is>
          <t>عدد عمليات الشحن للعميل / شهر</t>
        </is>
      </c>
      <c r="C7" s="5" t="n">
        <v>2</v>
      </c>
      <c r="D7" s="6" t="n"/>
    </row>
    <row r="8">
      <c r="B8" s="4" t="inlineStr">
        <is>
          <t>متوسط مبلغ الشحنة الواحدة (﷼)</t>
        </is>
      </c>
      <c r="C8" s="7" t="n">
        <v>200</v>
      </c>
      <c r="D8" s="6" t="n"/>
    </row>
    <row r="9">
      <c r="B9" s="4" t="inlineStr">
        <is>
          <t>حصة مدى من إجمالي القيمة</t>
        </is>
      </c>
      <c r="C9" s="8" t="n">
        <v>0.75</v>
      </c>
      <c r="D9" s="6" t="n"/>
    </row>
    <row r="10">
      <c r="B10" s="4" t="inlineStr">
        <is>
          <t>متوسط قيمة عملية مدى (﷼)</t>
        </is>
      </c>
      <c r="C10" s="7" t="n">
        <v>180</v>
      </c>
      <c r="D10" s="6" t="n"/>
    </row>
    <row r="11">
      <c r="B11" s="4" t="inlineStr">
        <is>
          <t>متوسط قيمة عملية فيزا (﷼)</t>
        </is>
      </c>
      <c r="C11" s="7" t="n">
        <v>260</v>
      </c>
      <c r="D11" s="6" t="n"/>
    </row>
    <row r="12">
      <c r="B12" s="9" t="inlineStr">
        <is>
          <t>حصة فيزا (تُحسب تلقائياً)</t>
        </is>
      </c>
      <c r="C12" s="10">
        <f>1-C9</f>
        <v/>
      </c>
      <c r="D12" s="6" t="n"/>
    </row>
    <row r="14">
      <c r="B14" s="3" t="inlineStr">
        <is>
          <t>② إجمالي المبيعات السنوية المتوقعة</t>
        </is>
      </c>
    </row>
    <row r="15">
      <c r="B15" s="11" t="inlineStr">
        <is>
          <t>إجمالي الشحن السنوي (﷼)</t>
        </is>
      </c>
      <c r="C15" s="12">
        <f>C6*C7*12*C8</f>
        <v/>
      </c>
      <c r="D15" s="6" t="n"/>
    </row>
    <row r="17">
      <c r="B17" s="3" t="inlineStr">
        <is>
          <t>③ الأرقام المطلوبة للبنك</t>
        </is>
      </c>
    </row>
    <row r="18">
      <c r="B18" s="13" t="inlineStr">
        <is>
          <t>البند</t>
        </is>
      </c>
      <c r="C18" s="13" t="inlineStr">
        <is>
          <t>مدى</t>
        </is>
      </c>
      <c r="D18" s="13" t="inlineStr">
        <is>
          <t>فيزا</t>
        </is>
      </c>
      <c r="E18" s="13" t="inlineStr">
        <is>
          <t>الإجمالي</t>
        </is>
      </c>
    </row>
    <row r="19">
      <c r="B19" s="14" t="inlineStr">
        <is>
          <t>المبيعات السنوية (﷼)</t>
        </is>
      </c>
      <c r="C19" s="15">
        <f>C15*C9</f>
        <v/>
      </c>
      <c r="D19" s="15">
        <f>C15*(1-C9)</f>
        <v/>
      </c>
      <c r="E19" s="15">
        <f>C15</f>
        <v/>
      </c>
    </row>
    <row r="20">
      <c r="B20" s="14" t="inlineStr">
        <is>
          <t>عدد العمليات السنوية</t>
        </is>
      </c>
      <c r="C20" s="16">
        <f>(C15*C9)/C10</f>
        <v/>
      </c>
      <c r="D20" s="16">
        <f>(C15*(1-C9))/C11</f>
        <v/>
      </c>
      <c r="E20" s="16">
        <f>C20+D20</f>
        <v/>
      </c>
    </row>
    <row r="22">
      <c r="B22" s="17" t="inlineStr">
        <is>
          <t>ملاحظة: مدى أرخص رسوماً (شحن المحفظة ~1.5 ﷼ ثابت)؛ وجّه الشحن لمدى. الأرقام توقعية تُضبط بحجمك الفعلي.</t>
        </is>
      </c>
    </row>
  </sheetData>
  <mergeCells count="14">
    <mergeCell ref="C12:D12"/>
    <mergeCell ref="B3:D3"/>
    <mergeCell ref="B5:D5"/>
    <mergeCell ref="C6:D6"/>
    <mergeCell ref="C7:D7"/>
    <mergeCell ref="C10:D10"/>
    <mergeCell ref="C8:D8"/>
    <mergeCell ref="B14:D14"/>
    <mergeCell ref="C15:D15"/>
    <mergeCell ref="C11:D11"/>
    <mergeCell ref="B22:E22"/>
    <mergeCell ref="B17:D17"/>
    <mergeCell ref="C9:D9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2026-09-20T13:47:53Z</dcterms:created>
  <dcterms:modified xsi:type="dcterms:W3CDTF">2026-09-20T13:47:53Z</dcterms:modified>
</cp:coreProperties>
</file>